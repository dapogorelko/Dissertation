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mitry\Desktop\JN\Git\Dissertation\Data\"/>
    </mc:Choice>
  </mc:AlternateContent>
  <xr:revisionPtr revIDLastSave="0" documentId="13_ncr:1_{0740C708-CF8F-496A-B862-76874CF8045C}" xr6:coauthVersionLast="47" xr6:coauthVersionMax="47" xr10:uidLastSave="{00000000-0000-0000-0000-000000000000}"/>
  <bookViews>
    <workbookView xWindow="-28920" yWindow="-120" windowWidth="29040" windowHeight="15720" tabRatio="860" xr2:uid="{00000000-000D-0000-FFFF-FFFF00000000}"/>
  </bookViews>
  <sheets>
    <sheet name="2022" sheetId="1" r:id="rId1"/>
    <sheet name="2021" sheetId="56" r:id="rId2"/>
    <sheet name="2020" sheetId="57" r:id="rId3"/>
    <sheet name="2019" sheetId="58" r:id="rId4"/>
    <sheet name="2018" sheetId="59" r:id="rId5"/>
    <sheet name="Population" sheetId="9" r:id="rId6"/>
    <sheet name="Income" sheetId="21" r:id="rId7"/>
    <sheet name="Livable_wage" sheetId="22" r:id="rId8"/>
    <sheet name="AVA_1" sheetId="2" r:id="rId9"/>
    <sheet name="AVA_2" sheetId="3" r:id="rId10"/>
    <sheet name="AVA_3" sheetId="4" r:id="rId11"/>
    <sheet name="AVA_4" sheetId="19" r:id="rId12"/>
    <sheet name="AVA_5" sheetId="20" r:id="rId13"/>
    <sheet name="IRA_1" sheetId="24" r:id="rId14"/>
    <sheet name="IRA_2" sheetId="25" r:id="rId15"/>
    <sheet name="IRA_3" sheetId="26" r:id="rId16"/>
    <sheet name="IRA_4" sheetId="27" r:id="rId17"/>
    <sheet name="INV_1" sheetId="28" r:id="rId18"/>
    <sheet name="INV_2" sheetId="30" r:id="rId19"/>
    <sheet name="INV_3" sheetId="23" r:id="rId20"/>
    <sheet name="INV_4" sheetId="29" r:id="rId21"/>
    <sheet name="INV_5" sheetId="31" r:id="rId22"/>
    <sheet name="LUJ_1" sheetId="12" r:id="rId23"/>
    <sheet name="LUJ_2" sheetId="33" r:id="rId24"/>
    <sheet name="LUJ_3" sheetId="34" r:id="rId25"/>
    <sheet name="LUJ_4" sheetId="35" r:id="rId26"/>
    <sheet name="LUJ_5" sheetId="36" r:id="rId27"/>
    <sheet name="GUL_1" sheetId="5" r:id="rId28"/>
    <sheet name="GUL_2" sheetId="37" r:id="rId29"/>
    <sheet name="GUL_3" sheetId="41" r:id="rId30"/>
    <sheet name="GUL_4" sheetId="42" r:id="rId31"/>
    <sheet name="GUL_5" sheetId="43" r:id="rId32"/>
    <sheet name="GUL_6" sheetId="44" r:id="rId33"/>
    <sheet name="GUL_7" sheetId="45" r:id="rId34"/>
    <sheet name="GUL_8" sheetId="47" r:id="rId35"/>
    <sheet name="DES_1" sheetId="17" r:id="rId36"/>
    <sheet name="DES_2" sheetId="46" r:id="rId37"/>
    <sheet name="DES_3" sheetId="48" r:id="rId38"/>
    <sheet name="DES_4" sheetId="50" r:id="rId39"/>
    <sheet name="DES_5" sheetId="51" r:id="rId40"/>
  </sheets>
  <definedNames>
    <definedName name="_xlnm._FilterDatabase" localSheetId="4" hidden="1">'2018'!$A$1:$AK$84</definedName>
    <definedName name="_xlnm._FilterDatabase" localSheetId="3" hidden="1">'2019'!$A$1:$AK$84</definedName>
    <definedName name="_xlnm._FilterDatabase" localSheetId="2" hidden="1">'2020'!$A$1:$AK$84</definedName>
    <definedName name="_xlnm._FilterDatabase" localSheetId="1" hidden="1">'2021'!$A$1:$AK$84</definedName>
    <definedName name="_xlnm._FilterDatabase" localSheetId="0" hidden="1">'2022'!$A$1:$AK$84</definedName>
    <definedName name="_xlnm._FilterDatabase" localSheetId="8" hidden="1">AVA_1!$A$4:$A$91</definedName>
    <definedName name="_xlnm._FilterDatabase" localSheetId="11" hidden="1">AVA_4!$A$3:$G$97</definedName>
    <definedName name="_xlnm._FilterDatabase" localSheetId="12" hidden="1">AVA_5!$A$3:$G$97</definedName>
    <definedName name="_xlnm._FilterDatabase" localSheetId="38" hidden="1">DES_4!$A$3:$D$97</definedName>
    <definedName name="_xlnm._FilterDatabase" localSheetId="39" hidden="1">DES_5!$A$3:$D$97</definedName>
    <definedName name="_xlnm._FilterDatabase" localSheetId="32" hidden="1">GUL_6!$A$3:$C$97</definedName>
    <definedName name="_xlnm._FilterDatabase" localSheetId="33" hidden="1">GUL_7!$A$3:$C$97</definedName>
    <definedName name="_xlnm._FilterDatabase" localSheetId="34" hidden="1">GUL_8!$A$3:$G$98</definedName>
    <definedName name="_xlnm._FilterDatabase" localSheetId="17" hidden="1">INV_1!$A$3:$G$98</definedName>
    <definedName name="_xlnm._FilterDatabase" localSheetId="18" hidden="1">INV_2!$I$3:$O$98</definedName>
    <definedName name="_xlnm._FilterDatabase" localSheetId="19" hidden="1">INV_3!$A$3:$G$97</definedName>
    <definedName name="_xlnm._FilterDatabase" localSheetId="20" hidden="1">INV_4!$A$3:$G$98</definedName>
    <definedName name="_xlnm._FilterDatabase" localSheetId="21" hidden="1">INV_5!$A$3:$G$92</definedName>
    <definedName name="_xlnm._FilterDatabase" localSheetId="13" hidden="1">IRA_1!$A$3:$G$98</definedName>
    <definedName name="_xlnm._FilterDatabase" localSheetId="14" hidden="1">IRA_2!$A$3:$G$97</definedName>
    <definedName name="_xlnm._FilterDatabase" localSheetId="15" hidden="1">IRA_3!$A$3:$G$97</definedName>
    <definedName name="_xlnm._FilterDatabase" localSheetId="16" hidden="1">IRA_4!$A$3:$G$98</definedName>
    <definedName name="_xlnm._FilterDatabase" localSheetId="22" hidden="1">LUJ_1!$A$1:$B$91</definedName>
    <definedName name="_xlnm._FilterDatabase" localSheetId="23" hidden="1">LUJ_2!$A$1:$B$91</definedName>
    <definedName name="_xlnm._FilterDatabase" localSheetId="24" hidden="1">LUJ_3!$A$1:$B$91</definedName>
    <definedName name="_xlnm._FilterDatabase" localSheetId="25" hidden="1">LUJ_4!$A$1:$B$91</definedName>
    <definedName name="_xlnm._FilterDatabase" localSheetId="26" hidden="1">LUJ_5!$A$1:$B$91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3" i="59" l="1"/>
  <c r="AH4" i="59"/>
  <c r="AH5" i="59"/>
  <c r="AH6" i="59"/>
  <c r="AH7" i="59"/>
  <c r="AH8" i="59"/>
  <c r="AH9" i="59"/>
  <c r="AH10" i="59"/>
  <c r="AH11" i="59"/>
  <c r="AH12" i="59"/>
  <c r="AH13" i="59"/>
  <c r="AH14" i="59"/>
  <c r="AH15" i="59"/>
  <c r="AH16" i="59"/>
  <c r="AH17" i="59"/>
  <c r="AH18" i="59"/>
  <c r="AH19" i="59"/>
  <c r="AH20" i="59"/>
  <c r="AH21" i="59"/>
  <c r="AH22" i="59"/>
  <c r="AH23" i="59"/>
  <c r="AH24" i="59"/>
  <c r="AH25" i="59"/>
  <c r="AH26" i="59"/>
  <c r="AH27" i="59"/>
  <c r="AH28" i="59"/>
  <c r="AH29" i="59"/>
  <c r="AH30" i="59"/>
  <c r="AH31" i="59"/>
  <c r="AH32" i="59"/>
  <c r="AH33" i="59"/>
  <c r="AH34" i="59"/>
  <c r="AH35" i="59"/>
  <c r="AH36" i="59"/>
  <c r="AH37" i="59"/>
  <c r="AH38" i="59"/>
  <c r="AH39" i="59"/>
  <c r="AH40" i="59"/>
  <c r="AH41" i="59"/>
  <c r="AH42" i="59"/>
  <c r="AH43" i="59"/>
  <c r="AH44" i="59"/>
  <c r="AH45" i="59"/>
  <c r="AH46" i="59"/>
  <c r="AH47" i="59"/>
  <c r="AH48" i="59"/>
  <c r="AH49" i="59"/>
  <c r="AH50" i="59"/>
  <c r="AH51" i="59"/>
  <c r="AH52" i="59"/>
  <c r="AH53" i="59"/>
  <c r="AH54" i="59"/>
  <c r="AH55" i="59"/>
  <c r="AH56" i="59"/>
  <c r="AH57" i="59"/>
  <c r="AH58" i="59"/>
  <c r="AH59" i="59"/>
  <c r="AH60" i="59"/>
  <c r="AH61" i="59"/>
  <c r="AH62" i="59"/>
  <c r="AH63" i="59"/>
  <c r="AH64" i="59"/>
  <c r="AH65" i="59"/>
  <c r="AH66" i="59"/>
  <c r="AH67" i="59"/>
  <c r="AH68" i="59"/>
  <c r="AH69" i="59"/>
  <c r="AH70" i="59"/>
  <c r="AH71" i="59"/>
  <c r="AH72" i="59"/>
  <c r="AH73" i="59"/>
  <c r="AH74" i="59"/>
  <c r="AH75" i="59"/>
  <c r="AH76" i="59"/>
  <c r="AH77" i="59"/>
  <c r="AH78" i="59"/>
  <c r="AH79" i="59"/>
  <c r="AH80" i="59"/>
  <c r="AH81" i="59"/>
  <c r="AH82" i="59"/>
  <c r="AH83" i="59"/>
  <c r="AH84" i="59"/>
  <c r="AH2" i="59"/>
  <c r="AH3" i="58"/>
  <c r="AH4" i="58"/>
  <c r="AH5" i="58"/>
  <c r="AH6" i="58"/>
  <c r="AH7" i="58"/>
  <c r="AH8" i="58"/>
  <c r="AH9" i="58"/>
  <c r="AH10" i="58"/>
  <c r="AH11" i="58"/>
  <c r="AH12" i="58"/>
  <c r="AH13" i="58"/>
  <c r="AH14" i="58"/>
  <c r="AH15" i="58"/>
  <c r="AH16" i="58"/>
  <c r="AH17" i="58"/>
  <c r="AH18" i="58"/>
  <c r="AH19" i="58"/>
  <c r="AH20" i="58"/>
  <c r="AH21" i="58"/>
  <c r="AH22" i="58"/>
  <c r="AH23" i="58"/>
  <c r="AH24" i="58"/>
  <c r="AH25" i="58"/>
  <c r="AH26" i="58"/>
  <c r="AH27" i="58"/>
  <c r="AH28" i="58"/>
  <c r="AH29" i="58"/>
  <c r="AH30" i="58"/>
  <c r="AH31" i="58"/>
  <c r="AH32" i="58"/>
  <c r="AH33" i="58"/>
  <c r="AH34" i="58"/>
  <c r="AH35" i="58"/>
  <c r="AH36" i="58"/>
  <c r="AH37" i="58"/>
  <c r="AH38" i="58"/>
  <c r="AH39" i="58"/>
  <c r="AH40" i="58"/>
  <c r="AH41" i="58"/>
  <c r="AH42" i="58"/>
  <c r="AH43" i="58"/>
  <c r="AH44" i="58"/>
  <c r="AH45" i="58"/>
  <c r="AH46" i="58"/>
  <c r="AH47" i="58"/>
  <c r="AH48" i="58"/>
  <c r="AH49" i="58"/>
  <c r="AH50" i="58"/>
  <c r="AH51" i="58"/>
  <c r="AH52" i="58"/>
  <c r="AH53" i="58"/>
  <c r="AH54" i="58"/>
  <c r="AH55" i="58"/>
  <c r="AH56" i="58"/>
  <c r="AH57" i="58"/>
  <c r="AH58" i="58"/>
  <c r="AH59" i="58"/>
  <c r="AH60" i="58"/>
  <c r="AH61" i="58"/>
  <c r="AH62" i="58"/>
  <c r="AH63" i="58"/>
  <c r="AH64" i="58"/>
  <c r="AH65" i="58"/>
  <c r="AH66" i="58"/>
  <c r="AH67" i="58"/>
  <c r="AH68" i="58"/>
  <c r="AH69" i="58"/>
  <c r="AH70" i="58"/>
  <c r="AH71" i="58"/>
  <c r="AH72" i="58"/>
  <c r="AH73" i="58"/>
  <c r="AH74" i="58"/>
  <c r="AH75" i="58"/>
  <c r="AH76" i="58"/>
  <c r="AH77" i="58"/>
  <c r="AH78" i="58"/>
  <c r="AH79" i="58"/>
  <c r="AH80" i="58"/>
  <c r="AH81" i="58"/>
  <c r="AH82" i="58"/>
  <c r="AH83" i="58"/>
  <c r="AH84" i="58"/>
  <c r="AH2" i="58"/>
  <c r="AH3" i="57"/>
  <c r="AH4" i="57"/>
  <c r="AH5" i="57"/>
  <c r="AH6" i="57"/>
  <c r="AH7" i="57"/>
  <c r="AH8" i="57"/>
  <c r="AH9" i="57"/>
  <c r="AH10" i="57"/>
  <c r="AH11" i="57"/>
  <c r="AH12" i="57"/>
  <c r="AH13" i="57"/>
  <c r="AH14" i="57"/>
  <c r="AH15" i="57"/>
  <c r="AH16" i="57"/>
  <c r="AH17" i="57"/>
  <c r="AH18" i="57"/>
  <c r="AH19" i="57"/>
  <c r="AH20" i="57"/>
  <c r="AH21" i="57"/>
  <c r="AH22" i="57"/>
  <c r="AH23" i="57"/>
  <c r="AH24" i="57"/>
  <c r="AH25" i="57"/>
  <c r="AH26" i="57"/>
  <c r="AH27" i="57"/>
  <c r="AH28" i="57"/>
  <c r="AH29" i="57"/>
  <c r="AH30" i="57"/>
  <c r="AH31" i="57"/>
  <c r="AH32" i="57"/>
  <c r="AH33" i="57"/>
  <c r="AH34" i="57"/>
  <c r="AH35" i="57"/>
  <c r="AH36" i="57"/>
  <c r="AH37" i="57"/>
  <c r="AH38" i="57"/>
  <c r="AH39" i="57"/>
  <c r="AH40" i="57"/>
  <c r="AH41" i="57"/>
  <c r="AH42" i="57"/>
  <c r="AH43" i="57"/>
  <c r="AH44" i="57"/>
  <c r="AH45" i="57"/>
  <c r="AH46" i="57"/>
  <c r="AH47" i="57"/>
  <c r="AH48" i="57"/>
  <c r="AH49" i="57"/>
  <c r="AH50" i="57"/>
  <c r="AH51" i="57"/>
  <c r="AH52" i="57"/>
  <c r="AH53" i="57"/>
  <c r="AH54" i="57"/>
  <c r="AH55" i="57"/>
  <c r="AH56" i="57"/>
  <c r="AH57" i="57"/>
  <c r="AH58" i="57"/>
  <c r="AH59" i="57"/>
  <c r="AH60" i="57"/>
  <c r="AH61" i="57"/>
  <c r="AH62" i="57"/>
  <c r="AH63" i="57"/>
  <c r="AH64" i="57"/>
  <c r="AH65" i="57"/>
  <c r="AH66" i="57"/>
  <c r="AH67" i="57"/>
  <c r="AH68" i="57"/>
  <c r="AH69" i="57"/>
  <c r="AH70" i="57"/>
  <c r="AH71" i="57"/>
  <c r="AH72" i="57"/>
  <c r="AH73" i="57"/>
  <c r="AH74" i="57"/>
  <c r="AH75" i="57"/>
  <c r="AH76" i="57"/>
  <c r="AH77" i="57"/>
  <c r="AH78" i="57"/>
  <c r="AH79" i="57"/>
  <c r="AH80" i="57"/>
  <c r="AH81" i="57"/>
  <c r="AH82" i="57"/>
  <c r="AH83" i="57"/>
  <c r="AH84" i="57"/>
  <c r="AH2" i="57"/>
  <c r="AH3" i="56"/>
  <c r="AH4" i="56"/>
  <c r="AH5" i="56"/>
  <c r="AH6" i="56"/>
  <c r="AH7" i="56"/>
  <c r="AH8" i="56"/>
  <c r="AH9" i="56"/>
  <c r="AH10" i="56"/>
  <c r="AH11" i="56"/>
  <c r="AH12" i="56"/>
  <c r="AH13" i="56"/>
  <c r="AH14" i="56"/>
  <c r="AH15" i="56"/>
  <c r="AH16" i="56"/>
  <c r="AH17" i="56"/>
  <c r="AH18" i="56"/>
  <c r="AH19" i="56"/>
  <c r="AH20" i="56"/>
  <c r="AH21" i="56"/>
  <c r="AH22" i="56"/>
  <c r="AH23" i="56"/>
  <c r="AH24" i="56"/>
  <c r="AH25" i="56"/>
  <c r="AH26" i="56"/>
  <c r="AH27" i="56"/>
  <c r="AH28" i="56"/>
  <c r="AH29" i="56"/>
  <c r="AH30" i="56"/>
  <c r="AH31" i="56"/>
  <c r="AH32" i="56"/>
  <c r="AH33" i="56"/>
  <c r="AH34" i="56"/>
  <c r="AH35" i="56"/>
  <c r="AH36" i="56"/>
  <c r="AH37" i="56"/>
  <c r="AH38" i="56"/>
  <c r="AH39" i="56"/>
  <c r="AH40" i="56"/>
  <c r="AH41" i="56"/>
  <c r="AH42" i="56"/>
  <c r="AH43" i="56"/>
  <c r="AH44" i="56"/>
  <c r="AH45" i="56"/>
  <c r="AH46" i="56"/>
  <c r="AH47" i="56"/>
  <c r="AH48" i="56"/>
  <c r="AH49" i="56"/>
  <c r="AH50" i="56"/>
  <c r="AH51" i="56"/>
  <c r="AH52" i="56"/>
  <c r="AH53" i="56"/>
  <c r="AH54" i="56"/>
  <c r="AH55" i="56"/>
  <c r="AH56" i="56"/>
  <c r="AH57" i="56"/>
  <c r="AH58" i="56"/>
  <c r="AH59" i="56"/>
  <c r="AH60" i="56"/>
  <c r="AH61" i="56"/>
  <c r="AH62" i="56"/>
  <c r="AH63" i="56"/>
  <c r="AH64" i="56"/>
  <c r="AH65" i="56"/>
  <c r="AH66" i="56"/>
  <c r="AH67" i="56"/>
  <c r="AH68" i="56"/>
  <c r="AH69" i="56"/>
  <c r="AH70" i="56"/>
  <c r="AH71" i="56"/>
  <c r="AH72" i="56"/>
  <c r="AH73" i="56"/>
  <c r="AH74" i="56"/>
  <c r="AH75" i="56"/>
  <c r="AH76" i="56"/>
  <c r="AH77" i="56"/>
  <c r="AH78" i="56"/>
  <c r="AH79" i="56"/>
  <c r="AH80" i="56"/>
  <c r="AH81" i="56"/>
  <c r="AH82" i="56"/>
  <c r="AH83" i="56"/>
  <c r="AH84" i="56"/>
  <c r="AH2" i="56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2" i="1"/>
  <c r="C27" i="22"/>
  <c r="D27" i="22"/>
  <c r="E27" i="22"/>
  <c r="F27" i="22"/>
  <c r="G27" i="22"/>
  <c r="B27" i="22"/>
  <c r="AJ84" i="59"/>
  <c r="AI84" i="59"/>
  <c r="AD84" i="59"/>
  <c r="AC84" i="59"/>
  <c r="AB84" i="59"/>
  <c r="Y84" i="59"/>
  <c r="X84" i="59"/>
  <c r="W84" i="59"/>
  <c r="V84" i="59"/>
  <c r="U84" i="59"/>
  <c r="T84" i="59"/>
  <c r="S84" i="59"/>
  <c r="R84" i="59"/>
  <c r="N84" i="59"/>
  <c r="L84" i="59"/>
  <c r="G84" i="59"/>
  <c r="F84" i="59"/>
  <c r="E84" i="59"/>
  <c r="D84" i="59"/>
  <c r="C84" i="59"/>
  <c r="B84" i="59"/>
  <c r="AG84" i="59" s="1"/>
  <c r="AJ83" i="59"/>
  <c r="AI83" i="59"/>
  <c r="AD83" i="59"/>
  <c r="AC83" i="59"/>
  <c r="AB83" i="59"/>
  <c r="Y83" i="59"/>
  <c r="X83" i="59"/>
  <c r="W83" i="59"/>
  <c r="V83" i="59"/>
  <c r="U83" i="59"/>
  <c r="T83" i="59"/>
  <c r="S83" i="59"/>
  <c r="R83" i="59"/>
  <c r="N83" i="59"/>
  <c r="L83" i="59"/>
  <c r="G83" i="59"/>
  <c r="F83" i="59"/>
  <c r="E83" i="59"/>
  <c r="D83" i="59"/>
  <c r="C83" i="59"/>
  <c r="B83" i="59"/>
  <c r="AF83" i="59" s="1"/>
  <c r="AJ82" i="59"/>
  <c r="AI82" i="59"/>
  <c r="AD82" i="59"/>
  <c r="AC82" i="59"/>
  <c r="AB82" i="59"/>
  <c r="Y82" i="59"/>
  <c r="X82" i="59"/>
  <c r="W82" i="59"/>
  <c r="V82" i="59"/>
  <c r="U82" i="59"/>
  <c r="T82" i="59"/>
  <c r="S82" i="59"/>
  <c r="R82" i="59"/>
  <c r="N82" i="59"/>
  <c r="L82" i="59"/>
  <c r="G82" i="59"/>
  <c r="F82" i="59"/>
  <c r="E82" i="59"/>
  <c r="D82" i="59"/>
  <c r="C82" i="59"/>
  <c r="B82" i="59"/>
  <c r="AE82" i="59" s="1"/>
  <c r="AJ81" i="59"/>
  <c r="AI81" i="59"/>
  <c r="AD81" i="59"/>
  <c r="AC81" i="59"/>
  <c r="AB81" i="59"/>
  <c r="Y81" i="59"/>
  <c r="X81" i="59"/>
  <c r="W81" i="59"/>
  <c r="V81" i="59"/>
  <c r="U81" i="59"/>
  <c r="T81" i="59"/>
  <c r="S81" i="59"/>
  <c r="R81" i="59"/>
  <c r="N81" i="59"/>
  <c r="M81" i="59"/>
  <c r="L81" i="59"/>
  <c r="I81" i="59"/>
  <c r="H81" i="59"/>
  <c r="G81" i="59"/>
  <c r="F81" i="59"/>
  <c r="E81" i="59"/>
  <c r="D81" i="59"/>
  <c r="C81" i="59"/>
  <c r="Q81" i="59" s="1"/>
  <c r="B81" i="59"/>
  <c r="Z81" i="59" s="1"/>
  <c r="AJ80" i="59"/>
  <c r="AI80" i="59"/>
  <c r="AD80" i="59"/>
  <c r="AC80" i="59"/>
  <c r="AB80" i="59"/>
  <c r="Y80" i="59"/>
  <c r="X80" i="59"/>
  <c r="W80" i="59"/>
  <c r="V80" i="59"/>
  <c r="U80" i="59"/>
  <c r="T80" i="59"/>
  <c r="S80" i="59"/>
  <c r="R80" i="59"/>
  <c r="N80" i="59"/>
  <c r="L80" i="59"/>
  <c r="I80" i="59"/>
  <c r="G80" i="59"/>
  <c r="F80" i="59"/>
  <c r="E80" i="59"/>
  <c r="D80" i="59"/>
  <c r="C80" i="59"/>
  <c r="B80" i="59"/>
  <c r="AF80" i="59" s="1"/>
  <c r="AJ79" i="59"/>
  <c r="AI79" i="59"/>
  <c r="AD79" i="59"/>
  <c r="AC79" i="59"/>
  <c r="AB79" i="59"/>
  <c r="Y79" i="59"/>
  <c r="X79" i="59"/>
  <c r="W79" i="59"/>
  <c r="V79" i="59"/>
  <c r="U79" i="59"/>
  <c r="T79" i="59"/>
  <c r="S79" i="59"/>
  <c r="R79" i="59"/>
  <c r="N79" i="59"/>
  <c r="L79" i="59"/>
  <c r="G79" i="59"/>
  <c r="F79" i="59"/>
  <c r="E79" i="59"/>
  <c r="D79" i="59"/>
  <c r="C79" i="59"/>
  <c r="B79" i="59"/>
  <c r="P79" i="59" s="1"/>
  <c r="AJ78" i="59"/>
  <c r="AI78" i="59"/>
  <c r="AD78" i="59"/>
  <c r="AC78" i="59"/>
  <c r="AB78" i="59"/>
  <c r="Y78" i="59"/>
  <c r="X78" i="59"/>
  <c r="W78" i="59"/>
  <c r="V78" i="59"/>
  <c r="U78" i="59"/>
  <c r="T78" i="59"/>
  <c r="S78" i="59"/>
  <c r="R78" i="59"/>
  <c r="P78" i="59"/>
  <c r="N78" i="59"/>
  <c r="L78" i="59"/>
  <c r="G78" i="59"/>
  <c r="F78" i="59"/>
  <c r="E78" i="59"/>
  <c r="D78" i="59"/>
  <c r="C78" i="59"/>
  <c r="B78" i="59"/>
  <c r="AA78" i="59" s="1"/>
  <c r="AJ77" i="59"/>
  <c r="AI77" i="59"/>
  <c r="AG77" i="59"/>
  <c r="AD77" i="59"/>
  <c r="AC77" i="59"/>
  <c r="AB77" i="59"/>
  <c r="Y77" i="59"/>
  <c r="X77" i="59"/>
  <c r="W77" i="59"/>
  <c r="V77" i="59"/>
  <c r="U77" i="59"/>
  <c r="T77" i="59"/>
  <c r="S77" i="59"/>
  <c r="R77" i="59"/>
  <c r="N77" i="59"/>
  <c r="L77" i="59"/>
  <c r="G77" i="59"/>
  <c r="F77" i="59"/>
  <c r="E77" i="59"/>
  <c r="D77" i="59"/>
  <c r="C77" i="59"/>
  <c r="Q77" i="59" s="1"/>
  <c r="B77" i="59"/>
  <c r="Z77" i="59" s="1"/>
  <c r="AJ76" i="59"/>
  <c r="AI76" i="59"/>
  <c r="AD76" i="59"/>
  <c r="AC76" i="59"/>
  <c r="AB76" i="59"/>
  <c r="Y76" i="59"/>
  <c r="X76" i="59"/>
  <c r="W76" i="59"/>
  <c r="V76" i="59"/>
  <c r="U76" i="59"/>
  <c r="T76" i="59"/>
  <c r="S76" i="59"/>
  <c r="R76" i="59"/>
  <c r="N76" i="59"/>
  <c r="L76" i="59"/>
  <c r="G76" i="59"/>
  <c r="F76" i="59"/>
  <c r="E76" i="59"/>
  <c r="D76" i="59"/>
  <c r="C76" i="59"/>
  <c r="B76" i="59"/>
  <c r="P76" i="59" s="1"/>
  <c r="AJ75" i="59"/>
  <c r="AI75" i="59"/>
  <c r="AD75" i="59"/>
  <c r="AC75" i="59"/>
  <c r="AB75" i="59"/>
  <c r="Y75" i="59"/>
  <c r="X75" i="59"/>
  <c r="W75" i="59"/>
  <c r="V75" i="59"/>
  <c r="U75" i="59"/>
  <c r="T75" i="59"/>
  <c r="S75" i="59"/>
  <c r="R75" i="59"/>
  <c r="N75" i="59"/>
  <c r="L75" i="59"/>
  <c r="G75" i="59"/>
  <c r="F75" i="59"/>
  <c r="E75" i="59"/>
  <c r="D75" i="59"/>
  <c r="C75" i="59"/>
  <c r="B75" i="59"/>
  <c r="AA75" i="59" s="1"/>
  <c r="AJ74" i="59"/>
  <c r="AI74" i="59"/>
  <c r="AD74" i="59"/>
  <c r="AC74" i="59"/>
  <c r="AB74" i="59"/>
  <c r="Y74" i="59"/>
  <c r="X74" i="59"/>
  <c r="W74" i="59"/>
  <c r="V74" i="59"/>
  <c r="U74" i="59"/>
  <c r="T74" i="59"/>
  <c r="S74" i="59"/>
  <c r="R74" i="59"/>
  <c r="N74" i="59"/>
  <c r="L74" i="59"/>
  <c r="G74" i="59"/>
  <c r="F74" i="59"/>
  <c r="E74" i="59"/>
  <c r="D74" i="59"/>
  <c r="C74" i="59"/>
  <c r="O74" i="59" s="1"/>
  <c r="B74" i="59"/>
  <c r="Z74" i="59" s="1"/>
  <c r="AJ73" i="59"/>
  <c r="AI73" i="59"/>
  <c r="AD73" i="59"/>
  <c r="AC73" i="59"/>
  <c r="AB73" i="59"/>
  <c r="Y73" i="59"/>
  <c r="X73" i="59"/>
  <c r="W73" i="59"/>
  <c r="V73" i="59"/>
  <c r="U73" i="59"/>
  <c r="T73" i="59"/>
  <c r="S73" i="59"/>
  <c r="R73" i="59"/>
  <c r="N73" i="59"/>
  <c r="L73" i="59"/>
  <c r="G73" i="59"/>
  <c r="F73" i="59"/>
  <c r="E73" i="59"/>
  <c r="D73" i="59"/>
  <c r="C73" i="59"/>
  <c r="B73" i="59"/>
  <c r="AJ72" i="59"/>
  <c r="AI72" i="59"/>
  <c r="AD72" i="59"/>
  <c r="AC72" i="59"/>
  <c r="AB72" i="59"/>
  <c r="Y72" i="59"/>
  <c r="X72" i="59"/>
  <c r="W72" i="59"/>
  <c r="V72" i="59"/>
  <c r="U72" i="59"/>
  <c r="T72" i="59"/>
  <c r="S72" i="59"/>
  <c r="R72" i="59"/>
  <c r="N72" i="59"/>
  <c r="L72" i="59"/>
  <c r="G72" i="59"/>
  <c r="F72" i="59"/>
  <c r="E72" i="59"/>
  <c r="D72" i="59"/>
  <c r="C72" i="59"/>
  <c r="B72" i="59"/>
  <c r="AG72" i="59" s="1"/>
  <c r="AJ71" i="59"/>
  <c r="AI71" i="59"/>
  <c r="AD71" i="59"/>
  <c r="AC71" i="59"/>
  <c r="AB71" i="59"/>
  <c r="Y71" i="59"/>
  <c r="X71" i="59"/>
  <c r="W71" i="59"/>
  <c r="V71" i="59"/>
  <c r="U71" i="59"/>
  <c r="T71" i="59"/>
  <c r="S71" i="59"/>
  <c r="R71" i="59"/>
  <c r="N71" i="59"/>
  <c r="L71" i="59"/>
  <c r="H71" i="59"/>
  <c r="G71" i="59"/>
  <c r="F71" i="59"/>
  <c r="E71" i="59"/>
  <c r="D71" i="59"/>
  <c r="C71" i="59"/>
  <c r="B71" i="59"/>
  <c r="AF71" i="59" s="1"/>
  <c r="AJ70" i="59"/>
  <c r="AI70" i="59"/>
  <c r="AD70" i="59"/>
  <c r="AC70" i="59"/>
  <c r="AB70" i="59"/>
  <c r="Y70" i="59"/>
  <c r="X70" i="59"/>
  <c r="W70" i="59"/>
  <c r="V70" i="59"/>
  <c r="U70" i="59"/>
  <c r="T70" i="59"/>
  <c r="S70" i="59"/>
  <c r="R70" i="59"/>
  <c r="N70" i="59"/>
  <c r="L70" i="59"/>
  <c r="K70" i="59"/>
  <c r="J70" i="59"/>
  <c r="I70" i="59"/>
  <c r="H70" i="59"/>
  <c r="G70" i="59"/>
  <c r="F70" i="59"/>
  <c r="E70" i="59"/>
  <c r="D70" i="59"/>
  <c r="C70" i="59"/>
  <c r="B70" i="59"/>
  <c r="AE70" i="59" s="1"/>
  <c r="AJ69" i="59"/>
  <c r="AI69" i="59"/>
  <c r="AG69" i="59"/>
  <c r="AD69" i="59"/>
  <c r="AC69" i="59"/>
  <c r="AB69" i="59"/>
  <c r="Y69" i="59"/>
  <c r="X69" i="59"/>
  <c r="W69" i="59"/>
  <c r="V69" i="59"/>
  <c r="U69" i="59"/>
  <c r="T69" i="59"/>
  <c r="S69" i="59"/>
  <c r="R69" i="59"/>
  <c r="N69" i="59"/>
  <c r="L69" i="59"/>
  <c r="K69" i="59"/>
  <c r="J69" i="59"/>
  <c r="G69" i="59"/>
  <c r="F69" i="59"/>
  <c r="E69" i="59"/>
  <c r="D69" i="59"/>
  <c r="C69" i="59"/>
  <c r="B69" i="59"/>
  <c r="Z69" i="59" s="1"/>
  <c r="AJ68" i="59"/>
  <c r="AI68" i="59"/>
  <c r="AD68" i="59"/>
  <c r="AC68" i="59"/>
  <c r="AB68" i="59"/>
  <c r="Y68" i="59"/>
  <c r="X68" i="59"/>
  <c r="W68" i="59"/>
  <c r="V68" i="59"/>
  <c r="U68" i="59"/>
  <c r="T68" i="59"/>
  <c r="S68" i="59"/>
  <c r="R68" i="59"/>
  <c r="N68" i="59"/>
  <c r="L68" i="59"/>
  <c r="I68" i="59"/>
  <c r="H68" i="59"/>
  <c r="G68" i="59"/>
  <c r="F68" i="59"/>
  <c r="E68" i="59"/>
  <c r="D68" i="59"/>
  <c r="C68" i="59"/>
  <c r="B68" i="59"/>
  <c r="AG68" i="59" s="1"/>
  <c r="AJ67" i="59"/>
  <c r="AI67" i="59"/>
  <c r="AF67" i="59"/>
  <c r="AE67" i="59"/>
  <c r="AD67" i="59"/>
  <c r="AC67" i="59"/>
  <c r="AB67" i="59"/>
  <c r="Y67" i="59"/>
  <c r="X67" i="59"/>
  <c r="W67" i="59"/>
  <c r="V67" i="59"/>
  <c r="U67" i="59"/>
  <c r="T67" i="59"/>
  <c r="S67" i="59"/>
  <c r="R67" i="59"/>
  <c r="Q67" i="59"/>
  <c r="N67" i="59"/>
  <c r="M67" i="59"/>
  <c r="L67" i="59"/>
  <c r="K67" i="59"/>
  <c r="J67" i="59"/>
  <c r="I67" i="59"/>
  <c r="G67" i="59"/>
  <c r="F67" i="59"/>
  <c r="E67" i="59"/>
  <c r="D67" i="59"/>
  <c r="C67" i="59"/>
  <c r="P67" i="59" s="1"/>
  <c r="B67" i="59"/>
  <c r="AJ66" i="59"/>
  <c r="AI66" i="59"/>
  <c r="AG66" i="59"/>
  <c r="AF66" i="59"/>
  <c r="AD66" i="59"/>
  <c r="AC66" i="59"/>
  <c r="AB66" i="59"/>
  <c r="Y66" i="59"/>
  <c r="X66" i="59"/>
  <c r="W66" i="59"/>
  <c r="V66" i="59"/>
  <c r="U66" i="59"/>
  <c r="T66" i="59"/>
  <c r="S66" i="59"/>
  <c r="R66" i="59"/>
  <c r="N66" i="59"/>
  <c r="M66" i="59"/>
  <c r="L66" i="59"/>
  <c r="J66" i="59"/>
  <c r="I66" i="59"/>
  <c r="H66" i="59"/>
  <c r="G66" i="59"/>
  <c r="F66" i="59"/>
  <c r="E66" i="59"/>
  <c r="D66" i="59"/>
  <c r="C66" i="59"/>
  <c r="AA66" i="59" s="1"/>
  <c r="B66" i="59"/>
  <c r="Z66" i="59" s="1"/>
  <c r="AJ65" i="59"/>
  <c r="AI65" i="59"/>
  <c r="AG65" i="59"/>
  <c r="AD65" i="59"/>
  <c r="AC65" i="59"/>
  <c r="AB65" i="59"/>
  <c r="Y65" i="59"/>
  <c r="X65" i="59"/>
  <c r="W65" i="59"/>
  <c r="V65" i="59"/>
  <c r="U65" i="59"/>
  <c r="T65" i="59"/>
  <c r="S65" i="59"/>
  <c r="R65" i="59"/>
  <c r="N65" i="59"/>
  <c r="L65" i="59"/>
  <c r="K65" i="59"/>
  <c r="I65" i="59"/>
  <c r="G65" i="59"/>
  <c r="F65" i="59"/>
  <c r="E65" i="59"/>
  <c r="D65" i="59"/>
  <c r="C65" i="59"/>
  <c r="Q65" i="59" s="1"/>
  <c r="B65" i="59"/>
  <c r="Z65" i="59" s="1"/>
  <c r="AJ64" i="59"/>
  <c r="AI64" i="59"/>
  <c r="AD64" i="59"/>
  <c r="AC64" i="59"/>
  <c r="AB64" i="59"/>
  <c r="Y64" i="59"/>
  <c r="X64" i="59"/>
  <c r="W64" i="59"/>
  <c r="V64" i="59"/>
  <c r="U64" i="59"/>
  <c r="T64" i="59"/>
  <c r="S64" i="59"/>
  <c r="R64" i="59"/>
  <c r="Q64" i="59"/>
  <c r="N64" i="59"/>
  <c r="L64" i="59"/>
  <c r="G64" i="59"/>
  <c r="F64" i="59"/>
  <c r="E64" i="59"/>
  <c r="D64" i="59"/>
  <c r="C64" i="59"/>
  <c r="B64" i="59"/>
  <c r="P64" i="59" s="1"/>
  <c r="AJ63" i="59"/>
  <c r="AI63" i="59"/>
  <c r="AD63" i="59"/>
  <c r="AC63" i="59"/>
  <c r="AB63" i="59"/>
  <c r="Y63" i="59"/>
  <c r="X63" i="59"/>
  <c r="W63" i="59"/>
  <c r="V63" i="59"/>
  <c r="U63" i="59"/>
  <c r="T63" i="59"/>
  <c r="S63" i="59"/>
  <c r="R63" i="59"/>
  <c r="P63" i="59"/>
  <c r="N63" i="59"/>
  <c r="L63" i="59"/>
  <c r="G63" i="59"/>
  <c r="F63" i="59"/>
  <c r="E63" i="59"/>
  <c r="D63" i="59"/>
  <c r="C63" i="59"/>
  <c r="B63" i="59"/>
  <c r="AA63" i="59" s="1"/>
  <c r="AJ62" i="59"/>
  <c r="AI62" i="59"/>
  <c r="AD62" i="59"/>
  <c r="AC62" i="59"/>
  <c r="AB62" i="59"/>
  <c r="Y62" i="59"/>
  <c r="X62" i="59"/>
  <c r="W62" i="59"/>
  <c r="V62" i="59"/>
  <c r="U62" i="59"/>
  <c r="T62" i="59"/>
  <c r="S62" i="59"/>
  <c r="R62" i="59"/>
  <c r="O62" i="59"/>
  <c r="N62" i="59"/>
  <c r="L62" i="59"/>
  <c r="G62" i="59"/>
  <c r="F62" i="59"/>
  <c r="E62" i="59"/>
  <c r="D62" i="59"/>
  <c r="C62" i="59"/>
  <c r="B62" i="59"/>
  <c r="Z62" i="59" s="1"/>
  <c r="AJ61" i="59"/>
  <c r="AI61" i="59"/>
  <c r="AD61" i="59"/>
  <c r="AC61" i="59"/>
  <c r="AB61" i="59"/>
  <c r="Z61" i="59"/>
  <c r="Y61" i="59"/>
  <c r="X61" i="59"/>
  <c r="W61" i="59"/>
  <c r="V61" i="59"/>
  <c r="U61" i="59"/>
  <c r="T61" i="59"/>
  <c r="S61" i="59"/>
  <c r="R61" i="59"/>
  <c r="N61" i="59"/>
  <c r="L61" i="59"/>
  <c r="G61" i="59"/>
  <c r="F61" i="59"/>
  <c r="E61" i="59"/>
  <c r="D61" i="59"/>
  <c r="C61" i="59"/>
  <c r="B61" i="59"/>
  <c r="AJ60" i="59"/>
  <c r="AI60" i="59"/>
  <c r="AD60" i="59"/>
  <c r="AC60" i="59"/>
  <c r="AB60" i="59"/>
  <c r="Y60" i="59"/>
  <c r="X60" i="59"/>
  <c r="W60" i="59"/>
  <c r="V60" i="59"/>
  <c r="U60" i="59"/>
  <c r="T60" i="59"/>
  <c r="S60" i="59"/>
  <c r="R60" i="59"/>
  <c r="N60" i="59"/>
  <c r="L60" i="59"/>
  <c r="G60" i="59"/>
  <c r="F60" i="59"/>
  <c r="E60" i="59"/>
  <c r="D60" i="59"/>
  <c r="C60" i="59"/>
  <c r="B60" i="59"/>
  <c r="AF60" i="59" s="1"/>
  <c r="AJ59" i="59"/>
  <c r="AI59" i="59"/>
  <c r="AD59" i="59"/>
  <c r="AC59" i="59"/>
  <c r="AB59" i="59"/>
  <c r="Y59" i="59"/>
  <c r="X59" i="59"/>
  <c r="W59" i="59"/>
  <c r="V59" i="59"/>
  <c r="U59" i="59"/>
  <c r="T59" i="59"/>
  <c r="S59" i="59"/>
  <c r="R59" i="59"/>
  <c r="N59" i="59"/>
  <c r="L59" i="59"/>
  <c r="K59" i="59"/>
  <c r="J59" i="59"/>
  <c r="G59" i="59"/>
  <c r="F59" i="59"/>
  <c r="E59" i="59"/>
  <c r="D59" i="59"/>
  <c r="C59" i="59"/>
  <c r="Q59" i="59" s="1"/>
  <c r="B59" i="59"/>
  <c r="AF59" i="59" s="1"/>
  <c r="AJ58" i="59"/>
  <c r="AI58" i="59"/>
  <c r="AD58" i="59"/>
  <c r="AC58" i="59"/>
  <c r="AB58" i="59"/>
  <c r="Y58" i="59"/>
  <c r="X58" i="59"/>
  <c r="W58" i="59"/>
  <c r="V58" i="59"/>
  <c r="U58" i="59"/>
  <c r="T58" i="59"/>
  <c r="S58" i="59"/>
  <c r="R58" i="59"/>
  <c r="N58" i="59"/>
  <c r="L58" i="59"/>
  <c r="I58" i="59"/>
  <c r="H58" i="59"/>
  <c r="G58" i="59"/>
  <c r="F58" i="59"/>
  <c r="E58" i="59"/>
  <c r="D58" i="59"/>
  <c r="C58" i="59"/>
  <c r="B58" i="59"/>
  <c r="AE58" i="59" s="1"/>
  <c r="AJ57" i="59"/>
  <c r="AI57" i="59"/>
  <c r="AD57" i="59"/>
  <c r="AC57" i="59"/>
  <c r="AB57" i="59"/>
  <c r="Y57" i="59"/>
  <c r="X57" i="59"/>
  <c r="W57" i="59"/>
  <c r="V57" i="59"/>
  <c r="U57" i="59"/>
  <c r="T57" i="59"/>
  <c r="S57" i="59"/>
  <c r="R57" i="59"/>
  <c r="N57" i="59"/>
  <c r="M57" i="59"/>
  <c r="L57" i="59"/>
  <c r="G57" i="59"/>
  <c r="F57" i="59"/>
  <c r="E57" i="59"/>
  <c r="D57" i="59"/>
  <c r="C57" i="59"/>
  <c r="Q57" i="59" s="1"/>
  <c r="B57" i="59"/>
  <c r="Z57" i="59" s="1"/>
  <c r="AJ56" i="59"/>
  <c r="AI56" i="59"/>
  <c r="AF56" i="59"/>
  <c r="AE56" i="59"/>
  <c r="AD56" i="59"/>
  <c r="AC56" i="59"/>
  <c r="AB56" i="59"/>
  <c r="Y56" i="59"/>
  <c r="X56" i="59"/>
  <c r="W56" i="59"/>
  <c r="V56" i="59"/>
  <c r="U56" i="59"/>
  <c r="T56" i="59"/>
  <c r="S56" i="59"/>
  <c r="R56" i="59"/>
  <c r="N56" i="59"/>
  <c r="L56" i="59"/>
  <c r="G56" i="59"/>
  <c r="F56" i="59"/>
  <c r="E56" i="59"/>
  <c r="D56" i="59"/>
  <c r="C56" i="59"/>
  <c r="B56" i="59"/>
  <c r="Q56" i="59" s="1"/>
  <c r="AJ55" i="59"/>
  <c r="AI55" i="59"/>
  <c r="AF55" i="59"/>
  <c r="AD55" i="59"/>
  <c r="AC55" i="59"/>
  <c r="AB55" i="59"/>
  <c r="Y55" i="59"/>
  <c r="X55" i="59"/>
  <c r="W55" i="59"/>
  <c r="V55" i="59"/>
  <c r="U55" i="59"/>
  <c r="T55" i="59"/>
  <c r="S55" i="59"/>
  <c r="R55" i="59"/>
  <c r="N55" i="59"/>
  <c r="M55" i="59"/>
  <c r="L55" i="59"/>
  <c r="K55" i="59"/>
  <c r="H55" i="59"/>
  <c r="G55" i="59"/>
  <c r="F55" i="59"/>
  <c r="E55" i="59"/>
  <c r="D55" i="59"/>
  <c r="C55" i="59"/>
  <c r="B55" i="59"/>
  <c r="AA55" i="59" s="1"/>
  <c r="AJ54" i="59"/>
  <c r="AI54" i="59"/>
  <c r="AG54" i="59"/>
  <c r="AF54" i="59"/>
  <c r="AE54" i="59"/>
  <c r="AD54" i="59"/>
  <c r="AC54" i="59"/>
  <c r="AB54" i="59"/>
  <c r="Y54" i="59"/>
  <c r="X54" i="59"/>
  <c r="W54" i="59"/>
  <c r="V54" i="59"/>
  <c r="U54" i="59"/>
  <c r="T54" i="59"/>
  <c r="S54" i="59"/>
  <c r="R54" i="59"/>
  <c r="N54" i="59"/>
  <c r="M54" i="59"/>
  <c r="L54" i="59"/>
  <c r="I54" i="59"/>
  <c r="G54" i="59"/>
  <c r="F54" i="59"/>
  <c r="E54" i="59"/>
  <c r="D54" i="59"/>
  <c r="C54" i="59"/>
  <c r="AA54" i="59" s="1"/>
  <c r="B54" i="59"/>
  <c r="Z54" i="59" s="1"/>
  <c r="AJ53" i="59"/>
  <c r="AI53" i="59"/>
  <c r="AD53" i="59"/>
  <c r="AC53" i="59"/>
  <c r="AB53" i="59"/>
  <c r="Y53" i="59"/>
  <c r="X53" i="59"/>
  <c r="W53" i="59"/>
  <c r="V53" i="59"/>
  <c r="U53" i="59"/>
  <c r="T53" i="59"/>
  <c r="S53" i="59"/>
  <c r="R53" i="59"/>
  <c r="N53" i="59"/>
  <c r="L53" i="59"/>
  <c r="I53" i="59"/>
  <c r="G53" i="59"/>
  <c r="F53" i="59"/>
  <c r="E53" i="59"/>
  <c r="D53" i="59"/>
  <c r="C53" i="59"/>
  <c r="B53" i="59"/>
  <c r="Z53" i="59" s="1"/>
  <c r="AJ52" i="59"/>
  <c r="AI52" i="59"/>
  <c r="AD52" i="59"/>
  <c r="AC52" i="59"/>
  <c r="AB52" i="59"/>
  <c r="Y52" i="59"/>
  <c r="X52" i="59"/>
  <c r="W52" i="59"/>
  <c r="V52" i="59"/>
  <c r="U52" i="59"/>
  <c r="T52" i="59"/>
  <c r="S52" i="59"/>
  <c r="R52" i="59"/>
  <c r="N52" i="59"/>
  <c r="L52" i="59"/>
  <c r="G52" i="59"/>
  <c r="F52" i="59"/>
  <c r="E52" i="59"/>
  <c r="D52" i="59"/>
  <c r="C52" i="59"/>
  <c r="B52" i="59"/>
  <c r="Q52" i="59" s="1"/>
  <c r="AJ51" i="59"/>
  <c r="AI51" i="59"/>
  <c r="AD51" i="59"/>
  <c r="AC51" i="59"/>
  <c r="AB51" i="59"/>
  <c r="Y51" i="59"/>
  <c r="X51" i="59"/>
  <c r="W51" i="59"/>
  <c r="V51" i="59"/>
  <c r="U51" i="59"/>
  <c r="T51" i="59"/>
  <c r="S51" i="59"/>
  <c r="R51" i="59"/>
  <c r="P51" i="59"/>
  <c r="N51" i="59"/>
  <c r="M51" i="59"/>
  <c r="L51" i="59"/>
  <c r="G51" i="59"/>
  <c r="F51" i="59"/>
  <c r="E51" i="59"/>
  <c r="D51" i="59"/>
  <c r="C51" i="59"/>
  <c r="AA51" i="59" s="1"/>
  <c r="B51" i="59"/>
  <c r="Z51" i="59" s="1"/>
  <c r="AJ50" i="59"/>
  <c r="AI50" i="59"/>
  <c r="AD50" i="59"/>
  <c r="AC50" i="59"/>
  <c r="AB50" i="59"/>
  <c r="AA50" i="59"/>
  <c r="Y50" i="59"/>
  <c r="X50" i="59"/>
  <c r="W50" i="59"/>
  <c r="V50" i="59"/>
  <c r="U50" i="59"/>
  <c r="T50" i="59"/>
  <c r="S50" i="59"/>
  <c r="R50" i="59"/>
  <c r="N50" i="59"/>
  <c r="L50" i="59"/>
  <c r="G50" i="59"/>
  <c r="F50" i="59"/>
  <c r="E50" i="59"/>
  <c r="D50" i="59"/>
  <c r="C50" i="59"/>
  <c r="B50" i="59"/>
  <c r="Z50" i="59" s="1"/>
  <c r="AJ49" i="59"/>
  <c r="AI49" i="59"/>
  <c r="AD49" i="59"/>
  <c r="AC49" i="59"/>
  <c r="AB49" i="59"/>
  <c r="Y49" i="59"/>
  <c r="X49" i="59"/>
  <c r="W49" i="59"/>
  <c r="V49" i="59"/>
  <c r="U49" i="59"/>
  <c r="T49" i="59"/>
  <c r="S49" i="59"/>
  <c r="R49" i="59"/>
  <c r="N49" i="59"/>
  <c r="L49" i="59"/>
  <c r="G49" i="59"/>
  <c r="F49" i="59"/>
  <c r="E49" i="59"/>
  <c r="D49" i="59"/>
  <c r="C49" i="59"/>
  <c r="B49" i="59"/>
  <c r="Z49" i="59" s="1"/>
  <c r="AJ48" i="59"/>
  <c r="AI48" i="59"/>
  <c r="AG48" i="59"/>
  <c r="AD48" i="59"/>
  <c r="AC48" i="59"/>
  <c r="AB48" i="59"/>
  <c r="Y48" i="59"/>
  <c r="X48" i="59"/>
  <c r="W48" i="59"/>
  <c r="V48" i="59"/>
  <c r="U48" i="59"/>
  <c r="T48" i="59"/>
  <c r="S48" i="59"/>
  <c r="R48" i="59"/>
  <c r="N48" i="59"/>
  <c r="L48" i="59"/>
  <c r="K48" i="59"/>
  <c r="J48" i="59"/>
  <c r="I48" i="59"/>
  <c r="G48" i="59"/>
  <c r="F48" i="59"/>
  <c r="E48" i="59"/>
  <c r="D48" i="59"/>
  <c r="C48" i="59"/>
  <c r="AA48" i="59" s="1"/>
  <c r="B48" i="59"/>
  <c r="AF48" i="59" s="1"/>
  <c r="AJ47" i="59"/>
  <c r="AI47" i="59"/>
  <c r="AG47" i="59"/>
  <c r="AD47" i="59"/>
  <c r="AC47" i="59"/>
  <c r="AB47" i="59"/>
  <c r="Y47" i="59"/>
  <c r="X47" i="59"/>
  <c r="W47" i="59"/>
  <c r="V47" i="59"/>
  <c r="U47" i="59"/>
  <c r="T47" i="59"/>
  <c r="S47" i="59"/>
  <c r="R47" i="59"/>
  <c r="N47" i="59"/>
  <c r="L47" i="59"/>
  <c r="K47" i="59"/>
  <c r="I47" i="59"/>
  <c r="G47" i="59"/>
  <c r="F47" i="59"/>
  <c r="E47" i="59"/>
  <c r="D47" i="59"/>
  <c r="C47" i="59"/>
  <c r="B47" i="59"/>
  <c r="AF47" i="59" s="1"/>
  <c r="AJ46" i="59"/>
  <c r="AI46" i="59"/>
  <c r="AD46" i="59"/>
  <c r="AC46" i="59"/>
  <c r="AB46" i="59"/>
  <c r="Y46" i="59"/>
  <c r="X46" i="59"/>
  <c r="W46" i="59"/>
  <c r="V46" i="59"/>
  <c r="U46" i="59"/>
  <c r="T46" i="59"/>
  <c r="S46" i="59"/>
  <c r="R46" i="59"/>
  <c r="N46" i="59"/>
  <c r="L46" i="59"/>
  <c r="G46" i="59"/>
  <c r="F46" i="59"/>
  <c r="E46" i="59"/>
  <c r="D46" i="59"/>
  <c r="C46" i="59"/>
  <c r="B46" i="59"/>
  <c r="AE46" i="59" s="1"/>
  <c r="AJ45" i="59"/>
  <c r="AI45" i="59"/>
  <c r="AG45" i="59"/>
  <c r="AD45" i="59"/>
  <c r="AC45" i="59"/>
  <c r="AB45" i="59"/>
  <c r="Y45" i="59"/>
  <c r="X45" i="59"/>
  <c r="W45" i="59"/>
  <c r="V45" i="59"/>
  <c r="U45" i="59"/>
  <c r="T45" i="59"/>
  <c r="S45" i="59"/>
  <c r="R45" i="59"/>
  <c r="N45" i="59"/>
  <c r="L45" i="59"/>
  <c r="J45" i="59"/>
  <c r="I45" i="59"/>
  <c r="H45" i="59"/>
  <c r="G45" i="59"/>
  <c r="F45" i="59"/>
  <c r="E45" i="59"/>
  <c r="D45" i="59"/>
  <c r="C45" i="59"/>
  <c r="Q45" i="59" s="1"/>
  <c r="B45" i="59"/>
  <c r="Z45" i="59" s="1"/>
  <c r="AJ44" i="59"/>
  <c r="AI44" i="59"/>
  <c r="AG44" i="59"/>
  <c r="AF44" i="59"/>
  <c r="AE44" i="59"/>
  <c r="AD44" i="59"/>
  <c r="AC44" i="59"/>
  <c r="AB44" i="59"/>
  <c r="Y44" i="59"/>
  <c r="X44" i="59"/>
  <c r="W44" i="59"/>
  <c r="V44" i="59"/>
  <c r="U44" i="59"/>
  <c r="T44" i="59"/>
  <c r="S44" i="59"/>
  <c r="R44" i="59"/>
  <c r="N44" i="59"/>
  <c r="L44" i="59"/>
  <c r="I44" i="59"/>
  <c r="H44" i="59"/>
  <c r="G44" i="59"/>
  <c r="F44" i="59"/>
  <c r="E44" i="59"/>
  <c r="D44" i="59"/>
  <c r="C44" i="59"/>
  <c r="B44" i="59"/>
  <c r="AJ43" i="59"/>
  <c r="AI43" i="59"/>
  <c r="AF43" i="59"/>
  <c r="AE43" i="59"/>
  <c r="AD43" i="59"/>
  <c r="AC43" i="59"/>
  <c r="AB43" i="59"/>
  <c r="Y43" i="59"/>
  <c r="X43" i="59"/>
  <c r="W43" i="59"/>
  <c r="V43" i="59"/>
  <c r="U43" i="59"/>
  <c r="T43" i="59"/>
  <c r="S43" i="59"/>
  <c r="R43" i="59"/>
  <c r="N43" i="59"/>
  <c r="M43" i="59"/>
  <c r="L43" i="59"/>
  <c r="J43" i="59"/>
  <c r="G43" i="59"/>
  <c r="F43" i="59"/>
  <c r="E43" i="59"/>
  <c r="D43" i="59"/>
  <c r="C43" i="59"/>
  <c r="Q43" i="59" s="1"/>
  <c r="B43" i="59"/>
  <c r="K43" i="59" s="1"/>
  <c r="AJ42" i="59"/>
  <c r="AI42" i="59"/>
  <c r="AD42" i="59"/>
  <c r="AC42" i="59"/>
  <c r="AB42" i="59"/>
  <c r="Y42" i="59"/>
  <c r="X42" i="59"/>
  <c r="W42" i="59"/>
  <c r="V42" i="59"/>
  <c r="U42" i="59"/>
  <c r="T42" i="59"/>
  <c r="S42" i="59"/>
  <c r="R42" i="59"/>
  <c r="N42" i="59"/>
  <c r="L42" i="59"/>
  <c r="G42" i="59"/>
  <c r="F42" i="59"/>
  <c r="E42" i="59"/>
  <c r="D42" i="59"/>
  <c r="C42" i="59"/>
  <c r="B42" i="59"/>
  <c r="Z42" i="59" s="1"/>
  <c r="AJ41" i="59"/>
  <c r="AI41" i="59"/>
  <c r="AG41" i="59"/>
  <c r="AD41" i="59"/>
  <c r="AC41" i="59"/>
  <c r="AB41" i="59"/>
  <c r="Y41" i="59"/>
  <c r="X41" i="59"/>
  <c r="W41" i="59"/>
  <c r="V41" i="59"/>
  <c r="U41" i="59"/>
  <c r="T41" i="59"/>
  <c r="S41" i="59"/>
  <c r="R41" i="59"/>
  <c r="N41" i="59"/>
  <c r="L41" i="59"/>
  <c r="K41" i="59"/>
  <c r="I41" i="59"/>
  <c r="G41" i="59"/>
  <c r="F41" i="59"/>
  <c r="E41" i="59"/>
  <c r="D41" i="59"/>
  <c r="C41" i="59"/>
  <c r="Q41" i="59" s="1"/>
  <c r="B41" i="59"/>
  <c r="Z41" i="59" s="1"/>
  <c r="AJ40" i="59"/>
  <c r="AI40" i="59"/>
  <c r="AD40" i="59"/>
  <c r="AC40" i="59"/>
  <c r="AB40" i="59"/>
  <c r="Y40" i="59"/>
  <c r="X40" i="59"/>
  <c r="W40" i="59"/>
  <c r="V40" i="59"/>
  <c r="U40" i="59"/>
  <c r="T40" i="59"/>
  <c r="S40" i="59"/>
  <c r="R40" i="59"/>
  <c r="N40" i="59"/>
  <c r="L40" i="59"/>
  <c r="G40" i="59"/>
  <c r="F40" i="59"/>
  <c r="E40" i="59"/>
  <c r="D40" i="59"/>
  <c r="C40" i="59"/>
  <c r="B40" i="59"/>
  <c r="P40" i="59" s="1"/>
  <c r="AJ39" i="59"/>
  <c r="AI39" i="59"/>
  <c r="AD39" i="59"/>
  <c r="AC39" i="59"/>
  <c r="AB39" i="59"/>
  <c r="Y39" i="59"/>
  <c r="X39" i="59"/>
  <c r="W39" i="59"/>
  <c r="V39" i="59"/>
  <c r="U39" i="59"/>
  <c r="T39" i="59"/>
  <c r="S39" i="59"/>
  <c r="R39" i="59"/>
  <c r="N39" i="59"/>
  <c r="L39" i="59"/>
  <c r="G39" i="59"/>
  <c r="F39" i="59"/>
  <c r="E39" i="59"/>
  <c r="D39" i="59"/>
  <c r="C39" i="59"/>
  <c r="B39" i="59"/>
  <c r="Z39" i="59" s="1"/>
  <c r="AJ38" i="59"/>
  <c r="AI38" i="59"/>
  <c r="AD38" i="59"/>
  <c r="AC38" i="59"/>
  <c r="AB38" i="59"/>
  <c r="Y38" i="59"/>
  <c r="X38" i="59"/>
  <c r="W38" i="59"/>
  <c r="V38" i="59"/>
  <c r="U38" i="59"/>
  <c r="T38" i="59"/>
  <c r="S38" i="59"/>
  <c r="R38" i="59"/>
  <c r="N38" i="59"/>
  <c r="L38" i="59"/>
  <c r="G38" i="59"/>
  <c r="F38" i="59"/>
  <c r="E38" i="59"/>
  <c r="D38" i="59"/>
  <c r="C38" i="59"/>
  <c r="O38" i="59" s="1"/>
  <c r="B38" i="59"/>
  <c r="Z38" i="59" s="1"/>
  <c r="AJ37" i="59"/>
  <c r="AI37" i="59"/>
  <c r="AD37" i="59"/>
  <c r="AC37" i="59"/>
  <c r="AB37" i="59"/>
  <c r="Y37" i="59"/>
  <c r="X37" i="59"/>
  <c r="W37" i="59"/>
  <c r="V37" i="59"/>
  <c r="U37" i="59"/>
  <c r="T37" i="59"/>
  <c r="S37" i="59"/>
  <c r="R37" i="59"/>
  <c r="N37" i="59"/>
  <c r="L37" i="59"/>
  <c r="G37" i="59"/>
  <c r="F37" i="59"/>
  <c r="E37" i="59"/>
  <c r="D37" i="59"/>
  <c r="C37" i="59"/>
  <c r="B37" i="59"/>
  <c r="K37" i="59" s="1"/>
  <c r="AJ36" i="59"/>
  <c r="AI36" i="59"/>
  <c r="AG36" i="59"/>
  <c r="AD36" i="59"/>
  <c r="AC36" i="59"/>
  <c r="AB36" i="59"/>
  <c r="Y36" i="59"/>
  <c r="X36" i="59"/>
  <c r="W36" i="59"/>
  <c r="V36" i="59"/>
  <c r="U36" i="59"/>
  <c r="T36" i="59"/>
  <c r="S36" i="59"/>
  <c r="R36" i="59"/>
  <c r="N36" i="59"/>
  <c r="M36" i="59"/>
  <c r="L36" i="59"/>
  <c r="J36" i="59"/>
  <c r="G36" i="59"/>
  <c r="F36" i="59"/>
  <c r="E36" i="59"/>
  <c r="D36" i="59"/>
  <c r="C36" i="59"/>
  <c r="AA36" i="59" s="1"/>
  <c r="B36" i="59"/>
  <c r="AF36" i="59" s="1"/>
  <c r="AJ35" i="59"/>
  <c r="AI35" i="59"/>
  <c r="AD35" i="59"/>
  <c r="AC35" i="59"/>
  <c r="AB35" i="59"/>
  <c r="Y35" i="59"/>
  <c r="X35" i="59"/>
  <c r="W35" i="59"/>
  <c r="V35" i="59"/>
  <c r="U35" i="59"/>
  <c r="T35" i="59"/>
  <c r="S35" i="59"/>
  <c r="R35" i="59"/>
  <c r="N35" i="59"/>
  <c r="L35" i="59"/>
  <c r="J35" i="59"/>
  <c r="I35" i="59"/>
  <c r="G35" i="59"/>
  <c r="F35" i="59"/>
  <c r="E35" i="59"/>
  <c r="D35" i="59"/>
  <c r="C35" i="59"/>
  <c r="AA35" i="59" s="1"/>
  <c r="B35" i="59"/>
  <c r="AF35" i="59" s="1"/>
  <c r="AJ34" i="59"/>
  <c r="AI34" i="59"/>
  <c r="AF34" i="59"/>
  <c r="AD34" i="59"/>
  <c r="AC34" i="59"/>
  <c r="AB34" i="59"/>
  <c r="Y34" i="59"/>
  <c r="X34" i="59"/>
  <c r="W34" i="59"/>
  <c r="V34" i="59"/>
  <c r="U34" i="59"/>
  <c r="T34" i="59"/>
  <c r="S34" i="59"/>
  <c r="R34" i="59"/>
  <c r="N34" i="59"/>
  <c r="L34" i="59"/>
  <c r="K34" i="59"/>
  <c r="J34" i="59"/>
  <c r="I34" i="59"/>
  <c r="H34" i="59"/>
  <c r="G34" i="59"/>
  <c r="F34" i="59"/>
  <c r="E34" i="59"/>
  <c r="D34" i="59"/>
  <c r="C34" i="59"/>
  <c r="B34" i="59"/>
  <c r="AE34" i="59" s="1"/>
  <c r="AJ33" i="59"/>
  <c r="AI33" i="59"/>
  <c r="AF33" i="59"/>
  <c r="AD33" i="59"/>
  <c r="AC33" i="59"/>
  <c r="AB33" i="59"/>
  <c r="Y33" i="59"/>
  <c r="X33" i="59"/>
  <c r="W33" i="59"/>
  <c r="V33" i="59"/>
  <c r="U33" i="59"/>
  <c r="T33" i="59"/>
  <c r="S33" i="59"/>
  <c r="R33" i="59"/>
  <c r="N33" i="59"/>
  <c r="M33" i="59"/>
  <c r="L33" i="59"/>
  <c r="K33" i="59"/>
  <c r="G33" i="59"/>
  <c r="F33" i="59"/>
  <c r="E33" i="59"/>
  <c r="D33" i="59"/>
  <c r="C33" i="59"/>
  <c r="P33" i="59" s="1"/>
  <c r="B33" i="59"/>
  <c r="J33" i="59" s="1"/>
  <c r="AJ32" i="59"/>
  <c r="AI32" i="59"/>
  <c r="AF32" i="59"/>
  <c r="AD32" i="59"/>
  <c r="AC32" i="59"/>
  <c r="AB32" i="59"/>
  <c r="Y32" i="59"/>
  <c r="X32" i="59"/>
  <c r="W32" i="59"/>
  <c r="V32" i="59"/>
  <c r="U32" i="59"/>
  <c r="T32" i="59"/>
  <c r="S32" i="59"/>
  <c r="R32" i="59"/>
  <c r="N32" i="59"/>
  <c r="L32" i="59"/>
  <c r="K32" i="59"/>
  <c r="I32" i="59"/>
  <c r="H32" i="59"/>
  <c r="G32" i="59"/>
  <c r="F32" i="59"/>
  <c r="E32" i="59"/>
  <c r="D32" i="59"/>
  <c r="C32" i="59"/>
  <c r="B32" i="59"/>
  <c r="AE32" i="59" s="1"/>
  <c r="AJ31" i="59"/>
  <c r="AI31" i="59"/>
  <c r="AF31" i="59"/>
  <c r="AE31" i="59"/>
  <c r="AD31" i="59"/>
  <c r="AC31" i="59"/>
  <c r="AB31" i="59"/>
  <c r="Y31" i="59"/>
  <c r="X31" i="59"/>
  <c r="W31" i="59"/>
  <c r="V31" i="59"/>
  <c r="U31" i="59"/>
  <c r="T31" i="59"/>
  <c r="S31" i="59"/>
  <c r="R31" i="59"/>
  <c r="N31" i="59"/>
  <c r="L31" i="59"/>
  <c r="K31" i="59"/>
  <c r="J31" i="59"/>
  <c r="G31" i="59"/>
  <c r="F31" i="59"/>
  <c r="E31" i="59"/>
  <c r="D31" i="59"/>
  <c r="C31" i="59"/>
  <c r="Q31" i="59" s="1"/>
  <c r="B31" i="59"/>
  <c r="AJ30" i="59"/>
  <c r="AI30" i="59"/>
  <c r="AG30" i="59"/>
  <c r="AF30" i="59"/>
  <c r="AD30" i="59"/>
  <c r="AC30" i="59"/>
  <c r="AB30" i="59"/>
  <c r="Y30" i="59"/>
  <c r="X30" i="59"/>
  <c r="W30" i="59"/>
  <c r="V30" i="59"/>
  <c r="U30" i="59"/>
  <c r="T30" i="59"/>
  <c r="S30" i="59"/>
  <c r="R30" i="59"/>
  <c r="N30" i="59"/>
  <c r="M30" i="59"/>
  <c r="L30" i="59"/>
  <c r="J30" i="59"/>
  <c r="I30" i="59"/>
  <c r="H30" i="59"/>
  <c r="G30" i="59"/>
  <c r="F30" i="59"/>
  <c r="E30" i="59"/>
  <c r="D30" i="59"/>
  <c r="C30" i="59"/>
  <c r="B30" i="59"/>
  <c r="Z30" i="59" s="1"/>
  <c r="AJ29" i="59"/>
  <c r="AI29" i="59"/>
  <c r="AD29" i="59"/>
  <c r="AC29" i="59"/>
  <c r="AB29" i="59"/>
  <c r="Y29" i="59"/>
  <c r="X29" i="59"/>
  <c r="W29" i="59"/>
  <c r="V29" i="59"/>
  <c r="U29" i="59"/>
  <c r="T29" i="59"/>
  <c r="S29" i="59"/>
  <c r="R29" i="59"/>
  <c r="N29" i="59"/>
  <c r="L29" i="59"/>
  <c r="G29" i="59"/>
  <c r="F29" i="59"/>
  <c r="E29" i="59"/>
  <c r="D29" i="59"/>
  <c r="C29" i="59"/>
  <c r="B29" i="59"/>
  <c r="Z29" i="59" s="1"/>
  <c r="AJ28" i="59"/>
  <c r="AI28" i="59"/>
  <c r="AD28" i="59"/>
  <c r="AC28" i="59"/>
  <c r="AB28" i="59"/>
  <c r="Y28" i="59"/>
  <c r="X28" i="59"/>
  <c r="W28" i="59"/>
  <c r="V28" i="59"/>
  <c r="U28" i="59"/>
  <c r="T28" i="59"/>
  <c r="S28" i="59"/>
  <c r="R28" i="59"/>
  <c r="N28" i="59"/>
  <c r="L28" i="59"/>
  <c r="G28" i="59"/>
  <c r="F28" i="59"/>
  <c r="E28" i="59"/>
  <c r="D28" i="59"/>
  <c r="C28" i="59"/>
  <c r="B28" i="59"/>
  <c r="AJ27" i="59"/>
  <c r="AI27" i="59"/>
  <c r="AD27" i="59"/>
  <c r="AC27" i="59"/>
  <c r="AB27" i="59"/>
  <c r="Y27" i="59"/>
  <c r="X27" i="59"/>
  <c r="W27" i="59"/>
  <c r="V27" i="59"/>
  <c r="U27" i="59"/>
  <c r="T27" i="59"/>
  <c r="S27" i="59"/>
  <c r="R27" i="59"/>
  <c r="N27" i="59"/>
  <c r="L27" i="59"/>
  <c r="G27" i="59"/>
  <c r="F27" i="59"/>
  <c r="E27" i="59"/>
  <c r="D27" i="59"/>
  <c r="C27" i="59"/>
  <c r="B27" i="59"/>
  <c r="AJ26" i="59"/>
  <c r="AI26" i="59"/>
  <c r="AD26" i="59"/>
  <c r="AC26" i="59"/>
  <c r="AB26" i="59"/>
  <c r="Y26" i="59"/>
  <c r="X26" i="59"/>
  <c r="W26" i="59"/>
  <c r="V26" i="59"/>
  <c r="U26" i="59"/>
  <c r="T26" i="59"/>
  <c r="S26" i="59"/>
  <c r="R26" i="59"/>
  <c r="N26" i="59"/>
  <c r="M26" i="59"/>
  <c r="L26" i="59"/>
  <c r="G26" i="59"/>
  <c r="F26" i="59"/>
  <c r="E26" i="59"/>
  <c r="D26" i="59"/>
  <c r="C26" i="59"/>
  <c r="O26" i="59" s="1"/>
  <c r="B26" i="59"/>
  <c r="Z26" i="59" s="1"/>
  <c r="AJ25" i="59"/>
  <c r="AI25" i="59"/>
  <c r="AD25" i="59"/>
  <c r="AC25" i="59"/>
  <c r="AB25" i="59"/>
  <c r="Y25" i="59"/>
  <c r="X25" i="59"/>
  <c r="W25" i="59"/>
  <c r="V25" i="59"/>
  <c r="U25" i="59"/>
  <c r="T25" i="59"/>
  <c r="S25" i="59"/>
  <c r="R25" i="59"/>
  <c r="N25" i="59"/>
  <c r="L25" i="59"/>
  <c r="G25" i="59"/>
  <c r="F25" i="59"/>
  <c r="E25" i="59"/>
  <c r="D25" i="59"/>
  <c r="C25" i="59"/>
  <c r="B25" i="59"/>
  <c r="Q25" i="59" s="1"/>
  <c r="AJ24" i="59"/>
  <c r="AI24" i="59"/>
  <c r="AD24" i="59"/>
  <c r="AC24" i="59"/>
  <c r="AB24" i="59"/>
  <c r="Y24" i="59"/>
  <c r="X24" i="59"/>
  <c r="W24" i="59"/>
  <c r="V24" i="59"/>
  <c r="U24" i="59"/>
  <c r="T24" i="59"/>
  <c r="S24" i="59"/>
  <c r="R24" i="59"/>
  <c r="N24" i="59"/>
  <c r="L24" i="59"/>
  <c r="J24" i="59"/>
  <c r="I24" i="59"/>
  <c r="G24" i="59"/>
  <c r="F24" i="59"/>
  <c r="E24" i="59"/>
  <c r="D24" i="59"/>
  <c r="C24" i="59"/>
  <c r="B24" i="59"/>
  <c r="AF24" i="59" s="1"/>
  <c r="AJ23" i="59"/>
  <c r="AI23" i="59"/>
  <c r="AD23" i="59"/>
  <c r="AC23" i="59"/>
  <c r="AB23" i="59"/>
  <c r="Y23" i="59"/>
  <c r="X23" i="59"/>
  <c r="W23" i="59"/>
  <c r="V23" i="59"/>
  <c r="U23" i="59"/>
  <c r="T23" i="59"/>
  <c r="S23" i="59"/>
  <c r="R23" i="59"/>
  <c r="N23" i="59"/>
  <c r="L23" i="59"/>
  <c r="G23" i="59"/>
  <c r="F23" i="59"/>
  <c r="E23" i="59"/>
  <c r="D23" i="59"/>
  <c r="C23" i="59"/>
  <c r="B23" i="59"/>
  <c r="AJ22" i="59"/>
  <c r="AI22" i="59"/>
  <c r="AD22" i="59"/>
  <c r="AC22" i="59"/>
  <c r="AB22" i="59"/>
  <c r="Y22" i="59"/>
  <c r="X22" i="59"/>
  <c r="W22" i="59"/>
  <c r="V22" i="59"/>
  <c r="U22" i="59"/>
  <c r="T22" i="59"/>
  <c r="S22" i="59"/>
  <c r="R22" i="59"/>
  <c r="N22" i="59"/>
  <c r="L22" i="59"/>
  <c r="G22" i="59"/>
  <c r="F22" i="59"/>
  <c r="E22" i="59"/>
  <c r="D22" i="59"/>
  <c r="C22" i="59"/>
  <c r="B22" i="59"/>
  <c r="Z22" i="59" s="1"/>
  <c r="AJ21" i="59"/>
  <c r="AI21" i="59"/>
  <c r="AG21" i="59"/>
  <c r="AF21" i="59"/>
  <c r="AD21" i="59"/>
  <c r="AC21" i="59"/>
  <c r="AB21" i="59"/>
  <c r="Y21" i="59"/>
  <c r="X21" i="59"/>
  <c r="W21" i="59"/>
  <c r="V21" i="59"/>
  <c r="U21" i="59"/>
  <c r="T21" i="59"/>
  <c r="S21" i="59"/>
  <c r="R21" i="59"/>
  <c r="N21" i="59"/>
  <c r="M21" i="59"/>
  <c r="L21" i="59"/>
  <c r="K21" i="59"/>
  <c r="J21" i="59"/>
  <c r="I21" i="59"/>
  <c r="H21" i="59"/>
  <c r="G21" i="59"/>
  <c r="F21" i="59"/>
  <c r="E21" i="59"/>
  <c r="D21" i="59"/>
  <c r="C21" i="59"/>
  <c r="P21" i="59" s="1"/>
  <c r="B21" i="59"/>
  <c r="AJ20" i="59"/>
  <c r="AI20" i="59"/>
  <c r="AD20" i="59"/>
  <c r="AC20" i="59"/>
  <c r="AB20" i="59"/>
  <c r="Y20" i="59"/>
  <c r="X20" i="59"/>
  <c r="W20" i="59"/>
  <c r="V20" i="59"/>
  <c r="U20" i="59"/>
  <c r="T20" i="59"/>
  <c r="S20" i="59"/>
  <c r="R20" i="59"/>
  <c r="N20" i="59"/>
  <c r="L20" i="59"/>
  <c r="G20" i="59"/>
  <c r="F20" i="59"/>
  <c r="E20" i="59"/>
  <c r="D20" i="59"/>
  <c r="C20" i="59"/>
  <c r="B20" i="59"/>
  <c r="AE20" i="59" s="1"/>
  <c r="AJ19" i="59"/>
  <c r="AI19" i="59"/>
  <c r="AF19" i="59"/>
  <c r="AE19" i="59"/>
  <c r="AD19" i="59"/>
  <c r="AC19" i="59"/>
  <c r="AB19" i="59"/>
  <c r="Y19" i="59"/>
  <c r="X19" i="59"/>
  <c r="W19" i="59"/>
  <c r="V19" i="59"/>
  <c r="U19" i="59"/>
  <c r="T19" i="59"/>
  <c r="S19" i="59"/>
  <c r="R19" i="59"/>
  <c r="N19" i="59"/>
  <c r="L19" i="59"/>
  <c r="K19" i="59"/>
  <c r="J19" i="59"/>
  <c r="G19" i="59"/>
  <c r="F19" i="59"/>
  <c r="E19" i="59"/>
  <c r="D19" i="59"/>
  <c r="C19" i="59"/>
  <c r="Q19" i="59" s="1"/>
  <c r="B19" i="59"/>
  <c r="AJ18" i="59"/>
  <c r="AI18" i="59"/>
  <c r="AG18" i="59"/>
  <c r="AD18" i="59"/>
  <c r="AC18" i="59"/>
  <c r="AB18" i="59"/>
  <c r="Y18" i="59"/>
  <c r="X18" i="59"/>
  <c r="W18" i="59"/>
  <c r="V18" i="59"/>
  <c r="U18" i="59"/>
  <c r="T18" i="59"/>
  <c r="S18" i="59"/>
  <c r="R18" i="59"/>
  <c r="N18" i="59"/>
  <c r="L18" i="59"/>
  <c r="J18" i="59"/>
  <c r="I18" i="59"/>
  <c r="H18" i="59"/>
  <c r="G18" i="59"/>
  <c r="F18" i="59"/>
  <c r="E18" i="59"/>
  <c r="D18" i="59"/>
  <c r="C18" i="59"/>
  <c r="Q18" i="59" s="1"/>
  <c r="B18" i="59"/>
  <c r="Z18" i="59" s="1"/>
  <c r="AJ17" i="59"/>
  <c r="AI17" i="59"/>
  <c r="AG17" i="59"/>
  <c r="AD17" i="59"/>
  <c r="AC17" i="59"/>
  <c r="AB17" i="59"/>
  <c r="Y17" i="59"/>
  <c r="X17" i="59"/>
  <c r="W17" i="59"/>
  <c r="V17" i="59"/>
  <c r="U17" i="59"/>
  <c r="T17" i="59"/>
  <c r="S17" i="59"/>
  <c r="R17" i="59"/>
  <c r="N17" i="59"/>
  <c r="L17" i="59"/>
  <c r="I17" i="59"/>
  <c r="G17" i="59"/>
  <c r="F17" i="59"/>
  <c r="E17" i="59"/>
  <c r="D17" i="59"/>
  <c r="C17" i="59"/>
  <c r="Q17" i="59" s="1"/>
  <c r="B17" i="59"/>
  <c r="Z17" i="59" s="1"/>
  <c r="AJ16" i="59"/>
  <c r="AI16" i="59"/>
  <c r="AD16" i="59"/>
  <c r="AC16" i="59"/>
  <c r="AB16" i="59"/>
  <c r="Y16" i="59"/>
  <c r="X16" i="59"/>
  <c r="W16" i="59"/>
  <c r="V16" i="59"/>
  <c r="U16" i="59"/>
  <c r="T16" i="59"/>
  <c r="S16" i="59"/>
  <c r="R16" i="59"/>
  <c r="N16" i="59"/>
  <c r="L16" i="59"/>
  <c r="G16" i="59"/>
  <c r="F16" i="59"/>
  <c r="E16" i="59"/>
  <c r="D16" i="59"/>
  <c r="C16" i="59"/>
  <c r="Q16" i="59" s="1"/>
  <c r="B16" i="59"/>
  <c r="Z16" i="59" s="1"/>
  <c r="AJ15" i="59"/>
  <c r="AI15" i="59"/>
  <c r="AD15" i="59"/>
  <c r="AC15" i="59"/>
  <c r="AB15" i="59"/>
  <c r="Y15" i="59"/>
  <c r="X15" i="59"/>
  <c r="W15" i="59"/>
  <c r="V15" i="59"/>
  <c r="U15" i="59"/>
  <c r="T15" i="59"/>
  <c r="S15" i="59"/>
  <c r="R15" i="59"/>
  <c r="N15" i="59"/>
  <c r="L15" i="59"/>
  <c r="G15" i="59"/>
  <c r="F15" i="59"/>
  <c r="E15" i="59"/>
  <c r="D15" i="59"/>
  <c r="C15" i="59"/>
  <c r="B15" i="59"/>
  <c r="Z15" i="59" s="1"/>
  <c r="AJ14" i="59"/>
  <c r="AI14" i="59"/>
  <c r="AG14" i="59"/>
  <c r="AD14" i="59"/>
  <c r="AC14" i="59"/>
  <c r="AB14" i="59"/>
  <c r="Y14" i="59"/>
  <c r="X14" i="59"/>
  <c r="W14" i="59"/>
  <c r="V14" i="59"/>
  <c r="U14" i="59"/>
  <c r="T14" i="59"/>
  <c r="S14" i="59"/>
  <c r="R14" i="59"/>
  <c r="N14" i="59"/>
  <c r="M14" i="59"/>
  <c r="L14" i="59"/>
  <c r="G14" i="59"/>
  <c r="F14" i="59"/>
  <c r="E14" i="59"/>
  <c r="D14" i="59"/>
  <c r="C14" i="59"/>
  <c r="B14" i="59"/>
  <c r="AA14" i="59" s="1"/>
  <c r="AJ13" i="59"/>
  <c r="AI13" i="59"/>
  <c r="AD13" i="59"/>
  <c r="AC13" i="59"/>
  <c r="AB13" i="59"/>
  <c r="Y13" i="59"/>
  <c r="X13" i="59"/>
  <c r="W13" i="59"/>
  <c r="V13" i="59"/>
  <c r="U13" i="59"/>
  <c r="T13" i="59"/>
  <c r="S13" i="59"/>
  <c r="R13" i="59"/>
  <c r="N13" i="59"/>
  <c r="L13" i="59"/>
  <c r="J13" i="59"/>
  <c r="H13" i="59"/>
  <c r="G13" i="59"/>
  <c r="F13" i="59"/>
  <c r="E13" i="59"/>
  <c r="D13" i="59"/>
  <c r="C13" i="59"/>
  <c r="B13" i="59"/>
  <c r="Z13" i="59" s="1"/>
  <c r="AJ12" i="59"/>
  <c r="AI12" i="59"/>
  <c r="AD12" i="59"/>
  <c r="AC12" i="59"/>
  <c r="AB12" i="59"/>
  <c r="Y12" i="59"/>
  <c r="X12" i="59"/>
  <c r="W12" i="59"/>
  <c r="V12" i="59"/>
  <c r="U12" i="59"/>
  <c r="T12" i="59"/>
  <c r="S12" i="59"/>
  <c r="R12" i="59"/>
  <c r="N12" i="59"/>
  <c r="M12" i="59"/>
  <c r="L12" i="59"/>
  <c r="G12" i="59"/>
  <c r="F12" i="59"/>
  <c r="E12" i="59"/>
  <c r="D12" i="59"/>
  <c r="C12" i="59"/>
  <c r="B12" i="59"/>
  <c r="AF12" i="59" s="1"/>
  <c r="AJ11" i="59"/>
  <c r="AI11" i="59"/>
  <c r="AD11" i="59"/>
  <c r="AC11" i="59"/>
  <c r="AB11" i="59"/>
  <c r="Y11" i="59"/>
  <c r="X11" i="59"/>
  <c r="W11" i="59"/>
  <c r="V11" i="59"/>
  <c r="U11" i="59"/>
  <c r="T11" i="59"/>
  <c r="S11" i="59"/>
  <c r="R11" i="59"/>
  <c r="N11" i="59"/>
  <c r="L11" i="59"/>
  <c r="G11" i="59"/>
  <c r="F11" i="59"/>
  <c r="E11" i="59"/>
  <c r="D11" i="59"/>
  <c r="C11" i="59"/>
  <c r="B11" i="59"/>
  <c r="K11" i="59" s="1"/>
  <c r="AJ10" i="59"/>
  <c r="AI10" i="59"/>
  <c r="AG10" i="59"/>
  <c r="AD10" i="59"/>
  <c r="AC10" i="59"/>
  <c r="AB10" i="59"/>
  <c r="Y10" i="59"/>
  <c r="X10" i="59"/>
  <c r="W10" i="59"/>
  <c r="V10" i="59"/>
  <c r="U10" i="59"/>
  <c r="T10" i="59"/>
  <c r="S10" i="59"/>
  <c r="R10" i="59"/>
  <c r="N10" i="59"/>
  <c r="L10" i="59"/>
  <c r="H10" i="59"/>
  <c r="G10" i="59"/>
  <c r="F10" i="59"/>
  <c r="E10" i="59"/>
  <c r="D10" i="59"/>
  <c r="C10" i="59"/>
  <c r="B10" i="59"/>
  <c r="Q10" i="59" s="1"/>
  <c r="AJ9" i="59"/>
  <c r="AI9" i="59"/>
  <c r="AD9" i="59"/>
  <c r="AC9" i="59"/>
  <c r="AB9" i="59"/>
  <c r="Y9" i="59"/>
  <c r="X9" i="59"/>
  <c r="W9" i="59"/>
  <c r="V9" i="59"/>
  <c r="U9" i="59"/>
  <c r="T9" i="59"/>
  <c r="S9" i="59"/>
  <c r="R9" i="59"/>
  <c r="N9" i="59"/>
  <c r="M9" i="59"/>
  <c r="L9" i="59"/>
  <c r="G9" i="59"/>
  <c r="F9" i="59"/>
  <c r="E9" i="59"/>
  <c r="D9" i="59"/>
  <c r="C9" i="59"/>
  <c r="B9" i="59"/>
  <c r="Z9" i="59" s="1"/>
  <c r="AJ8" i="59"/>
  <c r="AI8" i="59"/>
  <c r="AG8" i="59"/>
  <c r="AD8" i="59"/>
  <c r="AC8" i="59"/>
  <c r="AB8" i="59"/>
  <c r="Y8" i="59"/>
  <c r="X8" i="59"/>
  <c r="W8" i="59"/>
  <c r="V8" i="59"/>
  <c r="U8" i="59"/>
  <c r="T8" i="59"/>
  <c r="S8" i="59"/>
  <c r="R8" i="59"/>
  <c r="N8" i="59"/>
  <c r="L8" i="59"/>
  <c r="G8" i="59"/>
  <c r="F8" i="59"/>
  <c r="E8" i="59"/>
  <c r="D8" i="59"/>
  <c r="C8" i="59"/>
  <c r="Q8" i="59" s="1"/>
  <c r="B8" i="59"/>
  <c r="K8" i="59" s="1"/>
  <c r="AJ7" i="59"/>
  <c r="AI7" i="59"/>
  <c r="AD7" i="59"/>
  <c r="AC7" i="59"/>
  <c r="AB7" i="59"/>
  <c r="Y7" i="59"/>
  <c r="X7" i="59"/>
  <c r="W7" i="59"/>
  <c r="V7" i="59"/>
  <c r="U7" i="59"/>
  <c r="T7" i="59"/>
  <c r="S7" i="59"/>
  <c r="R7" i="59"/>
  <c r="N7" i="59"/>
  <c r="L7" i="59"/>
  <c r="G7" i="59"/>
  <c r="F7" i="59"/>
  <c r="E7" i="59"/>
  <c r="D7" i="59"/>
  <c r="C7" i="59"/>
  <c r="B7" i="59"/>
  <c r="I7" i="59" s="1"/>
  <c r="AJ6" i="59"/>
  <c r="AI6" i="59"/>
  <c r="AD6" i="59"/>
  <c r="AC6" i="59"/>
  <c r="AB6" i="59"/>
  <c r="Y6" i="59"/>
  <c r="X6" i="59"/>
  <c r="W6" i="59"/>
  <c r="V6" i="59"/>
  <c r="U6" i="59"/>
  <c r="T6" i="59"/>
  <c r="S6" i="59"/>
  <c r="R6" i="59"/>
  <c r="N6" i="59"/>
  <c r="L6" i="59"/>
  <c r="I6" i="59"/>
  <c r="H6" i="59"/>
  <c r="G6" i="59"/>
  <c r="F6" i="59"/>
  <c r="E6" i="59"/>
  <c r="D6" i="59"/>
  <c r="C6" i="59"/>
  <c r="Q6" i="59" s="1"/>
  <c r="B6" i="59"/>
  <c r="Z6" i="59" s="1"/>
  <c r="AJ5" i="59"/>
  <c r="AI5" i="59"/>
  <c r="AD5" i="59"/>
  <c r="AC5" i="59"/>
  <c r="AB5" i="59"/>
  <c r="Y5" i="59"/>
  <c r="X5" i="59"/>
  <c r="W5" i="59"/>
  <c r="V5" i="59"/>
  <c r="U5" i="59"/>
  <c r="T5" i="59"/>
  <c r="S5" i="59"/>
  <c r="R5" i="59"/>
  <c r="N5" i="59"/>
  <c r="L5" i="59"/>
  <c r="G5" i="59"/>
  <c r="F5" i="59"/>
  <c r="E5" i="59"/>
  <c r="D5" i="59"/>
  <c r="C5" i="59"/>
  <c r="B5" i="59"/>
  <c r="K5" i="59" s="1"/>
  <c r="AJ4" i="59"/>
  <c r="AI4" i="59"/>
  <c r="AD4" i="59"/>
  <c r="AC4" i="59"/>
  <c r="AB4" i="59"/>
  <c r="Y4" i="59"/>
  <c r="X4" i="59"/>
  <c r="W4" i="59"/>
  <c r="V4" i="59"/>
  <c r="U4" i="59"/>
  <c r="T4" i="59"/>
  <c r="S4" i="59"/>
  <c r="R4" i="59"/>
  <c r="N4" i="59"/>
  <c r="L4" i="59"/>
  <c r="G4" i="59"/>
  <c r="F4" i="59"/>
  <c r="E4" i="59"/>
  <c r="D4" i="59"/>
  <c r="C4" i="59"/>
  <c r="B4" i="59"/>
  <c r="Z4" i="59" s="1"/>
  <c r="AJ3" i="59"/>
  <c r="AI3" i="59"/>
  <c r="AG3" i="59"/>
  <c r="AE3" i="59"/>
  <c r="AD3" i="59"/>
  <c r="AC3" i="59"/>
  <c r="AB3" i="59"/>
  <c r="Y3" i="59"/>
  <c r="X3" i="59"/>
  <c r="W3" i="59"/>
  <c r="V3" i="59"/>
  <c r="U3" i="59"/>
  <c r="T3" i="59"/>
  <c r="S3" i="59"/>
  <c r="R3" i="59"/>
  <c r="Q3" i="59"/>
  <c r="N3" i="59"/>
  <c r="L3" i="59"/>
  <c r="G3" i="59"/>
  <c r="F3" i="59"/>
  <c r="E3" i="59"/>
  <c r="D3" i="59"/>
  <c r="C3" i="59"/>
  <c r="AA3" i="59" s="1"/>
  <c r="B3" i="59"/>
  <c r="J3" i="59" s="1"/>
  <c r="AJ2" i="59"/>
  <c r="AI2" i="59"/>
  <c r="AD2" i="59"/>
  <c r="AC2" i="59"/>
  <c r="AB2" i="59"/>
  <c r="Y2" i="59"/>
  <c r="X2" i="59"/>
  <c r="W2" i="59"/>
  <c r="V2" i="59"/>
  <c r="U2" i="59"/>
  <c r="T2" i="59"/>
  <c r="S2" i="59"/>
  <c r="R2" i="59"/>
  <c r="N2" i="59"/>
  <c r="L2" i="59"/>
  <c r="G2" i="59"/>
  <c r="F2" i="59"/>
  <c r="E2" i="59"/>
  <c r="D2" i="59"/>
  <c r="C2" i="59"/>
  <c r="B2" i="59"/>
  <c r="AF2" i="59" s="1"/>
  <c r="AJ84" i="58"/>
  <c r="AI84" i="58"/>
  <c r="AD84" i="58"/>
  <c r="AC84" i="58"/>
  <c r="AB84" i="58"/>
  <c r="Y84" i="58"/>
  <c r="X84" i="58"/>
  <c r="W84" i="58"/>
  <c r="V84" i="58"/>
  <c r="U84" i="58"/>
  <c r="T84" i="58"/>
  <c r="S84" i="58"/>
  <c r="R84" i="58"/>
  <c r="N84" i="58"/>
  <c r="L84" i="58"/>
  <c r="K84" i="58"/>
  <c r="G84" i="58"/>
  <c r="F84" i="58"/>
  <c r="E84" i="58"/>
  <c r="D84" i="58"/>
  <c r="C84" i="58"/>
  <c r="B84" i="58"/>
  <c r="J84" i="58" s="1"/>
  <c r="AJ83" i="58"/>
  <c r="AI83" i="58"/>
  <c r="AD83" i="58"/>
  <c r="AC83" i="58"/>
  <c r="AB83" i="58"/>
  <c r="Y83" i="58"/>
  <c r="X83" i="58"/>
  <c r="W83" i="58"/>
  <c r="V83" i="58"/>
  <c r="U83" i="58"/>
  <c r="T83" i="58"/>
  <c r="S83" i="58"/>
  <c r="R83" i="58"/>
  <c r="N83" i="58"/>
  <c r="L83" i="58"/>
  <c r="G83" i="58"/>
  <c r="F83" i="58"/>
  <c r="E83" i="58"/>
  <c r="D83" i="58"/>
  <c r="C83" i="58"/>
  <c r="B83" i="58"/>
  <c r="AG83" i="58" s="1"/>
  <c r="AJ82" i="58"/>
  <c r="AI82" i="58"/>
  <c r="AD82" i="58"/>
  <c r="AC82" i="58"/>
  <c r="AB82" i="58"/>
  <c r="Y82" i="58"/>
  <c r="X82" i="58"/>
  <c r="W82" i="58"/>
  <c r="V82" i="58"/>
  <c r="U82" i="58"/>
  <c r="T82" i="58"/>
  <c r="S82" i="58"/>
  <c r="R82" i="58"/>
  <c r="N82" i="58"/>
  <c r="L82" i="58"/>
  <c r="J82" i="58"/>
  <c r="I82" i="58"/>
  <c r="G82" i="58"/>
  <c r="F82" i="58"/>
  <c r="E82" i="58"/>
  <c r="D82" i="58"/>
  <c r="C82" i="58"/>
  <c r="Q82" i="58" s="1"/>
  <c r="B82" i="58"/>
  <c r="AF82" i="58" s="1"/>
  <c r="AJ81" i="58"/>
  <c r="AI81" i="58"/>
  <c r="AD81" i="58"/>
  <c r="AC81" i="58"/>
  <c r="AB81" i="58"/>
  <c r="Y81" i="58"/>
  <c r="X81" i="58"/>
  <c r="W81" i="58"/>
  <c r="V81" i="58"/>
  <c r="U81" i="58"/>
  <c r="T81" i="58"/>
  <c r="S81" i="58"/>
  <c r="R81" i="58"/>
  <c r="N81" i="58"/>
  <c r="L81" i="58"/>
  <c r="G81" i="58"/>
  <c r="F81" i="58"/>
  <c r="E81" i="58"/>
  <c r="D81" i="58"/>
  <c r="C81" i="58"/>
  <c r="Q81" i="58" s="1"/>
  <c r="B81" i="58"/>
  <c r="Z81" i="58" s="1"/>
  <c r="AJ80" i="58"/>
  <c r="AI80" i="58"/>
  <c r="AG80" i="58"/>
  <c r="AE80" i="58"/>
  <c r="AD80" i="58"/>
  <c r="AC80" i="58"/>
  <c r="AB80" i="58"/>
  <c r="Y80" i="58"/>
  <c r="X80" i="58"/>
  <c r="W80" i="58"/>
  <c r="V80" i="58"/>
  <c r="U80" i="58"/>
  <c r="T80" i="58"/>
  <c r="S80" i="58"/>
  <c r="R80" i="58"/>
  <c r="N80" i="58"/>
  <c r="L80" i="58"/>
  <c r="J80" i="58"/>
  <c r="G80" i="58"/>
  <c r="F80" i="58"/>
  <c r="E80" i="58"/>
  <c r="D80" i="58"/>
  <c r="C80" i="58"/>
  <c r="B80" i="58"/>
  <c r="AF80" i="58" s="1"/>
  <c r="AJ79" i="58"/>
  <c r="AI79" i="58"/>
  <c r="AD79" i="58"/>
  <c r="AC79" i="58"/>
  <c r="AB79" i="58"/>
  <c r="Y79" i="58"/>
  <c r="X79" i="58"/>
  <c r="W79" i="58"/>
  <c r="V79" i="58"/>
  <c r="U79" i="58"/>
  <c r="T79" i="58"/>
  <c r="S79" i="58"/>
  <c r="R79" i="58"/>
  <c r="N79" i="58"/>
  <c r="L79" i="58"/>
  <c r="I79" i="58"/>
  <c r="G79" i="58"/>
  <c r="F79" i="58"/>
  <c r="E79" i="58"/>
  <c r="D79" i="58"/>
  <c r="C79" i="58"/>
  <c r="B79" i="58"/>
  <c r="AJ78" i="58"/>
  <c r="AI78" i="58"/>
  <c r="AF78" i="58"/>
  <c r="AE78" i="58"/>
  <c r="AD78" i="58"/>
  <c r="AC78" i="58"/>
  <c r="AB78" i="58"/>
  <c r="Y78" i="58"/>
  <c r="X78" i="58"/>
  <c r="W78" i="58"/>
  <c r="V78" i="58"/>
  <c r="U78" i="58"/>
  <c r="T78" i="58"/>
  <c r="S78" i="58"/>
  <c r="R78" i="58"/>
  <c r="N78" i="58"/>
  <c r="L78" i="58"/>
  <c r="K78" i="58"/>
  <c r="J78" i="58"/>
  <c r="H78" i="58"/>
  <c r="G78" i="58"/>
  <c r="F78" i="58"/>
  <c r="E78" i="58"/>
  <c r="D78" i="58"/>
  <c r="C78" i="58"/>
  <c r="Q78" i="58" s="1"/>
  <c r="B78" i="58"/>
  <c r="M78" i="58" s="1"/>
  <c r="AJ77" i="58"/>
  <c r="AI77" i="58"/>
  <c r="AD77" i="58"/>
  <c r="AC77" i="58"/>
  <c r="AB77" i="58"/>
  <c r="Y77" i="58"/>
  <c r="X77" i="58"/>
  <c r="W77" i="58"/>
  <c r="V77" i="58"/>
  <c r="U77" i="58"/>
  <c r="T77" i="58"/>
  <c r="S77" i="58"/>
  <c r="R77" i="58"/>
  <c r="P77" i="58"/>
  <c r="N77" i="58"/>
  <c r="L77" i="58"/>
  <c r="I77" i="58"/>
  <c r="G77" i="58"/>
  <c r="F77" i="58"/>
  <c r="E77" i="58"/>
  <c r="D77" i="58"/>
  <c r="C77" i="58"/>
  <c r="Q77" i="58" s="1"/>
  <c r="B77" i="58"/>
  <c r="Z77" i="58" s="1"/>
  <c r="AJ76" i="58"/>
  <c r="AI76" i="58"/>
  <c r="AD76" i="58"/>
  <c r="AC76" i="58"/>
  <c r="AB76" i="58"/>
  <c r="Y76" i="58"/>
  <c r="X76" i="58"/>
  <c r="W76" i="58"/>
  <c r="V76" i="58"/>
  <c r="U76" i="58"/>
  <c r="T76" i="58"/>
  <c r="S76" i="58"/>
  <c r="R76" i="58"/>
  <c r="N76" i="58"/>
  <c r="L76" i="58"/>
  <c r="G76" i="58"/>
  <c r="F76" i="58"/>
  <c r="E76" i="58"/>
  <c r="D76" i="58"/>
  <c r="C76" i="58"/>
  <c r="B76" i="58"/>
  <c r="P76" i="58" s="1"/>
  <c r="AJ75" i="58"/>
  <c r="AI75" i="58"/>
  <c r="AD75" i="58"/>
  <c r="AC75" i="58"/>
  <c r="AB75" i="58"/>
  <c r="Y75" i="58"/>
  <c r="X75" i="58"/>
  <c r="W75" i="58"/>
  <c r="V75" i="58"/>
  <c r="U75" i="58"/>
  <c r="T75" i="58"/>
  <c r="S75" i="58"/>
  <c r="R75" i="58"/>
  <c r="N75" i="58"/>
  <c r="L75" i="58"/>
  <c r="G75" i="58"/>
  <c r="F75" i="58"/>
  <c r="E75" i="58"/>
  <c r="D75" i="58"/>
  <c r="C75" i="58"/>
  <c r="B75" i="58"/>
  <c r="AA75" i="58" s="1"/>
  <c r="AJ74" i="58"/>
  <c r="AI74" i="58"/>
  <c r="AD74" i="58"/>
  <c r="AC74" i="58"/>
  <c r="AB74" i="58"/>
  <c r="Y74" i="58"/>
  <c r="X74" i="58"/>
  <c r="W74" i="58"/>
  <c r="V74" i="58"/>
  <c r="U74" i="58"/>
  <c r="T74" i="58"/>
  <c r="S74" i="58"/>
  <c r="R74" i="58"/>
  <c r="N74" i="58"/>
  <c r="L74" i="58"/>
  <c r="G74" i="58"/>
  <c r="F74" i="58"/>
  <c r="E74" i="58"/>
  <c r="D74" i="58"/>
  <c r="C74" i="58"/>
  <c r="P74" i="58" s="1"/>
  <c r="B74" i="58"/>
  <c r="Z74" i="58" s="1"/>
  <c r="AJ73" i="58"/>
  <c r="AI73" i="58"/>
  <c r="AD73" i="58"/>
  <c r="AC73" i="58"/>
  <c r="AB73" i="58"/>
  <c r="Y73" i="58"/>
  <c r="X73" i="58"/>
  <c r="W73" i="58"/>
  <c r="V73" i="58"/>
  <c r="U73" i="58"/>
  <c r="T73" i="58"/>
  <c r="S73" i="58"/>
  <c r="R73" i="58"/>
  <c r="N73" i="58"/>
  <c r="L73" i="58"/>
  <c r="G73" i="58"/>
  <c r="F73" i="58"/>
  <c r="E73" i="58"/>
  <c r="D73" i="58"/>
  <c r="C73" i="58"/>
  <c r="B73" i="58"/>
  <c r="Z73" i="58" s="1"/>
  <c r="AJ72" i="58"/>
  <c r="AI72" i="58"/>
  <c r="AD72" i="58"/>
  <c r="AC72" i="58"/>
  <c r="AB72" i="58"/>
  <c r="Y72" i="58"/>
  <c r="X72" i="58"/>
  <c r="W72" i="58"/>
  <c r="V72" i="58"/>
  <c r="U72" i="58"/>
  <c r="T72" i="58"/>
  <c r="S72" i="58"/>
  <c r="R72" i="58"/>
  <c r="N72" i="58"/>
  <c r="M72" i="58"/>
  <c r="L72" i="58"/>
  <c r="G72" i="58"/>
  <c r="F72" i="58"/>
  <c r="E72" i="58"/>
  <c r="D72" i="58"/>
  <c r="C72" i="58"/>
  <c r="B72" i="58"/>
  <c r="J72" i="58" s="1"/>
  <c r="AJ71" i="58"/>
  <c r="AI71" i="58"/>
  <c r="AD71" i="58"/>
  <c r="AC71" i="58"/>
  <c r="AB71" i="58"/>
  <c r="Y71" i="58"/>
  <c r="X71" i="58"/>
  <c r="W71" i="58"/>
  <c r="V71" i="58"/>
  <c r="U71" i="58"/>
  <c r="T71" i="58"/>
  <c r="S71" i="58"/>
  <c r="R71" i="58"/>
  <c r="N71" i="58"/>
  <c r="M71" i="58"/>
  <c r="L71" i="58"/>
  <c r="H71" i="58"/>
  <c r="G71" i="58"/>
  <c r="F71" i="58"/>
  <c r="E71" i="58"/>
  <c r="D71" i="58"/>
  <c r="C71" i="58"/>
  <c r="Q71" i="58" s="1"/>
  <c r="B71" i="58"/>
  <c r="AF71" i="58" s="1"/>
  <c r="AJ70" i="58"/>
  <c r="AI70" i="58"/>
  <c r="AG70" i="58"/>
  <c r="AF70" i="58"/>
  <c r="AD70" i="58"/>
  <c r="AC70" i="58"/>
  <c r="AB70" i="58"/>
  <c r="Y70" i="58"/>
  <c r="X70" i="58"/>
  <c r="W70" i="58"/>
  <c r="V70" i="58"/>
  <c r="U70" i="58"/>
  <c r="T70" i="58"/>
  <c r="S70" i="58"/>
  <c r="R70" i="58"/>
  <c r="N70" i="58"/>
  <c r="L70" i="58"/>
  <c r="K70" i="58"/>
  <c r="I70" i="58"/>
  <c r="H70" i="58"/>
  <c r="G70" i="58"/>
  <c r="F70" i="58"/>
  <c r="E70" i="58"/>
  <c r="D70" i="58"/>
  <c r="C70" i="58"/>
  <c r="B70" i="58"/>
  <c r="J70" i="58" s="1"/>
  <c r="AJ69" i="58"/>
  <c r="AI69" i="58"/>
  <c r="AF69" i="58"/>
  <c r="AD69" i="58"/>
  <c r="AC69" i="58"/>
  <c r="AB69" i="58"/>
  <c r="Y69" i="58"/>
  <c r="X69" i="58"/>
  <c r="W69" i="58"/>
  <c r="V69" i="58"/>
  <c r="U69" i="58"/>
  <c r="T69" i="58"/>
  <c r="S69" i="58"/>
  <c r="R69" i="58"/>
  <c r="N69" i="58"/>
  <c r="L69" i="58"/>
  <c r="K69" i="58"/>
  <c r="J69" i="58"/>
  <c r="I69" i="58"/>
  <c r="G69" i="58"/>
  <c r="F69" i="58"/>
  <c r="E69" i="58"/>
  <c r="D69" i="58"/>
  <c r="C69" i="58"/>
  <c r="B69" i="58"/>
  <c r="AG69" i="58" s="1"/>
  <c r="AJ68" i="58"/>
  <c r="AI68" i="58"/>
  <c r="AG68" i="58"/>
  <c r="AF68" i="58"/>
  <c r="AD68" i="58"/>
  <c r="AC68" i="58"/>
  <c r="AB68" i="58"/>
  <c r="Y68" i="58"/>
  <c r="X68" i="58"/>
  <c r="W68" i="58"/>
  <c r="V68" i="58"/>
  <c r="U68" i="58"/>
  <c r="T68" i="58"/>
  <c r="S68" i="58"/>
  <c r="R68" i="58"/>
  <c r="N68" i="58"/>
  <c r="L68" i="58"/>
  <c r="K68" i="58"/>
  <c r="J68" i="58"/>
  <c r="I68" i="58"/>
  <c r="H68" i="58"/>
  <c r="G68" i="58"/>
  <c r="F68" i="58"/>
  <c r="E68" i="58"/>
  <c r="D68" i="58"/>
  <c r="C68" i="58"/>
  <c r="Q68" i="58" s="1"/>
  <c r="B68" i="58"/>
  <c r="AJ67" i="58"/>
  <c r="AI67" i="58"/>
  <c r="AG67" i="58"/>
  <c r="AD67" i="58"/>
  <c r="AC67" i="58"/>
  <c r="AB67" i="58"/>
  <c r="Y67" i="58"/>
  <c r="X67" i="58"/>
  <c r="W67" i="58"/>
  <c r="V67" i="58"/>
  <c r="U67" i="58"/>
  <c r="T67" i="58"/>
  <c r="S67" i="58"/>
  <c r="R67" i="58"/>
  <c r="N67" i="58"/>
  <c r="L67" i="58"/>
  <c r="K67" i="58"/>
  <c r="H67" i="58"/>
  <c r="G67" i="58"/>
  <c r="F67" i="58"/>
  <c r="E67" i="58"/>
  <c r="D67" i="58"/>
  <c r="C67" i="58"/>
  <c r="B67" i="58"/>
  <c r="AE67" i="58" s="1"/>
  <c r="AJ66" i="58"/>
  <c r="AI66" i="58"/>
  <c r="AG66" i="58"/>
  <c r="AF66" i="58"/>
  <c r="AE66" i="58"/>
  <c r="AD66" i="58"/>
  <c r="AC66" i="58"/>
  <c r="AB66" i="58"/>
  <c r="Y66" i="58"/>
  <c r="X66" i="58"/>
  <c r="W66" i="58"/>
  <c r="V66" i="58"/>
  <c r="U66" i="58"/>
  <c r="T66" i="58"/>
  <c r="S66" i="58"/>
  <c r="R66" i="58"/>
  <c r="Q66" i="58"/>
  <c r="N66" i="58"/>
  <c r="M66" i="58"/>
  <c r="L66" i="58"/>
  <c r="K66" i="58"/>
  <c r="J66" i="58"/>
  <c r="I66" i="58"/>
  <c r="H66" i="58"/>
  <c r="G66" i="58"/>
  <c r="F66" i="58"/>
  <c r="E66" i="58"/>
  <c r="D66" i="58"/>
  <c r="C66" i="58"/>
  <c r="AA66" i="58" s="1"/>
  <c r="B66" i="58"/>
  <c r="Z66" i="58" s="1"/>
  <c r="AJ65" i="58"/>
  <c r="AI65" i="58"/>
  <c r="AD65" i="58"/>
  <c r="AC65" i="58"/>
  <c r="AB65" i="58"/>
  <c r="Y65" i="58"/>
  <c r="X65" i="58"/>
  <c r="W65" i="58"/>
  <c r="V65" i="58"/>
  <c r="U65" i="58"/>
  <c r="T65" i="58"/>
  <c r="S65" i="58"/>
  <c r="R65" i="58"/>
  <c r="N65" i="58"/>
  <c r="L65" i="58"/>
  <c r="G65" i="58"/>
  <c r="F65" i="58"/>
  <c r="E65" i="58"/>
  <c r="D65" i="58"/>
  <c r="C65" i="58"/>
  <c r="B65" i="58"/>
  <c r="Z65" i="58" s="1"/>
  <c r="AJ64" i="58"/>
  <c r="AI64" i="58"/>
  <c r="AD64" i="58"/>
  <c r="AC64" i="58"/>
  <c r="AB64" i="58"/>
  <c r="Y64" i="58"/>
  <c r="X64" i="58"/>
  <c r="W64" i="58"/>
  <c r="V64" i="58"/>
  <c r="U64" i="58"/>
  <c r="T64" i="58"/>
  <c r="S64" i="58"/>
  <c r="R64" i="58"/>
  <c r="N64" i="58"/>
  <c r="L64" i="58"/>
  <c r="G64" i="58"/>
  <c r="F64" i="58"/>
  <c r="E64" i="58"/>
  <c r="D64" i="58"/>
  <c r="C64" i="58"/>
  <c r="B64" i="58"/>
  <c r="P64" i="58" s="1"/>
  <c r="AJ63" i="58"/>
  <c r="AI63" i="58"/>
  <c r="AD63" i="58"/>
  <c r="AC63" i="58"/>
  <c r="AB63" i="58"/>
  <c r="Y63" i="58"/>
  <c r="X63" i="58"/>
  <c r="W63" i="58"/>
  <c r="V63" i="58"/>
  <c r="U63" i="58"/>
  <c r="T63" i="58"/>
  <c r="S63" i="58"/>
  <c r="R63" i="58"/>
  <c r="N63" i="58"/>
  <c r="L63" i="58"/>
  <c r="G63" i="58"/>
  <c r="F63" i="58"/>
  <c r="E63" i="58"/>
  <c r="D63" i="58"/>
  <c r="C63" i="58"/>
  <c r="B63" i="58"/>
  <c r="AA63" i="58" s="1"/>
  <c r="AJ62" i="58"/>
  <c r="AI62" i="58"/>
  <c r="AD62" i="58"/>
  <c r="AC62" i="58"/>
  <c r="AB62" i="58"/>
  <c r="Y62" i="58"/>
  <c r="X62" i="58"/>
  <c r="W62" i="58"/>
  <c r="V62" i="58"/>
  <c r="U62" i="58"/>
  <c r="T62" i="58"/>
  <c r="S62" i="58"/>
  <c r="R62" i="58"/>
  <c r="N62" i="58"/>
  <c r="M62" i="58"/>
  <c r="L62" i="58"/>
  <c r="G62" i="58"/>
  <c r="F62" i="58"/>
  <c r="E62" i="58"/>
  <c r="D62" i="58"/>
  <c r="C62" i="58"/>
  <c r="P62" i="58" s="1"/>
  <c r="B62" i="58"/>
  <c r="Z62" i="58" s="1"/>
  <c r="AJ61" i="58"/>
  <c r="AI61" i="58"/>
  <c r="AD61" i="58"/>
  <c r="AC61" i="58"/>
  <c r="AB61" i="58"/>
  <c r="Y61" i="58"/>
  <c r="X61" i="58"/>
  <c r="W61" i="58"/>
  <c r="V61" i="58"/>
  <c r="U61" i="58"/>
  <c r="T61" i="58"/>
  <c r="S61" i="58"/>
  <c r="R61" i="58"/>
  <c r="N61" i="58"/>
  <c r="L61" i="58"/>
  <c r="G61" i="58"/>
  <c r="F61" i="58"/>
  <c r="E61" i="58"/>
  <c r="D61" i="58"/>
  <c r="C61" i="58"/>
  <c r="B61" i="58"/>
  <c r="AJ60" i="58"/>
  <c r="AI60" i="58"/>
  <c r="AD60" i="58"/>
  <c r="AC60" i="58"/>
  <c r="AB60" i="58"/>
  <c r="Y60" i="58"/>
  <c r="X60" i="58"/>
  <c r="W60" i="58"/>
  <c r="V60" i="58"/>
  <c r="U60" i="58"/>
  <c r="T60" i="58"/>
  <c r="S60" i="58"/>
  <c r="R60" i="58"/>
  <c r="N60" i="58"/>
  <c r="L60" i="58"/>
  <c r="G60" i="58"/>
  <c r="F60" i="58"/>
  <c r="E60" i="58"/>
  <c r="D60" i="58"/>
  <c r="C60" i="58"/>
  <c r="B60" i="58"/>
  <c r="J60" i="58" s="1"/>
  <c r="AJ59" i="58"/>
  <c r="AI59" i="58"/>
  <c r="AG59" i="58"/>
  <c r="AD59" i="58"/>
  <c r="AC59" i="58"/>
  <c r="AB59" i="58"/>
  <c r="Y59" i="58"/>
  <c r="X59" i="58"/>
  <c r="W59" i="58"/>
  <c r="V59" i="58"/>
  <c r="U59" i="58"/>
  <c r="T59" i="58"/>
  <c r="S59" i="58"/>
  <c r="R59" i="58"/>
  <c r="N59" i="58"/>
  <c r="M59" i="58"/>
  <c r="L59" i="58"/>
  <c r="G59" i="58"/>
  <c r="F59" i="58"/>
  <c r="E59" i="58"/>
  <c r="D59" i="58"/>
  <c r="C59" i="58"/>
  <c r="B59" i="58"/>
  <c r="AF59" i="58" s="1"/>
  <c r="AJ58" i="58"/>
  <c r="AI58" i="58"/>
  <c r="AD58" i="58"/>
  <c r="AC58" i="58"/>
  <c r="AB58" i="58"/>
  <c r="Y58" i="58"/>
  <c r="X58" i="58"/>
  <c r="W58" i="58"/>
  <c r="V58" i="58"/>
  <c r="U58" i="58"/>
  <c r="T58" i="58"/>
  <c r="S58" i="58"/>
  <c r="R58" i="58"/>
  <c r="N58" i="58"/>
  <c r="L58" i="58"/>
  <c r="H58" i="58"/>
  <c r="G58" i="58"/>
  <c r="F58" i="58"/>
  <c r="E58" i="58"/>
  <c r="D58" i="58"/>
  <c r="C58" i="58"/>
  <c r="B58" i="58"/>
  <c r="J58" i="58" s="1"/>
  <c r="AJ57" i="58"/>
  <c r="AI57" i="58"/>
  <c r="AD57" i="58"/>
  <c r="AC57" i="58"/>
  <c r="AB57" i="58"/>
  <c r="Y57" i="58"/>
  <c r="X57" i="58"/>
  <c r="W57" i="58"/>
  <c r="V57" i="58"/>
  <c r="U57" i="58"/>
  <c r="T57" i="58"/>
  <c r="S57" i="58"/>
  <c r="R57" i="58"/>
  <c r="N57" i="58"/>
  <c r="M57" i="58"/>
  <c r="L57" i="58"/>
  <c r="H57" i="58"/>
  <c r="G57" i="58"/>
  <c r="F57" i="58"/>
  <c r="E57" i="58"/>
  <c r="D57" i="58"/>
  <c r="C57" i="58"/>
  <c r="B57" i="58"/>
  <c r="AG57" i="58" s="1"/>
  <c r="AJ56" i="58"/>
  <c r="AI56" i="58"/>
  <c r="AD56" i="58"/>
  <c r="AC56" i="58"/>
  <c r="AB56" i="58"/>
  <c r="Y56" i="58"/>
  <c r="X56" i="58"/>
  <c r="W56" i="58"/>
  <c r="V56" i="58"/>
  <c r="U56" i="58"/>
  <c r="T56" i="58"/>
  <c r="S56" i="58"/>
  <c r="R56" i="58"/>
  <c r="N56" i="58"/>
  <c r="M56" i="58"/>
  <c r="L56" i="58"/>
  <c r="G56" i="58"/>
  <c r="F56" i="58"/>
  <c r="E56" i="58"/>
  <c r="D56" i="58"/>
  <c r="C56" i="58"/>
  <c r="B56" i="58"/>
  <c r="Z56" i="58" s="1"/>
  <c r="AJ55" i="58"/>
  <c r="AI55" i="58"/>
  <c r="AF55" i="58"/>
  <c r="AD55" i="58"/>
  <c r="AC55" i="58"/>
  <c r="AB55" i="58"/>
  <c r="Y55" i="58"/>
  <c r="X55" i="58"/>
  <c r="W55" i="58"/>
  <c r="V55" i="58"/>
  <c r="U55" i="58"/>
  <c r="T55" i="58"/>
  <c r="S55" i="58"/>
  <c r="R55" i="58"/>
  <c r="Q55" i="58"/>
  <c r="N55" i="58"/>
  <c r="L55" i="58"/>
  <c r="K55" i="58"/>
  <c r="I55" i="58"/>
  <c r="H55" i="58"/>
  <c r="G55" i="58"/>
  <c r="F55" i="58"/>
  <c r="E55" i="58"/>
  <c r="D55" i="58"/>
  <c r="C55" i="58"/>
  <c r="B55" i="58"/>
  <c r="AE55" i="58" s="1"/>
  <c r="AJ54" i="58"/>
  <c r="AI54" i="58"/>
  <c r="AD54" i="58"/>
  <c r="AC54" i="58"/>
  <c r="AB54" i="58"/>
  <c r="Y54" i="58"/>
  <c r="X54" i="58"/>
  <c r="W54" i="58"/>
  <c r="V54" i="58"/>
  <c r="U54" i="58"/>
  <c r="T54" i="58"/>
  <c r="S54" i="58"/>
  <c r="R54" i="58"/>
  <c r="N54" i="58"/>
  <c r="M54" i="58"/>
  <c r="L54" i="58"/>
  <c r="G54" i="58"/>
  <c r="F54" i="58"/>
  <c r="E54" i="58"/>
  <c r="D54" i="58"/>
  <c r="C54" i="58"/>
  <c r="B54" i="58"/>
  <c r="Z54" i="58" s="1"/>
  <c r="AJ53" i="58"/>
  <c r="AI53" i="58"/>
  <c r="AE53" i="58"/>
  <c r="AD53" i="58"/>
  <c r="AC53" i="58"/>
  <c r="AB53" i="58"/>
  <c r="Y53" i="58"/>
  <c r="X53" i="58"/>
  <c r="W53" i="58"/>
  <c r="V53" i="58"/>
  <c r="U53" i="58"/>
  <c r="T53" i="58"/>
  <c r="S53" i="58"/>
  <c r="R53" i="58"/>
  <c r="P53" i="58"/>
  <c r="N53" i="58"/>
  <c r="L53" i="58"/>
  <c r="I53" i="58"/>
  <c r="H53" i="58"/>
  <c r="G53" i="58"/>
  <c r="F53" i="58"/>
  <c r="E53" i="58"/>
  <c r="D53" i="58"/>
  <c r="C53" i="58"/>
  <c r="B53" i="58"/>
  <c r="Z53" i="58" s="1"/>
  <c r="AJ52" i="58"/>
  <c r="AI52" i="58"/>
  <c r="AD52" i="58"/>
  <c r="AC52" i="58"/>
  <c r="AB52" i="58"/>
  <c r="Y52" i="58"/>
  <c r="X52" i="58"/>
  <c r="W52" i="58"/>
  <c r="V52" i="58"/>
  <c r="U52" i="58"/>
  <c r="T52" i="58"/>
  <c r="S52" i="58"/>
  <c r="R52" i="58"/>
  <c r="Q52" i="58"/>
  <c r="N52" i="58"/>
  <c r="L52" i="58"/>
  <c r="G52" i="58"/>
  <c r="F52" i="58"/>
  <c r="E52" i="58"/>
  <c r="D52" i="58"/>
  <c r="C52" i="58"/>
  <c r="AA52" i="58" s="1"/>
  <c r="B52" i="58"/>
  <c r="P52" i="58" s="1"/>
  <c r="AJ51" i="58"/>
  <c r="AI51" i="58"/>
  <c r="AD51" i="58"/>
  <c r="AC51" i="58"/>
  <c r="AB51" i="58"/>
  <c r="Y51" i="58"/>
  <c r="X51" i="58"/>
  <c r="W51" i="58"/>
  <c r="V51" i="58"/>
  <c r="U51" i="58"/>
  <c r="T51" i="58"/>
  <c r="S51" i="58"/>
  <c r="R51" i="58"/>
  <c r="N51" i="58"/>
  <c r="L51" i="58"/>
  <c r="G51" i="58"/>
  <c r="F51" i="58"/>
  <c r="E51" i="58"/>
  <c r="D51" i="58"/>
  <c r="C51" i="58"/>
  <c r="P51" i="58" s="1"/>
  <c r="B51" i="58"/>
  <c r="AJ50" i="58"/>
  <c r="AI50" i="58"/>
  <c r="AD50" i="58"/>
  <c r="AC50" i="58"/>
  <c r="AB50" i="58"/>
  <c r="Y50" i="58"/>
  <c r="X50" i="58"/>
  <c r="W50" i="58"/>
  <c r="V50" i="58"/>
  <c r="U50" i="58"/>
  <c r="T50" i="58"/>
  <c r="S50" i="58"/>
  <c r="R50" i="58"/>
  <c r="O50" i="58"/>
  <c r="N50" i="58"/>
  <c r="L50" i="58"/>
  <c r="G50" i="58"/>
  <c r="F50" i="58"/>
  <c r="E50" i="58"/>
  <c r="D50" i="58"/>
  <c r="C50" i="58"/>
  <c r="P50" i="58" s="1"/>
  <c r="B50" i="58"/>
  <c r="Z50" i="58" s="1"/>
  <c r="AJ49" i="58"/>
  <c r="AI49" i="58"/>
  <c r="AD49" i="58"/>
  <c r="AC49" i="58"/>
  <c r="AB49" i="58"/>
  <c r="Y49" i="58"/>
  <c r="X49" i="58"/>
  <c r="W49" i="58"/>
  <c r="V49" i="58"/>
  <c r="U49" i="58"/>
  <c r="T49" i="58"/>
  <c r="S49" i="58"/>
  <c r="R49" i="58"/>
  <c r="N49" i="58"/>
  <c r="L49" i="58"/>
  <c r="G49" i="58"/>
  <c r="F49" i="58"/>
  <c r="E49" i="58"/>
  <c r="D49" i="58"/>
  <c r="C49" i="58"/>
  <c r="B49" i="58"/>
  <c r="AJ48" i="58"/>
  <c r="AI48" i="58"/>
  <c r="AD48" i="58"/>
  <c r="AC48" i="58"/>
  <c r="AB48" i="58"/>
  <c r="Y48" i="58"/>
  <c r="X48" i="58"/>
  <c r="W48" i="58"/>
  <c r="V48" i="58"/>
  <c r="U48" i="58"/>
  <c r="T48" i="58"/>
  <c r="S48" i="58"/>
  <c r="R48" i="58"/>
  <c r="N48" i="58"/>
  <c r="M48" i="58"/>
  <c r="L48" i="58"/>
  <c r="K48" i="58"/>
  <c r="G48" i="58"/>
  <c r="F48" i="58"/>
  <c r="E48" i="58"/>
  <c r="D48" i="58"/>
  <c r="C48" i="58"/>
  <c r="B48" i="58"/>
  <c r="J48" i="58" s="1"/>
  <c r="AJ47" i="58"/>
  <c r="AI47" i="58"/>
  <c r="AG47" i="58"/>
  <c r="AD47" i="58"/>
  <c r="AC47" i="58"/>
  <c r="AB47" i="58"/>
  <c r="Y47" i="58"/>
  <c r="X47" i="58"/>
  <c r="W47" i="58"/>
  <c r="V47" i="58"/>
  <c r="U47" i="58"/>
  <c r="T47" i="58"/>
  <c r="S47" i="58"/>
  <c r="R47" i="58"/>
  <c r="N47" i="58"/>
  <c r="M47" i="58"/>
  <c r="L47" i="58"/>
  <c r="G47" i="58"/>
  <c r="F47" i="58"/>
  <c r="E47" i="58"/>
  <c r="D47" i="58"/>
  <c r="C47" i="58"/>
  <c r="P47" i="58" s="1"/>
  <c r="B47" i="58"/>
  <c r="K47" i="58" s="1"/>
  <c r="AJ46" i="58"/>
  <c r="AI46" i="58"/>
  <c r="AG46" i="58"/>
  <c r="AD46" i="58"/>
  <c r="AC46" i="58"/>
  <c r="AB46" i="58"/>
  <c r="Y46" i="58"/>
  <c r="X46" i="58"/>
  <c r="W46" i="58"/>
  <c r="V46" i="58"/>
  <c r="U46" i="58"/>
  <c r="T46" i="58"/>
  <c r="S46" i="58"/>
  <c r="R46" i="58"/>
  <c r="N46" i="58"/>
  <c r="L46" i="58"/>
  <c r="I46" i="58"/>
  <c r="H46" i="58"/>
  <c r="G46" i="58"/>
  <c r="F46" i="58"/>
  <c r="E46" i="58"/>
  <c r="D46" i="58"/>
  <c r="C46" i="58"/>
  <c r="B46" i="58"/>
  <c r="J46" i="58" s="1"/>
  <c r="AJ45" i="58"/>
  <c r="AI45" i="58"/>
  <c r="AE45" i="58"/>
  <c r="AD45" i="58"/>
  <c r="AC45" i="58"/>
  <c r="AB45" i="58"/>
  <c r="Y45" i="58"/>
  <c r="X45" i="58"/>
  <c r="W45" i="58"/>
  <c r="V45" i="58"/>
  <c r="U45" i="58"/>
  <c r="T45" i="58"/>
  <c r="S45" i="58"/>
  <c r="R45" i="58"/>
  <c r="N45" i="58"/>
  <c r="M45" i="58"/>
  <c r="L45" i="58"/>
  <c r="G45" i="58"/>
  <c r="F45" i="58"/>
  <c r="E45" i="58"/>
  <c r="D45" i="58"/>
  <c r="C45" i="58"/>
  <c r="B45" i="58"/>
  <c r="AG45" i="58" s="1"/>
  <c r="AJ44" i="58"/>
  <c r="AI44" i="58"/>
  <c r="AD44" i="58"/>
  <c r="AC44" i="58"/>
  <c r="AB44" i="58"/>
  <c r="Y44" i="58"/>
  <c r="X44" i="58"/>
  <c r="W44" i="58"/>
  <c r="V44" i="58"/>
  <c r="U44" i="58"/>
  <c r="T44" i="58"/>
  <c r="S44" i="58"/>
  <c r="R44" i="58"/>
  <c r="N44" i="58"/>
  <c r="M44" i="58"/>
  <c r="L44" i="58"/>
  <c r="K44" i="58"/>
  <c r="H44" i="58"/>
  <c r="G44" i="58"/>
  <c r="F44" i="58"/>
  <c r="E44" i="58"/>
  <c r="D44" i="58"/>
  <c r="C44" i="58"/>
  <c r="Q44" i="58" s="1"/>
  <c r="B44" i="58"/>
  <c r="Z44" i="58" s="1"/>
  <c r="AJ43" i="58"/>
  <c r="AI43" i="58"/>
  <c r="AD43" i="58"/>
  <c r="AC43" i="58"/>
  <c r="AB43" i="58"/>
  <c r="Y43" i="58"/>
  <c r="X43" i="58"/>
  <c r="W43" i="58"/>
  <c r="V43" i="58"/>
  <c r="U43" i="58"/>
  <c r="T43" i="58"/>
  <c r="S43" i="58"/>
  <c r="R43" i="58"/>
  <c r="N43" i="58"/>
  <c r="L43" i="58"/>
  <c r="K43" i="58"/>
  <c r="J43" i="58"/>
  <c r="I43" i="58"/>
  <c r="H43" i="58"/>
  <c r="G43" i="58"/>
  <c r="F43" i="58"/>
  <c r="E43" i="58"/>
  <c r="D43" i="58"/>
  <c r="C43" i="58"/>
  <c r="B43" i="58"/>
  <c r="AE43" i="58" s="1"/>
  <c r="AJ42" i="58"/>
  <c r="AI42" i="58"/>
  <c r="AD42" i="58"/>
  <c r="AC42" i="58"/>
  <c r="AB42" i="58"/>
  <c r="Y42" i="58"/>
  <c r="X42" i="58"/>
  <c r="W42" i="58"/>
  <c r="V42" i="58"/>
  <c r="U42" i="58"/>
  <c r="T42" i="58"/>
  <c r="S42" i="58"/>
  <c r="R42" i="58"/>
  <c r="N42" i="58"/>
  <c r="L42" i="58"/>
  <c r="G42" i="58"/>
  <c r="F42" i="58"/>
  <c r="E42" i="58"/>
  <c r="D42" i="58"/>
  <c r="C42" i="58"/>
  <c r="B42" i="58"/>
  <c r="Z42" i="58" s="1"/>
  <c r="AJ41" i="58"/>
  <c r="AI41" i="58"/>
  <c r="AE41" i="58"/>
  <c r="AD41" i="58"/>
  <c r="AC41" i="58"/>
  <c r="AB41" i="58"/>
  <c r="Y41" i="58"/>
  <c r="X41" i="58"/>
  <c r="W41" i="58"/>
  <c r="V41" i="58"/>
  <c r="U41" i="58"/>
  <c r="T41" i="58"/>
  <c r="S41" i="58"/>
  <c r="R41" i="58"/>
  <c r="P41" i="58"/>
  <c r="N41" i="58"/>
  <c r="L41" i="58"/>
  <c r="G41" i="58"/>
  <c r="F41" i="58"/>
  <c r="E41" i="58"/>
  <c r="D41" i="58"/>
  <c r="C41" i="58"/>
  <c r="B41" i="58"/>
  <c r="Z41" i="58" s="1"/>
  <c r="AJ40" i="58"/>
  <c r="AI40" i="58"/>
  <c r="AD40" i="58"/>
  <c r="AC40" i="58"/>
  <c r="AB40" i="58"/>
  <c r="Y40" i="58"/>
  <c r="X40" i="58"/>
  <c r="W40" i="58"/>
  <c r="V40" i="58"/>
  <c r="U40" i="58"/>
  <c r="T40" i="58"/>
  <c r="S40" i="58"/>
  <c r="R40" i="58"/>
  <c r="Q40" i="58"/>
  <c r="N40" i="58"/>
  <c r="L40" i="58"/>
  <c r="G40" i="58"/>
  <c r="F40" i="58"/>
  <c r="E40" i="58"/>
  <c r="D40" i="58"/>
  <c r="C40" i="58"/>
  <c r="B40" i="58"/>
  <c r="P40" i="58" s="1"/>
  <c r="AJ39" i="58"/>
  <c r="AI39" i="58"/>
  <c r="AD39" i="58"/>
  <c r="AC39" i="58"/>
  <c r="AB39" i="58"/>
  <c r="Y39" i="58"/>
  <c r="X39" i="58"/>
  <c r="W39" i="58"/>
  <c r="V39" i="58"/>
  <c r="U39" i="58"/>
  <c r="T39" i="58"/>
  <c r="S39" i="58"/>
  <c r="R39" i="58"/>
  <c r="N39" i="58"/>
  <c r="L39" i="58"/>
  <c r="G39" i="58"/>
  <c r="F39" i="58"/>
  <c r="E39" i="58"/>
  <c r="D39" i="58"/>
  <c r="C39" i="58"/>
  <c r="P39" i="58" s="1"/>
  <c r="B39" i="58"/>
  <c r="AJ38" i="58"/>
  <c r="AI38" i="58"/>
  <c r="AD38" i="58"/>
  <c r="AC38" i="58"/>
  <c r="AB38" i="58"/>
  <c r="Y38" i="58"/>
  <c r="X38" i="58"/>
  <c r="W38" i="58"/>
  <c r="V38" i="58"/>
  <c r="U38" i="58"/>
  <c r="T38" i="58"/>
  <c r="S38" i="58"/>
  <c r="R38" i="58"/>
  <c r="N38" i="58"/>
  <c r="L38" i="58"/>
  <c r="G38" i="58"/>
  <c r="F38" i="58"/>
  <c r="E38" i="58"/>
  <c r="D38" i="58"/>
  <c r="C38" i="58"/>
  <c r="B38" i="58"/>
  <c r="Z38" i="58" s="1"/>
  <c r="AJ37" i="58"/>
  <c r="AI37" i="58"/>
  <c r="AD37" i="58"/>
  <c r="AC37" i="58"/>
  <c r="AB37" i="58"/>
  <c r="Y37" i="58"/>
  <c r="X37" i="58"/>
  <c r="W37" i="58"/>
  <c r="V37" i="58"/>
  <c r="U37" i="58"/>
  <c r="T37" i="58"/>
  <c r="S37" i="58"/>
  <c r="R37" i="58"/>
  <c r="N37" i="58"/>
  <c r="L37" i="58"/>
  <c r="G37" i="58"/>
  <c r="F37" i="58"/>
  <c r="E37" i="58"/>
  <c r="D37" i="58"/>
  <c r="C37" i="58"/>
  <c r="B37" i="58"/>
  <c r="AJ36" i="58"/>
  <c r="AI36" i="58"/>
  <c r="AD36" i="58"/>
  <c r="AC36" i="58"/>
  <c r="AB36" i="58"/>
  <c r="Y36" i="58"/>
  <c r="X36" i="58"/>
  <c r="W36" i="58"/>
  <c r="V36" i="58"/>
  <c r="U36" i="58"/>
  <c r="T36" i="58"/>
  <c r="S36" i="58"/>
  <c r="R36" i="58"/>
  <c r="N36" i="58"/>
  <c r="L36" i="58"/>
  <c r="G36" i="58"/>
  <c r="F36" i="58"/>
  <c r="E36" i="58"/>
  <c r="D36" i="58"/>
  <c r="C36" i="58"/>
  <c r="B36" i="58"/>
  <c r="J36" i="58" s="1"/>
  <c r="AJ35" i="58"/>
  <c r="AI35" i="58"/>
  <c r="AD35" i="58"/>
  <c r="AC35" i="58"/>
  <c r="AB35" i="58"/>
  <c r="Y35" i="58"/>
  <c r="X35" i="58"/>
  <c r="W35" i="58"/>
  <c r="V35" i="58"/>
  <c r="U35" i="58"/>
  <c r="T35" i="58"/>
  <c r="S35" i="58"/>
  <c r="R35" i="58"/>
  <c r="N35" i="58"/>
  <c r="L35" i="58"/>
  <c r="J35" i="58"/>
  <c r="G35" i="58"/>
  <c r="F35" i="58"/>
  <c r="E35" i="58"/>
  <c r="D35" i="58"/>
  <c r="C35" i="58"/>
  <c r="P35" i="58" s="1"/>
  <c r="B35" i="58"/>
  <c r="K35" i="58" s="1"/>
  <c r="AJ34" i="58"/>
  <c r="AI34" i="58"/>
  <c r="AG34" i="58"/>
  <c r="AF34" i="58"/>
  <c r="AD34" i="58"/>
  <c r="AC34" i="58"/>
  <c r="AB34" i="58"/>
  <c r="Y34" i="58"/>
  <c r="X34" i="58"/>
  <c r="W34" i="58"/>
  <c r="V34" i="58"/>
  <c r="U34" i="58"/>
  <c r="T34" i="58"/>
  <c r="S34" i="58"/>
  <c r="R34" i="58"/>
  <c r="N34" i="58"/>
  <c r="L34" i="58"/>
  <c r="K34" i="58"/>
  <c r="G34" i="58"/>
  <c r="F34" i="58"/>
  <c r="E34" i="58"/>
  <c r="D34" i="58"/>
  <c r="C34" i="58"/>
  <c r="B34" i="58"/>
  <c r="J34" i="58" s="1"/>
  <c r="AJ33" i="58"/>
  <c r="AI33" i="58"/>
  <c r="AD33" i="58"/>
  <c r="AC33" i="58"/>
  <c r="AB33" i="58"/>
  <c r="Y33" i="58"/>
  <c r="X33" i="58"/>
  <c r="W33" i="58"/>
  <c r="V33" i="58"/>
  <c r="U33" i="58"/>
  <c r="T33" i="58"/>
  <c r="S33" i="58"/>
  <c r="R33" i="58"/>
  <c r="N33" i="58"/>
  <c r="L33" i="58"/>
  <c r="G33" i="58"/>
  <c r="F33" i="58"/>
  <c r="E33" i="58"/>
  <c r="D33" i="58"/>
  <c r="C33" i="58"/>
  <c r="B33" i="58"/>
  <c r="AG33" i="58" s="1"/>
  <c r="AJ32" i="58"/>
  <c r="AI32" i="58"/>
  <c r="AG32" i="58"/>
  <c r="AD32" i="58"/>
  <c r="AC32" i="58"/>
  <c r="AB32" i="58"/>
  <c r="Y32" i="58"/>
  <c r="X32" i="58"/>
  <c r="W32" i="58"/>
  <c r="V32" i="58"/>
  <c r="U32" i="58"/>
  <c r="T32" i="58"/>
  <c r="S32" i="58"/>
  <c r="R32" i="58"/>
  <c r="N32" i="58"/>
  <c r="L32" i="58"/>
  <c r="J32" i="58"/>
  <c r="H32" i="58"/>
  <c r="G32" i="58"/>
  <c r="F32" i="58"/>
  <c r="E32" i="58"/>
  <c r="D32" i="58"/>
  <c r="C32" i="58"/>
  <c r="Q32" i="58" s="1"/>
  <c r="B32" i="58"/>
  <c r="Z32" i="58" s="1"/>
  <c r="AJ31" i="58"/>
  <c r="AI31" i="58"/>
  <c r="AG31" i="58"/>
  <c r="AD31" i="58"/>
  <c r="AC31" i="58"/>
  <c r="AB31" i="58"/>
  <c r="Y31" i="58"/>
  <c r="X31" i="58"/>
  <c r="W31" i="58"/>
  <c r="V31" i="58"/>
  <c r="U31" i="58"/>
  <c r="T31" i="58"/>
  <c r="S31" i="58"/>
  <c r="R31" i="58"/>
  <c r="N31" i="58"/>
  <c r="L31" i="58"/>
  <c r="J31" i="58"/>
  <c r="I31" i="58"/>
  <c r="H31" i="58"/>
  <c r="G31" i="58"/>
  <c r="F31" i="58"/>
  <c r="E31" i="58"/>
  <c r="D31" i="58"/>
  <c r="C31" i="58"/>
  <c r="B31" i="58"/>
  <c r="AE31" i="58" s="1"/>
  <c r="AJ30" i="58"/>
  <c r="AI30" i="58"/>
  <c r="AG30" i="58"/>
  <c r="AF30" i="58"/>
  <c r="AE30" i="58"/>
  <c r="AD30" i="58"/>
  <c r="AC30" i="58"/>
  <c r="AB30" i="58"/>
  <c r="Y30" i="58"/>
  <c r="X30" i="58"/>
  <c r="W30" i="58"/>
  <c r="V30" i="58"/>
  <c r="U30" i="58"/>
  <c r="T30" i="58"/>
  <c r="S30" i="58"/>
  <c r="R30" i="58"/>
  <c r="Q30" i="58"/>
  <c r="N30" i="58"/>
  <c r="M30" i="58"/>
  <c r="L30" i="58"/>
  <c r="K30" i="58"/>
  <c r="J30" i="58"/>
  <c r="I30" i="58"/>
  <c r="G30" i="58"/>
  <c r="F30" i="58"/>
  <c r="E30" i="58"/>
  <c r="D30" i="58"/>
  <c r="C30" i="58"/>
  <c r="AA30" i="58" s="1"/>
  <c r="B30" i="58"/>
  <c r="Z30" i="58" s="1"/>
  <c r="AJ29" i="58"/>
  <c r="AI29" i="58"/>
  <c r="AD29" i="58"/>
  <c r="AC29" i="58"/>
  <c r="AB29" i="58"/>
  <c r="Y29" i="58"/>
  <c r="X29" i="58"/>
  <c r="W29" i="58"/>
  <c r="V29" i="58"/>
  <c r="U29" i="58"/>
  <c r="T29" i="58"/>
  <c r="S29" i="58"/>
  <c r="R29" i="58"/>
  <c r="N29" i="58"/>
  <c r="L29" i="58"/>
  <c r="G29" i="58"/>
  <c r="F29" i="58"/>
  <c r="E29" i="58"/>
  <c r="D29" i="58"/>
  <c r="C29" i="58"/>
  <c r="B29" i="58"/>
  <c r="Z29" i="58" s="1"/>
  <c r="AJ28" i="58"/>
  <c r="AI28" i="58"/>
  <c r="AD28" i="58"/>
  <c r="AC28" i="58"/>
  <c r="AB28" i="58"/>
  <c r="Z28" i="58"/>
  <c r="Y28" i="58"/>
  <c r="X28" i="58"/>
  <c r="W28" i="58"/>
  <c r="V28" i="58"/>
  <c r="U28" i="58"/>
  <c r="T28" i="58"/>
  <c r="S28" i="58"/>
  <c r="R28" i="58"/>
  <c r="N28" i="58"/>
  <c r="L28" i="58"/>
  <c r="G28" i="58"/>
  <c r="F28" i="58"/>
  <c r="E28" i="58"/>
  <c r="D28" i="58"/>
  <c r="C28" i="58"/>
  <c r="Q28" i="58" s="1"/>
  <c r="B28" i="58"/>
  <c r="AJ27" i="58"/>
  <c r="AI27" i="58"/>
  <c r="AD27" i="58"/>
  <c r="AC27" i="58"/>
  <c r="AB27" i="58"/>
  <c r="Y27" i="58"/>
  <c r="X27" i="58"/>
  <c r="W27" i="58"/>
  <c r="V27" i="58"/>
  <c r="U27" i="58"/>
  <c r="T27" i="58"/>
  <c r="S27" i="58"/>
  <c r="R27" i="58"/>
  <c r="N27" i="58"/>
  <c r="L27" i="58"/>
  <c r="G27" i="58"/>
  <c r="F27" i="58"/>
  <c r="E27" i="58"/>
  <c r="D27" i="58"/>
  <c r="C27" i="58"/>
  <c r="B27" i="58"/>
  <c r="P27" i="58" s="1"/>
  <c r="AJ26" i="58"/>
  <c r="AI26" i="58"/>
  <c r="AD26" i="58"/>
  <c r="AC26" i="58"/>
  <c r="AB26" i="58"/>
  <c r="Y26" i="58"/>
  <c r="X26" i="58"/>
  <c r="W26" i="58"/>
  <c r="V26" i="58"/>
  <c r="U26" i="58"/>
  <c r="T26" i="58"/>
  <c r="S26" i="58"/>
  <c r="R26" i="58"/>
  <c r="N26" i="58"/>
  <c r="L26" i="58"/>
  <c r="I26" i="58"/>
  <c r="G26" i="58"/>
  <c r="F26" i="58"/>
  <c r="E26" i="58"/>
  <c r="D26" i="58"/>
  <c r="C26" i="58"/>
  <c r="Q26" i="58" s="1"/>
  <c r="B26" i="58"/>
  <c r="Z26" i="58" s="1"/>
  <c r="AJ25" i="58"/>
  <c r="AI25" i="58"/>
  <c r="AD25" i="58"/>
  <c r="AC25" i="58"/>
  <c r="AB25" i="58"/>
  <c r="Y25" i="58"/>
  <c r="X25" i="58"/>
  <c r="W25" i="58"/>
  <c r="V25" i="58"/>
  <c r="U25" i="58"/>
  <c r="T25" i="58"/>
  <c r="S25" i="58"/>
  <c r="R25" i="58"/>
  <c r="N25" i="58"/>
  <c r="L25" i="58"/>
  <c r="G25" i="58"/>
  <c r="F25" i="58"/>
  <c r="E25" i="58"/>
  <c r="D25" i="58"/>
  <c r="C25" i="58"/>
  <c r="O25" i="58" s="1"/>
  <c r="B25" i="58"/>
  <c r="Q25" i="58" s="1"/>
  <c r="AJ24" i="58"/>
  <c r="AI24" i="58"/>
  <c r="AD24" i="58"/>
  <c r="AC24" i="58"/>
  <c r="AB24" i="58"/>
  <c r="Y24" i="58"/>
  <c r="X24" i="58"/>
  <c r="W24" i="58"/>
  <c r="V24" i="58"/>
  <c r="U24" i="58"/>
  <c r="T24" i="58"/>
  <c r="S24" i="58"/>
  <c r="R24" i="58"/>
  <c r="N24" i="58"/>
  <c r="L24" i="58"/>
  <c r="G24" i="58"/>
  <c r="F24" i="58"/>
  <c r="E24" i="58"/>
  <c r="D24" i="58"/>
  <c r="C24" i="58"/>
  <c r="P24" i="58" s="1"/>
  <c r="B24" i="58"/>
  <c r="M24" i="58" s="1"/>
  <c r="AJ23" i="58"/>
  <c r="AI23" i="58"/>
  <c r="AG23" i="58"/>
  <c r="AD23" i="58"/>
  <c r="AC23" i="58"/>
  <c r="AB23" i="58"/>
  <c r="Y23" i="58"/>
  <c r="X23" i="58"/>
  <c r="W23" i="58"/>
  <c r="V23" i="58"/>
  <c r="U23" i="58"/>
  <c r="T23" i="58"/>
  <c r="S23" i="58"/>
  <c r="R23" i="58"/>
  <c r="N23" i="58"/>
  <c r="M23" i="58"/>
  <c r="L23" i="58"/>
  <c r="G23" i="58"/>
  <c r="F23" i="58"/>
  <c r="E23" i="58"/>
  <c r="D23" i="58"/>
  <c r="C23" i="58"/>
  <c r="O23" i="58" s="1"/>
  <c r="B23" i="58"/>
  <c r="I23" i="58" s="1"/>
  <c r="AJ22" i="58"/>
  <c r="AI22" i="58"/>
  <c r="AD22" i="58"/>
  <c r="AC22" i="58"/>
  <c r="AB22" i="58"/>
  <c r="Y22" i="58"/>
  <c r="X22" i="58"/>
  <c r="W22" i="58"/>
  <c r="V22" i="58"/>
  <c r="U22" i="58"/>
  <c r="T22" i="58"/>
  <c r="S22" i="58"/>
  <c r="R22" i="58"/>
  <c r="N22" i="58"/>
  <c r="L22" i="58"/>
  <c r="G22" i="58"/>
  <c r="F22" i="58"/>
  <c r="E22" i="58"/>
  <c r="D22" i="58"/>
  <c r="C22" i="58"/>
  <c r="B22" i="58"/>
  <c r="Z22" i="58" s="1"/>
  <c r="AJ21" i="58"/>
  <c r="AI21" i="58"/>
  <c r="AD21" i="58"/>
  <c r="AC21" i="58"/>
  <c r="AB21" i="58"/>
  <c r="Z21" i="58"/>
  <c r="Y21" i="58"/>
  <c r="X21" i="58"/>
  <c r="W21" i="58"/>
  <c r="V21" i="58"/>
  <c r="U21" i="58"/>
  <c r="T21" i="58"/>
  <c r="S21" i="58"/>
  <c r="R21" i="58"/>
  <c r="N21" i="58"/>
  <c r="M21" i="58"/>
  <c r="L21" i="58"/>
  <c r="K21" i="58"/>
  <c r="J21" i="58"/>
  <c r="G21" i="58"/>
  <c r="F21" i="58"/>
  <c r="E21" i="58"/>
  <c r="D21" i="58"/>
  <c r="C21" i="58"/>
  <c r="B21" i="58"/>
  <c r="H21" i="58" s="1"/>
  <c r="AJ20" i="58"/>
  <c r="AI20" i="58"/>
  <c r="AG20" i="58"/>
  <c r="AF20" i="58"/>
  <c r="AD20" i="58"/>
  <c r="AC20" i="58"/>
  <c r="AB20" i="58"/>
  <c r="Y20" i="58"/>
  <c r="X20" i="58"/>
  <c r="W20" i="58"/>
  <c r="V20" i="58"/>
  <c r="U20" i="58"/>
  <c r="T20" i="58"/>
  <c r="S20" i="58"/>
  <c r="R20" i="58"/>
  <c r="N20" i="58"/>
  <c r="L20" i="58"/>
  <c r="K20" i="58"/>
  <c r="J20" i="58"/>
  <c r="I20" i="58"/>
  <c r="G20" i="58"/>
  <c r="F20" i="58"/>
  <c r="E20" i="58"/>
  <c r="D20" i="58"/>
  <c r="C20" i="58"/>
  <c r="Q20" i="58" s="1"/>
  <c r="B20" i="58"/>
  <c r="Z20" i="58" s="1"/>
  <c r="AJ19" i="58"/>
  <c r="AI19" i="58"/>
  <c r="AD19" i="58"/>
  <c r="AC19" i="58"/>
  <c r="AB19" i="58"/>
  <c r="Y19" i="58"/>
  <c r="X19" i="58"/>
  <c r="W19" i="58"/>
  <c r="V19" i="58"/>
  <c r="U19" i="58"/>
  <c r="T19" i="58"/>
  <c r="S19" i="58"/>
  <c r="R19" i="58"/>
  <c r="N19" i="58"/>
  <c r="L19" i="58"/>
  <c r="I19" i="58"/>
  <c r="H19" i="58"/>
  <c r="G19" i="58"/>
  <c r="F19" i="58"/>
  <c r="E19" i="58"/>
  <c r="D19" i="58"/>
  <c r="C19" i="58"/>
  <c r="B19" i="58"/>
  <c r="AE19" i="58" s="1"/>
  <c r="AJ18" i="58"/>
  <c r="AI18" i="58"/>
  <c r="AG18" i="58"/>
  <c r="AF18" i="58"/>
  <c r="AE18" i="58"/>
  <c r="AD18" i="58"/>
  <c r="AC18" i="58"/>
  <c r="AB18" i="58"/>
  <c r="Y18" i="58"/>
  <c r="X18" i="58"/>
  <c r="W18" i="58"/>
  <c r="V18" i="58"/>
  <c r="U18" i="58"/>
  <c r="T18" i="58"/>
  <c r="S18" i="58"/>
  <c r="R18" i="58"/>
  <c r="Q18" i="58"/>
  <c r="N18" i="58"/>
  <c r="M18" i="58"/>
  <c r="L18" i="58"/>
  <c r="K18" i="58"/>
  <c r="J18" i="58"/>
  <c r="G18" i="58"/>
  <c r="F18" i="58"/>
  <c r="E18" i="58"/>
  <c r="D18" i="58"/>
  <c r="C18" i="58"/>
  <c r="AA18" i="58" s="1"/>
  <c r="B18" i="58"/>
  <c r="Z18" i="58" s="1"/>
  <c r="AJ17" i="58"/>
  <c r="AI17" i="58"/>
  <c r="AD17" i="58"/>
  <c r="AC17" i="58"/>
  <c r="AB17" i="58"/>
  <c r="Y17" i="58"/>
  <c r="X17" i="58"/>
  <c r="W17" i="58"/>
  <c r="V17" i="58"/>
  <c r="U17" i="58"/>
  <c r="T17" i="58"/>
  <c r="S17" i="58"/>
  <c r="R17" i="58"/>
  <c r="N17" i="58"/>
  <c r="L17" i="58"/>
  <c r="G17" i="58"/>
  <c r="F17" i="58"/>
  <c r="E17" i="58"/>
  <c r="D17" i="58"/>
  <c r="C17" i="58"/>
  <c r="B17" i="58"/>
  <c r="AE17" i="58" s="1"/>
  <c r="AJ16" i="58"/>
  <c r="AI16" i="58"/>
  <c r="AD16" i="58"/>
  <c r="AC16" i="58"/>
  <c r="AB16" i="58"/>
  <c r="Y16" i="58"/>
  <c r="X16" i="58"/>
  <c r="W16" i="58"/>
  <c r="V16" i="58"/>
  <c r="U16" i="58"/>
  <c r="T16" i="58"/>
  <c r="S16" i="58"/>
  <c r="R16" i="58"/>
  <c r="N16" i="58"/>
  <c r="L16" i="58"/>
  <c r="G16" i="58"/>
  <c r="F16" i="58"/>
  <c r="E16" i="58"/>
  <c r="D16" i="58"/>
  <c r="C16" i="58"/>
  <c r="B16" i="58"/>
  <c r="AF16" i="58" s="1"/>
  <c r="AJ15" i="58"/>
  <c r="AI15" i="58"/>
  <c r="AE15" i="58"/>
  <c r="AD15" i="58"/>
  <c r="AC15" i="58"/>
  <c r="AB15" i="58"/>
  <c r="Y15" i="58"/>
  <c r="X15" i="58"/>
  <c r="W15" i="58"/>
  <c r="V15" i="58"/>
  <c r="U15" i="58"/>
  <c r="T15" i="58"/>
  <c r="S15" i="58"/>
  <c r="R15" i="58"/>
  <c r="N15" i="58"/>
  <c r="M15" i="58"/>
  <c r="L15" i="58"/>
  <c r="G15" i="58"/>
  <c r="F15" i="58"/>
  <c r="E15" i="58"/>
  <c r="D15" i="58"/>
  <c r="C15" i="58"/>
  <c r="B15" i="58"/>
  <c r="Z15" i="58" s="1"/>
  <c r="AJ14" i="58"/>
  <c r="AI14" i="58"/>
  <c r="AD14" i="58"/>
  <c r="AC14" i="58"/>
  <c r="AB14" i="58"/>
  <c r="Y14" i="58"/>
  <c r="X14" i="58"/>
  <c r="W14" i="58"/>
  <c r="V14" i="58"/>
  <c r="U14" i="58"/>
  <c r="T14" i="58"/>
  <c r="S14" i="58"/>
  <c r="R14" i="58"/>
  <c r="N14" i="58"/>
  <c r="L14" i="58"/>
  <c r="K14" i="58"/>
  <c r="I14" i="58"/>
  <c r="G14" i="58"/>
  <c r="F14" i="58"/>
  <c r="E14" i="58"/>
  <c r="D14" i="58"/>
  <c r="C14" i="58"/>
  <c r="B14" i="58"/>
  <c r="Z14" i="58" s="1"/>
  <c r="AJ13" i="58"/>
  <c r="AI13" i="58"/>
  <c r="AD13" i="58"/>
  <c r="AC13" i="58"/>
  <c r="AB13" i="58"/>
  <c r="Y13" i="58"/>
  <c r="X13" i="58"/>
  <c r="W13" i="58"/>
  <c r="V13" i="58"/>
  <c r="U13" i="58"/>
  <c r="T13" i="58"/>
  <c r="S13" i="58"/>
  <c r="R13" i="58"/>
  <c r="O13" i="58"/>
  <c r="N13" i="58"/>
  <c r="L13" i="58"/>
  <c r="G13" i="58"/>
  <c r="F13" i="58"/>
  <c r="E13" i="58"/>
  <c r="D13" i="58"/>
  <c r="C13" i="58"/>
  <c r="B13" i="58"/>
  <c r="K13" i="58" s="1"/>
  <c r="AJ12" i="58"/>
  <c r="AI12" i="58"/>
  <c r="AD12" i="58"/>
  <c r="AC12" i="58"/>
  <c r="AB12" i="58"/>
  <c r="Y12" i="58"/>
  <c r="X12" i="58"/>
  <c r="W12" i="58"/>
  <c r="V12" i="58"/>
  <c r="U12" i="58"/>
  <c r="T12" i="58"/>
  <c r="S12" i="58"/>
  <c r="R12" i="58"/>
  <c r="N12" i="58"/>
  <c r="L12" i="58"/>
  <c r="G12" i="58"/>
  <c r="F12" i="58"/>
  <c r="E12" i="58"/>
  <c r="D12" i="58"/>
  <c r="C12" i="58"/>
  <c r="B12" i="58"/>
  <c r="Z12" i="58" s="1"/>
  <c r="AJ11" i="58"/>
  <c r="AI11" i="58"/>
  <c r="AD11" i="58"/>
  <c r="AC11" i="58"/>
  <c r="AB11" i="58"/>
  <c r="Y11" i="58"/>
  <c r="X11" i="58"/>
  <c r="W11" i="58"/>
  <c r="V11" i="58"/>
  <c r="U11" i="58"/>
  <c r="T11" i="58"/>
  <c r="S11" i="58"/>
  <c r="R11" i="58"/>
  <c r="N11" i="58"/>
  <c r="L11" i="58"/>
  <c r="H11" i="58"/>
  <c r="G11" i="58"/>
  <c r="F11" i="58"/>
  <c r="E11" i="58"/>
  <c r="D11" i="58"/>
  <c r="C11" i="58"/>
  <c r="B11" i="58"/>
  <c r="P11" i="58" s="1"/>
  <c r="AJ10" i="58"/>
  <c r="AI10" i="58"/>
  <c r="AD10" i="58"/>
  <c r="AC10" i="58"/>
  <c r="AB10" i="58"/>
  <c r="Y10" i="58"/>
  <c r="X10" i="58"/>
  <c r="W10" i="58"/>
  <c r="V10" i="58"/>
  <c r="U10" i="58"/>
  <c r="T10" i="58"/>
  <c r="S10" i="58"/>
  <c r="R10" i="58"/>
  <c r="N10" i="58"/>
  <c r="L10" i="58"/>
  <c r="G10" i="58"/>
  <c r="F10" i="58"/>
  <c r="E10" i="58"/>
  <c r="D10" i="58"/>
  <c r="C10" i="58"/>
  <c r="B10" i="58"/>
  <c r="AG10" i="58" s="1"/>
  <c r="AJ9" i="58"/>
  <c r="AI9" i="58"/>
  <c r="AE9" i="58"/>
  <c r="AD9" i="58"/>
  <c r="AC9" i="58"/>
  <c r="AB9" i="58"/>
  <c r="Y9" i="58"/>
  <c r="X9" i="58"/>
  <c r="W9" i="58"/>
  <c r="V9" i="58"/>
  <c r="U9" i="58"/>
  <c r="T9" i="58"/>
  <c r="S9" i="58"/>
  <c r="R9" i="58"/>
  <c r="N9" i="58"/>
  <c r="L9" i="58"/>
  <c r="I9" i="58"/>
  <c r="G9" i="58"/>
  <c r="F9" i="58"/>
  <c r="E9" i="58"/>
  <c r="D9" i="58"/>
  <c r="C9" i="58"/>
  <c r="B9" i="58"/>
  <c r="J9" i="58" s="1"/>
  <c r="AJ8" i="58"/>
  <c r="AI8" i="58"/>
  <c r="AD8" i="58"/>
  <c r="AC8" i="58"/>
  <c r="AB8" i="58"/>
  <c r="Y8" i="58"/>
  <c r="X8" i="58"/>
  <c r="W8" i="58"/>
  <c r="V8" i="58"/>
  <c r="U8" i="58"/>
  <c r="T8" i="58"/>
  <c r="S8" i="58"/>
  <c r="R8" i="58"/>
  <c r="N8" i="58"/>
  <c r="L8" i="58"/>
  <c r="G8" i="58"/>
  <c r="F8" i="58"/>
  <c r="E8" i="58"/>
  <c r="D8" i="58"/>
  <c r="C8" i="58"/>
  <c r="B8" i="58"/>
  <c r="Z8" i="58" s="1"/>
  <c r="AJ7" i="58"/>
  <c r="AI7" i="58"/>
  <c r="AD7" i="58"/>
  <c r="AC7" i="58"/>
  <c r="AB7" i="58"/>
  <c r="Y7" i="58"/>
  <c r="X7" i="58"/>
  <c r="W7" i="58"/>
  <c r="V7" i="58"/>
  <c r="U7" i="58"/>
  <c r="T7" i="58"/>
  <c r="S7" i="58"/>
  <c r="R7" i="58"/>
  <c r="N7" i="58"/>
  <c r="L7" i="58"/>
  <c r="G7" i="58"/>
  <c r="F7" i="58"/>
  <c r="E7" i="58"/>
  <c r="D7" i="58"/>
  <c r="C7" i="58"/>
  <c r="B7" i="58"/>
  <c r="AJ6" i="58"/>
  <c r="AI6" i="58"/>
  <c r="AD6" i="58"/>
  <c r="AC6" i="58"/>
  <c r="AB6" i="58"/>
  <c r="Y6" i="58"/>
  <c r="X6" i="58"/>
  <c r="W6" i="58"/>
  <c r="V6" i="58"/>
  <c r="U6" i="58"/>
  <c r="T6" i="58"/>
  <c r="S6" i="58"/>
  <c r="R6" i="58"/>
  <c r="N6" i="58"/>
  <c r="M6" i="58"/>
  <c r="L6" i="58"/>
  <c r="K6" i="58"/>
  <c r="H6" i="58"/>
  <c r="G6" i="58"/>
  <c r="F6" i="58"/>
  <c r="E6" i="58"/>
  <c r="D6" i="58"/>
  <c r="C6" i="58"/>
  <c r="B6" i="58"/>
  <c r="AE6" i="58" s="1"/>
  <c r="AJ5" i="58"/>
  <c r="AI5" i="58"/>
  <c r="AD5" i="58"/>
  <c r="AC5" i="58"/>
  <c r="AB5" i="58"/>
  <c r="Z5" i="58"/>
  <c r="Y5" i="58"/>
  <c r="X5" i="58"/>
  <c r="W5" i="58"/>
  <c r="V5" i="58"/>
  <c r="U5" i="58"/>
  <c r="T5" i="58"/>
  <c r="S5" i="58"/>
  <c r="R5" i="58"/>
  <c r="N5" i="58"/>
  <c r="L5" i="58"/>
  <c r="I5" i="58"/>
  <c r="G5" i="58"/>
  <c r="F5" i="58"/>
  <c r="E5" i="58"/>
  <c r="D5" i="58"/>
  <c r="C5" i="58"/>
  <c r="B5" i="58"/>
  <c r="K5" i="58" s="1"/>
  <c r="AJ4" i="58"/>
  <c r="AI4" i="58"/>
  <c r="AD4" i="58"/>
  <c r="AC4" i="58"/>
  <c r="AB4" i="58"/>
  <c r="Z4" i="58"/>
  <c r="Y4" i="58"/>
  <c r="X4" i="58"/>
  <c r="W4" i="58"/>
  <c r="V4" i="58"/>
  <c r="U4" i="58"/>
  <c r="T4" i="58"/>
  <c r="S4" i="58"/>
  <c r="R4" i="58"/>
  <c r="N4" i="58"/>
  <c r="M4" i="58"/>
  <c r="L4" i="58"/>
  <c r="I4" i="58"/>
  <c r="G4" i="58"/>
  <c r="F4" i="58"/>
  <c r="E4" i="58"/>
  <c r="D4" i="58"/>
  <c r="C4" i="58"/>
  <c r="Q4" i="58" s="1"/>
  <c r="B4" i="58"/>
  <c r="J4" i="58" s="1"/>
  <c r="AJ3" i="58"/>
  <c r="AI3" i="58"/>
  <c r="AD3" i="58"/>
  <c r="AC3" i="58"/>
  <c r="AB3" i="58"/>
  <c r="Y3" i="58"/>
  <c r="X3" i="58"/>
  <c r="W3" i="58"/>
  <c r="V3" i="58"/>
  <c r="U3" i="58"/>
  <c r="T3" i="58"/>
  <c r="S3" i="58"/>
  <c r="R3" i="58"/>
  <c r="N3" i="58"/>
  <c r="L3" i="58"/>
  <c r="G3" i="58"/>
  <c r="F3" i="58"/>
  <c r="E3" i="58"/>
  <c r="D3" i="58"/>
  <c r="C3" i="58"/>
  <c r="B3" i="58"/>
  <c r="AG3" i="58" s="1"/>
  <c r="AJ2" i="58"/>
  <c r="AI2" i="58"/>
  <c r="AF2" i="58"/>
  <c r="AD2" i="58"/>
  <c r="AC2" i="58"/>
  <c r="AB2" i="58"/>
  <c r="Y2" i="58"/>
  <c r="X2" i="58"/>
  <c r="W2" i="58"/>
  <c r="V2" i="58"/>
  <c r="U2" i="58"/>
  <c r="T2" i="58"/>
  <c r="S2" i="58"/>
  <c r="R2" i="58"/>
  <c r="P2" i="58"/>
  <c r="N2" i="58"/>
  <c r="L2" i="58"/>
  <c r="H2" i="58"/>
  <c r="G2" i="58"/>
  <c r="F2" i="58"/>
  <c r="E2" i="58"/>
  <c r="D2" i="58"/>
  <c r="C2" i="58"/>
  <c r="B2" i="58"/>
  <c r="Q2" i="58" s="1"/>
  <c r="AJ84" i="57"/>
  <c r="AI84" i="57"/>
  <c r="AD84" i="57"/>
  <c r="AC84" i="57"/>
  <c r="AB84" i="57"/>
  <c r="Y84" i="57"/>
  <c r="X84" i="57"/>
  <c r="W84" i="57"/>
  <c r="V84" i="57"/>
  <c r="U84" i="57"/>
  <c r="T84" i="57"/>
  <c r="S84" i="57"/>
  <c r="R84" i="57"/>
  <c r="N84" i="57"/>
  <c r="L84" i="57"/>
  <c r="G84" i="57"/>
  <c r="F84" i="57"/>
  <c r="E84" i="57"/>
  <c r="D84" i="57"/>
  <c r="C84" i="57"/>
  <c r="B84" i="57"/>
  <c r="AG84" i="57" s="1"/>
  <c r="AJ83" i="57"/>
  <c r="AI83" i="57"/>
  <c r="AD83" i="57"/>
  <c r="AC83" i="57"/>
  <c r="AB83" i="57"/>
  <c r="Y83" i="57"/>
  <c r="X83" i="57"/>
  <c r="W83" i="57"/>
  <c r="V83" i="57"/>
  <c r="U83" i="57"/>
  <c r="T83" i="57"/>
  <c r="S83" i="57"/>
  <c r="R83" i="57"/>
  <c r="N83" i="57"/>
  <c r="L83" i="57"/>
  <c r="G83" i="57"/>
  <c r="F83" i="57"/>
  <c r="E83" i="57"/>
  <c r="D83" i="57"/>
  <c r="C83" i="57"/>
  <c r="B83" i="57"/>
  <c r="AF83" i="57" s="1"/>
  <c r="AJ82" i="57"/>
  <c r="AI82" i="57"/>
  <c r="AD82" i="57"/>
  <c r="AC82" i="57"/>
  <c r="AB82" i="57"/>
  <c r="Y82" i="57"/>
  <c r="X82" i="57"/>
  <c r="W82" i="57"/>
  <c r="V82" i="57"/>
  <c r="U82" i="57"/>
  <c r="T82" i="57"/>
  <c r="S82" i="57"/>
  <c r="R82" i="57"/>
  <c r="N82" i="57"/>
  <c r="L82" i="57"/>
  <c r="K82" i="57"/>
  <c r="J82" i="57"/>
  <c r="I82" i="57"/>
  <c r="G82" i="57"/>
  <c r="F82" i="57"/>
  <c r="E82" i="57"/>
  <c r="D82" i="57"/>
  <c r="C82" i="57"/>
  <c r="B82" i="57"/>
  <c r="AE82" i="57" s="1"/>
  <c r="AJ81" i="57"/>
  <c r="AI81" i="57"/>
  <c r="AG81" i="57"/>
  <c r="AF81" i="57"/>
  <c r="AD81" i="57"/>
  <c r="AC81" i="57"/>
  <c r="AB81" i="57"/>
  <c r="Y81" i="57"/>
  <c r="X81" i="57"/>
  <c r="W81" i="57"/>
  <c r="V81" i="57"/>
  <c r="U81" i="57"/>
  <c r="T81" i="57"/>
  <c r="S81" i="57"/>
  <c r="R81" i="57"/>
  <c r="N81" i="57"/>
  <c r="M81" i="57"/>
  <c r="L81" i="57"/>
  <c r="K81" i="57"/>
  <c r="J81" i="57"/>
  <c r="I81" i="57"/>
  <c r="H81" i="57"/>
  <c r="G81" i="57"/>
  <c r="F81" i="57"/>
  <c r="E81" i="57"/>
  <c r="D81" i="57"/>
  <c r="C81" i="57"/>
  <c r="Q81" i="57" s="1"/>
  <c r="B81" i="57"/>
  <c r="Z81" i="57" s="1"/>
  <c r="AJ80" i="57"/>
  <c r="AI80" i="57"/>
  <c r="AF80" i="57"/>
  <c r="AD80" i="57"/>
  <c r="AC80" i="57"/>
  <c r="AB80" i="57"/>
  <c r="Y80" i="57"/>
  <c r="X80" i="57"/>
  <c r="W80" i="57"/>
  <c r="V80" i="57"/>
  <c r="U80" i="57"/>
  <c r="T80" i="57"/>
  <c r="S80" i="57"/>
  <c r="R80" i="57"/>
  <c r="N80" i="57"/>
  <c r="L80" i="57"/>
  <c r="H80" i="57"/>
  <c r="G80" i="57"/>
  <c r="F80" i="57"/>
  <c r="E80" i="57"/>
  <c r="D80" i="57"/>
  <c r="C80" i="57"/>
  <c r="B80" i="57"/>
  <c r="AE80" i="57" s="1"/>
  <c r="AJ79" i="57"/>
  <c r="AI79" i="57"/>
  <c r="AD79" i="57"/>
  <c r="AC79" i="57"/>
  <c r="AB79" i="57"/>
  <c r="Y79" i="57"/>
  <c r="X79" i="57"/>
  <c r="W79" i="57"/>
  <c r="V79" i="57"/>
  <c r="U79" i="57"/>
  <c r="T79" i="57"/>
  <c r="S79" i="57"/>
  <c r="R79" i="57"/>
  <c r="N79" i="57"/>
  <c r="M79" i="57"/>
  <c r="L79" i="57"/>
  <c r="G79" i="57"/>
  <c r="F79" i="57"/>
  <c r="E79" i="57"/>
  <c r="D79" i="57"/>
  <c r="C79" i="57"/>
  <c r="B79" i="57"/>
  <c r="Z79" i="57" s="1"/>
  <c r="AJ78" i="57"/>
  <c r="AI78" i="57"/>
  <c r="AD78" i="57"/>
  <c r="AC78" i="57"/>
  <c r="AB78" i="57"/>
  <c r="Y78" i="57"/>
  <c r="X78" i="57"/>
  <c r="W78" i="57"/>
  <c r="V78" i="57"/>
  <c r="U78" i="57"/>
  <c r="T78" i="57"/>
  <c r="S78" i="57"/>
  <c r="R78" i="57"/>
  <c r="N78" i="57"/>
  <c r="L78" i="57"/>
  <c r="G78" i="57"/>
  <c r="F78" i="57"/>
  <c r="E78" i="57"/>
  <c r="D78" i="57"/>
  <c r="C78" i="57"/>
  <c r="B78" i="57"/>
  <c r="AA78" i="57" s="1"/>
  <c r="AJ77" i="57"/>
  <c r="AI77" i="57"/>
  <c r="AD77" i="57"/>
  <c r="AC77" i="57"/>
  <c r="AB77" i="57"/>
  <c r="Y77" i="57"/>
  <c r="X77" i="57"/>
  <c r="W77" i="57"/>
  <c r="V77" i="57"/>
  <c r="U77" i="57"/>
  <c r="T77" i="57"/>
  <c r="S77" i="57"/>
  <c r="R77" i="57"/>
  <c r="N77" i="57"/>
  <c r="L77" i="57"/>
  <c r="G77" i="57"/>
  <c r="F77" i="57"/>
  <c r="E77" i="57"/>
  <c r="D77" i="57"/>
  <c r="C77" i="57"/>
  <c r="Q77" i="57" s="1"/>
  <c r="B77" i="57"/>
  <c r="Z77" i="57" s="1"/>
  <c r="AJ76" i="57"/>
  <c r="AI76" i="57"/>
  <c r="AD76" i="57"/>
  <c r="AC76" i="57"/>
  <c r="AB76" i="57"/>
  <c r="Y76" i="57"/>
  <c r="X76" i="57"/>
  <c r="W76" i="57"/>
  <c r="V76" i="57"/>
  <c r="U76" i="57"/>
  <c r="T76" i="57"/>
  <c r="S76" i="57"/>
  <c r="R76" i="57"/>
  <c r="N76" i="57"/>
  <c r="L76" i="57"/>
  <c r="G76" i="57"/>
  <c r="F76" i="57"/>
  <c r="E76" i="57"/>
  <c r="D76" i="57"/>
  <c r="C76" i="57"/>
  <c r="B76" i="57"/>
  <c r="AJ75" i="57"/>
  <c r="AI75" i="57"/>
  <c r="AD75" i="57"/>
  <c r="AC75" i="57"/>
  <c r="AB75" i="57"/>
  <c r="Y75" i="57"/>
  <c r="X75" i="57"/>
  <c r="W75" i="57"/>
  <c r="V75" i="57"/>
  <c r="U75" i="57"/>
  <c r="T75" i="57"/>
  <c r="S75" i="57"/>
  <c r="R75" i="57"/>
  <c r="N75" i="57"/>
  <c r="M75" i="57"/>
  <c r="L75" i="57"/>
  <c r="G75" i="57"/>
  <c r="F75" i="57"/>
  <c r="E75" i="57"/>
  <c r="D75" i="57"/>
  <c r="C75" i="57"/>
  <c r="AA75" i="57" s="1"/>
  <c r="B75" i="57"/>
  <c r="Z75" i="57" s="1"/>
  <c r="AJ74" i="57"/>
  <c r="AI74" i="57"/>
  <c r="AD74" i="57"/>
  <c r="AC74" i="57"/>
  <c r="AB74" i="57"/>
  <c r="Y74" i="57"/>
  <c r="X74" i="57"/>
  <c r="W74" i="57"/>
  <c r="V74" i="57"/>
  <c r="U74" i="57"/>
  <c r="T74" i="57"/>
  <c r="S74" i="57"/>
  <c r="R74" i="57"/>
  <c r="N74" i="57"/>
  <c r="L74" i="57"/>
  <c r="G74" i="57"/>
  <c r="F74" i="57"/>
  <c r="E74" i="57"/>
  <c r="D74" i="57"/>
  <c r="C74" i="57"/>
  <c r="B74" i="57"/>
  <c r="Z74" i="57" s="1"/>
  <c r="AJ73" i="57"/>
  <c r="AI73" i="57"/>
  <c r="AD73" i="57"/>
  <c r="AC73" i="57"/>
  <c r="AB73" i="57"/>
  <c r="Y73" i="57"/>
  <c r="X73" i="57"/>
  <c r="W73" i="57"/>
  <c r="V73" i="57"/>
  <c r="U73" i="57"/>
  <c r="T73" i="57"/>
  <c r="S73" i="57"/>
  <c r="R73" i="57"/>
  <c r="N73" i="57"/>
  <c r="L73" i="57"/>
  <c r="G73" i="57"/>
  <c r="F73" i="57"/>
  <c r="E73" i="57"/>
  <c r="D73" i="57"/>
  <c r="C73" i="57"/>
  <c r="B73" i="57"/>
  <c r="Z73" i="57" s="1"/>
  <c r="AJ72" i="57"/>
  <c r="AI72" i="57"/>
  <c r="AD72" i="57"/>
  <c r="AC72" i="57"/>
  <c r="AB72" i="57"/>
  <c r="Y72" i="57"/>
  <c r="X72" i="57"/>
  <c r="W72" i="57"/>
  <c r="V72" i="57"/>
  <c r="U72" i="57"/>
  <c r="T72" i="57"/>
  <c r="S72" i="57"/>
  <c r="R72" i="57"/>
  <c r="N72" i="57"/>
  <c r="L72" i="57"/>
  <c r="G72" i="57"/>
  <c r="F72" i="57"/>
  <c r="E72" i="57"/>
  <c r="D72" i="57"/>
  <c r="C72" i="57"/>
  <c r="B72" i="57"/>
  <c r="AG72" i="57" s="1"/>
  <c r="AJ71" i="57"/>
  <c r="AI71" i="57"/>
  <c r="AD71" i="57"/>
  <c r="AC71" i="57"/>
  <c r="AB71" i="57"/>
  <c r="Y71" i="57"/>
  <c r="X71" i="57"/>
  <c r="W71" i="57"/>
  <c r="V71" i="57"/>
  <c r="U71" i="57"/>
  <c r="T71" i="57"/>
  <c r="S71" i="57"/>
  <c r="R71" i="57"/>
  <c r="N71" i="57"/>
  <c r="M71" i="57"/>
  <c r="L71" i="57"/>
  <c r="H71" i="57"/>
  <c r="G71" i="57"/>
  <c r="F71" i="57"/>
  <c r="E71" i="57"/>
  <c r="D71" i="57"/>
  <c r="C71" i="57"/>
  <c r="B71" i="57"/>
  <c r="AF71" i="57" s="1"/>
  <c r="AJ70" i="57"/>
  <c r="AI70" i="57"/>
  <c r="AF70" i="57"/>
  <c r="AD70" i="57"/>
  <c r="AC70" i="57"/>
  <c r="AB70" i="57"/>
  <c r="Y70" i="57"/>
  <c r="X70" i="57"/>
  <c r="W70" i="57"/>
  <c r="V70" i="57"/>
  <c r="U70" i="57"/>
  <c r="T70" i="57"/>
  <c r="S70" i="57"/>
  <c r="R70" i="57"/>
  <c r="N70" i="57"/>
  <c r="L70" i="57"/>
  <c r="K70" i="57"/>
  <c r="J70" i="57"/>
  <c r="I70" i="57"/>
  <c r="H70" i="57"/>
  <c r="G70" i="57"/>
  <c r="F70" i="57"/>
  <c r="E70" i="57"/>
  <c r="D70" i="57"/>
  <c r="C70" i="57"/>
  <c r="B70" i="57"/>
  <c r="AE70" i="57" s="1"/>
  <c r="AJ69" i="57"/>
  <c r="AI69" i="57"/>
  <c r="AG69" i="57"/>
  <c r="AD69" i="57"/>
  <c r="AC69" i="57"/>
  <c r="AB69" i="57"/>
  <c r="Y69" i="57"/>
  <c r="X69" i="57"/>
  <c r="W69" i="57"/>
  <c r="V69" i="57"/>
  <c r="U69" i="57"/>
  <c r="T69" i="57"/>
  <c r="S69" i="57"/>
  <c r="R69" i="57"/>
  <c r="N69" i="57"/>
  <c r="L69" i="57"/>
  <c r="K69" i="57"/>
  <c r="J69" i="57"/>
  <c r="G69" i="57"/>
  <c r="F69" i="57"/>
  <c r="E69" i="57"/>
  <c r="D69" i="57"/>
  <c r="C69" i="57"/>
  <c r="Q69" i="57" s="1"/>
  <c r="B69" i="57"/>
  <c r="M69" i="57" s="1"/>
  <c r="AJ68" i="57"/>
  <c r="AI68" i="57"/>
  <c r="AD68" i="57"/>
  <c r="AC68" i="57"/>
  <c r="AB68" i="57"/>
  <c r="Y68" i="57"/>
  <c r="X68" i="57"/>
  <c r="W68" i="57"/>
  <c r="V68" i="57"/>
  <c r="U68" i="57"/>
  <c r="T68" i="57"/>
  <c r="S68" i="57"/>
  <c r="R68" i="57"/>
  <c r="N68" i="57"/>
  <c r="L68" i="57"/>
  <c r="I68" i="57"/>
  <c r="H68" i="57"/>
  <c r="G68" i="57"/>
  <c r="F68" i="57"/>
  <c r="E68" i="57"/>
  <c r="D68" i="57"/>
  <c r="C68" i="57"/>
  <c r="B68" i="57"/>
  <c r="Q68" i="57" s="1"/>
  <c r="AJ67" i="57"/>
  <c r="AI67" i="57"/>
  <c r="AF67" i="57"/>
  <c r="AE67" i="57"/>
  <c r="AD67" i="57"/>
  <c r="AC67" i="57"/>
  <c r="AB67" i="57"/>
  <c r="Y67" i="57"/>
  <c r="X67" i="57"/>
  <c r="W67" i="57"/>
  <c r="V67" i="57"/>
  <c r="U67" i="57"/>
  <c r="T67" i="57"/>
  <c r="S67" i="57"/>
  <c r="R67" i="57"/>
  <c r="N67" i="57"/>
  <c r="L67" i="57"/>
  <c r="K67" i="57"/>
  <c r="J67" i="57"/>
  <c r="I67" i="57"/>
  <c r="G67" i="57"/>
  <c r="F67" i="57"/>
  <c r="E67" i="57"/>
  <c r="D67" i="57"/>
  <c r="C67" i="57"/>
  <c r="AA67" i="57" s="1"/>
  <c r="B67" i="57"/>
  <c r="Z67" i="57" s="1"/>
  <c r="AJ66" i="57"/>
  <c r="AI66" i="57"/>
  <c r="AG66" i="57"/>
  <c r="AF66" i="57"/>
  <c r="AD66" i="57"/>
  <c r="AC66" i="57"/>
  <c r="AB66" i="57"/>
  <c r="Y66" i="57"/>
  <c r="X66" i="57"/>
  <c r="W66" i="57"/>
  <c r="V66" i="57"/>
  <c r="U66" i="57"/>
  <c r="T66" i="57"/>
  <c r="S66" i="57"/>
  <c r="R66" i="57"/>
  <c r="N66" i="57"/>
  <c r="L66" i="57"/>
  <c r="J66" i="57"/>
  <c r="I66" i="57"/>
  <c r="H66" i="57"/>
  <c r="G66" i="57"/>
  <c r="F66" i="57"/>
  <c r="E66" i="57"/>
  <c r="D66" i="57"/>
  <c r="C66" i="57"/>
  <c r="AA66" i="57" s="1"/>
  <c r="B66" i="57"/>
  <c r="Z66" i="57" s="1"/>
  <c r="AJ65" i="57"/>
  <c r="AI65" i="57"/>
  <c r="AG65" i="57"/>
  <c r="AD65" i="57"/>
  <c r="AC65" i="57"/>
  <c r="AB65" i="57"/>
  <c r="Y65" i="57"/>
  <c r="X65" i="57"/>
  <c r="W65" i="57"/>
  <c r="V65" i="57"/>
  <c r="U65" i="57"/>
  <c r="T65" i="57"/>
  <c r="S65" i="57"/>
  <c r="R65" i="57"/>
  <c r="N65" i="57"/>
  <c r="L65" i="57"/>
  <c r="K65" i="57"/>
  <c r="I65" i="57"/>
  <c r="G65" i="57"/>
  <c r="F65" i="57"/>
  <c r="E65" i="57"/>
  <c r="D65" i="57"/>
  <c r="C65" i="57"/>
  <c r="Q65" i="57" s="1"/>
  <c r="B65" i="57"/>
  <c r="Z65" i="57" s="1"/>
  <c r="AJ64" i="57"/>
  <c r="AI64" i="57"/>
  <c r="AD64" i="57"/>
  <c r="AC64" i="57"/>
  <c r="AB64" i="57"/>
  <c r="Y64" i="57"/>
  <c r="X64" i="57"/>
  <c r="W64" i="57"/>
  <c r="V64" i="57"/>
  <c r="U64" i="57"/>
  <c r="T64" i="57"/>
  <c r="S64" i="57"/>
  <c r="R64" i="57"/>
  <c r="Q64" i="57"/>
  <c r="N64" i="57"/>
  <c r="L64" i="57"/>
  <c r="G64" i="57"/>
  <c r="F64" i="57"/>
  <c r="E64" i="57"/>
  <c r="D64" i="57"/>
  <c r="C64" i="57"/>
  <c r="B64" i="57"/>
  <c r="AJ63" i="57"/>
  <c r="AI63" i="57"/>
  <c r="AD63" i="57"/>
  <c r="AC63" i="57"/>
  <c r="AB63" i="57"/>
  <c r="Y63" i="57"/>
  <c r="X63" i="57"/>
  <c r="W63" i="57"/>
  <c r="V63" i="57"/>
  <c r="U63" i="57"/>
  <c r="T63" i="57"/>
  <c r="S63" i="57"/>
  <c r="R63" i="57"/>
  <c r="P63" i="57"/>
  <c r="N63" i="57"/>
  <c r="M63" i="57"/>
  <c r="L63" i="57"/>
  <c r="G63" i="57"/>
  <c r="F63" i="57"/>
  <c r="E63" i="57"/>
  <c r="D63" i="57"/>
  <c r="C63" i="57"/>
  <c r="B63" i="57"/>
  <c r="AJ62" i="57"/>
  <c r="AI62" i="57"/>
  <c r="AD62" i="57"/>
  <c r="AC62" i="57"/>
  <c r="AB62" i="57"/>
  <c r="Y62" i="57"/>
  <c r="X62" i="57"/>
  <c r="W62" i="57"/>
  <c r="V62" i="57"/>
  <c r="U62" i="57"/>
  <c r="T62" i="57"/>
  <c r="S62" i="57"/>
  <c r="R62" i="57"/>
  <c r="O62" i="57"/>
  <c r="N62" i="57"/>
  <c r="M62" i="57"/>
  <c r="L62" i="57"/>
  <c r="G62" i="57"/>
  <c r="F62" i="57"/>
  <c r="E62" i="57"/>
  <c r="D62" i="57"/>
  <c r="C62" i="57"/>
  <c r="AA62" i="57" s="1"/>
  <c r="B62" i="57"/>
  <c r="Z62" i="57" s="1"/>
  <c r="AJ61" i="57"/>
  <c r="AI61" i="57"/>
  <c r="AD61" i="57"/>
  <c r="AC61" i="57"/>
  <c r="AB61" i="57"/>
  <c r="Y61" i="57"/>
  <c r="X61" i="57"/>
  <c r="W61" i="57"/>
  <c r="V61" i="57"/>
  <c r="U61" i="57"/>
  <c r="T61" i="57"/>
  <c r="S61" i="57"/>
  <c r="R61" i="57"/>
  <c r="N61" i="57"/>
  <c r="L61" i="57"/>
  <c r="G61" i="57"/>
  <c r="F61" i="57"/>
  <c r="E61" i="57"/>
  <c r="D61" i="57"/>
  <c r="C61" i="57"/>
  <c r="B61" i="57"/>
  <c r="Z61" i="57" s="1"/>
  <c r="AJ60" i="57"/>
  <c r="AI60" i="57"/>
  <c r="AD60" i="57"/>
  <c r="AC60" i="57"/>
  <c r="AB60" i="57"/>
  <c r="Y60" i="57"/>
  <c r="X60" i="57"/>
  <c r="W60" i="57"/>
  <c r="V60" i="57"/>
  <c r="U60" i="57"/>
  <c r="T60" i="57"/>
  <c r="S60" i="57"/>
  <c r="R60" i="57"/>
  <c r="N60" i="57"/>
  <c r="M60" i="57"/>
  <c r="L60" i="57"/>
  <c r="K60" i="57"/>
  <c r="J60" i="57"/>
  <c r="G60" i="57"/>
  <c r="F60" i="57"/>
  <c r="E60" i="57"/>
  <c r="D60" i="57"/>
  <c r="C60" i="57"/>
  <c r="B60" i="57"/>
  <c r="AG60" i="57" s="1"/>
  <c r="AJ59" i="57"/>
  <c r="AI59" i="57"/>
  <c r="AD59" i="57"/>
  <c r="AC59" i="57"/>
  <c r="AB59" i="57"/>
  <c r="Y59" i="57"/>
  <c r="X59" i="57"/>
  <c r="W59" i="57"/>
  <c r="V59" i="57"/>
  <c r="U59" i="57"/>
  <c r="T59" i="57"/>
  <c r="S59" i="57"/>
  <c r="R59" i="57"/>
  <c r="N59" i="57"/>
  <c r="L59" i="57"/>
  <c r="G59" i="57"/>
  <c r="F59" i="57"/>
  <c r="E59" i="57"/>
  <c r="D59" i="57"/>
  <c r="C59" i="57"/>
  <c r="B59" i="57"/>
  <c r="AF59" i="57" s="1"/>
  <c r="AJ58" i="57"/>
  <c r="AI58" i="57"/>
  <c r="AD58" i="57"/>
  <c r="AC58" i="57"/>
  <c r="AB58" i="57"/>
  <c r="Y58" i="57"/>
  <c r="X58" i="57"/>
  <c r="W58" i="57"/>
  <c r="V58" i="57"/>
  <c r="U58" i="57"/>
  <c r="T58" i="57"/>
  <c r="S58" i="57"/>
  <c r="R58" i="57"/>
  <c r="N58" i="57"/>
  <c r="L58" i="57"/>
  <c r="K58" i="57"/>
  <c r="I58" i="57"/>
  <c r="H58" i="57"/>
  <c r="G58" i="57"/>
  <c r="F58" i="57"/>
  <c r="E58" i="57"/>
  <c r="D58" i="57"/>
  <c r="C58" i="57"/>
  <c r="B58" i="57"/>
  <c r="J58" i="57" s="1"/>
  <c r="AJ57" i="57"/>
  <c r="AI57" i="57"/>
  <c r="AG57" i="57"/>
  <c r="AF57" i="57"/>
  <c r="AD57" i="57"/>
  <c r="AC57" i="57"/>
  <c r="AB57" i="57"/>
  <c r="Y57" i="57"/>
  <c r="X57" i="57"/>
  <c r="W57" i="57"/>
  <c r="V57" i="57"/>
  <c r="U57" i="57"/>
  <c r="T57" i="57"/>
  <c r="S57" i="57"/>
  <c r="R57" i="57"/>
  <c r="N57" i="57"/>
  <c r="L57" i="57"/>
  <c r="K57" i="57"/>
  <c r="J57" i="57"/>
  <c r="I57" i="57"/>
  <c r="G57" i="57"/>
  <c r="F57" i="57"/>
  <c r="E57" i="57"/>
  <c r="D57" i="57"/>
  <c r="C57" i="57"/>
  <c r="Q57" i="57" s="1"/>
  <c r="B57" i="57"/>
  <c r="Z57" i="57" s="1"/>
  <c r="AJ56" i="57"/>
  <c r="AI56" i="57"/>
  <c r="AD56" i="57"/>
  <c r="AC56" i="57"/>
  <c r="AB56" i="57"/>
  <c r="Y56" i="57"/>
  <c r="X56" i="57"/>
  <c r="W56" i="57"/>
  <c r="V56" i="57"/>
  <c r="U56" i="57"/>
  <c r="T56" i="57"/>
  <c r="S56" i="57"/>
  <c r="R56" i="57"/>
  <c r="N56" i="57"/>
  <c r="L56" i="57"/>
  <c r="G56" i="57"/>
  <c r="F56" i="57"/>
  <c r="E56" i="57"/>
  <c r="D56" i="57"/>
  <c r="C56" i="57"/>
  <c r="B56" i="57"/>
  <c r="Q56" i="57" s="1"/>
  <c r="AJ55" i="57"/>
  <c r="AI55" i="57"/>
  <c r="AD55" i="57"/>
  <c r="AC55" i="57"/>
  <c r="AB55" i="57"/>
  <c r="Y55" i="57"/>
  <c r="X55" i="57"/>
  <c r="W55" i="57"/>
  <c r="V55" i="57"/>
  <c r="U55" i="57"/>
  <c r="T55" i="57"/>
  <c r="S55" i="57"/>
  <c r="R55" i="57"/>
  <c r="N55" i="57"/>
  <c r="L55" i="57"/>
  <c r="J55" i="57"/>
  <c r="H55" i="57"/>
  <c r="G55" i="57"/>
  <c r="F55" i="57"/>
  <c r="E55" i="57"/>
  <c r="D55" i="57"/>
  <c r="C55" i="57"/>
  <c r="B55" i="57"/>
  <c r="Z55" i="57" s="1"/>
  <c r="AJ54" i="57"/>
  <c r="AI54" i="57"/>
  <c r="AG54" i="57"/>
  <c r="AD54" i="57"/>
  <c r="AC54" i="57"/>
  <c r="AB54" i="57"/>
  <c r="Y54" i="57"/>
  <c r="X54" i="57"/>
  <c r="W54" i="57"/>
  <c r="V54" i="57"/>
  <c r="U54" i="57"/>
  <c r="T54" i="57"/>
  <c r="S54" i="57"/>
  <c r="R54" i="57"/>
  <c r="N54" i="57"/>
  <c r="L54" i="57"/>
  <c r="G54" i="57"/>
  <c r="F54" i="57"/>
  <c r="E54" i="57"/>
  <c r="D54" i="57"/>
  <c r="C54" i="57"/>
  <c r="B54" i="57"/>
  <c r="Z54" i="57" s="1"/>
  <c r="AJ53" i="57"/>
  <c r="AI53" i="57"/>
  <c r="AG53" i="57"/>
  <c r="AD53" i="57"/>
  <c r="AC53" i="57"/>
  <c r="AB53" i="57"/>
  <c r="Y53" i="57"/>
  <c r="X53" i="57"/>
  <c r="W53" i="57"/>
  <c r="V53" i="57"/>
  <c r="U53" i="57"/>
  <c r="T53" i="57"/>
  <c r="S53" i="57"/>
  <c r="R53" i="57"/>
  <c r="N53" i="57"/>
  <c r="L53" i="57"/>
  <c r="K53" i="57"/>
  <c r="I53" i="57"/>
  <c r="H53" i="57"/>
  <c r="G53" i="57"/>
  <c r="F53" i="57"/>
  <c r="E53" i="57"/>
  <c r="D53" i="57"/>
  <c r="C53" i="57"/>
  <c r="Q53" i="57" s="1"/>
  <c r="B53" i="57"/>
  <c r="Z53" i="57" s="1"/>
  <c r="AJ52" i="57"/>
  <c r="AI52" i="57"/>
  <c r="AD52" i="57"/>
  <c r="AC52" i="57"/>
  <c r="AB52" i="57"/>
  <c r="Y52" i="57"/>
  <c r="X52" i="57"/>
  <c r="W52" i="57"/>
  <c r="V52" i="57"/>
  <c r="U52" i="57"/>
  <c r="T52" i="57"/>
  <c r="S52" i="57"/>
  <c r="R52" i="57"/>
  <c r="N52" i="57"/>
  <c r="L52" i="57"/>
  <c r="G52" i="57"/>
  <c r="F52" i="57"/>
  <c r="E52" i="57"/>
  <c r="D52" i="57"/>
  <c r="C52" i="57"/>
  <c r="Q52" i="57" s="1"/>
  <c r="B52" i="57"/>
  <c r="AJ51" i="57"/>
  <c r="AI51" i="57"/>
  <c r="AD51" i="57"/>
  <c r="AC51" i="57"/>
  <c r="AB51" i="57"/>
  <c r="Y51" i="57"/>
  <c r="X51" i="57"/>
  <c r="W51" i="57"/>
  <c r="V51" i="57"/>
  <c r="U51" i="57"/>
  <c r="T51" i="57"/>
  <c r="S51" i="57"/>
  <c r="R51" i="57"/>
  <c r="N51" i="57"/>
  <c r="M51" i="57"/>
  <c r="L51" i="57"/>
  <c r="G51" i="57"/>
  <c r="F51" i="57"/>
  <c r="E51" i="57"/>
  <c r="D51" i="57"/>
  <c r="C51" i="57"/>
  <c r="P51" i="57" s="1"/>
  <c r="B51" i="57"/>
  <c r="AJ50" i="57"/>
  <c r="AI50" i="57"/>
  <c r="AD50" i="57"/>
  <c r="AC50" i="57"/>
  <c r="AB50" i="57"/>
  <c r="Y50" i="57"/>
  <c r="X50" i="57"/>
  <c r="W50" i="57"/>
  <c r="V50" i="57"/>
  <c r="U50" i="57"/>
  <c r="T50" i="57"/>
  <c r="S50" i="57"/>
  <c r="R50" i="57"/>
  <c r="N50" i="57"/>
  <c r="M50" i="57"/>
  <c r="L50" i="57"/>
  <c r="G50" i="57"/>
  <c r="F50" i="57"/>
  <c r="E50" i="57"/>
  <c r="D50" i="57"/>
  <c r="C50" i="57"/>
  <c r="O50" i="57" s="1"/>
  <c r="B50" i="57"/>
  <c r="Z50" i="57" s="1"/>
  <c r="AJ49" i="57"/>
  <c r="AI49" i="57"/>
  <c r="AD49" i="57"/>
  <c r="AC49" i="57"/>
  <c r="AB49" i="57"/>
  <c r="Y49" i="57"/>
  <c r="X49" i="57"/>
  <c r="W49" i="57"/>
  <c r="V49" i="57"/>
  <c r="U49" i="57"/>
  <c r="T49" i="57"/>
  <c r="S49" i="57"/>
  <c r="R49" i="57"/>
  <c r="N49" i="57"/>
  <c r="L49" i="57"/>
  <c r="G49" i="57"/>
  <c r="F49" i="57"/>
  <c r="E49" i="57"/>
  <c r="D49" i="57"/>
  <c r="C49" i="57"/>
  <c r="B49" i="57"/>
  <c r="Z49" i="57" s="1"/>
  <c r="AJ48" i="57"/>
  <c r="AI48" i="57"/>
  <c r="AD48" i="57"/>
  <c r="AC48" i="57"/>
  <c r="AB48" i="57"/>
  <c r="Y48" i="57"/>
  <c r="X48" i="57"/>
  <c r="W48" i="57"/>
  <c r="V48" i="57"/>
  <c r="U48" i="57"/>
  <c r="T48" i="57"/>
  <c r="S48" i="57"/>
  <c r="R48" i="57"/>
  <c r="N48" i="57"/>
  <c r="M48" i="57"/>
  <c r="L48" i="57"/>
  <c r="I48" i="57"/>
  <c r="G48" i="57"/>
  <c r="F48" i="57"/>
  <c r="E48" i="57"/>
  <c r="D48" i="57"/>
  <c r="C48" i="57"/>
  <c r="B48" i="57"/>
  <c r="AF48" i="57" s="1"/>
  <c r="AJ47" i="57"/>
  <c r="AI47" i="57"/>
  <c r="AD47" i="57"/>
  <c r="AC47" i="57"/>
  <c r="AB47" i="57"/>
  <c r="Y47" i="57"/>
  <c r="X47" i="57"/>
  <c r="W47" i="57"/>
  <c r="V47" i="57"/>
  <c r="U47" i="57"/>
  <c r="T47" i="57"/>
  <c r="S47" i="57"/>
  <c r="R47" i="57"/>
  <c r="N47" i="57"/>
  <c r="L47" i="57"/>
  <c r="K47" i="57"/>
  <c r="I47" i="57"/>
  <c r="G47" i="57"/>
  <c r="F47" i="57"/>
  <c r="E47" i="57"/>
  <c r="D47" i="57"/>
  <c r="C47" i="57"/>
  <c r="B47" i="57"/>
  <c r="AF47" i="57" s="1"/>
  <c r="AJ46" i="57"/>
  <c r="AI46" i="57"/>
  <c r="AG46" i="57"/>
  <c r="AF46" i="57"/>
  <c r="AD46" i="57"/>
  <c r="AC46" i="57"/>
  <c r="AB46" i="57"/>
  <c r="Y46" i="57"/>
  <c r="X46" i="57"/>
  <c r="W46" i="57"/>
  <c r="V46" i="57"/>
  <c r="U46" i="57"/>
  <c r="T46" i="57"/>
  <c r="S46" i="57"/>
  <c r="R46" i="57"/>
  <c r="N46" i="57"/>
  <c r="L46" i="57"/>
  <c r="K46" i="57"/>
  <c r="G46" i="57"/>
  <c r="F46" i="57"/>
  <c r="E46" i="57"/>
  <c r="D46" i="57"/>
  <c r="C46" i="57"/>
  <c r="B46" i="57"/>
  <c r="J46" i="57" s="1"/>
  <c r="AJ45" i="57"/>
  <c r="AI45" i="57"/>
  <c r="AG45" i="57"/>
  <c r="AD45" i="57"/>
  <c r="AC45" i="57"/>
  <c r="AB45" i="57"/>
  <c r="Y45" i="57"/>
  <c r="X45" i="57"/>
  <c r="W45" i="57"/>
  <c r="V45" i="57"/>
  <c r="U45" i="57"/>
  <c r="T45" i="57"/>
  <c r="S45" i="57"/>
  <c r="R45" i="57"/>
  <c r="N45" i="57"/>
  <c r="M45" i="57"/>
  <c r="L45" i="57"/>
  <c r="K45" i="57"/>
  <c r="J45" i="57"/>
  <c r="I45" i="57"/>
  <c r="H45" i="57"/>
  <c r="G45" i="57"/>
  <c r="F45" i="57"/>
  <c r="E45" i="57"/>
  <c r="D45" i="57"/>
  <c r="C45" i="57"/>
  <c r="B45" i="57"/>
  <c r="P45" i="57" s="1"/>
  <c r="AJ44" i="57"/>
  <c r="AI44" i="57"/>
  <c r="AD44" i="57"/>
  <c r="AC44" i="57"/>
  <c r="AB44" i="57"/>
  <c r="Y44" i="57"/>
  <c r="X44" i="57"/>
  <c r="W44" i="57"/>
  <c r="V44" i="57"/>
  <c r="U44" i="57"/>
  <c r="T44" i="57"/>
  <c r="S44" i="57"/>
  <c r="R44" i="57"/>
  <c r="N44" i="57"/>
  <c r="L44" i="57"/>
  <c r="H44" i="57"/>
  <c r="G44" i="57"/>
  <c r="F44" i="57"/>
  <c r="E44" i="57"/>
  <c r="D44" i="57"/>
  <c r="C44" i="57"/>
  <c r="B44" i="57"/>
  <c r="Q44" i="57" s="1"/>
  <c r="AJ43" i="57"/>
  <c r="AI43" i="57"/>
  <c r="AG43" i="57"/>
  <c r="AF43" i="57"/>
  <c r="AE43" i="57"/>
  <c r="AD43" i="57"/>
  <c r="AC43" i="57"/>
  <c r="AB43" i="57"/>
  <c r="Y43" i="57"/>
  <c r="X43" i="57"/>
  <c r="W43" i="57"/>
  <c r="V43" i="57"/>
  <c r="U43" i="57"/>
  <c r="T43" i="57"/>
  <c r="S43" i="57"/>
  <c r="R43" i="57"/>
  <c r="Q43" i="57"/>
  <c r="N43" i="57"/>
  <c r="M43" i="57"/>
  <c r="L43" i="57"/>
  <c r="K43" i="57"/>
  <c r="J43" i="57"/>
  <c r="I43" i="57"/>
  <c r="H43" i="57"/>
  <c r="G43" i="57"/>
  <c r="F43" i="57"/>
  <c r="E43" i="57"/>
  <c r="D43" i="57"/>
  <c r="C43" i="57"/>
  <c r="AA43" i="57" s="1"/>
  <c r="B43" i="57"/>
  <c r="Z43" i="57" s="1"/>
  <c r="AJ42" i="57"/>
  <c r="AI42" i="57"/>
  <c r="AG42" i="57"/>
  <c r="AD42" i="57"/>
  <c r="AC42" i="57"/>
  <c r="AB42" i="57"/>
  <c r="Y42" i="57"/>
  <c r="X42" i="57"/>
  <c r="W42" i="57"/>
  <c r="V42" i="57"/>
  <c r="U42" i="57"/>
  <c r="T42" i="57"/>
  <c r="S42" i="57"/>
  <c r="R42" i="57"/>
  <c r="N42" i="57"/>
  <c r="L42" i="57"/>
  <c r="J42" i="57"/>
  <c r="I42" i="57"/>
  <c r="G42" i="57"/>
  <c r="F42" i="57"/>
  <c r="E42" i="57"/>
  <c r="D42" i="57"/>
  <c r="C42" i="57"/>
  <c r="AA42" i="57" s="1"/>
  <c r="B42" i="57"/>
  <c r="Z42" i="57" s="1"/>
  <c r="AJ41" i="57"/>
  <c r="AI41" i="57"/>
  <c r="AG41" i="57"/>
  <c r="AD41" i="57"/>
  <c r="AC41" i="57"/>
  <c r="AB41" i="57"/>
  <c r="Y41" i="57"/>
  <c r="X41" i="57"/>
  <c r="W41" i="57"/>
  <c r="V41" i="57"/>
  <c r="U41" i="57"/>
  <c r="T41" i="57"/>
  <c r="S41" i="57"/>
  <c r="R41" i="57"/>
  <c r="N41" i="57"/>
  <c r="L41" i="57"/>
  <c r="G41" i="57"/>
  <c r="F41" i="57"/>
  <c r="E41" i="57"/>
  <c r="D41" i="57"/>
  <c r="C41" i="57"/>
  <c r="Q41" i="57" s="1"/>
  <c r="B41" i="57"/>
  <c r="Z41" i="57" s="1"/>
  <c r="AJ40" i="57"/>
  <c r="AI40" i="57"/>
  <c r="AD40" i="57"/>
  <c r="AC40" i="57"/>
  <c r="AB40" i="57"/>
  <c r="Y40" i="57"/>
  <c r="X40" i="57"/>
  <c r="W40" i="57"/>
  <c r="V40" i="57"/>
  <c r="U40" i="57"/>
  <c r="T40" i="57"/>
  <c r="S40" i="57"/>
  <c r="R40" i="57"/>
  <c r="N40" i="57"/>
  <c r="L40" i="57"/>
  <c r="G40" i="57"/>
  <c r="F40" i="57"/>
  <c r="E40" i="57"/>
  <c r="D40" i="57"/>
  <c r="C40" i="57"/>
  <c r="B40" i="57"/>
  <c r="P40" i="57" s="1"/>
  <c r="AJ39" i="57"/>
  <c r="AI39" i="57"/>
  <c r="AD39" i="57"/>
  <c r="AC39" i="57"/>
  <c r="AB39" i="57"/>
  <c r="Y39" i="57"/>
  <c r="X39" i="57"/>
  <c r="W39" i="57"/>
  <c r="V39" i="57"/>
  <c r="U39" i="57"/>
  <c r="T39" i="57"/>
  <c r="S39" i="57"/>
  <c r="R39" i="57"/>
  <c r="N39" i="57"/>
  <c r="L39" i="57"/>
  <c r="G39" i="57"/>
  <c r="F39" i="57"/>
  <c r="E39" i="57"/>
  <c r="D39" i="57"/>
  <c r="C39" i="57"/>
  <c r="B39" i="57"/>
  <c r="AA39" i="57" s="1"/>
  <c r="AJ38" i="57"/>
  <c r="AI38" i="57"/>
  <c r="AD38" i="57"/>
  <c r="AC38" i="57"/>
  <c r="AB38" i="57"/>
  <c r="Y38" i="57"/>
  <c r="X38" i="57"/>
  <c r="W38" i="57"/>
  <c r="V38" i="57"/>
  <c r="U38" i="57"/>
  <c r="T38" i="57"/>
  <c r="S38" i="57"/>
  <c r="R38" i="57"/>
  <c r="N38" i="57"/>
  <c r="L38" i="57"/>
  <c r="G38" i="57"/>
  <c r="F38" i="57"/>
  <c r="E38" i="57"/>
  <c r="D38" i="57"/>
  <c r="C38" i="57"/>
  <c r="B38" i="57"/>
  <c r="Z38" i="57" s="1"/>
  <c r="AJ37" i="57"/>
  <c r="AI37" i="57"/>
  <c r="AD37" i="57"/>
  <c r="AC37" i="57"/>
  <c r="AB37" i="57"/>
  <c r="Y37" i="57"/>
  <c r="X37" i="57"/>
  <c r="W37" i="57"/>
  <c r="V37" i="57"/>
  <c r="U37" i="57"/>
  <c r="T37" i="57"/>
  <c r="S37" i="57"/>
  <c r="R37" i="57"/>
  <c r="N37" i="57"/>
  <c r="L37" i="57"/>
  <c r="G37" i="57"/>
  <c r="F37" i="57"/>
  <c r="E37" i="57"/>
  <c r="D37" i="57"/>
  <c r="C37" i="57"/>
  <c r="B37" i="57"/>
  <c r="K37" i="57" s="1"/>
  <c r="AJ36" i="57"/>
  <c r="AI36" i="57"/>
  <c r="AD36" i="57"/>
  <c r="AC36" i="57"/>
  <c r="AB36" i="57"/>
  <c r="Y36" i="57"/>
  <c r="X36" i="57"/>
  <c r="W36" i="57"/>
  <c r="V36" i="57"/>
  <c r="U36" i="57"/>
  <c r="T36" i="57"/>
  <c r="S36" i="57"/>
  <c r="R36" i="57"/>
  <c r="N36" i="57"/>
  <c r="M36" i="57"/>
  <c r="L36" i="57"/>
  <c r="K36" i="57"/>
  <c r="J36" i="57"/>
  <c r="I36" i="57"/>
  <c r="G36" i="57"/>
  <c r="F36" i="57"/>
  <c r="E36" i="57"/>
  <c r="D36" i="57"/>
  <c r="C36" i="57"/>
  <c r="AA36" i="57" s="1"/>
  <c r="B36" i="57"/>
  <c r="AF36" i="57" s="1"/>
  <c r="AJ35" i="57"/>
  <c r="AI35" i="57"/>
  <c r="AG35" i="57"/>
  <c r="AD35" i="57"/>
  <c r="AC35" i="57"/>
  <c r="AB35" i="57"/>
  <c r="Y35" i="57"/>
  <c r="X35" i="57"/>
  <c r="W35" i="57"/>
  <c r="V35" i="57"/>
  <c r="U35" i="57"/>
  <c r="T35" i="57"/>
  <c r="S35" i="57"/>
  <c r="R35" i="57"/>
  <c r="N35" i="57"/>
  <c r="L35" i="57"/>
  <c r="I35" i="57"/>
  <c r="G35" i="57"/>
  <c r="F35" i="57"/>
  <c r="E35" i="57"/>
  <c r="D35" i="57"/>
  <c r="C35" i="57"/>
  <c r="B35" i="57"/>
  <c r="AF35" i="57" s="1"/>
  <c r="AJ34" i="57"/>
  <c r="AI34" i="57"/>
  <c r="AD34" i="57"/>
  <c r="AC34" i="57"/>
  <c r="AB34" i="57"/>
  <c r="Y34" i="57"/>
  <c r="X34" i="57"/>
  <c r="W34" i="57"/>
  <c r="V34" i="57"/>
  <c r="U34" i="57"/>
  <c r="T34" i="57"/>
  <c r="S34" i="57"/>
  <c r="R34" i="57"/>
  <c r="N34" i="57"/>
  <c r="L34" i="57"/>
  <c r="K34" i="57"/>
  <c r="I34" i="57"/>
  <c r="H34" i="57"/>
  <c r="G34" i="57"/>
  <c r="F34" i="57"/>
  <c r="E34" i="57"/>
  <c r="D34" i="57"/>
  <c r="C34" i="57"/>
  <c r="B34" i="57"/>
  <c r="J34" i="57" s="1"/>
  <c r="AJ33" i="57"/>
  <c r="AI33" i="57"/>
  <c r="AG33" i="57"/>
  <c r="AF33" i="57"/>
  <c r="AD33" i="57"/>
  <c r="AC33" i="57"/>
  <c r="AB33" i="57"/>
  <c r="Y33" i="57"/>
  <c r="X33" i="57"/>
  <c r="W33" i="57"/>
  <c r="V33" i="57"/>
  <c r="U33" i="57"/>
  <c r="T33" i="57"/>
  <c r="S33" i="57"/>
  <c r="R33" i="57"/>
  <c r="N33" i="57"/>
  <c r="L33" i="57"/>
  <c r="K33" i="57"/>
  <c r="J33" i="57"/>
  <c r="I33" i="57"/>
  <c r="G33" i="57"/>
  <c r="F33" i="57"/>
  <c r="E33" i="57"/>
  <c r="D33" i="57"/>
  <c r="C33" i="57"/>
  <c r="Q33" i="57" s="1"/>
  <c r="B33" i="57"/>
  <c r="AJ32" i="57"/>
  <c r="AI32" i="57"/>
  <c r="AF32" i="57"/>
  <c r="AD32" i="57"/>
  <c r="AC32" i="57"/>
  <c r="AB32" i="57"/>
  <c r="Y32" i="57"/>
  <c r="X32" i="57"/>
  <c r="W32" i="57"/>
  <c r="V32" i="57"/>
  <c r="U32" i="57"/>
  <c r="T32" i="57"/>
  <c r="S32" i="57"/>
  <c r="R32" i="57"/>
  <c r="N32" i="57"/>
  <c r="L32" i="57"/>
  <c r="H32" i="57"/>
  <c r="G32" i="57"/>
  <c r="F32" i="57"/>
  <c r="E32" i="57"/>
  <c r="D32" i="57"/>
  <c r="C32" i="57"/>
  <c r="B32" i="57"/>
  <c r="Q32" i="57" s="1"/>
  <c r="AJ31" i="57"/>
  <c r="AI31" i="57"/>
  <c r="AE31" i="57"/>
  <c r="AD31" i="57"/>
  <c r="AC31" i="57"/>
  <c r="AB31" i="57"/>
  <c r="Y31" i="57"/>
  <c r="X31" i="57"/>
  <c r="W31" i="57"/>
  <c r="V31" i="57"/>
  <c r="U31" i="57"/>
  <c r="T31" i="57"/>
  <c r="S31" i="57"/>
  <c r="R31" i="57"/>
  <c r="Q31" i="57"/>
  <c r="N31" i="57"/>
  <c r="L31" i="57"/>
  <c r="G31" i="57"/>
  <c r="F31" i="57"/>
  <c r="E31" i="57"/>
  <c r="D31" i="57"/>
  <c r="C31" i="57"/>
  <c r="B31" i="57"/>
  <c r="Z31" i="57" s="1"/>
  <c r="AJ30" i="57"/>
  <c r="AI30" i="57"/>
  <c r="AD30" i="57"/>
  <c r="AC30" i="57"/>
  <c r="AB30" i="57"/>
  <c r="Y30" i="57"/>
  <c r="X30" i="57"/>
  <c r="W30" i="57"/>
  <c r="V30" i="57"/>
  <c r="U30" i="57"/>
  <c r="T30" i="57"/>
  <c r="S30" i="57"/>
  <c r="R30" i="57"/>
  <c r="N30" i="57"/>
  <c r="L30" i="57"/>
  <c r="J30" i="57"/>
  <c r="H30" i="57"/>
  <c r="G30" i="57"/>
  <c r="F30" i="57"/>
  <c r="E30" i="57"/>
  <c r="D30" i="57"/>
  <c r="C30" i="57"/>
  <c r="B30" i="57"/>
  <c r="Z30" i="57" s="1"/>
  <c r="AJ29" i="57"/>
  <c r="AI29" i="57"/>
  <c r="AD29" i="57"/>
  <c r="AC29" i="57"/>
  <c r="AB29" i="57"/>
  <c r="Y29" i="57"/>
  <c r="X29" i="57"/>
  <c r="W29" i="57"/>
  <c r="V29" i="57"/>
  <c r="U29" i="57"/>
  <c r="T29" i="57"/>
  <c r="S29" i="57"/>
  <c r="R29" i="57"/>
  <c r="N29" i="57"/>
  <c r="L29" i="57"/>
  <c r="G29" i="57"/>
  <c r="F29" i="57"/>
  <c r="E29" i="57"/>
  <c r="D29" i="57"/>
  <c r="C29" i="57"/>
  <c r="B29" i="57"/>
  <c r="Z29" i="57" s="1"/>
  <c r="AJ28" i="57"/>
  <c r="AI28" i="57"/>
  <c r="AD28" i="57"/>
  <c r="AC28" i="57"/>
  <c r="AB28" i="57"/>
  <c r="AA28" i="57"/>
  <c r="Z28" i="57"/>
  <c r="Y28" i="57"/>
  <c r="X28" i="57"/>
  <c r="W28" i="57"/>
  <c r="V28" i="57"/>
  <c r="U28" i="57"/>
  <c r="T28" i="57"/>
  <c r="S28" i="57"/>
  <c r="R28" i="57"/>
  <c r="Q28" i="57"/>
  <c r="P28" i="57"/>
  <c r="O28" i="57"/>
  <c r="N28" i="57"/>
  <c r="L28" i="57"/>
  <c r="H28" i="57"/>
  <c r="G28" i="57"/>
  <c r="F28" i="57"/>
  <c r="E28" i="57"/>
  <c r="D28" i="57"/>
  <c r="C28" i="57"/>
  <c r="B28" i="57"/>
  <c r="AF28" i="57" s="1"/>
  <c r="AJ27" i="57"/>
  <c r="AI27" i="57"/>
  <c r="AD27" i="57"/>
  <c r="AC27" i="57"/>
  <c r="AB27" i="57"/>
  <c r="Z27" i="57"/>
  <c r="Y27" i="57"/>
  <c r="X27" i="57"/>
  <c r="W27" i="57"/>
  <c r="V27" i="57"/>
  <c r="U27" i="57"/>
  <c r="T27" i="57"/>
  <c r="S27" i="57"/>
  <c r="R27" i="57"/>
  <c r="N27" i="57"/>
  <c r="L27" i="57"/>
  <c r="G27" i="57"/>
  <c r="F27" i="57"/>
  <c r="E27" i="57"/>
  <c r="D27" i="57"/>
  <c r="C27" i="57"/>
  <c r="B27" i="57"/>
  <c r="P27" i="57" s="1"/>
  <c r="AJ26" i="57"/>
  <c r="AI26" i="57"/>
  <c r="AD26" i="57"/>
  <c r="AC26" i="57"/>
  <c r="AB26" i="57"/>
  <c r="AA26" i="57"/>
  <c r="Y26" i="57"/>
  <c r="X26" i="57"/>
  <c r="W26" i="57"/>
  <c r="V26" i="57"/>
  <c r="U26" i="57"/>
  <c r="T26" i="57"/>
  <c r="S26" i="57"/>
  <c r="R26" i="57"/>
  <c r="N26" i="57"/>
  <c r="M26" i="57"/>
  <c r="L26" i="57"/>
  <c r="G26" i="57"/>
  <c r="F26" i="57"/>
  <c r="E26" i="57"/>
  <c r="D26" i="57"/>
  <c r="C26" i="57"/>
  <c r="B26" i="57"/>
  <c r="O26" i="57" s="1"/>
  <c r="AJ25" i="57"/>
  <c r="AI25" i="57"/>
  <c r="AD25" i="57"/>
  <c r="AC25" i="57"/>
  <c r="AB25" i="57"/>
  <c r="Z25" i="57"/>
  <c r="Y25" i="57"/>
  <c r="X25" i="57"/>
  <c r="W25" i="57"/>
  <c r="V25" i="57"/>
  <c r="U25" i="57"/>
  <c r="T25" i="57"/>
  <c r="S25" i="57"/>
  <c r="R25" i="57"/>
  <c r="N25" i="57"/>
  <c r="L25" i="57"/>
  <c r="K25" i="57"/>
  <c r="G25" i="57"/>
  <c r="F25" i="57"/>
  <c r="E25" i="57"/>
  <c r="D25" i="57"/>
  <c r="C25" i="57"/>
  <c r="B25" i="57"/>
  <c r="AJ24" i="57"/>
  <c r="AI24" i="57"/>
  <c r="AD24" i="57"/>
  <c r="AC24" i="57"/>
  <c r="AB24" i="57"/>
  <c r="Y24" i="57"/>
  <c r="X24" i="57"/>
  <c r="W24" i="57"/>
  <c r="V24" i="57"/>
  <c r="U24" i="57"/>
  <c r="T24" i="57"/>
  <c r="S24" i="57"/>
  <c r="R24" i="57"/>
  <c r="N24" i="57"/>
  <c r="M24" i="57"/>
  <c r="L24" i="57"/>
  <c r="K24" i="57"/>
  <c r="G24" i="57"/>
  <c r="F24" i="57"/>
  <c r="E24" i="57"/>
  <c r="D24" i="57"/>
  <c r="C24" i="57"/>
  <c r="B24" i="57"/>
  <c r="AF24" i="57" s="1"/>
  <c r="AJ23" i="57"/>
  <c r="AI23" i="57"/>
  <c r="AD23" i="57"/>
  <c r="AC23" i="57"/>
  <c r="AB23" i="57"/>
  <c r="Y23" i="57"/>
  <c r="X23" i="57"/>
  <c r="W23" i="57"/>
  <c r="V23" i="57"/>
  <c r="U23" i="57"/>
  <c r="T23" i="57"/>
  <c r="S23" i="57"/>
  <c r="R23" i="57"/>
  <c r="N23" i="57"/>
  <c r="L23" i="57"/>
  <c r="G23" i="57"/>
  <c r="F23" i="57"/>
  <c r="E23" i="57"/>
  <c r="D23" i="57"/>
  <c r="C23" i="57"/>
  <c r="O23" i="57" s="1"/>
  <c r="B23" i="57"/>
  <c r="AF23" i="57" s="1"/>
  <c r="AJ22" i="57"/>
  <c r="AI22" i="57"/>
  <c r="AD22" i="57"/>
  <c r="AC22" i="57"/>
  <c r="AB22" i="57"/>
  <c r="Y22" i="57"/>
  <c r="X22" i="57"/>
  <c r="W22" i="57"/>
  <c r="V22" i="57"/>
  <c r="U22" i="57"/>
  <c r="T22" i="57"/>
  <c r="S22" i="57"/>
  <c r="R22" i="57"/>
  <c r="N22" i="57"/>
  <c r="M22" i="57"/>
  <c r="L22" i="57"/>
  <c r="I22" i="57"/>
  <c r="H22" i="57"/>
  <c r="G22" i="57"/>
  <c r="F22" i="57"/>
  <c r="E22" i="57"/>
  <c r="D22" i="57"/>
  <c r="C22" i="57"/>
  <c r="B22" i="57"/>
  <c r="AG22" i="57" s="1"/>
  <c r="AJ21" i="57"/>
  <c r="AI21" i="57"/>
  <c r="AF21" i="57"/>
  <c r="AD21" i="57"/>
  <c r="AC21" i="57"/>
  <c r="AB21" i="57"/>
  <c r="Y21" i="57"/>
  <c r="X21" i="57"/>
  <c r="W21" i="57"/>
  <c r="V21" i="57"/>
  <c r="U21" i="57"/>
  <c r="T21" i="57"/>
  <c r="S21" i="57"/>
  <c r="R21" i="57"/>
  <c r="N21" i="57"/>
  <c r="L21" i="57"/>
  <c r="G21" i="57"/>
  <c r="F21" i="57"/>
  <c r="E21" i="57"/>
  <c r="D21" i="57"/>
  <c r="C21" i="57"/>
  <c r="B21" i="57"/>
  <c r="P21" i="57" s="1"/>
  <c r="AJ20" i="57"/>
  <c r="AI20" i="57"/>
  <c r="AD20" i="57"/>
  <c r="AC20" i="57"/>
  <c r="AB20" i="57"/>
  <c r="Y20" i="57"/>
  <c r="X20" i="57"/>
  <c r="W20" i="57"/>
  <c r="V20" i="57"/>
  <c r="U20" i="57"/>
  <c r="T20" i="57"/>
  <c r="S20" i="57"/>
  <c r="R20" i="57"/>
  <c r="N20" i="57"/>
  <c r="L20" i="57"/>
  <c r="G20" i="57"/>
  <c r="F20" i="57"/>
  <c r="E20" i="57"/>
  <c r="D20" i="57"/>
  <c r="C20" i="57"/>
  <c r="B20" i="57"/>
  <c r="K20" i="57" s="1"/>
  <c r="AJ19" i="57"/>
  <c r="AI19" i="57"/>
  <c r="AF19" i="57"/>
  <c r="AE19" i="57"/>
  <c r="AD19" i="57"/>
  <c r="AC19" i="57"/>
  <c r="AB19" i="57"/>
  <c r="Y19" i="57"/>
  <c r="X19" i="57"/>
  <c r="W19" i="57"/>
  <c r="V19" i="57"/>
  <c r="U19" i="57"/>
  <c r="T19" i="57"/>
  <c r="S19" i="57"/>
  <c r="R19" i="57"/>
  <c r="N19" i="57"/>
  <c r="L19" i="57"/>
  <c r="K19" i="57"/>
  <c r="J19" i="57"/>
  <c r="I19" i="57"/>
  <c r="H19" i="57"/>
  <c r="G19" i="57"/>
  <c r="F19" i="57"/>
  <c r="E19" i="57"/>
  <c r="D19" i="57"/>
  <c r="C19" i="57"/>
  <c r="AA19" i="57" s="1"/>
  <c r="B19" i="57"/>
  <c r="Z19" i="57" s="1"/>
  <c r="AJ18" i="57"/>
  <c r="AI18" i="57"/>
  <c r="AD18" i="57"/>
  <c r="AC18" i="57"/>
  <c r="AB18" i="57"/>
  <c r="Y18" i="57"/>
  <c r="X18" i="57"/>
  <c r="W18" i="57"/>
  <c r="V18" i="57"/>
  <c r="U18" i="57"/>
  <c r="T18" i="57"/>
  <c r="S18" i="57"/>
  <c r="R18" i="57"/>
  <c r="N18" i="57"/>
  <c r="L18" i="57"/>
  <c r="H18" i="57"/>
  <c r="G18" i="57"/>
  <c r="F18" i="57"/>
  <c r="E18" i="57"/>
  <c r="D18" i="57"/>
  <c r="C18" i="57"/>
  <c r="B18" i="57"/>
  <c r="Z18" i="57" s="1"/>
  <c r="AJ17" i="57"/>
  <c r="AI17" i="57"/>
  <c r="AG17" i="57"/>
  <c r="AD17" i="57"/>
  <c r="AC17" i="57"/>
  <c r="AB17" i="57"/>
  <c r="Y17" i="57"/>
  <c r="X17" i="57"/>
  <c r="W17" i="57"/>
  <c r="V17" i="57"/>
  <c r="U17" i="57"/>
  <c r="T17" i="57"/>
  <c r="S17" i="57"/>
  <c r="R17" i="57"/>
  <c r="N17" i="57"/>
  <c r="L17" i="57"/>
  <c r="G17" i="57"/>
  <c r="F17" i="57"/>
  <c r="E17" i="57"/>
  <c r="D17" i="57"/>
  <c r="C17" i="57"/>
  <c r="B17" i="57"/>
  <c r="K17" i="57" s="1"/>
  <c r="AJ16" i="57"/>
  <c r="AI16" i="57"/>
  <c r="AD16" i="57"/>
  <c r="AC16" i="57"/>
  <c r="AB16" i="57"/>
  <c r="Y16" i="57"/>
  <c r="X16" i="57"/>
  <c r="W16" i="57"/>
  <c r="V16" i="57"/>
  <c r="U16" i="57"/>
  <c r="T16" i="57"/>
  <c r="S16" i="57"/>
  <c r="R16" i="57"/>
  <c r="N16" i="57"/>
  <c r="L16" i="57"/>
  <c r="G16" i="57"/>
  <c r="F16" i="57"/>
  <c r="E16" i="57"/>
  <c r="D16" i="57"/>
  <c r="C16" i="57"/>
  <c r="B16" i="57"/>
  <c r="Q16" i="57" s="1"/>
  <c r="AJ15" i="57"/>
  <c r="AI15" i="57"/>
  <c r="AD15" i="57"/>
  <c r="AC15" i="57"/>
  <c r="AB15" i="57"/>
  <c r="Y15" i="57"/>
  <c r="X15" i="57"/>
  <c r="W15" i="57"/>
  <c r="V15" i="57"/>
  <c r="U15" i="57"/>
  <c r="T15" i="57"/>
  <c r="S15" i="57"/>
  <c r="R15" i="57"/>
  <c r="N15" i="57"/>
  <c r="L15" i="57"/>
  <c r="G15" i="57"/>
  <c r="F15" i="57"/>
  <c r="E15" i="57"/>
  <c r="D15" i="57"/>
  <c r="C15" i="57"/>
  <c r="B15" i="57"/>
  <c r="AA15" i="57" s="1"/>
  <c r="AJ14" i="57"/>
  <c r="AI14" i="57"/>
  <c r="AD14" i="57"/>
  <c r="AC14" i="57"/>
  <c r="AB14" i="57"/>
  <c r="Y14" i="57"/>
  <c r="X14" i="57"/>
  <c r="W14" i="57"/>
  <c r="V14" i="57"/>
  <c r="U14" i="57"/>
  <c r="T14" i="57"/>
  <c r="S14" i="57"/>
  <c r="R14" i="57"/>
  <c r="N14" i="57"/>
  <c r="L14" i="57"/>
  <c r="G14" i="57"/>
  <c r="F14" i="57"/>
  <c r="E14" i="57"/>
  <c r="D14" i="57"/>
  <c r="C14" i="57"/>
  <c r="B14" i="57"/>
  <c r="AJ13" i="57"/>
  <c r="AI13" i="57"/>
  <c r="AE13" i="57"/>
  <c r="AD13" i="57"/>
  <c r="AC13" i="57"/>
  <c r="AB13" i="57"/>
  <c r="Y13" i="57"/>
  <c r="X13" i="57"/>
  <c r="W13" i="57"/>
  <c r="V13" i="57"/>
  <c r="U13" i="57"/>
  <c r="T13" i="57"/>
  <c r="S13" i="57"/>
  <c r="R13" i="57"/>
  <c r="N13" i="57"/>
  <c r="L13" i="57"/>
  <c r="G13" i="57"/>
  <c r="F13" i="57"/>
  <c r="E13" i="57"/>
  <c r="D13" i="57"/>
  <c r="C13" i="57"/>
  <c r="B13" i="57"/>
  <c r="AA13" i="57" s="1"/>
  <c r="AJ12" i="57"/>
  <c r="AI12" i="57"/>
  <c r="AD12" i="57"/>
  <c r="AC12" i="57"/>
  <c r="AB12" i="57"/>
  <c r="Y12" i="57"/>
  <c r="X12" i="57"/>
  <c r="W12" i="57"/>
  <c r="V12" i="57"/>
  <c r="U12" i="57"/>
  <c r="T12" i="57"/>
  <c r="S12" i="57"/>
  <c r="R12" i="57"/>
  <c r="N12" i="57"/>
  <c r="L12" i="57"/>
  <c r="G12" i="57"/>
  <c r="F12" i="57"/>
  <c r="E12" i="57"/>
  <c r="D12" i="57"/>
  <c r="C12" i="57"/>
  <c r="B12" i="57"/>
  <c r="M12" i="57" s="1"/>
  <c r="AJ11" i="57"/>
  <c r="AI11" i="57"/>
  <c r="AD11" i="57"/>
  <c r="AC11" i="57"/>
  <c r="AB11" i="57"/>
  <c r="Z11" i="57"/>
  <c r="Y11" i="57"/>
  <c r="X11" i="57"/>
  <c r="W11" i="57"/>
  <c r="V11" i="57"/>
  <c r="U11" i="57"/>
  <c r="T11" i="57"/>
  <c r="S11" i="57"/>
  <c r="R11" i="57"/>
  <c r="N11" i="57"/>
  <c r="M11" i="57"/>
  <c r="L11" i="57"/>
  <c r="K11" i="57"/>
  <c r="I11" i="57"/>
  <c r="H11" i="57"/>
  <c r="G11" i="57"/>
  <c r="F11" i="57"/>
  <c r="E11" i="57"/>
  <c r="D11" i="57"/>
  <c r="C11" i="57"/>
  <c r="O11" i="57" s="1"/>
  <c r="B11" i="57"/>
  <c r="AG11" i="57" s="1"/>
  <c r="AJ10" i="57"/>
  <c r="AI10" i="57"/>
  <c r="AD10" i="57"/>
  <c r="AC10" i="57"/>
  <c r="AB10" i="57"/>
  <c r="Y10" i="57"/>
  <c r="X10" i="57"/>
  <c r="W10" i="57"/>
  <c r="V10" i="57"/>
  <c r="U10" i="57"/>
  <c r="T10" i="57"/>
  <c r="S10" i="57"/>
  <c r="R10" i="57"/>
  <c r="N10" i="57"/>
  <c r="L10" i="57"/>
  <c r="G10" i="57"/>
  <c r="F10" i="57"/>
  <c r="E10" i="57"/>
  <c r="D10" i="57"/>
  <c r="C10" i="57"/>
  <c r="B10" i="57"/>
  <c r="M10" i="57" s="1"/>
  <c r="AJ9" i="57"/>
  <c r="AI9" i="57"/>
  <c r="AG9" i="57"/>
  <c r="AF9" i="57"/>
  <c r="AE9" i="57"/>
  <c r="AD9" i="57"/>
  <c r="AC9" i="57"/>
  <c r="AB9" i="57"/>
  <c r="AA9" i="57"/>
  <c r="Y9" i="57"/>
  <c r="X9" i="57"/>
  <c r="W9" i="57"/>
  <c r="V9" i="57"/>
  <c r="U9" i="57"/>
  <c r="T9" i="57"/>
  <c r="S9" i="57"/>
  <c r="R9" i="57"/>
  <c r="N9" i="57"/>
  <c r="L9" i="57"/>
  <c r="K9" i="57"/>
  <c r="J9" i="57"/>
  <c r="I9" i="57"/>
  <c r="G9" i="57"/>
  <c r="F9" i="57"/>
  <c r="E9" i="57"/>
  <c r="D9" i="57"/>
  <c r="C9" i="57"/>
  <c r="O9" i="57" s="1"/>
  <c r="B9" i="57"/>
  <c r="M9" i="57" s="1"/>
  <c r="AJ8" i="57"/>
  <c r="AI8" i="57"/>
  <c r="AE8" i="57"/>
  <c r="AD8" i="57"/>
  <c r="AC8" i="57"/>
  <c r="AB8" i="57"/>
  <c r="Z8" i="57"/>
  <c r="Y8" i="57"/>
  <c r="X8" i="57"/>
  <c r="W8" i="57"/>
  <c r="V8" i="57"/>
  <c r="U8" i="57"/>
  <c r="T8" i="57"/>
  <c r="S8" i="57"/>
  <c r="R8" i="57"/>
  <c r="N8" i="57"/>
  <c r="M8" i="57"/>
  <c r="L8" i="57"/>
  <c r="K8" i="57"/>
  <c r="J8" i="57"/>
  <c r="I8" i="57"/>
  <c r="H8" i="57"/>
  <c r="G8" i="57"/>
  <c r="F8" i="57"/>
  <c r="E8" i="57"/>
  <c r="D8" i="57"/>
  <c r="C8" i="57"/>
  <c r="P8" i="57" s="1"/>
  <c r="B8" i="57"/>
  <c r="AJ7" i="57"/>
  <c r="AI7" i="57"/>
  <c r="AG7" i="57"/>
  <c r="AF7" i="57"/>
  <c r="AD7" i="57"/>
  <c r="AC7" i="57"/>
  <c r="AB7" i="57"/>
  <c r="Y7" i="57"/>
  <c r="X7" i="57"/>
  <c r="W7" i="57"/>
  <c r="V7" i="57"/>
  <c r="U7" i="57"/>
  <c r="T7" i="57"/>
  <c r="S7" i="57"/>
  <c r="R7" i="57"/>
  <c r="N7" i="57"/>
  <c r="L7" i="57"/>
  <c r="K7" i="57"/>
  <c r="J7" i="57"/>
  <c r="I7" i="57"/>
  <c r="G7" i="57"/>
  <c r="F7" i="57"/>
  <c r="E7" i="57"/>
  <c r="D7" i="57"/>
  <c r="C7" i="57"/>
  <c r="O7" i="57" s="1"/>
  <c r="B7" i="57"/>
  <c r="Z7" i="57" s="1"/>
  <c r="AJ6" i="57"/>
  <c r="AI6" i="57"/>
  <c r="AF6" i="57"/>
  <c r="AD6" i="57"/>
  <c r="AC6" i="57"/>
  <c r="AB6" i="57"/>
  <c r="Z6" i="57"/>
  <c r="Y6" i="57"/>
  <c r="X6" i="57"/>
  <c r="W6" i="57"/>
  <c r="V6" i="57"/>
  <c r="U6" i="57"/>
  <c r="T6" i="57"/>
  <c r="S6" i="57"/>
  <c r="R6" i="57"/>
  <c r="N6" i="57"/>
  <c r="L6" i="57"/>
  <c r="K6" i="57"/>
  <c r="J6" i="57"/>
  <c r="I6" i="57"/>
  <c r="G6" i="57"/>
  <c r="F6" i="57"/>
  <c r="E6" i="57"/>
  <c r="D6" i="57"/>
  <c r="C6" i="57"/>
  <c r="B6" i="57"/>
  <c r="M6" i="57" s="1"/>
  <c r="AJ5" i="57"/>
  <c r="AI5" i="57"/>
  <c r="AG5" i="57"/>
  <c r="AF5" i="57"/>
  <c r="AE5" i="57"/>
  <c r="AD5" i="57"/>
  <c r="AC5" i="57"/>
  <c r="AB5" i="57"/>
  <c r="Y5" i="57"/>
  <c r="X5" i="57"/>
  <c r="W5" i="57"/>
  <c r="V5" i="57"/>
  <c r="U5" i="57"/>
  <c r="T5" i="57"/>
  <c r="S5" i="57"/>
  <c r="R5" i="57"/>
  <c r="Q5" i="57"/>
  <c r="N5" i="57"/>
  <c r="M5" i="57"/>
  <c r="L5" i="57"/>
  <c r="K5" i="57"/>
  <c r="J5" i="57"/>
  <c r="I5" i="57"/>
  <c r="H5" i="57"/>
  <c r="G5" i="57"/>
  <c r="F5" i="57"/>
  <c r="E5" i="57"/>
  <c r="D5" i="57"/>
  <c r="C5" i="57"/>
  <c r="AA5" i="57" s="1"/>
  <c r="B5" i="57"/>
  <c r="Z5" i="57" s="1"/>
  <c r="AJ4" i="57"/>
  <c r="AI4" i="57"/>
  <c r="AD4" i="57"/>
  <c r="AC4" i="57"/>
  <c r="AB4" i="57"/>
  <c r="Y4" i="57"/>
  <c r="X4" i="57"/>
  <c r="W4" i="57"/>
  <c r="V4" i="57"/>
  <c r="U4" i="57"/>
  <c r="T4" i="57"/>
  <c r="S4" i="57"/>
  <c r="R4" i="57"/>
  <c r="N4" i="57"/>
  <c r="L4" i="57"/>
  <c r="K4" i="57"/>
  <c r="I4" i="57"/>
  <c r="G4" i="57"/>
  <c r="F4" i="57"/>
  <c r="E4" i="57"/>
  <c r="D4" i="57"/>
  <c r="C4" i="57"/>
  <c r="AA4" i="57" s="1"/>
  <c r="B4" i="57"/>
  <c r="Z4" i="57" s="1"/>
  <c r="AJ3" i="57"/>
  <c r="AI3" i="57"/>
  <c r="AF3" i="57"/>
  <c r="AD3" i="57"/>
  <c r="AC3" i="57"/>
  <c r="AB3" i="57"/>
  <c r="Y3" i="57"/>
  <c r="X3" i="57"/>
  <c r="W3" i="57"/>
  <c r="V3" i="57"/>
  <c r="U3" i="57"/>
  <c r="T3" i="57"/>
  <c r="S3" i="57"/>
  <c r="R3" i="57"/>
  <c r="P3" i="57"/>
  <c r="N3" i="57"/>
  <c r="L3" i="57"/>
  <c r="G3" i="57"/>
  <c r="F3" i="57"/>
  <c r="E3" i="57"/>
  <c r="D3" i="57"/>
  <c r="C3" i="57"/>
  <c r="B3" i="57"/>
  <c r="Q3" i="57" s="1"/>
  <c r="AJ2" i="57"/>
  <c r="AI2" i="57"/>
  <c r="AD2" i="57"/>
  <c r="AC2" i="57"/>
  <c r="AB2" i="57"/>
  <c r="Y2" i="57"/>
  <c r="X2" i="57"/>
  <c r="W2" i="57"/>
  <c r="V2" i="57"/>
  <c r="U2" i="57"/>
  <c r="T2" i="57"/>
  <c r="S2" i="57"/>
  <c r="R2" i="57"/>
  <c r="N2" i="57"/>
  <c r="L2" i="57"/>
  <c r="G2" i="57"/>
  <c r="F2" i="57"/>
  <c r="E2" i="57"/>
  <c r="D2" i="57"/>
  <c r="C2" i="57"/>
  <c r="B2" i="57"/>
  <c r="P2" i="57" s="1"/>
  <c r="AJ84" i="56"/>
  <c r="AI84" i="56"/>
  <c r="AD84" i="56"/>
  <c r="AC84" i="56"/>
  <c r="AB84" i="56"/>
  <c r="Y84" i="56"/>
  <c r="X84" i="56"/>
  <c r="W84" i="56"/>
  <c r="V84" i="56"/>
  <c r="U84" i="56"/>
  <c r="T84" i="56"/>
  <c r="S84" i="56"/>
  <c r="R84" i="56"/>
  <c r="N84" i="56"/>
  <c r="L84" i="56"/>
  <c r="G84" i="56"/>
  <c r="F84" i="56"/>
  <c r="E84" i="56"/>
  <c r="D84" i="56"/>
  <c r="C84" i="56"/>
  <c r="B84" i="56"/>
  <c r="AG84" i="56" s="1"/>
  <c r="AJ83" i="56"/>
  <c r="AI83" i="56"/>
  <c r="AD83" i="56"/>
  <c r="AC83" i="56"/>
  <c r="AB83" i="56"/>
  <c r="Y83" i="56"/>
  <c r="X83" i="56"/>
  <c r="W83" i="56"/>
  <c r="V83" i="56"/>
  <c r="U83" i="56"/>
  <c r="T83" i="56"/>
  <c r="S83" i="56"/>
  <c r="R83" i="56"/>
  <c r="N83" i="56"/>
  <c r="L83" i="56"/>
  <c r="G83" i="56"/>
  <c r="F83" i="56"/>
  <c r="E83" i="56"/>
  <c r="D83" i="56"/>
  <c r="C83" i="56"/>
  <c r="B83" i="56"/>
  <c r="AF83" i="56" s="1"/>
  <c r="AJ82" i="56"/>
  <c r="AI82" i="56"/>
  <c r="AD82" i="56"/>
  <c r="AC82" i="56"/>
  <c r="AB82" i="56"/>
  <c r="Y82" i="56"/>
  <c r="X82" i="56"/>
  <c r="W82" i="56"/>
  <c r="V82" i="56"/>
  <c r="U82" i="56"/>
  <c r="T82" i="56"/>
  <c r="S82" i="56"/>
  <c r="R82" i="56"/>
  <c r="N82" i="56"/>
  <c r="L82" i="56"/>
  <c r="I82" i="56"/>
  <c r="G82" i="56"/>
  <c r="F82" i="56"/>
  <c r="E82" i="56"/>
  <c r="D82" i="56"/>
  <c r="C82" i="56"/>
  <c r="B82" i="56"/>
  <c r="AE82" i="56" s="1"/>
  <c r="AJ81" i="56"/>
  <c r="AI81" i="56"/>
  <c r="AF81" i="56"/>
  <c r="AD81" i="56"/>
  <c r="AC81" i="56"/>
  <c r="AB81" i="56"/>
  <c r="Y81" i="56"/>
  <c r="X81" i="56"/>
  <c r="W81" i="56"/>
  <c r="V81" i="56"/>
  <c r="U81" i="56"/>
  <c r="T81" i="56"/>
  <c r="S81" i="56"/>
  <c r="R81" i="56"/>
  <c r="N81" i="56"/>
  <c r="L81" i="56"/>
  <c r="G81" i="56"/>
  <c r="F81" i="56"/>
  <c r="E81" i="56"/>
  <c r="D81" i="56"/>
  <c r="C81" i="56"/>
  <c r="Q81" i="56" s="1"/>
  <c r="B81" i="56"/>
  <c r="Z81" i="56" s="1"/>
  <c r="AJ80" i="56"/>
  <c r="AI80" i="56"/>
  <c r="AD80" i="56"/>
  <c r="AC80" i="56"/>
  <c r="AB80" i="56"/>
  <c r="Y80" i="56"/>
  <c r="X80" i="56"/>
  <c r="W80" i="56"/>
  <c r="V80" i="56"/>
  <c r="U80" i="56"/>
  <c r="T80" i="56"/>
  <c r="S80" i="56"/>
  <c r="R80" i="56"/>
  <c r="N80" i="56"/>
  <c r="L80" i="56"/>
  <c r="G80" i="56"/>
  <c r="F80" i="56"/>
  <c r="E80" i="56"/>
  <c r="D80" i="56"/>
  <c r="C80" i="56"/>
  <c r="B80" i="56"/>
  <c r="AF80" i="56" s="1"/>
  <c r="AJ79" i="56"/>
  <c r="AI79" i="56"/>
  <c r="AD79" i="56"/>
  <c r="AC79" i="56"/>
  <c r="AB79" i="56"/>
  <c r="Y79" i="56"/>
  <c r="X79" i="56"/>
  <c r="W79" i="56"/>
  <c r="V79" i="56"/>
  <c r="U79" i="56"/>
  <c r="T79" i="56"/>
  <c r="S79" i="56"/>
  <c r="R79" i="56"/>
  <c r="N79" i="56"/>
  <c r="L79" i="56"/>
  <c r="K79" i="56"/>
  <c r="G79" i="56"/>
  <c r="F79" i="56"/>
  <c r="E79" i="56"/>
  <c r="D79" i="56"/>
  <c r="C79" i="56"/>
  <c r="P79" i="56" s="1"/>
  <c r="B79" i="56"/>
  <c r="Z79" i="56" s="1"/>
  <c r="AJ78" i="56"/>
  <c r="AI78" i="56"/>
  <c r="AE78" i="56"/>
  <c r="AD78" i="56"/>
  <c r="AC78" i="56"/>
  <c r="AB78" i="56"/>
  <c r="Y78" i="56"/>
  <c r="X78" i="56"/>
  <c r="W78" i="56"/>
  <c r="V78" i="56"/>
  <c r="U78" i="56"/>
  <c r="T78" i="56"/>
  <c r="S78" i="56"/>
  <c r="R78" i="56"/>
  <c r="Q78" i="56"/>
  <c r="N78" i="56"/>
  <c r="L78" i="56"/>
  <c r="G78" i="56"/>
  <c r="F78" i="56"/>
  <c r="E78" i="56"/>
  <c r="D78" i="56"/>
  <c r="C78" i="56"/>
  <c r="B78" i="56"/>
  <c r="J78" i="56" s="1"/>
  <c r="AJ77" i="56"/>
  <c r="AI77" i="56"/>
  <c r="AD77" i="56"/>
  <c r="AC77" i="56"/>
  <c r="AB77" i="56"/>
  <c r="Y77" i="56"/>
  <c r="X77" i="56"/>
  <c r="W77" i="56"/>
  <c r="V77" i="56"/>
  <c r="U77" i="56"/>
  <c r="T77" i="56"/>
  <c r="S77" i="56"/>
  <c r="R77" i="56"/>
  <c r="N77" i="56"/>
  <c r="L77" i="56"/>
  <c r="G77" i="56"/>
  <c r="F77" i="56"/>
  <c r="E77" i="56"/>
  <c r="D77" i="56"/>
  <c r="C77" i="56"/>
  <c r="Q77" i="56" s="1"/>
  <c r="B77" i="56"/>
  <c r="Z77" i="56" s="1"/>
  <c r="AJ76" i="56"/>
  <c r="AI76" i="56"/>
  <c r="AD76" i="56"/>
  <c r="AC76" i="56"/>
  <c r="AB76" i="56"/>
  <c r="Y76" i="56"/>
  <c r="X76" i="56"/>
  <c r="W76" i="56"/>
  <c r="V76" i="56"/>
  <c r="U76" i="56"/>
  <c r="T76" i="56"/>
  <c r="S76" i="56"/>
  <c r="R76" i="56"/>
  <c r="N76" i="56"/>
  <c r="L76" i="56"/>
  <c r="G76" i="56"/>
  <c r="F76" i="56"/>
  <c r="E76" i="56"/>
  <c r="D76" i="56"/>
  <c r="C76" i="56"/>
  <c r="B76" i="56"/>
  <c r="AJ75" i="56"/>
  <c r="AI75" i="56"/>
  <c r="AD75" i="56"/>
  <c r="AC75" i="56"/>
  <c r="AB75" i="56"/>
  <c r="Y75" i="56"/>
  <c r="X75" i="56"/>
  <c r="W75" i="56"/>
  <c r="V75" i="56"/>
  <c r="U75" i="56"/>
  <c r="T75" i="56"/>
  <c r="S75" i="56"/>
  <c r="R75" i="56"/>
  <c r="N75" i="56"/>
  <c r="L75" i="56"/>
  <c r="G75" i="56"/>
  <c r="F75" i="56"/>
  <c r="E75" i="56"/>
  <c r="D75" i="56"/>
  <c r="C75" i="56"/>
  <c r="B75" i="56"/>
  <c r="AJ74" i="56"/>
  <c r="AI74" i="56"/>
  <c r="AD74" i="56"/>
  <c r="AC74" i="56"/>
  <c r="AB74" i="56"/>
  <c r="Y74" i="56"/>
  <c r="X74" i="56"/>
  <c r="W74" i="56"/>
  <c r="V74" i="56"/>
  <c r="U74" i="56"/>
  <c r="T74" i="56"/>
  <c r="S74" i="56"/>
  <c r="R74" i="56"/>
  <c r="N74" i="56"/>
  <c r="L74" i="56"/>
  <c r="G74" i="56"/>
  <c r="F74" i="56"/>
  <c r="E74" i="56"/>
  <c r="D74" i="56"/>
  <c r="C74" i="56"/>
  <c r="O74" i="56" s="1"/>
  <c r="B74" i="56"/>
  <c r="Z74" i="56" s="1"/>
  <c r="AJ73" i="56"/>
  <c r="AI73" i="56"/>
  <c r="AD73" i="56"/>
  <c r="AC73" i="56"/>
  <c r="AB73" i="56"/>
  <c r="Y73" i="56"/>
  <c r="X73" i="56"/>
  <c r="W73" i="56"/>
  <c r="V73" i="56"/>
  <c r="U73" i="56"/>
  <c r="T73" i="56"/>
  <c r="S73" i="56"/>
  <c r="R73" i="56"/>
  <c r="N73" i="56"/>
  <c r="L73" i="56"/>
  <c r="G73" i="56"/>
  <c r="F73" i="56"/>
  <c r="E73" i="56"/>
  <c r="D73" i="56"/>
  <c r="C73" i="56"/>
  <c r="B73" i="56"/>
  <c r="AJ72" i="56"/>
  <c r="AI72" i="56"/>
  <c r="AD72" i="56"/>
  <c r="AC72" i="56"/>
  <c r="AB72" i="56"/>
  <c r="Y72" i="56"/>
  <c r="X72" i="56"/>
  <c r="W72" i="56"/>
  <c r="V72" i="56"/>
  <c r="U72" i="56"/>
  <c r="T72" i="56"/>
  <c r="S72" i="56"/>
  <c r="R72" i="56"/>
  <c r="N72" i="56"/>
  <c r="L72" i="56"/>
  <c r="G72" i="56"/>
  <c r="F72" i="56"/>
  <c r="E72" i="56"/>
  <c r="D72" i="56"/>
  <c r="C72" i="56"/>
  <c r="AA72" i="56" s="1"/>
  <c r="B72" i="56"/>
  <c r="AE72" i="56" s="1"/>
  <c r="AJ71" i="56"/>
  <c r="AI71" i="56"/>
  <c r="AD71" i="56"/>
  <c r="AC71" i="56"/>
  <c r="AB71" i="56"/>
  <c r="Y71" i="56"/>
  <c r="X71" i="56"/>
  <c r="W71" i="56"/>
  <c r="V71" i="56"/>
  <c r="U71" i="56"/>
  <c r="T71" i="56"/>
  <c r="S71" i="56"/>
  <c r="R71" i="56"/>
  <c r="N71" i="56"/>
  <c r="L71" i="56"/>
  <c r="I71" i="56"/>
  <c r="G71" i="56"/>
  <c r="F71" i="56"/>
  <c r="E71" i="56"/>
  <c r="D71" i="56"/>
  <c r="C71" i="56"/>
  <c r="B71" i="56"/>
  <c r="AJ70" i="56"/>
  <c r="AI70" i="56"/>
  <c r="AF70" i="56"/>
  <c r="AD70" i="56"/>
  <c r="AC70" i="56"/>
  <c r="AB70" i="56"/>
  <c r="Y70" i="56"/>
  <c r="X70" i="56"/>
  <c r="W70" i="56"/>
  <c r="V70" i="56"/>
  <c r="U70" i="56"/>
  <c r="T70" i="56"/>
  <c r="S70" i="56"/>
  <c r="R70" i="56"/>
  <c r="N70" i="56"/>
  <c r="L70" i="56"/>
  <c r="K70" i="56"/>
  <c r="G70" i="56"/>
  <c r="F70" i="56"/>
  <c r="E70" i="56"/>
  <c r="D70" i="56"/>
  <c r="C70" i="56"/>
  <c r="B70" i="56"/>
  <c r="AG70" i="56" s="1"/>
  <c r="AJ69" i="56"/>
  <c r="AI69" i="56"/>
  <c r="AD69" i="56"/>
  <c r="AC69" i="56"/>
  <c r="AB69" i="56"/>
  <c r="Y69" i="56"/>
  <c r="X69" i="56"/>
  <c r="W69" i="56"/>
  <c r="V69" i="56"/>
  <c r="U69" i="56"/>
  <c r="T69" i="56"/>
  <c r="S69" i="56"/>
  <c r="R69" i="56"/>
  <c r="N69" i="56"/>
  <c r="L69" i="56"/>
  <c r="I69" i="56"/>
  <c r="H69" i="56"/>
  <c r="G69" i="56"/>
  <c r="F69" i="56"/>
  <c r="E69" i="56"/>
  <c r="D69" i="56"/>
  <c r="C69" i="56"/>
  <c r="AA69" i="56" s="1"/>
  <c r="B69" i="56"/>
  <c r="AE69" i="56" s="1"/>
  <c r="AJ68" i="56"/>
  <c r="AI68" i="56"/>
  <c r="AF68" i="56"/>
  <c r="AD68" i="56"/>
  <c r="AC68" i="56"/>
  <c r="AB68" i="56"/>
  <c r="Y68" i="56"/>
  <c r="X68" i="56"/>
  <c r="W68" i="56"/>
  <c r="V68" i="56"/>
  <c r="U68" i="56"/>
  <c r="T68" i="56"/>
  <c r="S68" i="56"/>
  <c r="R68" i="56"/>
  <c r="P68" i="56"/>
  <c r="N68" i="56"/>
  <c r="L68" i="56"/>
  <c r="G68" i="56"/>
  <c r="F68" i="56"/>
  <c r="E68" i="56"/>
  <c r="D68" i="56"/>
  <c r="C68" i="56"/>
  <c r="B68" i="56"/>
  <c r="I68" i="56" s="1"/>
  <c r="AJ67" i="56"/>
  <c r="AI67" i="56"/>
  <c r="AG67" i="56"/>
  <c r="AD67" i="56"/>
  <c r="AC67" i="56"/>
  <c r="AB67" i="56"/>
  <c r="Y67" i="56"/>
  <c r="X67" i="56"/>
  <c r="W67" i="56"/>
  <c r="V67" i="56"/>
  <c r="U67" i="56"/>
  <c r="T67" i="56"/>
  <c r="S67" i="56"/>
  <c r="R67" i="56"/>
  <c r="N67" i="56"/>
  <c r="L67" i="56"/>
  <c r="G67" i="56"/>
  <c r="F67" i="56"/>
  <c r="E67" i="56"/>
  <c r="D67" i="56"/>
  <c r="C67" i="56"/>
  <c r="B67" i="56"/>
  <c r="Z67" i="56" s="1"/>
  <c r="AJ66" i="56"/>
  <c r="AI66" i="56"/>
  <c r="AD66" i="56"/>
  <c r="AC66" i="56"/>
  <c r="AB66" i="56"/>
  <c r="Y66" i="56"/>
  <c r="X66" i="56"/>
  <c r="W66" i="56"/>
  <c r="V66" i="56"/>
  <c r="U66" i="56"/>
  <c r="T66" i="56"/>
  <c r="S66" i="56"/>
  <c r="R66" i="56"/>
  <c r="N66" i="56"/>
  <c r="L66" i="56"/>
  <c r="G66" i="56"/>
  <c r="F66" i="56"/>
  <c r="E66" i="56"/>
  <c r="D66" i="56"/>
  <c r="C66" i="56"/>
  <c r="B66" i="56"/>
  <c r="Z66" i="56" s="1"/>
  <c r="AJ65" i="56"/>
  <c r="AI65" i="56"/>
  <c r="AG65" i="56"/>
  <c r="AD65" i="56"/>
  <c r="AC65" i="56"/>
  <c r="AB65" i="56"/>
  <c r="Y65" i="56"/>
  <c r="X65" i="56"/>
  <c r="W65" i="56"/>
  <c r="V65" i="56"/>
  <c r="U65" i="56"/>
  <c r="T65" i="56"/>
  <c r="S65" i="56"/>
  <c r="R65" i="56"/>
  <c r="N65" i="56"/>
  <c r="L65" i="56"/>
  <c r="G65" i="56"/>
  <c r="F65" i="56"/>
  <c r="E65" i="56"/>
  <c r="D65" i="56"/>
  <c r="C65" i="56"/>
  <c r="Q65" i="56" s="1"/>
  <c r="B65" i="56"/>
  <c r="Z65" i="56" s="1"/>
  <c r="AJ64" i="56"/>
  <c r="AI64" i="56"/>
  <c r="AD64" i="56"/>
  <c r="AC64" i="56"/>
  <c r="AB64" i="56"/>
  <c r="Y64" i="56"/>
  <c r="X64" i="56"/>
  <c r="W64" i="56"/>
  <c r="V64" i="56"/>
  <c r="U64" i="56"/>
  <c r="T64" i="56"/>
  <c r="S64" i="56"/>
  <c r="R64" i="56"/>
  <c r="N64" i="56"/>
  <c r="L64" i="56"/>
  <c r="G64" i="56"/>
  <c r="F64" i="56"/>
  <c r="E64" i="56"/>
  <c r="D64" i="56"/>
  <c r="C64" i="56"/>
  <c r="B64" i="56"/>
  <c r="AJ63" i="56"/>
  <c r="AI63" i="56"/>
  <c r="AD63" i="56"/>
  <c r="AC63" i="56"/>
  <c r="AB63" i="56"/>
  <c r="Y63" i="56"/>
  <c r="X63" i="56"/>
  <c r="W63" i="56"/>
  <c r="V63" i="56"/>
  <c r="U63" i="56"/>
  <c r="T63" i="56"/>
  <c r="S63" i="56"/>
  <c r="R63" i="56"/>
  <c r="N63" i="56"/>
  <c r="L63" i="56"/>
  <c r="G63" i="56"/>
  <c r="F63" i="56"/>
  <c r="E63" i="56"/>
  <c r="D63" i="56"/>
  <c r="C63" i="56"/>
  <c r="B63" i="56"/>
  <c r="Z63" i="56" s="1"/>
  <c r="AJ62" i="56"/>
  <c r="AI62" i="56"/>
  <c r="AD62" i="56"/>
  <c r="AC62" i="56"/>
  <c r="AB62" i="56"/>
  <c r="Y62" i="56"/>
  <c r="X62" i="56"/>
  <c r="W62" i="56"/>
  <c r="V62" i="56"/>
  <c r="U62" i="56"/>
  <c r="T62" i="56"/>
  <c r="S62" i="56"/>
  <c r="R62" i="56"/>
  <c r="N62" i="56"/>
  <c r="L62" i="56"/>
  <c r="G62" i="56"/>
  <c r="F62" i="56"/>
  <c r="E62" i="56"/>
  <c r="D62" i="56"/>
  <c r="C62" i="56"/>
  <c r="O62" i="56" s="1"/>
  <c r="B62" i="56"/>
  <c r="Z62" i="56" s="1"/>
  <c r="AJ61" i="56"/>
  <c r="AI61" i="56"/>
  <c r="AD61" i="56"/>
  <c r="AC61" i="56"/>
  <c r="AB61" i="56"/>
  <c r="Y61" i="56"/>
  <c r="X61" i="56"/>
  <c r="W61" i="56"/>
  <c r="V61" i="56"/>
  <c r="U61" i="56"/>
  <c r="T61" i="56"/>
  <c r="S61" i="56"/>
  <c r="R61" i="56"/>
  <c r="N61" i="56"/>
  <c r="L61" i="56"/>
  <c r="G61" i="56"/>
  <c r="F61" i="56"/>
  <c r="E61" i="56"/>
  <c r="D61" i="56"/>
  <c r="C61" i="56"/>
  <c r="B61" i="56"/>
  <c r="AJ60" i="56"/>
  <c r="AI60" i="56"/>
  <c r="AG60" i="56"/>
  <c r="AD60" i="56"/>
  <c r="AC60" i="56"/>
  <c r="AB60" i="56"/>
  <c r="Y60" i="56"/>
  <c r="X60" i="56"/>
  <c r="W60" i="56"/>
  <c r="V60" i="56"/>
  <c r="U60" i="56"/>
  <c r="T60" i="56"/>
  <c r="S60" i="56"/>
  <c r="R60" i="56"/>
  <c r="N60" i="56"/>
  <c r="L60" i="56"/>
  <c r="G60" i="56"/>
  <c r="F60" i="56"/>
  <c r="E60" i="56"/>
  <c r="D60" i="56"/>
  <c r="C60" i="56"/>
  <c r="B60" i="56"/>
  <c r="AE60" i="56" s="1"/>
  <c r="AJ59" i="56"/>
  <c r="AI59" i="56"/>
  <c r="AD59" i="56"/>
  <c r="AC59" i="56"/>
  <c r="AB59" i="56"/>
  <c r="Y59" i="56"/>
  <c r="X59" i="56"/>
  <c r="W59" i="56"/>
  <c r="V59" i="56"/>
  <c r="U59" i="56"/>
  <c r="T59" i="56"/>
  <c r="S59" i="56"/>
  <c r="R59" i="56"/>
  <c r="N59" i="56"/>
  <c r="L59" i="56"/>
  <c r="H59" i="56"/>
  <c r="G59" i="56"/>
  <c r="F59" i="56"/>
  <c r="E59" i="56"/>
  <c r="D59" i="56"/>
  <c r="C59" i="56"/>
  <c r="AA59" i="56" s="1"/>
  <c r="B59" i="56"/>
  <c r="AE59" i="56" s="1"/>
  <c r="AJ58" i="56"/>
  <c r="AI58" i="56"/>
  <c r="AD58" i="56"/>
  <c r="AC58" i="56"/>
  <c r="AB58" i="56"/>
  <c r="Y58" i="56"/>
  <c r="X58" i="56"/>
  <c r="W58" i="56"/>
  <c r="V58" i="56"/>
  <c r="U58" i="56"/>
  <c r="T58" i="56"/>
  <c r="S58" i="56"/>
  <c r="R58" i="56"/>
  <c r="N58" i="56"/>
  <c r="L58" i="56"/>
  <c r="G58" i="56"/>
  <c r="F58" i="56"/>
  <c r="E58" i="56"/>
  <c r="D58" i="56"/>
  <c r="C58" i="56"/>
  <c r="B58" i="56"/>
  <c r="J58" i="56" s="1"/>
  <c r="AJ57" i="56"/>
  <c r="AI57" i="56"/>
  <c r="AD57" i="56"/>
  <c r="AC57" i="56"/>
  <c r="AB57" i="56"/>
  <c r="Y57" i="56"/>
  <c r="X57" i="56"/>
  <c r="W57" i="56"/>
  <c r="V57" i="56"/>
  <c r="U57" i="56"/>
  <c r="T57" i="56"/>
  <c r="S57" i="56"/>
  <c r="R57" i="56"/>
  <c r="N57" i="56"/>
  <c r="M57" i="56"/>
  <c r="L57" i="56"/>
  <c r="G57" i="56"/>
  <c r="F57" i="56"/>
  <c r="E57" i="56"/>
  <c r="D57" i="56"/>
  <c r="C57" i="56"/>
  <c r="B57" i="56"/>
  <c r="I57" i="56" s="1"/>
  <c r="AJ56" i="56"/>
  <c r="AI56" i="56"/>
  <c r="AD56" i="56"/>
  <c r="AC56" i="56"/>
  <c r="AB56" i="56"/>
  <c r="Y56" i="56"/>
  <c r="X56" i="56"/>
  <c r="W56" i="56"/>
  <c r="V56" i="56"/>
  <c r="U56" i="56"/>
  <c r="T56" i="56"/>
  <c r="S56" i="56"/>
  <c r="R56" i="56"/>
  <c r="N56" i="56"/>
  <c r="L56" i="56"/>
  <c r="G56" i="56"/>
  <c r="F56" i="56"/>
  <c r="E56" i="56"/>
  <c r="D56" i="56"/>
  <c r="C56" i="56"/>
  <c r="B56" i="56"/>
  <c r="AA56" i="56" s="1"/>
  <c r="AJ55" i="56"/>
  <c r="AI55" i="56"/>
  <c r="AD55" i="56"/>
  <c r="AC55" i="56"/>
  <c r="AB55" i="56"/>
  <c r="Y55" i="56"/>
  <c r="X55" i="56"/>
  <c r="W55" i="56"/>
  <c r="V55" i="56"/>
  <c r="U55" i="56"/>
  <c r="T55" i="56"/>
  <c r="S55" i="56"/>
  <c r="R55" i="56"/>
  <c r="N55" i="56"/>
  <c r="L55" i="56"/>
  <c r="G55" i="56"/>
  <c r="F55" i="56"/>
  <c r="E55" i="56"/>
  <c r="D55" i="56"/>
  <c r="C55" i="56"/>
  <c r="B55" i="56"/>
  <c r="Z55" i="56" s="1"/>
  <c r="AJ54" i="56"/>
  <c r="AI54" i="56"/>
  <c r="AD54" i="56"/>
  <c r="AC54" i="56"/>
  <c r="AB54" i="56"/>
  <c r="Y54" i="56"/>
  <c r="X54" i="56"/>
  <c r="W54" i="56"/>
  <c r="V54" i="56"/>
  <c r="U54" i="56"/>
  <c r="T54" i="56"/>
  <c r="S54" i="56"/>
  <c r="R54" i="56"/>
  <c r="N54" i="56"/>
  <c r="L54" i="56"/>
  <c r="G54" i="56"/>
  <c r="F54" i="56"/>
  <c r="E54" i="56"/>
  <c r="D54" i="56"/>
  <c r="C54" i="56"/>
  <c r="B54" i="56"/>
  <c r="Z54" i="56" s="1"/>
  <c r="AJ53" i="56"/>
  <c r="AI53" i="56"/>
  <c r="AG53" i="56"/>
  <c r="AD53" i="56"/>
  <c r="AC53" i="56"/>
  <c r="AB53" i="56"/>
  <c r="Y53" i="56"/>
  <c r="X53" i="56"/>
  <c r="W53" i="56"/>
  <c r="V53" i="56"/>
  <c r="U53" i="56"/>
  <c r="T53" i="56"/>
  <c r="S53" i="56"/>
  <c r="R53" i="56"/>
  <c r="N53" i="56"/>
  <c r="L53" i="56"/>
  <c r="G53" i="56"/>
  <c r="F53" i="56"/>
  <c r="E53" i="56"/>
  <c r="D53" i="56"/>
  <c r="C53" i="56"/>
  <c r="Q53" i="56" s="1"/>
  <c r="B53" i="56"/>
  <c r="AJ52" i="56"/>
  <c r="AI52" i="56"/>
  <c r="AD52" i="56"/>
  <c r="AC52" i="56"/>
  <c r="AB52" i="56"/>
  <c r="Y52" i="56"/>
  <c r="X52" i="56"/>
  <c r="W52" i="56"/>
  <c r="V52" i="56"/>
  <c r="U52" i="56"/>
  <c r="T52" i="56"/>
  <c r="S52" i="56"/>
  <c r="R52" i="56"/>
  <c r="N52" i="56"/>
  <c r="L52" i="56"/>
  <c r="G52" i="56"/>
  <c r="F52" i="56"/>
  <c r="E52" i="56"/>
  <c r="D52" i="56"/>
  <c r="C52" i="56"/>
  <c r="B52" i="56"/>
  <c r="AJ51" i="56"/>
  <c r="AI51" i="56"/>
  <c r="AD51" i="56"/>
  <c r="AC51" i="56"/>
  <c r="AB51" i="56"/>
  <c r="Y51" i="56"/>
  <c r="X51" i="56"/>
  <c r="W51" i="56"/>
  <c r="V51" i="56"/>
  <c r="U51" i="56"/>
  <c r="T51" i="56"/>
  <c r="S51" i="56"/>
  <c r="R51" i="56"/>
  <c r="N51" i="56"/>
  <c r="L51" i="56"/>
  <c r="G51" i="56"/>
  <c r="F51" i="56"/>
  <c r="E51" i="56"/>
  <c r="D51" i="56"/>
  <c r="C51" i="56"/>
  <c r="B51" i="56"/>
  <c r="Z51" i="56" s="1"/>
  <c r="AJ50" i="56"/>
  <c r="AI50" i="56"/>
  <c r="AD50" i="56"/>
  <c r="AC50" i="56"/>
  <c r="AB50" i="56"/>
  <c r="Y50" i="56"/>
  <c r="X50" i="56"/>
  <c r="W50" i="56"/>
  <c r="V50" i="56"/>
  <c r="U50" i="56"/>
  <c r="T50" i="56"/>
  <c r="S50" i="56"/>
  <c r="R50" i="56"/>
  <c r="N50" i="56"/>
  <c r="L50" i="56"/>
  <c r="G50" i="56"/>
  <c r="F50" i="56"/>
  <c r="E50" i="56"/>
  <c r="D50" i="56"/>
  <c r="C50" i="56"/>
  <c r="B50" i="56"/>
  <c r="Z50" i="56" s="1"/>
  <c r="AJ49" i="56"/>
  <c r="AI49" i="56"/>
  <c r="AD49" i="56"/>
  <c r="AC49" i="56"/>
  <c r="AB49" i="56"/>
  <c r="Y49" i="56"/>
  <c r="X49" i="56"/>
  <c r="W49" i="56"/>
  <c r="V49" i="56"/>
  <c r="U49" i="56"/>
  <c r="T49" i="56"/>
  <c r="S49" i="56"/>
  <c r="R49" i="56"/>
  <c r="N49" i="56"/>
  <c r="L49" i="56"/>
  <c r="G49" i="56"/>
  <c r="F49" i="56"/>
  <c r="E49" i="56"/>
  <c r="D49" i="56"/>
  <c r="C49" i="56"/>
  <c r="B49" i="56"/>
  <c r="AJ48" i="56"/>
  <c r="AI48" i="56"/>
  <c r="AD48" i="56"/>
  <c r="AC48" i="56"/>
  <c r="AB48" i="56"/>
  <c r="Y48" i="56"/>
  <c r="X48" i="56"/>
  <c r="W48" i="56"/>
  <c r="V48" i="56"/>
  <c r="U48" i="56"/>
  <c r="T48" i="56"/>
  <c r="S48" i="56"/>
  <c r="R48" i="56"/>
  <c r="N48" i="56"/>
  <c r="L48" i="56"/>
  <c r="K48" i="56"/>
  <c r="G48" i="56"/>
  <c r="F48" i="56"/>
  <c r="E48" i="56"/>
  <c r="D48" i="56"/>
  <c r="C48" i="56"/>
  <c r="B48" i="56"/>
  <c r="AE48" i="56" s="1"/>
  <c r="AJ47" i="56"/>
  <c r="AI47" i="56"/>
  <c r="AD47" i="56"/>
  <c r="AC47" i="56"/>
  <c r="AB47" i="56"/>
  <c r="Y47" i="56"/>
  <c r="X47" i="56"/>
  <c r="W47" i="56"/>
  <c r="V47" i="56"/>
  <c r="U47" i="56"/>
  <c r="T47" i="56"/>
  <c r="S47" i="56"/>
  <c r="R47" i="56"/>
  <c r="N47" i="56"/>
  <c r="L47" i="56"/>
  <c r="G47" i="56"/>
  <c r="F47" i="56"/>
  <c r="E47" i="56"/>
  <c r="D47" i="56"/>
  <c r="C47" i="56"/>
  <c r="B47" i="56"/>
  <c r="AE47" i="56" s="1"/>
  <c r="AJ46" i="56"/>
  <c r="AI46" i="56"/>
  <c r="AD46" i="56"/>
  <c r="AC46" i="56"/>
  <c r="AB46" i="56"/>
  <c r="Y46" i="56"/>
  <c r="X46" i="56"/>
  <c r="W46" i="56"/>
  <c r="V46" i="56"/>
  <c r="U46" i="56"/>
  <c r="T46" i="56"/>
  <c r="S46" i="56"/>
  <c r="R46" i="56"/>
  <c r="N46" i="56"/>
  <c r="L46" i="56"/>
  <c r="G46" i="56"/>
  <c r="F46" i="56"/>
  <c r="E46" i="56"/>
  <c r="D46" i="56"/>
  <c r="C46" i="56"/>
  <c r="B46" i="56"/>
  <c r="J46" i="56" s="1"/>
  <c r="AJ45" i="56"/>
  <c r="AI45" i="56"/>
  <c r="AD45" i="56"/>
  <c r="AC45" i="56"/>
  <c r="AB45" i="56"/>
  <c r="Y45" i="56"/>
  <c r="X45" i="56"/>
  <c r="W45" i="56"/>
  <c r="V45" i="56"/>
  <c r="U45" i="56"/>
  <c r="T45" i="56"/>
  <c r="S45" i="56"/>
  <c r="R45" i="56"/>
  <c r="N45" i="56"/>
  <c r="L45" i="56"/>
  <c r="G45" i="56"/>
  <c r="F45" i="56"/>
  <c r="E45" i="56"/>
  <c r="D45" i="56"/>
  <c r="C45" i="56"/>
  <c r="AA45" i="56" s="1"/>
  <c r="B45" i="56"/>
  <c r="AF45" i="56" s="1"/>
  <c r="AJ44" i="56"/>
  <c r="AI44" i="56"/>
  <c r="AG44" i="56"/>
  <c r="AD44" i="56"/>
  <c r="AC44" i="56"/>
  <c r="AB44" i="56"/>
  <c r="Y44" i="56"/>
  <c r="X44" i="56"/>
  <c r="W44" i="56"/>
  <c r="V44" i="56"/>
  <c r="U44" i="56"/>
  <c r="T44" i="56"/>
  <c r="S44" i="56"/>
  <c r="R44" i="56"/>
  <c r="N44" i="56"/>
  <c r="L44" i="56"/>
  <c r="K44" i="56"/>
  <c r="G44" i="56"/>
  <c r="F44" i="56"/>
  <c r="E44" i="56"/>
  <c r="D44" i="56"/>
  <c r="C44" i="56"/>
  <c r="B44" i="56"/>
  <c r="H44" i="56" s="1"/>
  <c r="AJ43" i="56"/>
  <c r="AI43" i="56"/>
  <c r="AD43" i="56"/>
  <c r="AC43" i="56"/>
  <c r="AB43" i="56"/>
  <c r="Y43" i="56"/>
  <c r="X43" i="56"/>
  <c r="W43" i="56"/>
  <c r="V43" i="56"/>
  <c r="U43" i="56"/>
  <c r="T43" i="56"/>
  <c r="S43" i="56"/>
  <c r="R43" i="56"/>
  <c r="Q43" i="56"/>
  <c r="N43" i="56"/>
  <c r="L43" i="56"/>
  <c r="G43" i="56"/>
  <c r="F43" i="56"/>
  <c r="E43" i="56"/>
  <c r="D43" i="56"/>
  <c r="C43" i="56"/>
  <c r="B43" i="56"/>
  <c r="Z43" i="56" s="1"/>
  <c r="AJ42" i="56"/>
  <c r="AI42" i="56"/>
  <c r="AD42" i="56"/>
  <c r="AC42" i="56"/>
  <c r="AB42" i="56"/>
  <c r="Y42" i="56"/>
  <c r="X42" i="56"/>
  <c r="W42" i="56"/>
  <c r="V42" i="56"/>
  <c r="U42" i="56"/>
  <c r="T42" i="56"/>
  <c r="S42" i="56"/>
  <c r="R42" i="56"/>
  <c r="N42" i="56"/>
  <c r="L42" i="56"/>
  <c r="G42" i="56"/>
  <c r="F42" i="56"/>
  <c r="E42" i="56"/>
  <c r="D42" i="56"/>
  <c r="C42" i="56"/>
  <c r="B42" i="56"/>
  <c r="Z42" i="56" s="1"/>
  <c r="AJ41" i="56"/>
  <c r="AI41" i="56"/>
  <c r="AD41" i="56"/>
  <c r="AC41" i="56"/>
  <c r="AB41" i="56"/>
  <c r="Y41" i="56"/>
  <c r="X41" i="56"/>
  <c r="W41" i="56"/>
  <c r="V41" i="56"/>
  <c r="U41" i="56"/>
  <c r="T41" i="56"/>
  <c r="S41" i="56"/>
  <c r="R41" i="56"/>
  <c r="N41" i="56"/>
  <c r="L41" i="56"/>
  <c r="G41" i="56"/>
  <c r="F41" i="56"/>
  <c r="E41" i="56"/>
  <c r="D41" i="56"/>
  <c r="C41" i="56"/>
  <c r="B41" i="56"/>
  <c r="AG41" i="56" s="1"/>
  <c r="AJ40" i="56"/>
  <c r="AI40" i="56"/>
  <c r="AD40" i="56"/>
  <c r="AC40" i="56"/>
  <c r="AB40" i="56"/>
  <c r="Y40" i="56"/>
  <c r="X40" i="56"/>
  <c r="W40" i="56"/>
  <c r="V40" i="56"/>
  <c r="U40" i="56"/>
  <c r="T40" i="56"/>
  <c r="S40" i="56"/>
  <c r="R40" i="56"/>
  <c r="N40" i="56"/>
  <c r="L40" i="56"/>
  <c r="G40" i="56"/>
  <c r="F40" i="56"/>
  <c r="E40" i="56"/>
  <c r="D40" i="56"/>
  <c r="C40" i="56"/>
  <c r="B40" i="56"/>
  <c r="Z40" i="56" s="1"/>
  <c r="AJ39" i="56"/>
  <c r="AI39" i="56"/>
  <c r="AD39" i="56"/>
  <c r="AC39" i="56"/>
  <c r="AB39" i="56"/>
  <c r="Y39" i="56"/>
  <c r="X39" i="56"/>
  <c r="W39" i="56"/>
  <c r="V39" i="56"/>
  <c r="U39" i="56"/>
  <c r="T39" i="56"/>
  <c r="S39" i="56"/>
  <c r="R39" i="56"/>
  <c r="N39" i="56"/>
  <c r="L39" i="56"/>
  <c r="G39" i="56"/>
  <c r="F39" i="56"/>
  <c r="E39" i="56"/>
  <c r="D39" i="56"/>
  <c r="C39" i="56"/>
  <c r="B39" i="56"/>
  <c r="Z39" i="56" s="1"/>
  <c r="AJ38" i="56"/>
  <c r="AI38" i="56"/>
  <c r="AD38" i="56"/>
  <c r="AC38" i="56"/>
  <c r="AB38" i="56"/>
  <c r="Y38" i="56"/>
  <c r="X38" i="56"/>
  <c r="W38" i="56"/>
  <c r="V38" i="56"/>
  <c r="U38" i="56"/>
  <c r="T38" i="56"/>
  <c r="S38" i="56"/>
  <c r="R38" i="56"/>
  <c r="N38" i="56"/>
  <c r="L38" i="56"/>
  <c r="G38" i="56"/>
  <c r="F38" i="56"/>
  <c r="E38" i="56"/>
  <c r="D38" i="56"/>
  <c r="C38" i="56"/>
  <c r="B38" i="56"/>
  <c r="Z38" i="56" s="1"/>
  <c r="AJ37" i="56"/>
  <c r="AI37" i="56"/>
  <c r="AD37" i="56"/>
  <c r="AC37" i="56"/>
  <c r="AB37" i="56"/>
  <c r="Y37" i="56"/>
  <c r="X37" i="56"/>
  <c r="W37" i="56"/>
  <c r="V37" i="56"/>
  <c r="U37" i="56"/>
  <c r="T37" i="56"/>
  <c r="S37" i="56"/>
  <c r="R37" i="56"/>
  <c r="N37" i="56"/>
  <c r="L37" i="56"/>
  <c r="G37" i="56"/>
  <c r="F37" i="56"/>
  <c r="E37" i="56"/>
  <c r="D37" i="56"/>
  <c r="C37" i="56"/>
  <c r="B37" i="56"/>
  <c r="AJ36" i="56"/>
  <c r="AI36" i="56"/>
  <c r="AD36" i="56"/>
  <c r="AC36" i="56"/>
  <c r="AB36" i="56"/>
  <c r="Y36" i="56"/>
  <c r="X36" i="56"/>
  <c r="W36" i="56"/>
  <c r="V36" i="56"/>
  <c r="U36" i="56"/>
  <c r="T36" i="56"/>
  <c r="S36" i="56"/>
  <c r="R36" i="56"/>
  <c r="N36" i="56"/>
  <c r="L36" i="56"/>
  <c r="K36" i="56"/>
  <c r="G36" i="56"/>
  <c r="F36" i="56"/>
  <c r="E36" i="56"/>
  <c r="D36" i="56"/>
  <c r="C36" i="56"/>
  <c r="AA36" i="56" s="1"/>
  <c r="B36" i="56"/>
  <c r="AE36" i="56" s="1"/>
  <c r="AJ35" i="56"/>
  <c r="AI35" i="56"/>
  <c r="AD35" i="56"/>
  <c r="AC35" i="56"/>
  <c r="AB35" i="56"/>
  <c r="Y35" i="56"/>
  <c r="X35" i="56"/>
  <c r="W35" i="56"/>
  <c r="V35" i="56"/>
  <c r="U35" i="56"/>
  <c r="T35" i="56"/>
  <c r="S35" i="56"/>
  <c r="R35" i="56"/>
  <c r="N35" i="56"/>
  <c r="L35" i="56"/>
  <c r="I35" i="56"/>
  <c r="G35" i="56"/>
  <c r="F35" i="56"/>
  <c r="E35" i="56"/>
  <c r="D35" i="56"/>
  <c r="C35" i="56"/>
  <c r="B35" i="56"/>
  <c r="J35" i="56" s="1"/>
  <c r="AJ34" i="56"/>
  <c r="AI34" i="56"/>
  <c r="AD34" i="56"/>
  <c r="AC34" i="56"/>
  <c r="AB34" i="56"/>
  <c r="Y34" i="56"/>
  <c r="X34" i="56"/>
  <c r="W34" i="56"/>
  <c r="V34" i="56"/>
  <c r="U34" i="56"/>
  <c r="T34" i="56"/>
  <c r="S34" i="56"/>
  <c r="R34" i="56"/>
  <c r="N34" i="56"/>
  <c r="L34" i="56"/>
  <c r="G34" i="56"/>
  <c r="F34" i="56"/>
  <c r="E34" i="56"/>
  <c r="D34" i="56"/>
  <c r="C34" i="56"/>
  <c r="B34" i="56"/>
  <c r="J34" i="56" s="1"/>
  <c r="AJ33" i="56"/>
  <c r="AI33" i="56"/>
  <c r="AF33" i="56"/>
  <c r="AE33" i="56"/>
  <c r="AD33" i="56"/>
  <c r="AC33" i="56"/>
  <c r="AB33" i="56"/>
  <c r="Y33" i="56"/>
  <c r="X33" i="56"/>
  <c r="W33" i="56"/>
  <c r="V33" i="56"/>
  <c r="U33" i="56"/>
  <c r="T33" i="56"/>
  <c r="S33" i="56"/>
  <c r="R33" i="56"/>
  <c r="N33" i="56"/>
  <c r="L33" i="56"/>
  <c r="G33" i="56"/>
  <c r="F33" i="56"/>
  <c r="E33" i="56"/>
  <c r="D33" i="56"/>
  <c r="C33" i="56"/>
  <c r="AA33" i="56" s="1"/>
  <c r="B33" i="56"/>
  <c r="I33" i="56" s="1"/>
  <c r="AJ32" i="56"/>
  <c r="AI32" i="56"/>
  <c r="AF32" i="56"/>
  <c r="AD32" i="56"/>
  <c r="AC32" i="56"/>
  <c r="AB32" i="56"/>
  <c r="Y32" i="56"/>
  <c r="X32" i="56"/>
  <c r="W32" i="56"/>
  <c r="V32" i="56"/>
  <c r="U32" i="56"/>
  <c r="T32" i="56"/>
  <c r="S32" i="56"/>
  <c r="R32" i="56"/>
  <c r="N32" i="56"/>
  <c r="L32" i="56"/>
  <c r="J32" i="56"/>
  <c r="G32" i="56"/>
  <c r="F32" i="56"/>
  <c r="E32" i="56"/>
  <c r="D32" i="56"/>
  <c r="C32" i="56"/>
  <c r="B32" i="56"/>
  <c r="I32" i="56" s="1"/>
  <c r="AJ31" i="56"/>
  <c r="AI31" i="56"/>
  <c r="AD31" i="56"/>
  <c r="AC31" i="56"/>
  <c r="AB31" i="56"/>
  <c r="Y31" i="56"/>
  <c r="X31" i="56"/>
  <c r="W31" i="56"/>
  <c r="V31" i="56"/>
  <c r="U31" i="56"/>
  <c r="T31" i="56"/>
  <c r="S31" i="56"/>
  <c r="R31" i="56"/>
  <c r="N31" i="56"/>
  <c r="L31" i="56"/>
  <c r="G31" i="56"/>
  <c r="F31" i="56"/>
  <c r="E31" i="56"/>
  <c r="D31" i="56"/>
  <c r="C31" i="56"/>
  <c r="B31" i="56"/>
  <c r="Z31" i="56" s="1"/>
  <c r="AJ30" i="56"/>
  <c r="AI30" i="56"/>
  <c r="AE30" i="56"/>
  <c r="AD30" i="56"/>
  <c r="AC30" i="56"/>
  <c r="AB30" i="56"/>
  <c r="Y30" i="56"/>
  <c r="X30" i="56"/>
  <c r="W30" i="56"/>
  <c r="V30" i="56"/>
  <c r="U30" i="56"/>
  <c r="T30" i="56"/>
  <c r="S30" i="56"/>
  <c r="R30" i="56"/>
  <c r="N30" i="56"/>
  <c r="L30" i="56"/>
  <c r="I30" i="56"/>
  <c r="G30" i="56"/>
  <c r="F30" i="56"/>
  <c r="E30" i="56"/>
  <c r="D30" i="56"/>
  <c r="C30" i="56"/>
  <c r="B30" i="56"/>
  <c r="Z30" i="56" s="1"/>
  <c r="AJ29" i="56"/>
  <c r="AI29" i="56"/>
  <c r="AD29" i="56"/>
  <c r="AC29" i="56"/>
  <c r="AB29" i="56"/>
  <c r="Y29" i="56"/>
  <c r="X29" i="56"/>
  <c r="W29" i="56"/>
  <c r="V29" i="56"/>
  <c r="U29" i="56"/>
  <c r="T29" i="56"/>
  <c r="S29" i="56"/>
  <c r="R29" i="56"/>
  <c r="N29" i="56"/>
  <c r="L29" i="56"/>
  <c r="G29" i="56"/>
  <c r="F29" i="56"/>
  <c r="E29" i="56"/>
  <c r="D29" i="56"/>
  <c r="C29" i="56"/>
  <c r="AA29" i="56" s="1"/>
  <c r="B29" i="56"/>
  <c r="AG29" i="56" s="1"/>
  <c r="AJ28" i="56"/>
  <c r="AI28" i="56"/>
  <c r="AD28" i="56"/>
  <c r="AC28" i="56"/>
  <c r="AB28" i="56"/>
  <c r="Y28" i="56"/>
  <c r="X28" i="56"/>
  <c r="W28" i="56"/>
  <c r="V28" i="56"/>
  <c r="U28" i="56"/>
  <c r="T28" i="56"/>
  <c r="S28" i="56"/>
  <c r="R28" i="56"/>
  <c r="N28" i="56"/>
  <c r="L28" i="56"/>
  <c r="G28" i="56"/>
  <c r="F28" i="56"/>
  <c r="E28" i="56"/>
  <c r="D28" i="56"/>
  <c r="C28" i="56"/>
  <c r="B28" i="56"/>
  <c r="M28" i="56" s="1"/>
  <c r="AJ27" i="56"/>
  <c r="AI27" i="56"/>
  <c r="AD27" i="56"/>
  <c r="AC27" i="56"/>
  <c r="AB27" i="56"/>
  <c r="Y27" i="56"/>
  <c r="X27" i="56"/>
  <c r="W27" i="56"/>
  <c r="V27" i="56"/>
  <c r="U27" i="56"/>
  <c r="T27" i="56"/>
  <c r="S27" i="56"/>
  <c r="R27" i="56"/>
  <c r="N27" i="56"/>
  <c r="L27" i="56"/>
  <c r="G27" i="56"/>
  <c r="F27" i="56"/>
  <c r="E27" i="56"/>
  <c r="D27" i="56"/>
  <c r="C27" i="56"/>
  <c r="B27" i="56"/>
  <c r="Z27" i="56" s="1"/>
  <c r="AJ26" i="56"/>
  <c r="AI26" i="56"/>
  <c r="AD26" i="56"/>
  <c r="AC26" i="56"/>
  <c r="AB26" i="56"/>
  <c r="Y26" i="56"/>
  <c r="X26" i="56"/>
  <c r="W26" i="56"/>
  <c r="V26" i="56"/>
  <c r="U26" i="56"/>
  <c r="T26" i="56"/>
  <c r="S26" i="56"/>
  <c r="R26" i="56"/>
  <c r="N26" i="56"/>
  <c r="L26" i="56"/>
  <c r="G26" i="56"/>
  <c r="F26" i="56"/>
  <c r="E26" i="56"/>
  <c r="D26" i="56"/>
  <c r="C26" i="56"/>
  <c r="B26" i="56"/>
  <c r="AJ25" i="56"/>
  <c r="AI25" i="56"/>
  <c r="AD25" i="56"/>
  <c r="AC25" i="56"/>
  <c r="AB25" i="56"/>
  <c r="Y25" i="56"/>
  <c r="X25" i="56"/>
  <c r="W25" i="56"/>
  <c r="V25" i="56"/>
  <c r="U25" i="56"/>
  <c r="T25" i="56"/>
  <c r="S25" i="56"/>
  <c r="R25" i="56"/>
  <c r="N25" i="56"/>
  <c r="L25" i="56"/>
  <c r="G25" i="56"/>
  <c r="F25" i="56"/>
  <c r="E25" i="56"/>
  <c r="D25" i="56"/>
  <c r="C25" i="56"/>
  <c r="B25" i="56"/>
  <c r="Q25" i="56" s="1"/>
  <c r="AJ24" i="56"/>
  <c r="AI24" i="56"/>
  <c r="AD24" i="56"/>
  <c r="AC24" i="56"/>
  <c r="AB24" i="56"/>
  <c r="Y24" i="56"/>
  <c r="X24" i="56"/>
  <c r="W24" i="56"/>
  <c r="V24" i="56"/>
  <c r="U24" i="56"/>
  <c r="T24" i="56"/>
  <c r="S24" i="56"/>
  <c r="R24" i="56"/>
  <c r="N24" i="56"/>
  <c r="L24" i="56"/>
  <c r="G24" i="56"/>
  <c r="F24" i="56"/>
  <c r="E24" i="56"/>
  <c r="D24" i="56"/>
  <c r="C24" i="56"/>
  <c r="B24" i="56"/>
  <c r="AE24" i="56" s="1"/>
  <c r="AJ23" i="56"/>
  <c r="AI23" i="56"/>
  <c r="AD23" i="56"/>
  <c r="AC23" i="56"/>
  <c r="AB23" i="56"/>
  <c r="Y23" i="56"/>
  <c r="X23" i="56"/>
  <c r="W23" i="56"/>
  <c r="V23" i="56"/>
  <c r="U23" i="56"/>
  <c r="T23" i="56"/>
  <c r="S23" i="56"/>
  <c r="R23" i="56"/>
  <c r="N23" i="56"/>
  <c r="L23" i="56"/>
  <c r="G23" i="56"/>
  <c r="F23" i="56"/>
  <c r="E23" i="56"/>
  <c r="D23" i="56"/>
  <c r="C23" i="56"/>
  <c r="B23" i="56"/>
  <c r="Z23" i="56" s="1"/>
  <c r="AJ22" i="56"/>
  <c r="AI22" i="56"/>
  <c r="AD22" i="56"/>
  <c r="AC22" i="56"/>
  <c r="AB22" i="56"/>
  <c r="Y22" i="56"/>
  <c r="X22" i="56"/>
  <c r="W22" i="56"/>
  <c r="V22" i="56"/>
  <c r="U22" i="56"/>
  <c r="T22" i="56"/>
  <c r="S22" i="56"/>
  <c r="R22" i="56"/>
  <c r="N22" i="56"/>
  <c r="L22" i="56"/>
  <c r="G22" i="56"/>
  <c r="F22" i="56"/>
  <c r="E22" i="56"/>
  <c r="D22" i="56"/>
  <c r="C22" i="56"/>
  <c r="B22" i="56"/>
  <c r="M22" i="56" s="1"/>
  <c r="AJ21" i="56"/>
  <c r="AI21" i="56"/>
  <c r="AE21" i="56"/>
  <c r="AD21" i="56"/>
  <c r="AC21" i="56"/>
  <c r="AB21" i="56"/>
  <c r="Y21" i="56"/>
  <c r="X21" i="56"/>
  <c r="W21" i="56"/>
  <c r="V21" i="56"/>
  <c r="U21" i="56"/>
  <c r="T21" i="56"/>
  <c r="S21" i="56"/>
  <c r="R21" i="56"/>
  <c r="N21" i="56"/>
  <c r="M21" i="56"/>
  <c r="L21" i="56"/>
  <c r="G21" i="56"/>
  <c r="F21" i="56"/>
  <c r="E21" i="56"/>
  <c r="D21" i="56"/>
  <c r="C21" i="56"/>
  <c r="B21" i="56"/>
  <c r="H21" i="56" s="1"/>
  <c r="AJ20" i="56"/>
  <c r="AI20" i="56"/>
  <c r="AD20" i="56"/>
  <c r="AC20" i="56"/>
  <c r="AB20" i="56"/>
  <c r="Y20" i="56"/>
  <c r="X20" i="56"/>
  <c r="W20" i="56"/>
  <c r="V20" i="56"/>
  <c r="U20" i="56"/>
  <c r="T20" i="56"/>
  <c r="S20" i="56"/>
  <c r="R20" i="56"/>
  <c r="N20" i="56"/>
  <c r="L20" i="56"/>
  <c r="G20" i="56"/>
  <c r="F20" i="56"/>
  <c r="E20" i="56"/>
  <c r="D20" i="56"/>
  <c r="C20" i="56"/>
  <c r="B20" i="56"/>
  <c r="H20" i="56" s="1"/>
  <c r="AJ19" i="56"/>
  <c r="AI19" i="56"/>
  <c r="AD19" i="56"/>
  <c r="AC19" i="56"/>
  <c r="AB19" i="56"/>
  <c r="Y19" i="56"/>
  <c r="X19" i="56"/>
  <c r="W19" i="56"/>
  <c r="V19" i="56"/>
  <c r="U19" i="56"/>
  <c r="T19" i="56"/>
  <c r="S19" i="56"/>
  <c r="R19" i="56"/>
  <c r="N19" i="56"/>
  <c r="L19" i="56"/>
  <c r="G19" i="56"/>
  <c r="F19" i="56"/>
  <c r="E19" i="56"/>
  <c r="D19" i="56"/>
  <c r="C19" i="56"/>
  <c r="B19" i="56"/>
  <c r="Z19" i="56" s="1"/>
  <c r="AJ18" i="56"/>
  <c r="AI18" i="56"/>
  <c r="AD18" i="56"/>
  <c r="AC18" i="56"/>
  <c r="AB18" i="56"/>
  <c r="Y18" i="56"/>
  <c r="X18" i="56"/>
  <c r="W18" i="56"/>
  <c r="V18" i="56"/>
  <c r="U18" i="56"/>
  <c r="T18" i="56"/>
  <c r="S18" i="56"/>
  <c r="R18" i="56"/>
  <c r="N18" i="56"/>
  <c r="L18" i="56"/>
  <c r="G18" i="56"/>
  <c r="F18" i="56"/>
  <c r="E18" i="56"/>
  <c r="D18" i="56"/>
  <c r="C18" i="56"/>
  <c r="B18" i="56"/>
  <c r="Z18" i="56" s="1"/>
  <c r="AJ17" i="56"/>
  <c r="AI17" i="56"/>
  <c r="AD17" i="56"/>
  <c r="AC17" i="56"/>
  <c r="AB17" i="56"/>
  <c r="Y17" i="56"/>
  <c r="X17" i="56"/>
  <c r="W17" i="56"/>
  <c r="V17" i="56"/>
  <c r="U17" i="56"/>
  <c r="T17" i="56"/>
  <c r="S17" i="56"/>
  <c r="R17" i="56"/>
  <c r="N17" i="56"/>
  <c r="L17" i="56"/>
  <c r="G17" i="56"/>
  <c r="F17" i="56"/>
  <c r="E17" i="56"/>
  <c r="D17" i="56"/>
  <c r="C17" i="56"/>
  <c r="B17" i="56"/>
  <c r="H17" i="56" s="1"/>
  <c r="AJ16" i="56"/>
  <c r="AI16" i="56"/>
  <c r="AD16" i="56"/>
  <c r="AC16" i="56"/>
  <c r="AB16" i="56"/>
  <c r="Y16" i="56"/>
  <c r="X16" i="56"/>
  <c r="W16" i="56"/>
  <c r="V16" i="56"/>
  <c r="U16" i="56"/>
  <c r="T16" i="56"/>
  <c r="S16" i="56"/>
  <c r="R16" i="56"/>
  <c r="N16" i="56"/>
  <c r="L16" i="56"/>
  <c r="G16" i="56"/>
  <c r="F16" i="56"/>
  <c r="E16" i="56"/>
  <c r="D16" i="56"/>
  <c r="C16" i="56"/>
  <c r="B16" i="56"/>
  <c r="AF16" i="56" s="1"/>
  <c r="AJ15" i="56"/>
  <c r="AI15" i="56"/>
  <c r="AD15" i="56"/>
  <c r="AC15" i="56"/>
  <c r="AB15" i="56"/>
  <c r="Y15" i="56"/>
  <c r="X15" i="56"/>
  <c r="W15" i="56"/>
  <c r="V15" i="56"/>
  <c r="U15" i="56"/>
  <c r="T15" i="56"/>
  <c r="S15" i="56"/>
  <c r="R15" i="56"/>
  <c r="N15" i="56"/>
  <c r="L15" i="56"/>
  <c r="G15" i="56"/>
  <c r="F15" i="56"/>
  <c r="E15" i="56"/>
  <c r="D15" i="56"/>
  <c r="C15" i="56"/>
  <c r="B15" i="56"/>
  <c r="P15" i="56" s="1"/>
  <c r="AJ14" i="56"/>
  <c r="AI14" i="56"/>
  <c r="AD14" i="56"/>
  <c r="AC14" i="56"/>
  <c r="AB14" i="56"/>
  <c r="Y14" i="56"/>
  <c r="X14" i="56"/>
  <c r="W14" i="56"/>
  <c r="V14" i="56"/>
  <c r="U14" i="56"/>
  <c r="T14" i="56"/>
  <c r="S14" i="56"/>
  <c r="R14" i="56"/>
  <c r="N14" i="56"/>
  <c r="L14" i="56"/>
  <c r="G14" i="56"/>
  <c r="F14" i="56"/>
  <c r="E14" i="56"/>
  <c r="D14" i="56"/>
  <c r="C14" i="56"/>
  <c r="B14" i="56"/>
  <c r="AJ13" i="56"/>
  <c r="AI13" i="56"/>
  <c r="AD13" i="56"/>
  <c r="AC13" i="56"/>
  <c r="AB13" i="56"/>
  <c r="Y13" i="56"/>
  <c r="X13" i="56"/>
  <c r="W13" i="56"/>
  <c r="V13" i="56"/>
  <c r="U13" i="56"/>
  <c r="T13" i="56"/>
  <c r="S13" i="56"/>
  <c r="R13" i="56"/>
  <c r="N13" i="56"/>
  <c r="L13" i="56"/>
  <c r="G13" i="56"/>
  <c r="F13" i="56"/>
  <c r="E13" i="56"/>
  <c r="D13" i="56"/>
  <c r="C13" i="56"/>
  <c r="B13" i="56"/>
  <c r="Z13" i="56" s="1"/>
  <c r="AJ12" i="56"/>
  <c r="AI12" i="56"/>
  <c r="AD12" i="56"/>
  <c r="AC12" i="56"/>
  <c r="AB12" i="56"/>
  <c r="Y12" i="56"/>
  <c r="X12" i="56"/>
  <c r="W12" i="56"/>
  <c r="V12" i="56"/>
  <c r="U12" i="56"/>
  <c r="T12" i="56"/>
  <c r="S12" i="56"/>
  <c r="R12" i="56"/>
  <c r="N12" i="56"/>
  <c r="L12" i="56"/>
  <c r="G12" i="56"/>
  <c r="F12" i="56"/>
  <c r="E12" i="56"/>
  <c r="D12" i="56"/>
  <c r="C12" i="56"/>
  <c r="B12" i="56"/>
  <c r="AE12" i="56" s="1"/>
  <c r="AJ11" i="56"/>
  <c r="AI11" i="56"/>
  <c r="AD11" i="56"/>
  <c r="AC11" i="56"/>
  <c r="AB11" i="56"/>
  <c r="Y11" i="56"/>
  <c r="X11" i="56"/>
  <c r="W11" i="56"/>
  <c r="V11" i="56"/>
  <c r="U11" i="56"/>
  <c r="T11" i="56"/>
  <c r="S11" i="56"/>
  <c r="R11" i="56"/>
  <c r="N11" i="56"/>
  <c r="L11" i="56"/>
  <c r="G11" i="56"/>
  <c r="F11" i="56"/>
  <c r="E11" i="56"/>
  <c r="D11" i="56"/>
  <c r="C11" i="56"/>
  <c r="B11" i="56"/>
  <c r="M11" i="56" s="1"/>
  <c r="AJ10" i="56"/>
  <c r="AI10" i="56"/>
  <c r="AD10" i="56"/>
  <c r="AC10" i="56"/>
  <c r="AB10" i="56"/>
  <c r="Y10" i="56"/>
  <c r="X10" i="56"/>
  <c r="W10" i="56"/>
  <c r="V10" i="56"/>
  <c r="U10" i="56"/>
  <c r="T10" i="56"/>
  <c r="S10" i="56"/>
  <c r="R10" i="56"/>
  <c r="N10" i="56"/>
  <c r="L10" i="56"/>
  <c r="G10" i="56"/>
  <c r="F10" i="56"/>
  <c r="E10" i="56"/>
  <c r="D10" i="56"/>
  <c r="C10" i="56"/>
  <c r="B10" i="56"/>
  <c r="Z10" i="56" s="1"/>
  <c r="AJ9" i="56"/>
  <c r="AI9" i="56"/>
  <c r="AD9" i="56"/>
  <c r="AC9" i="56"/>
  <c r="AB9" i="56"/>
  <c r="Y9" i="56"/>
  <c r="X9" i="56"/>
  <c r="W9" i="56"/>
  <c r="V9" i="56"/>
  <c r="U9" i="56"/>
  <c r="T9" i="56"/>
  <c r="S9" i="56"/>
  <c r="R9" i="56"/>
  <c r="N9" i="56"/>
  <c r="L9" i="56"/>
  <c r="G9" i="56"/>
  <c r="F9" i="56"/>
  <c r="E9" i="56"/>
  <c r="D9" i="56"/>
  <c r="C9" i="56"/>
  <c r="B9" i="56"/>
  <c r="K9" i="56" s="1"/>
  <c r="AJ8" i="56"/>
  <c r="AI8" i="56"/>
  <c r="AD8" i="56"/>
  <c r="AC8" i="56"/>
  <c r="AB8" i="56"/>
  <c r="Y8" i="56"/>
  <c r="X8" i="56"/>
  <c r="W8" i="56"/>
  <c r="V8" i="56"/>
  <c r="U8" i="56"/>
  <c r="T8" i="56"/>
  <c r="S8" i="56"/>
  <c r="R8" i="56"/>
  <c r="N8" i="56"/>
  <c r="L8" i="56"/>
  <c r="G8" i="56"/>
  <c r="F8" i="56"/>
  <c r="E8" i="56"/>
  <c r="D8" i="56"/>
  <c r="C8" i="56"/>
  <c r="B8" i="56"/>
  <c r="Z8" i="56" s="1"/>
  <c r="AJ7" i="56"/>
  <c r="AI7" i="56"/>
  <c r="AE7" i="56"/>
  <c r="AD7" i="56"/>
  <c r="AC7" i="56"/>
  <c r="AB7" i="56"/>
  <c r="Y7" i="56"/>
  <c r="X7" i="56"/>
  <c r="W7" i="56"/>
  <c r="V7" i="56"/>
  <c r="U7" i="56"/>
  <c r="T7" i="56"/>
  <c r="S7" i="56"/>
  <c r="R7" i="56"/>
  <c r="N7" i="56"/>
  <c r="L7" i="56"/>
  <c r="I7" i="56"/>
  <c r="G7" i="56"/>
  <c r="F7" i="56"/>
  <c r="E7" i="56"/>
  <c r="D7" i="56"/>
  <c r="C7" i="56"/>
  <c r="B7" i="56"/>
  <c r="Z7" i="56" s="1"/>
  <c r="AJ6" i="56"/>
  <c r="AI6" i="56"/>
  <c r="AG6" i="56"/>
  <c r="AD6" i="56"/>
  <c r="AC6" i="56"/>
  <c r="AB6" i="56"/>
  <c r="Y6" i="56"/>
  <c r="X6" i="56"/>
  <c r="W6" i="56"/>
  <c r="V6" i="56"/>
  <c r="U6" i="56"/>
  <c r="T6" i="56"/>
  <c r="S6" i="56"/>
  <c r="R6" i="56"/>
  <c r="N6" i="56"/>
  <c r="L6" i="56"/>
  <c r="H6" i="56"/>
  <c r="G6" i="56"/>
  <c r="F6" i="56"/>
  <c r="E6" i="56"/>
  <c r="D6" i="56"/>
  <c r="C6" i="56"/>
  <c r="B6" i="56"/>
  <c r="M6" i="56" s="1"/>
  <c r="AJ5" i="56"/>
  <c r="AI5" i="56"/>
  <c r="AD5" i="56"/>
  <c r="AC5" i="56"/>
  <c r="AB5" i="56"/>
  <c r="Y5" i="56"/>
  <c r="X5" i="56"/>
  <c r="W5" i="56"/>
  <c r="V5" i="56"/>
  <c r="U5" i="56"/>
  <c r="T5" i="56"/>
  <c r="S5" i="56"/>
  <c r="R5" i="56"/>
  <c r="N5" i="56"/>
  <c r="L5" i="56"/>
  <c r="G5" i="56"/>
  <c r="F5" i="56"/>
  <c r="E5" i="56"/>
  <c r="D5" i="56"/>
  <c r="C5" i="56"/>
  <c r="B5" i="56"/>
  <c r="K5" i="56" s="1"/>
  <c r="AJ4" i="56"/>
  <c r="AI4" i="56"/>
  <c r="AD4" i="56"/>
  <c r="AC4" i="56"/>
  <c r="AB4" i="56"/>
  <c r="Y4" i="56"/>
  <c r="X4" i="56"/>
  <c r="W4" i="56"/>
  <c r="V4" i="56"/>
  <c r="U4" i="56"/>
  <c r="T4" i="56"/>
  <c r="S4" i="56"/>
  <c r="R4" i="56"/>
  <c r="N4" i="56"/>
  <c r="L4" i="56"/>
  <c r="G4" i="56"/>
  <c r="F4" i="56"/>
  <c r="E4" i="56"/>
  <c r="D4" i="56"/>
  <c r="C4" i="56"/>
  <c r="B4" i="56"/>
  <c r="Z4" i="56" s="1"/>
  <c r="AJ3" i="56"/>
  <c r="AI3" i="56"/>
  <c r="AD3" i="56"/>
  <c r="AC3" i="56"/>
  <c r="AB3" i="56"/>
  <c r="Y3" i="56"/>
  <c r="X3" i="56"/>
  <c r="W3" i="56"/>
  <c r="V3" i="56"/>
  <c r="U3" i="56"/>
  <c r="T3" i="56"/>
  <c r="S3" i="56"/>
  <c r="R3" i="56"/>
  <c r="N3" i="56"/>
  <c r="L3" i="56"/>
  <c r="J3" i="56"/>
  <c r="G3" i="56"/>
  <c r="F3" i="56"/>
  <c r="E3" i="56"/>
  <c r="D3" i="56"/>
  <c r="C3" i="56"/>
  <c r="B3" i="56"/>
  <c r="Z3" i="56" s="1"/>
  <c r="AJ2" i="56"/>
  <c r="AI2" i="56"/>
  <c r="AD2" i="56"/>
  <c r="AC2" i="56"/>
  <c r="AB2" i="56"/>
  <c r="Y2" i="56"/>
  <c r="X2" i="56"/>
  <c r="W2" i="56"/>
  <c r="V2" i="56"/>
  <c r="U2" i="56"/>
  <c r="T2" i="56"/>
  <c r="S2" i="56"/>
  <c r="R2" i="56"/>
  <c r="N2" i="56"/>
  <c r="L2" i="56"/>
  <c r="G2" i="56"/>
  <c r="F2" i="56"/>
  <c r="E2" i="56"/>
  <c r="D2" i="56"/>
  <c r="C2" i="56"/>
  <c r="B2" i="56"/>
  <c r="M2" i="56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2" i="1"/>
  <c r="C72" i="22"/>
  <c r="D72" i="22"/>
  <c r="E72" i="22"/>
  <c r="F72" i="22"/>
  <c r="G72" i="22"/>
  <c r="B72" i="22"/>
  <c r="G73" i="17"/>
  <c r="F73" i="17"/>
  <c r="G73" i="41"/>
  <c r="F73" i="41"/>
  <c r="AI3" i="1"/>
  <c r="AJ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I25" i="1"/>
  <c r="AJ25" i="1"/>
  <c r="AI26" i="1"/>
  <c r="AJ26" i="1"/>
  <c r="AI27" i="1"/>
  <c r="AJ27" i="1"/>
  <c r="AI28" i="1"/>
  <c r="AJ28" i="1"/>
  <c r="AI29" i="1"/>
  <c r="AJ29" i="1"/>
  <c r="AI30" i="1"/>
  <c r="AJ30" i="1"/>
  <c r="AI31" i="1"/>
  <c r="AJ31" i="1"/>
  <c r="AI32" i="1"/>
  <c r="AJ32" i="1"/>
  <c r="AI33" i="1"/>
  <c r="AJ33" i="1"/>
  <c r="AI34" i="1"/>
  <c r="AJ34" i="1"/>
  <c r="AI35" i="1"/>
  <c r="AJ35" i="1"/>
  <c r="AI36" i="1"/>
  <c r="AJ36" i="1"/>
  <c r="AI37" i="1"/>
  <c r="AJ37" i="1"/>
  <c r="AI38" i="1"/>
  <c r="AJ38" i="1"/>
  <c r="AI39" i="1"/>
  <c r="AJ39" i="1"/>
  <c r="AI40" i="1"/>
  <c r="AJ40" i="1"/>
  <c r="AI41" i="1"/>
  <c r="AJ41" i="1"/>
  <c r="AI42" i="1"/>
  <c r="AJ42" i="1"/>
  <c r="AI43" i="1"/>
  <c r="AJ43" i="1"/>
  <c r="AI44" i="1"/>
  <c r="AJ44" i="1"/>
  <c r="AI45" i="1"/>
  <c r="AJ45" i="1"/>
  <c r="AI46" i="1"/>
  <c r="AJ46" i="1"/>
  <c r="AI47" i="1"/>
  <c r="AJ47" i="1"/>
  <c r="AI48" i="1"/>
  <c r="AJ48" i="1"/>
  <c r="AI49" i="1"/>
  <c r="AJ49" i="1"/>
  <c r="AI50" i="1"/>
  <c r="AJ50" i="1"/>
  <c r="AI51" i="1"/>
  <c r="AJ51" i="1"/>
  <c r="AI52" i="1"/>
  <c r="AJ52" i="1"/>
  <c r="AI53" i="1"/>
  <c r="AJ53" i="1"/>
  <c r="AI54" i="1"/>
  <c r="AJ54" i="1"/>
  <c r="AI55" i="1"/>
  <c r="AJ55" i="1"/>
  <c r="AI56" i="1"/>
  <c r="AJ56" i="1"/>
  <c r="AI57" i="1"/>
  <c r="AJ57" i="1"/>
  <c r="AI58" i="1"/>
  <c r="AJ58" i="1"/>
  <c r="AI59" i="1"/>
  <c r="AJ59" i="1"/>
  <c r="AI60" i="1"/>
  <c r="AJ60" i="1"/>
  <c r="AI61" i="1"/>
  <c r="AJ61" i="1"/>
  <c r="AI62" i="1"/>
  <c r="AJ62" i="1"/>
  <c r="AI63" i="1"/>
  <c r="AJ63" i="1"/>
  <c r="AI64" i="1"/>
  <c r="AJ64" i="1"/>
  <c r="AI65" i="1"/>
  <c r="AJ65" i="1"/>
  <c r="AI66" i="1"/>
  <c r="AJ66" i="1"/>
  <c r="AI67" i="1"/>
  <c r="AJ67" i="1"/>
  <c r="AI68" i="1"/>
  <c r="AJ68" i="1"/>
  <c r="AI69" i="1"/>
  <c r="AJ69" i="1"/>
  <c r="AI70" i="1"/>
  <c r="AJ70" i="1"/>
  <c r="AI71" i="1"/>
  <c r="AJ71" i="1"/>
  <c r="AI72" i="1"/>
  <c r="AJ72" i="1"/>
  <c r="AI73" i="1"/>
  <c r="AJ73" i="1"/>
  <c r="AI74" i="1"/>
  <c r="AJ74" i="1"/>
  <c r="AI75" i="1"/>
  <c r="AJ75" i="1"/>
  <c r="AI76" i="1"/>
  <c r="AJ76" i="1"/>
  <c r="AI77" i="1"/>
  <c r="AJ77" i="1"/>
  <c r="AI78" i="1"/>
  <c r="AJ78" i="1"/>
  <c r="AI79" i="1"/>
  <c r="AJ79" i="1"/>
  <c r="AI80" i="1"/>
  <c r="AJ80" i="1"/>
  <c r="AI81" i="1"/>
  <c r="AJ81" i="1"/>
  <c r="AI82" i="1"/>
  <c r="AJ82" i="1"/>
  <c r="AI83" i="1"/>
  <c r="AJ83" i="1"/>
  <c r="AI84" i="1"/>
  <c r="AJ84" i="1"/>
  <c r="AJ2" i="1"/>
  <c r="AI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2" i="1"/>
  <c r="AB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2" i="1"/>
  <c r="O73" i="12"/>
  <c r="N73" i="12"/>
  <c r="W73" i="12"/>
  <c r="V73" i="12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C77" i="35"/>
  <c r="D77" i="35" s="1"/>
  <c r="E77" i="35" s="1"/>
  <c r="F77" i="35" s="1"/>
  <c r="G77" i="35" s="1"/>
  <c r="D81" i="35"/>
  <c r="E81" i="35" s="1"/>
  <c r="F81" i="35" s="1"/>
  <c r="G81" i="35" s="1"/>
  <c r="C81" i="35"/>
  <c r="T73" i="34"/>
  <c r="S73" i="34"/>
  <c r="B5" i="34"/>
  <c r="C5" i="34"/>
  <c r="D5" i="34"/>
  <c r="E5" i="34"/>
  <c r="F5" i="34"/>
  <c r="B6" i="34"/>
  <c r="C6" i="34"/>
  <c r="D6" i="34"/>
  <c r="E6" i="34"/>
  <c r="F6" i="34"/>
  <c r="B7" i="34"/>
  <c r="C7" i="34"/>
  <c r="D7" i="34"/>
  <c r="E7" i="34"/>
  <c r="F7" i="34"/>
  <c r="B8" i="34"/>
  <c r="C8" i="34"/>
  <c r="D8" i="34"/>
  <c r="E8" i="34"/>
  <c r="F8" i="34"/>
  <c r="B9" i="34"/>
  <c r="C9" i="34"/>
  <c r="D9" i="34"/>
  <c r="E9" i="34"/>
  <c r="F9" i="34"/>
  <c r="B10" i="34"/>
  <c r="C10" i="34"/>
  <c r="D10" i="34"/>
  <c r="E10" i="34"/>
  <c r="F10" i="34"/>
  <c r="B11" i="34"/>
  <c r="C11" i="34"/>
  <c r="D11" i="34"/>
  <c r="E11" i="34"/>
  <c r="F11" i="34"/>
  <c r="B12" i="34"/>
  <c r="C12" i="34"/>
  <c r="D12" i="34"/>
  <c r="E12" i="34"/>
  <c r="F12" i="34"/>
  <c r="B13" i="34"/>
  <c r="C13" i="34"/>
  <c r="D13" i="34"/>
  <c r="E13" i="34"/>
  <c r="F13" i="34"/>
  <c r="B14" i="34"/>
  <c r="C14" i="34"/>
  <c r="D14" i="34"/>
  <c r="E14" i="34"/>
  <c r="F14" i="34"/>
  <c r="B15" i="34"/>
  <c r="C15" i="34"/>
  <c r="D15" i="34"/>
  <c r="E15" i="34"/>
  <c r="F15" i="34"/>
  <c r="B16" i="34"/>
  <c r="C16" i="34"/>
  <c r="D16" i="34"/>
  <c r="E16" i="34"/>
  <c r="F16" i="34"/>
  <c r="B17" i="34"/>
  <c r="C17" i="34"/>
  <c r="D17" i="34"/>
  <c r="E17" i="34"/>
  <c r="F17" i="34"/>
  <c r="B18" i="34"/>
  <c r="C18" i="34"/>
  <c r="D18" i="34"/>
  <c r="E18" i="34"/>
  <c r="F18" i="34"/>
  <c r="B19" i="34"/>
  <c r="C19" i="34"/>
  <c r="D19" i="34"/>
  <c r="E19" i="34"/>
  <c r="F19" i="34"/>
  <c r="B20" i="34"/>
  <c r="C20" i="34"/>
  <c r="D20" i="34"/>
  <c r="E20" i="34"/>
  <c r="F20" i="34"/>
  <c r="B21" i="34"/>
  <c r="C21" i="34"/>
  <c r="D21" i="34"/>
  <c r="E21" i="34"/>
  <c r="F21" i="34"/>
  <c r="B22" i="34"/>
  <c r="C22" i="34"/>
  <c r="D22" i="34"/>
  <c r="E22" i="34"/>
  <c r="F22" i="34"/>
  <c r="B23" i="34"/>
  <c r="C23" i="34"/>
  <c r="D23" i="34"/>
  <c r="E23" i="34"/>
  <c r="F23" i="34"/>
  <c r="B24" i="34"/>
  <c r="C24" i="34"/>
  <c r="D24" i="34"/>
  <c r="E24" i="34"/>
  <c r="F24" i="34"/>
  <c r="B25" i="34"/>
  <c r="C25" i="34"/>
  <c r="D25" i="34"/>
  <c r="E25" i="34"/>
  <c r="F25" i="34"/>
  <c r="B26" i="34"/>
  <c r="C26" i="34"/>
  <c r="D26" i="34"/>
  <c r="E26" i="34"/>
  <c r="F26" i="34"/>
  <c r="B27" i="34"/>
  <c r="C27" i="34"/>
  <c r="D27" i="34"/>
  <c r="E27" i="34"/>
  <c r="F27" i="34"/>
  <c r="B28" i="34"/>
  <c r="C28" i="34"/>
  <c r="D28" i="34"/>
  <c r="E28" i="34"/>
  <c r="F28" i="34"/>
  <c r="B29" i="34"/>
  <c r="C29" i="34"/>
  <c r="D29" i="34"/>
  <c r="E29" i="34"/>
  <c r="F29" i="34"/>
  <c r="B30" i="34"/>
  <c r="C30" i="34"/>
  <c r="D30" i="34"/>
  <c r="E30" i="34"/>
  <c r="F30" i="34"/>
  <c r="B31" i="34"/>
  <c r="C31" i="34"/>
  <c r="D31" i="34"/>
  <c r="E31" i="34"/>
  <c r="F31" i="34"/>
  <c r="B32" i="34"/>
  <c r="C32" i="34"/>
  <c r="D32" i="34"/>
  <c r="E32" i="34"/>
  <c r="F32" i="34"/>
  <c r="B33" i="34"/>
  <c r="C33" i="34"/>
  <c r="D33" i="34"/>
  <c r="E33" i="34"/>
  <c r="F33" i="34"/>
  <c r="B34" i="34"/>
  <c r="C34" i="34"/>
  <c r="D34" i="34"/>
  <c r="E34" i="34"/>
  <c r="F34" i="34"/>
  <c r="B35" i="34"/>
  <c r="C35" i="34"/>
  <c r="D35" i="34"/>
  <c r="E35" i="34"/>
  <c r="F35" i="34"/>
  <c r="B36" i="34"/>
  <c r="C36" i="34"/>
  <c r="D36" i="34"/>
  <c r="E36" i="34"/>
  <c r="F36" i="34"/>
  <c r="B37" i="34"/>
  <c r="C37" i="34"/>
  <c r="D37" i="34"/>
  <c r="E37" i="34"/>
  <c r="F37" i="34"/>
  <c r="B38" i="34"/>
  <c r="C38" i="34"/>
  <c r="D38" i="34"/>
  <c r="E38" i="34"/>
  <c r="F38" i="34"/>
  <c r="B39" i="34"/>
  <c r="C39" i="34"/>
  <c r="D39" i="34"/>
  <c r="E39" i="34"/>
  <c r="F39" i="34"/>
  <c r="B40" i="34"/>
  <c r="C40" i="34"/>
  <c r="D40" i="34"/>
  <c r="E40" i="34"/>
  <c r="F40" i="34"/>
  <c r="B41" i="34"/>
  <c r="C41" i="34"/>
  <c r="D41" i="34"/>
  <c r="E41" i="34"/>
  <c r="F41" i="34"/>
  <c r="B42" i="34"/>
  <c r="C42" i="34"/>
  <c r="D42" i="34"/>
  <c r="E42" i="34"/>
  <c r="F42" i="34"/>
  <c r="B43" i="34"/>
  <c r="C43" i="34"/>
  <c r="D43" i="34"/>
  <c r="E43" i="34"/>
  <c r="F43" i="34"/>
  <c r="B44" i="34"/>
  <c r="C44" i="34"/>
  <c r="D44" i="34"/>
  <c r="E44" i="34"/>
  <c r="F44" i="34"/>
  <c r="B45" i="34"/>
  <c r="C45" i="34"/>
  <c r="D45" i="34"/>
  <c r="E45" i="34"/>
  <c r="F45" i="34"/>
  <c r="B46" i="34"/>
  <c r="C46" i="34"/>
  <c r="D46" i="34"/>
  <c r="E46" i="34"/>
  <c r="F46" i="34"/>
  <c r="B47" i="34"/>
  <c r="C47" i="34"/>
  <c r="D47" i="34"/>
  <c r="E47" i="34"/>
  <c r="F47" i="34"/>
  <c r="B48" i="34"/>
  <c r="C48" i="34"/>
  <c r="D48" i="34"/>
  <c r="E48" i="34"/>
  <c r="F48" i="34"/>
  <c r="B49" i="34"/>
  <c r="C49" i="34"/>
  <c r="D49" i="34"/>
  <c r="E49" i="34"/>
  <c r="F49" i="34"/>
  <c r="B50" i="34"/>
  <c r="C50" i="34"/>
  <c r="D50" i="34"/>
  <c r="E50" i="34"/>
  <c r="F50" i="34"/>
  <c r="B51" i="34"/>
  <c r="C51" i="34"/>
  <c r="D51" i="34"/>
  <c r="E51" i="34"/>
  <c r="F51" i="34"/>
  <c r="B52" i="34"/>
  <c r="C52" i="34"/>
  <c r="D52" i="34"/>
  <c r="E52" i="34"/>
  <c r="F52" i="34"/>
  <c r="B53" i="34"/>
  <c r="C53" i="34"/>
  <c r="D53" i="34"/>
  <c r="E53" i="34"/>
  <c r="F53" i="34"/>
  <c r="B54" i="34"/>
  <c r="C54" i="34"/>
  <c r="D54" i="34"/>
  <c r="E54" i="34"/>
  <c r="F54" i="34"/>
  <c r="B55" i="34"/>
  <c r="C55" i="34"/>
  <c r="D55" i="34"/>
  <c r="E55" i="34"/>
  <c r="F55" i="34"/>
  <c r="B56" i="34"/>
  <c r="C56" i="34"/>
  <c r="D56" i="34"/>
  <c r="E56" i="34"/>
  <c r="F56" i="34"/>
  <c r="B57" i="34"/>
  <c r="C57" i="34"/>
  <c r="D57" i="34"/>
  <c r="E57" i="34"/>
  <c r="F57" i="34"/>
  <c r="B58" i="34"/>
  <c r="C58" i="34"/>
  <c r="D58" i="34"/>
  <c r="E58" i="34"/>
  <c r="F58" i="34"/>
  <c r="B59" i="34"/>
  <c r="C59" i="34"/>
  <c r="D59" i="34"/>
  <c r="E59" i="34"/>
  <c r="F59" i="34"/>
  <c r="B60" i="34"/>
  <c r="C60" i="34"/>
  <c r="D60" i="34"/>
  <c r="E60" i="34"/>
  <c r="F60" i="34"/>
  <c r="B61" i="34"/>
  <c r="C61" i="34"/>
  <c r="D61" i="34"/>
  <c r="E61" i="34"/>
  <c r="F61" i="34"/>
  <c r="B62" i="34"/>
  <c r="C62" i="34"/>
  <c r="D62" i="34"/>
  <c r="E62" i="34"/>
  <c r="F62" i="34"/>
  <c r="B63" i="34"/>
  <c r="C63" i="34"/>
  <c r="D63" i="34"/>
  <c r="E63" i="34"/>
  <c r="F63" i="34"/>
  <c r="B64" i="34"/>
  <c r="C64" i="34"/>
  <c r="D64" i="34"/>
  <c r="E64" i="34"/>
  <c r="F64" i="34"/>
  <c r="B65" i="34"/>
  <c r="C65" i="34"/>
  <c r="D65" i="34"/>
  <c r="E65" i="34"/>
  <c r="F65" i="34"/>
  <c r="B66" i="34"/>
  <c r="C66" i="34"/>
  <c r="D66" i="34"/>
  <c r="E66" i="34"/>
  <c r="F66" i="34"/>
  <c r="B67" i="34"/>
  <c r="C67" i="34"/>
  <c r="D67" i="34"/>
  <c r="E67" i="34"/>
  <c r="F67" i="34"/>
  <c r="B68" i="34"/>
  <c r="C68" i="34"/>
  <c r="D68" i="34"/>
  <c r="E68" i="34"/>
  <c r="F68" i="34"/>
  <c r="B69" i="34"/>
  <c r="C69" i="34"/>
  <c r="D69" i="34"/>
  <c r="E69" i="34"/>
  <c r="F69" i="34"/>
  <c r="B70" i="34"/>
  <c r="C70" i="34"/>
  <c r="D70" i="34"/>
  <c r="E70" i="34"/>
  <c r="F70" i="34"/>
  <c r="B71" i="34"/>
  <c r="C71" i="34"/>
  <c r="D71" i="34"/>
  <c r="E71" i="34"/>
  <c r="F71" i="34"/>
  <c r="B72" i="34"/>
  <c r="C72" i="34"/>
  <c r="D72" i="34"/>
  <c r="E72" i="34"/>
  <c r="F72" i="34"/>
  <c r="B73" i="34"/>
  <c r="C73" i="34"/>
  <c r="D73" i="34"/>
  <c r="E73" i="34"/>
  <c r="F73" i="34"/>
  <c r="B74" i="34"/>
  <c r="C74" i="34"/>
  <c r="D74" i="34"/>
  <c r="E74" i="34"/>
  <c r="F74" i="34"/>
  <c r="B75" i="34"/>
  <c r="C75" i="34"/>
  <c r="D75" i="34"/>
  <c r="E75" i="34"/>
  <c r="F75" i="34"/>
  <c r="B76" i="34"/>
  <c r="C76" i="34"/>
  <c r="D76" i="34"/>
  <c r="E76" i="34"/>
  <c r="F76" i="34"/>
  <c r="B77" i="34"/>
  <c r="C77" i="34"/>
  <c r="D77" i="34"/>
  <c r="E77" i="34"/>
  <c r="F77" i="34"/>
  <c r="B78" i="34"/>
  <c r="C78" i="34"/>
  <c r="D78" i="34"/>
  <c r="E78" i="34"/>
  <c r="F78" i="34"/>
  <c r="B79" i="34"/>
  <c r="C79" i="34"/>
  <c r="D79" i="34"/>
  <c r="E79" i="34"/>
  <c r="F79" i="34"/>
  <c r="B80" i="34"/>
  <c r="C80" i="34"/>
  <c r="D80" i="34"/>
  <c r="E80" i="34"/>
  <c r="F80" i="34"/>
  <c r="B81" i="34"/>
  <c r="C81" i="34"/>
  <c r="D81" i="34"/>
  <c r="E81" i="34"/>
  <c r="F81" i="34"/>
  <c r="B82" i="34"/>
  <c r="C82" i="34"/>
  <c r="D82" i="34"/>
  <c r="E82" i="34"/>
  <c r="F82" i="34"/>
  <c r="B83" i="34"/>
  <c r="C83" i="34"/>
  <c r="D83" i="34"/>
  <c r="E83" i="34"/>
  <c r="F83" i="34"/>
  <c r="B84" i="34"/>
  <c r="C84" i="34"/>
  <c r="D84" i="34"/>
  <c r="E84" i="34"/>
  <c r="F84" i="34"/>
  <c r="B85" i="34"/>
  <c r="C85" i="34"/>
  <c r="D85" i="34"/>
  <c r="E85" i="34"/>
  <c r="F85" i="34"/>
  <c r="B86" i="34"/>
  <c r="C86" i="34"/>
  <c r="D86" i="34"/>
  <c r="E86" i="34"/>
  <c r="F86" i="34"/>
  <c r="B87" i="34"/>
  <c r="C87" i="34"/>
  <c r="D87" i="34"/>
  <c r="E87" i="34"/>
  <c r="F87" i="34"/>
  <c r="B88" i="34"/>
  <c r="C88" i="34"/>
  <c r="D88" i="34"/>
  <c r="E88" i="34"/>
  <c r="F88" i="34"/>
  <c r="B89" i="34"/>
  <c r="C89" i="34"/>
  <c r="D89" i="34"/>
  <c r="E89" i="34"/>
  <c r="F89" i="34"/>
  <c r="B90" i="34"/>
  <c r="C90" i="34"/>
  <c r="D90" i="34"/>
  <c r="E90" i="34"/>
  <c r="F90" i="34"/>
  <c r="B91" i="34"/>
  <c r="C91" i="34"/>
  <c r="D91" i="34"/>
  <c r="E91" i="34"/>
  <c r="F91" i="34"/>
  <c r="B92" i="34"/>
  <c r="C92" i="34"/>
  <c r="D92" i="34"/>
  <c r="E92" i="34"/>
  <c r="F92" i="34"/>
  <c r="B93" i="34"/>
  <c r="C93" i="34"/>
  <c r="D93" i="34"/>
  <c r="E93" i="34"/>
  <c r="F93" i="34"/>
  <c r="B94" i="34"/>
  <c r="C94" i="34"/>
  <c r="D94" i="34"/>
  <c r="E94" i="34"/>
  <c r="F94" i="34"/>
  <c r="B95" i="34"/>
  <c r="C95" i="34"/>
  <c r="D95" i="34"/>
  <c r="E95" i="34"/>
  <c r="F95" i="34"/>
  <c r="B96" i="34"/>
  <c r="C96" i="34"/>
  <c r="D96" i="34"/>
  <c r="E96" i="34"/>
  <c r="F96" i="34"/>
  <c r="B97" i="34"/>
  <c r="C97" i="34"/>
  <c r="D97" i="34"/>
  <c r="E97" i="34"/>
  <c r="F97" i="34"/>
  <c r="B98" i="34"/>
  <c r="C98" i="34"/>
  <c r="D98" i="34"/>
  <c r="E98" i="34"/>
  <c r="F98" i="34"/>
  <c r="B99" i="34"/>
  <c r="C99" i="34"/>
  <c r="D99" i="34"/>
  <c r="E99" i="34"/>
  <c r="F99" i="34"/>
  <c r="C4" i="34"/>
  <c r="D4" i="34"/>
  <c r="E4" i="34"/>
  <c r="F4" i="34"/>
  <c r="B4" i="34"/>
  <c r="B93" i="12"/>
  <c r="C93" i="12"/>
  <c r="D93" i="12"/>
  <c r="E93" i="12"/>
  <c r="F93" i="12"/>
  <c r="G93" i="12"/>
  <c r="B94" i="12"/>
  <c r="C94" i="12"/>
  <c r="D94" i="12"/>
  <c r="E94" i="12"/>
  <c r="F94" i="12"/>
  <c r="G94" i="12"/>
  <c r="B95" i="12"/>
  <c r="C95" i="12"/>
  <c r="D95" i="12"/>
  <c r="E95" i="12"/>
  <c r="F95" i="12"/>
  <c r="G95" i="12"/>
  <c r="B96" i="12"/>
  <c r="C96" i="12"/>
  <c r="D96" i="12"/>
  <c r="E96" i="12"/>
  <c r="F96" i="12"/>
  <c r="G96" i="12"/>
  <c r="B97" i="12"/>
  <c r="C97" i="12"/>
  <c r="D97" i="12"/>
  <c r="E97" i="12"/>
  <c r="F97" i="12"/>
  <c r="G97" i="12"/>
  <c r="B98" i="12"/>
  <c r="C98" i="12"/>
  <c r="D98" i="12"/>
  <c r="E98" i="12"/>
  <c r="F98" i="12"/>
  <c r="G98" i="12"/>
  <c r="B99" i="12"/>
  <c r="C99" i="12"/>
  <c r="D99" i="12"/>
  <c r="E99" i="12"/>
  <c r="F99" i="12"/>
  <c r="G99" i="12"/>
  <c r="B100" i="12"/>
  <c r="C100" i="12"/>
  <c r="D100" i="12"/>
  <c r="E100" i="12"/>
  <c r="F100" i="12"/>
  <c r="G100" i="12"/>
  <c r="B101" i="12"/>
  <c r="C101" i="12"/>
  <c r="D101" i="12"/>
  <c r="E101" i="12"/>
  <c r="F101" i="12"/>
  <c r="G101" i="12"/>
  <c r="B5" i="12"/>
  <c r="C5" i="12"/>
  <c r="D5" i="12"/>
  <c r="E5" i="12"/>
  <c r="F5" i="12"/>
  <c r="G5" i="12"/>
  <c r="B6" i="12"/>
  <c r="C6" i="12"/>
  <c r="D6" i="12"/>
  <c r="E6" i="12"/>
  <c r="F6" i="12"/>
  <c r="G6" i="12"/>
  <c r="B7" i="12"/>
  <c r="C7" i="12"/>
  <c r="D7" i="12"/>
  <c r="E7" i="12"/>
  <c r="F7" i="12"/>
  <c r="G7" i="12"/>
  <c r="B8" i="12"/>
  <c r="C8" i="12"/>
  <c r="D8" i="12"/>
  <c r="E8" i="12"/>
  <c r="F8" i="12"/>
  <c r="G8" i="12"/>
  <c r="B9" i="12"/>
  <c r="C9" i="12"/>
  <c r="D9" i="12"/>
  <c r="E9" i="12"/>
  <c r="F9" i="12"/>
  <c r="G9" i="12"/>
  <c r="B10" i="12"/>
  <c r="C10" i="12"/>
  <c r="D10" i="12"/>
  <c r="E10" i="12"/>
  <c r="F10" i="12"/>
  <c r="G10" i="12"/>
  <c r="B11" i="12"/>
  <c r="C11" i="12"/>
  <c r="D11" i="12"/>
  <c r="E11" i="12"/>
  <c r="F11" i="12"/>
  <c r="G11" i="12"/>
  <c r="B12" i="12"/>
  <c r="C12" i="12"/>
  <c r="D12" i="12"/>
  <c r="E12" i="12"/>
  <c r="F12" i="12"/>
  <c r="G12" i="12"/>
  <c r="B13" i="12"/>
  <c r="C13" i="12"/>
  <c r="D13" i="12"/>
  <c r="E13" i="12"/>
  <c r="F13" i="12"/>
  <c r="G13" i="12"/>
  <c r="B14" i="12"/>
  <c r="C14" i="12"/>
  <c r="D14" i="12"/>
  <c r="E14" i="12"/>
  <c r="F14" i="12"/>
  <c r="G14" i="12"/>
  <c r="B15" i="12"/>
  <c r="C15" i="12"/>
  <c r="D15" i="12"/>
  <c r="E15" i="12"/>
  <c r="F15" i="12"/>
  <c r="G15" i="12"/>
  <c r="B16" i="12"/>
  <c r="C16" i="12"/>
  <c r="D16" i="12"/>
  <c r="E16" i="12"/>
  <c r="F16" i="12"/>
  <c r="G16" i="12"/>
  <c r="B17" i="12"/>
  <c r="C17" i="12"/>
  <c r="D17" i="12"/>
  <c r="E17" i="12"/>
  <c r="F17" i="12"/>
  <c r="G17" i="12"/>
  <c r="B18" i="12"/>
  <c r="C18" i="12"/>
  <c r="D18" i="12"/>
  <c r="E18" i="12"/>
  <c r="F18" i="12"/>
  <c r="G18" i="12"/>
  <c r="B19" i="12"/>
  <c r="C19" i="12"/>
  <c r="D19" i="12"/>
  <c r="E19" i="12"/>
  <c r="F19" i="12"/>
  <c r="G19" i="12"/>
  <c r="B20" i="12"/>
  <c r="C20" i="12"/>
  <c r="D20" i="12"/>
  <c r="E20" i="12"/>
  <c r="F20" i="12"/>
  <c r="G20" i="12"/>
  <c r="B21" i="12"/>
  <c r="C21" i="12"/>
  <c r="D21" i="12"/>
  <c r="E21" i="12"/>
  <c r="F21" i="12"/>
  <c r="G21" i="12"/>
  <c r="B22" i="12"/>
  <c r="C22" i="12"/>
  <c r="D22" i="12"/>
  <c r="E22" i="12"/>
  <c r="F22" i="12"/>
  <c r="G22" i="12"/>
  <c r="B23" i="12"/>
  <c r="C23" i="12"/>
  <c r="D23" i="12"/>
  <c r="E23" i="12"/>
  <c r="F23" i="12"/>
  <c r="G23" i="12"/>
  <c r="B24" i="12"/>
  <c r="C24" i="12"/>
  <c r="D24" i="12"/>
  <c r="E24" i="12"/>
  <c r="F24" i="12"/>
  <c r="G24" i="12"/>
  <c r="B25" i="12"/>
  <c r="C25" i="12"/>
  <c r="D25" i="12"/>
  <c r="E25" i="12"/>
  <c r="F25" i="12"/>
  <c r="G25" i="12"/>
  <c r="B26" i="12"/>
  <c r="C26" i="12"/>
  <c r="D26" i="12"/>
  <c r="E26" i="12"/>
  <c r="F26" i="12"/>
  <c r="G26" i="12"/>
  <c r="B27" i="12"/>
  <c r="C27" i="12"/>
  <c r="D27" i="12"/>
  <c r="E27" i="12"/>
  <c r="F27" i="12"/>
  <c r="G27" i="12"/>
  <c r="B28" i="12"/>
  <c r="C28" i="12"/>
  <c r="D28" i="12"/>
  <c r="E28" i="12"/>
  <c r="F28" i="12"/>
  <c r="G28" i="12"/>
  <c r="B29" i="12"/>
  <c r="C29" i="12"/>
  <c r="D29" i="12"/>
  <c r="E29" i="12"/>
  <c r="F29" i="12"/>
  <c r="G29" i="12"/>
  <c r="B30" i="12"/>
  <c r="C30" i="12"/>
  <c r="D30" i="12"/>
  <c r="E30" i="12"/>
  <c r="F30" i="12"/>
  <c r="G30" i="12"/>
  <c r="B31" i="12"/>
  <c r="C31" i="12"/>
  <c r="D31" i="12"/>
  <c r="E31" i="12"/>
  <c r="F31" i="12"/>
  <c r="G31" i="12"/>
  <c r="B32" i="12"/>
  <c r="C32" i="12"/>
  <c r="D32" i="12"/>
  <c r="E32" i="12"/>
  <c r="F32" i="12"/>
  <c r="G32" i="12"/>
  <c r="B33" i="12"/>
  <c r="C33" i="12"/>
  <c r="D33" i="12"/>
  <c r="E33" i="12"/>
  <c r="F33" i="12"/>
  <c r="G33" i="12"/>
  <c r="B34" i="12"/>
  <c r="C34" i="12"/>
  <c r="D34" i="12"/>
  <c r="E34" i="12"/>
  <c r="F34" i="12"/>
  <c r="G34" i="12"/>
  <c r="B35" i="12"/>
  <c r="C35" i="12"/>
  <c r="D35" i="12"/>
  <c r="E35" i="12"/>
  <c r="F35" i="12"/>
  <c r="G35" i="12"/>
  <c r="B36" i="12"/>
  <c r="C36" i="12"/>
  <c r="D36" i="12"/>
  <c r="E36" i="12"/>
  <c r="F36" i="12"/>
  <c r="G36" i="12"/>
  <c r="B37" i="12"/>
  <c r="C37" i="12"/>
  <c r="D37" i="12"/>
  <c r="E37" i="12"/>
  <c r="F37" i="12"/>
  <c r="G37" i="12"/>
  <c r="B38" i="12"/>
  <c r="C38" i="12"/>
  <c r="D38" i="12"/>
  <c r="E38" i="12"/>
  <c r="F38" i="12"/>
  <c r="G38" i="12"/>
  <c r="B39" i="12"/>
  <c r="C39" i="12"/>
  <c r="D39" i="12"/>
  <c r="E39" i="12"/>
  <c r="F39" i="12"/>
  <c r="G39" i="12"/>
  <c r="B40" i="12"/>
  <c r="C40" i="12"/>
  <c r="D40" i="12"/>
  <c r="E40" i="12"/>
  <c r="F40" i="12"/>
  <c r="G40" i="12"/>
  <c r="B41" i="12"/>
  <c r="C41" i="12"/>
  <c r="D41" i="12"/>
  <c r="E41" i="12"/>
  <c r="F41" i="12"/>
  <c r="G41" i="12"/>
  <c r="B42" i="12"/>
  <c r="C42" i="12"/>
  <c r="D42" i="12"/>
  <c r="E42" i="12"/>
  <c r="F42" i="12"/>
  <c r="G42" i="12"/>
  <c r="B43" i="12"/>
  <c r="C43" i="12"/>
  <c r="D43" i="12"/>
  <c r="E43" i="12"/>
  <c r="F43" i="12"/>
  <c r="G43" i="12"/>
  <c r="B44" i="12"/>
  <c r="C44" i="12"/>
  <c r="D44" i="12"/>
  <c r="E44" i="12"/>
  <c r="F44" i="12"/>
  <c r="G44" i="12"/>
  <c r="B45" i="12"/>
  <c r="C45" i="12"/>
  <c r="D45" i="12"/>
  <c r="E45" i="12"/>
  <c r="F45" i="12"/>
  <c r="G45" i="12"/>
  <c r="B46" i="12"/>
  <c r="C46" i="12"/>
  <c r="D46" i="12"/>
  <c r="E46" i="12"/>
  <c r="F46" i="12"/>
  <c r="G46" i="12"/>
  <c r="B47" i="12"/>
  <c r="C47" i="12"/>
  <c r="D47" i="12"/>
  <c r="E47" i="12"/>
  <c r="F47" i="12"/>
  <c r="G47" i="12"/>
  <c r="B48" i="12"/>
  <c r="C48" i="12"/>
  <c r="D48" i="12"/>
  <c r="E48" i="12"/>
  <c r="F48" i="12"/>
  <c r="G48" i="12"/>
  <c r="B49" i="12"/>
  <c r="C49" i="12"/>
  <c r="D49" i="12"/>
  <c r="E49" i="12"/>
  <c r="F49" i="12"/>
  <c r="G49" i="12"/>
  <c r="B50" i="12"/>
  <c r="C50" i="12"/>
  <c r="D50" i="12"/>
  <c r="E50" i="12"/>
  <c r="F50" i="12"/>
  <c r="G50" i="12"/>
  <c r="B51" i="12"/>
  <c r="C51" i="12"/>
  <c r="D51" i="12"/>
  <c r="E51" i="12"/>
  <c r="F51" i="12"/>
  <c r="G51" i="12"/>
  <c r="B52" i="12"/>
  <c r="C52" i="12"/>
  <c r="D52" i="12"/>
  <c r="E52" i="12"/>
  <c r="F52" i="12"/>
  <c r="G52" i="12"/>
  <c r="B53" i="12"/>
  <c r="C53" i="12"/>
  <c r="D53" i="12"/>
  <c r="E53" i="12"/>
  <c r="F53" i="12"/>
  <c r="G53" i="12"/>
  <c r="B54" i="12"/>
  <c r="C54" i="12"/>
  <c r="D54" i="12"/>
  <c r="E54" i="12"/>
  <c r="F54" i="12"/>
  <c r="G54" i="12"/>
  <c r="B55" i="12"/>
  <c r="C55" i="12"/>
  <c r="D55" i="12"/>
  <c r="E55" i="12"/>
  <c r="F55" i="12"/>
  <c r="G55" i="12"/>
  <c r="B56" i="12"/>
  <c r="C56" i="12"/>
  <c r="D56" i="12"/>
  <c r="E56" i="12"/>
  <c r="F56" i="12"/>
  <c r="G56" i="12"/>
  <c r="B57" i="12"/>
  <c r="C57" i="12"/>
  <c r="D57" i="12"/>
  <c r="E57" i="12"/>
  <c r="F57" i="12"/>
  <c r="G57" i="12"/>
  <c r="B58" i="12"/>
  <c r="C58" i="12"/>
  <c r="D58" i="12"/>
  <c r="E58" i="12"/>
  <c r="F58" i="12"/>
  <c r="G58" i="12"/>
  <c r="B59" i="12"/>
  <c r="C59" i="12"/>
  <c r="D59" i="12"/>
  <c r="E59" i="12"/>
  <c r="F59" i="12"/>
  <c r="G59" i="12"/>
  <c r="B60" i="12"/>
  <c r="C60" i="12"/>
  <c r="D60" i="12"/>
  <c r="E60" i="12"/>
  <c r="F60" i="12"/>
  <c r="G60" i="12"/>
  <c r="B61" i="12"/>
  <c r="C61" i="12"/>
  <c r="D61" i="12"/>
  <c r="E61" i="12"/>
  <c r="F61" i="12"/>
  <c r="G61" i="12"/>
  <c r="B62" i="12"/>
  <c r="C62" i="12"/>
  <c r="D62" i="12"/>
  <c r="E62" i="12"/>
  <c r="F62" i="12"/>
  <c r="G62" i="12"/>
  <c r="B63" i="12"/>
  <c r="C63" i="12"/>
  <c r="D63" i="12"/>
  <c r="E63" i="12"/>
  <c r="F63" i="12"/>
  <c r="G63" i="12"/>
  <c r="B64" i="12"/>
  <c r="C64" i="12"/>
  <c r="D64" i="12"/>
  <c r="E64" i="12"/>
  <c r="F64" i="12"/>
  <c r="G64" i="12"/>
  <c r="B65" i="12"/>
  <c r="C65" i="12"/>
  <c r="D65" i="12"/>
  <c r="E65" i="12"/>
  <c r="F65" i="12"/>
  <c r="G65" i="12"/>
  <c r="B66" i="12"/>
  <c r="C66" i="12"/>
  <c r="D66" i="12"/>
  <c r="E66" i="12"/>
  <c r="F66" i="12"/>
  <c r="G66" i="12"/>
  <c r="B67" i="12"/>
  <c r="C67" i="12"/>
  <c r="D67" i="12"/>
  <c r="E67" i="12"/>
  <c r="F67" i="12"/>
  <c r="G67" i="12"/>
  <c r="B68" i="12"/>
  <c r="C68" i="12"/>
  <c r="D68" i="12"/>
  <c r="E68" i="12"/>
  <c r="F68" i="12"/>
  <c r="G68" i="12"/>
  <c r="B69" i="12"/>
  <c r="C69" i="12"/>
  <c r="D69" i="12"/>
  <c r="E69" i="12"/>
  <c r="F69" i="12"/>
  <c r="G69" i="12"/>
  <c r="B70" i="12"/>
  <c r="C70" i="12"/>
  <c r="D70" i="12"/>
  <c r="E70" i="12"/>
  <c r="F70" i="12"/>
  <c r="G70" i="12"/>
  <c r="B71" i="12"/>
  <c r="C71" i="12"/>
  <c r="D71" i="12"/>
  <c r="E71" i="12"/>
  <c r="F71" i="12"/>
  <c r="G71" i="12"/>
  <c r="B72" i="12"/>
  <c r="C72" i="12"/>
  <c r="D72" i="12"/>
  <c r="E72" i="12"/>
  <c r="F72" i="12"/>
  <c r="G72" i="12"/>
  <c r="B73" i="12"/>
  <c r="C73" i="12"/>
  <c r="D73" i="12"/>
  <c r="E73" i="12"/>
  <c r="F73" i="12"/>
  <c r="G73" i="12"/>
  <c r="S18" i="1" s="1"/>
  <c r="B74" i="12"/>
  <c r="C74" i="12"/>
  <c r="D74" i="12"/>
  <c r="E74" i="12"/>
  <c r="F74" i="12"/>
  <c r="G74" i="12"/>
  <c r="B75" i="12"/>
  <c r="C75" i="12"/>
  <c r="D75" i="12"/>
  <c r="E75" i="12"/>
  <c r="F75" i="12"/>
  <c r="G75" i="12"/>
  <c r="B76" i="12"/>
  <c r="C76" i="12"/>
  <c r="D76" i="12"/>
  <c r="E76" i="12"/>
  <c r="F76" i="12"/>
  <c r="G76" i="12"/>
  <c r="B77" i="12"/>
  <c r="C77" i="12"/>
  <c r="D77" i="12"/>
  <c r="E77" i="12"/>
  <c r="F77" i="12"/>
  <c r="G77" i="12"/>
  <c r="B78" i="12"/>
  <c r="C78" i="12"/>
  <c r="D78" i="12"/>
  <c r="E78" i="12"/>
  <c r="F78" i="12"/>
  <c r="G78" i="12"/>
  <c r="B79" i="12"/>
  <c r="C79" i="12"/>
  <c r="D79" i="12"/>
  <c r="E79" i="12"/>
  <c r="F79" i="12"/>
  <c r="G79" i="12"/>
  <c r="B80" i="12"/>
  <c r="C80" i="12"/>
  <c r="D80" i="12"/>
  <c r="E80" i="12"/>
  <c r="F80" i="12"/>
  <c r="G80" i="12"/>
  <c r="B81" i="12"/>
  <c r="C81" i="12"/>
  <c r="D81" i="12"/>
  <c r="E81" i="12"/>
  <c r="F81" i="12"/>
  <c r="G81" i="12"/>
  <c r="B82" i="12"/>
  <c r="C82" i="12"/>
  <c r="D82" i="12"/>
  <c r="E82" i="12"/>
  <c r="F82" i="12"/>
  <c r="G82" i="12"/>
  <c r="B83" i="12"/>
  <c r="C83" i="12"/>
  <c r="D83" i="12"/>
  <c r="E83" i="12"/>
  <c r="F83" i="12"/>
  <c r="G83" i="12"/>
  <c r="B84" i="12"/>
  <c r="C84" i="12"/>
  <c r="D84" i="12"/>
  <c r="E84" i="12"/>
  <c r="F84" i="12"/>
  <c r="G84" i="12"/>
  <c r="B85" i="12"/>
  <c r="C85" i="12"/>
  <c r="D85" i="12"/>
  <c r="E85" i="12"/>
  <c r="F85" i="12"/>
  <c r="G85" i="12"/>
  <c r="B86" i="12"/>
  <c r="C86" i="12"/>
  <c r="D86" i="12"/>
  <c r="E86" i="12"/>
  <c r="F86" i="12"/>
  <c r="G86" i="12"/>
  <c r="B87" i="12"/>
  <c r="C87" i="12"/>
  <c r="D87" i="12"/>
  <c r="E87" i="12"/>
  <c r="F87" i="12"/>
  <c r="G87" i="12"/>
  <c r="B88" i="12"/>
  <c r="C88" i="12"/>
  <c r="D88" i="12"/>
  <c r="E88" i="12"/>
  <c r="F88" i="12"/>
  <c r="G88" i="12"/>
  <c r="B89" i="12"/>
  <c r="C89" i="12"/>
  <c r="D89" i="12"/>
  <c r="E89" i="12"/>
  <c r="F89" i="12"/>
  <c r="G89" i="12"/>
  <c r="B90" i="12"/>
  <c r="C90" i="12"/>
  <c r="D90" i="12"/>
  <c r="E90" i="12"/>
  <c r="F90" i="12"/>
  <c r="G90" i="12"/>
  <c r="B91" i="12"/>
  <c r="C91" i="12"/>
  <c r="D91" i="12"/>
  <c r="E91" i="12"/>
  <c r="F91" i="12"/>
  <c r="G91" i="12"/>
  <c r="B92" i="12"/>
  <c r="C92" i="12"/>
  <c r="D92" i="12"/>
  <c r="E92" i="12"/>
  <c r="F92" i="12"/>
  <c r="G92" i="12"/>
  <c r="C4" i="12"/>
  <c r="D4" i="12"/>
  <c r="E4" i="12"/>
  <c r="F4" i="12"/>
  <c r="G4" i="12"/>
  <c r="B4" i="12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2" i="1"/>
  <c r="B5" i="30"/>
  <c r="C5" i="30"/>
  <c r="D5" i="30"/>
  <c r="E5" i="30"/>
  <c r="F5" i="30"/>
  <c r="G5" i="30"/>
  <c r="B6" i="30"/>
  <c r="C6" i="30"/>
  <c r="D6" i="30"/>
  <c r="E6" i="30"/>
  <c r="F6" i="30"/>
  <c r="G6" i="30"/>
  <c r="B7" i="30"/>
  <c r="C7" i="30"/>
  <c r="D7" i="30"/>
  <c r="E7" i="30"/>
  <c r="F7" i="30"/>
  <c r="G7" i="30"/>
  <c r="B8" i="30"/>
  <c r="C8" i="30"/>
  <c r="D8" i="30"/>
  <c r="E8" i="30"/>
  <c r="F8" i="30"/>
  <c r="G8" i="30"/>
  <c r="B9" i="30"/>
  <c r="C9" i="30"/>
  <c r="D9" i="30"/>
  <c r="E9" i="30"/>
  <c r="F9" i="30"/>
  <c r="G9" i="30"/>
  <c r="B10" i="30"/>
  <c r="C10" i="30"/>
  <c r="D10" i="30"/>
  <c r="E10" i="30"/>
  <c r="F10" i="30"/>
  <c r="G10" i="30"/>
  <c r="B11" i="30"/>
  <c r="C11" i="30"/>
  <c r="D11" i="30"/>
  <c r="E11" i="30"/>
  <c r="F11" i="30"/>
  <c r="G11" i="30"/>
  <c r="B12" i="30"/>
  <c r="C12" i="30"/>
  <c r="D12" i="30"/>
  <c r="E12" i="30"/>
  <c r="F12" i="30"/>
  <c r="G12" i="30"/>
  <c r="B13" i="30"/>
  <c r="C13" i="30"/>
  <c r="D13" i="30"/>
  <c r="E13" i="30"/>
  <c r="F13" i="30"/>
  <c r="G13" i="30"/>
  <c r="B14" i="30"/>
  <c r="C14" i="30"/>
  <c r="D14" i="30"/>
  <c r="E14" i="30"/>
  <c r="F14" i="30"/>
  <c r="G14" i="30"/>
  <c r="B15" i="30"/>
  <c r="C15" i="30"/>
  <c r="D15" i="30"/>
  <c r="E15" i="30"/>
  <c r="F15" i="30"/>
  <c r="G15" i="30"/>
  <c r="B16" i="30"/>
  <c r="C16" i="30"/>
  <c r="D16" i="30"/>
  <c r="E16" i="30"/>
  <c r="F16" i="30"/>
  <c r="G16" i="30"/>
  <c r="B17" i="30"/>
  <c r="C17" i="30"/>
  <c r="D17" i="30"/>
  <c r="E17" i="30"/>
  <c r="F17" i="30"/>
  <c r="G17" i="30"/>
  <c r="B18" i="30"/>
  <c r="C18" i="30"/>
  <c r="D18" i="30"/>
  <c r="E18" i="30"/>
  <c r="F18" i="30"/>
  <c r="G18" i="30"/>
  <c r="B19" i="30"/>
  <c r="C19" i="30"/>
  <c r="D19" i="30"/>
  <c r="E19" i="30"/>
  <c r="F19" i="30"/>
  <c r="G19" i="30"/>
  <c r="B20" i="30"/>
  <c r="C20" i="30"/>
  <c r="D20" i="30"/>
  <c r="E20" i="30"/>
  <c r="F20" i="30"/>
  <c r="G20" i="30"/>
  <c r="B21" i="30"/>
  <c r="C21" i="30"/>
  <c r="D21" i="30"/>
  <c r="E21" i="30"/>
  <c r="F21" i="30"/>
  <c r="G21" i="30"/>
  <c r="B22" i="30"/>
  <c r="C22" i="30"/>
  <c r="D22" i="30"/>
  <c r="E22" i="30"/>
  <c r="F22" i="30"/>
  <c r="G22" i="30"/>
  <c r="B23" i="30"/>
  <c r="C23" i="30"/>
  <c r="D23" i="30"/>
  <c r="E23" i="30"/>
  <c r="F23" i="30"/>
  <c r="G23" i="30"/>
  <c r="B24" i="30"/>
  <c r="C24" i="30"/>
  <c r="D24" i="30"/>
  <c r="E24" i="30"/>
  <c r="F24" i="30"/>
  <c r="G24" i="30"/>
  <c r="B25" i="30"/>
  <c r="C25" i="30"/>
  <c r="D25" i="30"/>
  <c r="E25" i="30"/>
  <c r="F25" i="30"/>
  <c r="G25" i="30"/>
  <c r="B26" i="30"/>
  <c r="C26" i="30"/>
  <c r="D26" i="30"/>
  <c r="E26" i="30"/>
  <c r="F26" i="30"/>
  <c r="G26" i="30"/>
  <c r="B27" i="30"/>
  <c r="C27" i="30"/>
  <c r="D27" i="30"/>
  <c r="E27" i="30"/>
  <c r="F27" i="30"/>
  <c r="G27" i="30"/>
  <c r="B28" i="30"/>
  <c r="C28" i="30"/>
  <c r="D28" i="30"/>
  <c r="E28" i="30"/>
  <c r="F28" i="30"/>
  <c r="G28" i="30"/>
  <c r="B29" i="30"/>
  <c r="C29" i="30"/>
  <c r="D29" i="30"/>
  <c r="E29" i="30"/>
  <c r="F29" i="30"/>
  <c r="G29" i="30"/>
  <c r="B30" i="30"/>
  <c r="C30" i="30"/>
  <c r="D30" i="30"/>
  <c r="E30" i="30"/>
  <c r="F30" i="30"/>
  <c r="G30" i="30"/>
  <c r="B31" i="30"/>
  <c r="C31" i="30"/>
  <c r="D31" i="30"/>
  <c r="E31" i="30"/>
  <c r="F31" i="30"/>
  <c r="G31" i="30"/>
  <c r="B32" i="30"/>
  <c r="C32" i="30"/>
  <c r="D32" i="30"/>
  <c r="E32" i="30"/>
  <c r="F32" i="30"/>
  <c r="G32" i="30"/>
  <c r="B33" i="30"/>
  <c r="C33" i="30"/>
  <c r="D33" i="30"/>
  <c r="E33" i="30"/>
  <c r="F33" i="30"/>
  <c r="G33" i="30"/>
  <c r="B34" i="30"/>
  <c r="C34" i="30"/>
  <c r="D34" i="30"/>
  <c r="E34" i="30"/>
  <c r="F34" i="30"/>
  <c r="G34" i="30"/>
  <c r="B35" i="30"/>
  <c r="C35" i="30"/>
  <c r="D35" i="30"/>
  <c r="E35" i="30"/>
  <c r="F35" i="30"/>
  <c r="G35" i="30"/>
  <c r="B36" i="30"/>
  <c r="C36" i="30"/>
  <c r="D36" i="30"/>
  <c r="E36" i="30"/>
  <c r="F36" i="30"/>
  <c r="G36" i="30"/>
  <c r="B37" i="30"/>
  <c r="C37" i="30"/>
  <c r="D37" i="30"/>
  <c r="E37" i="30"/>
  <c r="F37" i="30"/>
  <c r="G37" i="30"/>
  <c r="B38" i="30"/>
  <c r="C38" i="30"/>
  <c r="D38" i="30"/>
  <c r="E38" i="30"/>
  <c r="F38" i="30"/>
  <c r="G38" i="30"/>
  <c r="B39" i="30"/>
  <c r="C39" i="30"/>
  <c r="D39" i="30"/>
  <c r="E39" i="30"/>
  <c r="F39" i="30"/>
  <c r="G39" i="30"/>
  <c r="B40" i="30"/>
  <c r="C40" i="30"/>
  <c r="D40" i="30"/>
  <c r="E40" i="30"/>
  <c r="F40" i="30"/>
  <c r="G40" i="30"/>
  <c r="B41" i="30"/>
  <c r="C41" i="30"/>
  <c r="D41" i="30"/>
  <c r="E41" i="30"/>
  <c r="F41" i="30"/>
  <c r="G41" i="30"/>
  <c r="B42" i="30"/>
  <c r="C42" i="30"/>
  <c r="D42" i="30"/>
  <c r="E42" i="30"/>
  <c r="F42" i="30"/>
  <c r="G42" i="30"/>
  <c r="B43" i="30"/>
  <c r="C43" i="30"/>
  <c r="D43" i="30"/>
  <c r="E43" i="30"/>
  <c r="F43" i="30"/>
  <c r="G43" i="30"/>
  <c r="B44" i="30"/>
  <c r="C44" i="30"/>
  <c r="D44" i="30"/>
  <c r="E44" i="30"/>
  <c r="F44" i="30"/>
  <c r="G44" i="30"/>
  <c r="B45" i="30"/>
  <c r="C45" i="30"/>
  <c r="D45" i="30"/>
  <c r="E45" i="30"/>
  <c r="F45" i="30"/>
  <c r="G45" i="30"/>
  <c r="B46" i="30"/>
  <c r="C46" i="30"/>
  <c r="D46" i="30"/>
  <c r="E46" i="30"/>
  <c r="F46" i="30"/>
  <c r="G46" i="30"/>
  <c r="B47" i="30"/>
  <c r="C47" i="30"/>
  <c r="D47" i="30"/>
  <c r="E47" i="30"/>
  <c r="F47" i="30"/>
  <c r="G47" i="30"/>
  <c r="B48" i="30"/>
  <c r="C48" i="30"/>
  <c r="D48" i="30"/>
  <c r="E48" i="30"/>
  <c r="F48" i="30"/>
  <c r="G48" i="30"/>
  <c r="B49" i="30"/>
  <c r="C49" i="30"/>
  <c r="D49" i="30"/>
  <c r="E49" i="30"/>
  <c r="F49" i="30"/>
  <c r="G49" i="30"/>
  <c r="B50" i="30"/>
  <c r="C50" i="30"/>
  <c r="D50" i="30"/>
  <c r="E50" i="30"/>
  <c r="F50" i="30"/>
  <c r="G50" i="30"/>
  <c r="B51" i="30"/>
  <c r="C51" i="30"/>
  <c r="D51" i="30"/>
  <c r="E51" i="30"/>
  <c r="F51" i="30"/>
  <c r="G51" i="30"/>
  <c r="B52" i="30"/>
  <c r="C52" i="30"/>
  <c r="D52" i="30"/>
  <c r="E52" i="30"/>
  <c r="F52" i="30"/>
  <c r="G52" i="30"/>
  <c r="B53" i="30"/>
  <c r="C53" i="30"/>
  <c r="D53" i="30"/>
  <c r="E53" i="30"/>
  <c r="F53" i="30"/>
  <c r="G53" i="30"/>
  <c r="B54" i="30"/>
  <c r="C54" i="30"/>
  <c r="D54" i="30"/>
  <c r="E54" i="30"/>
  <c r="F54" i="30"/>
  <c r="G54" i="30"/>
  <c r="B55" i="30"/>
  <c r="C55" i="30"/>
  <c r="D55" i="30"/>
  <c r="E55" i="30"/>
  <c r="F55" i="30"/>
  <c r="G55" i="30"/>
  <c r="B56" i="30"/>
  <c r="C56" i="30"/>
  <c r="D56" i="30"/>
  <c r="E56" i="30"/>
  <c r="F56" i="30"/>
  <c r="G56" i="30"/>
  <c r="B57" i="30"/>
  <c r="C57" i="30"/>
  <c r="D57" i="30"/>
  <c r="E57" i="30"/>
  <c r="F57" i="30"/>
  <c r="G57" i="30"/>
  <c r="B58" i="30"/>
  <c r="C58" i="30"/>
  <c r="D58" i="30"/>
  <c r="E58" i="30"/>
  <c r="F58" i="30"/>
  <c r="G58" i="30"/>
  <c r="B59" i="30"/>
  <c r="C59" i="30"/>
  <c r="D59" i="30"/>
  <c r="E59" i="30"/>
  <c r="F59" i="30"/>
  <c r="G59" i="30"/>
  <c r="B60" i="30"/>
  <c r="C60" i="30"/>
  <c r="D60" i="30"/>
  <c r="E60" i="30"/>
  <c r="F60" i="30"/>
  <c r="G60" i="30"/>
  <c r="B61" i="30"/>
  <c r="C61" i="30"/>
  <c r="D61" i="30"/>
  <c r="E61" i="30"/>
  <c r="F61" i="30"/>
  <c r="G61" i="30"/>
  <c r="B62" i="30"/>
  <c r="C62" i="30"/>
  <c r="D62" i="30"/>
  <c r="E62" i="30"/>
  <c r="F62" i="30"/>
  <c r="G62" i="30"/>
  <c r="B63" i="30"/>
  <c r="C63" i="30"/>
  <c r="D63" i="30"/>
  <c r="E63" i="30"/>
  <c r="F63" i="30"/>
  <c r="G63" i="30"/>
  <c r="B64" i="30"/>
  <c r="C64" i="30"/>
  <c r="D64" i="30"/>
  <c r="E64" i="30"/>
  <c r="F64" i="30"/>
  <c r="G64" i="30"/>
  <c r="B65" i="30"/>
  <c r="C65" i="30"/>
  <c r="D65" i="30"/>
  <c r="E65" i="30"/>
  <c r="F65" i="30"/>
  <c r="G65" i="30"/>
  <c r="B66" i="30"/>
  <c r="C66" i="30"/>
  <c r="D66" i="30"/>
  <c r="E66" i="30"/>
  <c r="F66" i="30"/>
  <c r="G66" i="30"/>
  <c r="B67" i="30"/>
  <c r="C67" i="30"/>
  <c r="D67" i="30"/>
  <c r="E67" i="30"/>
  <c r="F67" i="30"/>
  <c r="G67" i="30"/>
  <c r="B68" i="30"/>
  <c r="C68" i="30"/>
  <c r="D68" i="30"/>
  <c r="E68" i="30"/>
  <c r="F68" i="30"/>
  <c r="G68" i="30"/>
  <c r="B69" i="30"/>
  <c r="C69" i="30"/>
  <c r="D69" i="30"/>
  <c r="E69" i="30"/>
  <c r="F69" i="30"/>
  <c r="G69" i="30"/>
  <c r="B70" i="30"/>
  <c r="C70" i="30"/>
  <c r="D70" i="30"/>
  <c r="E70" i="30"/>
  <c r="F70" i="30"/>
  <c r="G70" i="30"/>
  <c r="B71" i="30"/>
  <c r="C71" i="30"/>
  <c r="D71" i="30"/>
  <c r="E71" i="30"/>
  <c r="F71" i="30"/>
  <c r="G71" i="30"/>
  <c r="B72" i="30"/>
  <c r="C72" i="30"/>
  <c r="D72" i="30"/>
  <c r="E72" i="30"/>
  <c r="F72" i="30"/>
  <c r="G72" i="30"/>
  <c r="B73" i="30"/>
  <c r="C73" i="30"/>
  <c r="D73" i="30"/>
  <c r="E73" i="30"/>
  <c r="F73" i="30"/>
  <c r="G73" i="30"/>
  <c r="B74" i="30"/>
  <c r="C74" i="30"/>
  <c r="D74" i="30"/>
  <c r="E74" i="30"/>
  <c r="F74" i="30"/>
  <c r="G74" i="30"/>
  <c r="B75" i="30"/>
  <c r="C75" i="30"/>
  <c r="D75" i="30"/>
  <c r="E75" i="30"/>
  <c r="F75" i="30"/>
  <c r="G75" i="30"/>
  <c r="B76" i="30"/>
  <c r="C76" i="30"/>
  <c r="D76" i="30"/>
  <c r="E76" i="30"/>
  <c r="F76" i="30"/>
  <c r="G76" i="30"/>
  <c r="B77" i="30"/>
  <c r="C77" i="30"/>
  <c r="D77" i="30"/>
  <c r="E77" i="30"/>
  <c r="F77" i="30"/>
  <c r="G77" i="30"/>
  <c r="B78" i="30"/>
  <c r="C78" i="30"/>
  <c r="D78" i="30"/>
  <c r="E78" i="30"/>
  <c r="F78" i="30"/>
  <c r="G78" i="30"/>
  <c r="B79" i="30"/>
  <c r="C79" i="30"/>
  <c r="D79" i="30"/>
  <c r="E79" i="30"/>
  <c r="F79" i="30"/>
  <c r="G79" i="30"/>
  <c r="B80" i="30"/>
  <c r="C80" i="30"/>
  <c r="D80" i="30"/>
  <c r="E80" i="30"/>
  <c r="F80" i="30"/>
  <c r="G80" i="30"/>
  <c r="B81" i="30"/>
  <c r="C81" i="30"/>
  <c r="D81" i="30"/>
  <c r="E81" i="30"/>
  <c r="F81" i="30"/>
  <c r="G81" i="30"/>
  <c r="B82" i="30"/>
  <c r="C82" i="30"/>
  <c r="D82" i="30"/>
  <c r="E82" i="30"/>
  <c r="F82" i="30"/>
  <c r="G82" i="30"/>
  <c r="B83" i="30"/>
  <c r="C83" i="30"/>
  <c r="D83" i="30"/>
  <c r="E83" i="30"/>
  <c r="F83" i="30"/>
  <c r="G83" i="30"/>
  <c r="B84" i="30"/>
  <c r="C84" i="30"/>
  <c r="D84" i="30"/>
  <c r="E84" i="30"/>
  <c r="F84" i="30"/>
  <c r="G84" i="30"/>
  <c r="B85" i="30"/>
  <c r="C85" i="30"/>
  <c r="D85" i="30"/>
  <c r="E85" i="30"/>
  <c r="F85" i="30"/>
  <c r="G85" i="30"/>
  <c r="B86" i="30"/>
  <c r="C86" i="30"/>
  <c r="D86" i="30"/>
  <c r="E86" i="30"/>
  <c r="F86" i="30"/>
  <c r="G86" i="30"/>
  <c r="B87" i="30"/>
  <c r="C87" i="30"/>
  <c r="D87" i="30"/>
  <c r="E87" i="30"/>
  <c r="F87" i="30"/>
  <c r="G87" i="30"/>
  <c r="B88" i="30"/>
  <c r="C88" i="30"/>
  <c r="D88" i="30"/>
  <c r="E88" i="30"/>
  <c r="F88" i="30"/>
  <c r="G88" i="30"/>
  <c r="B89" i="30"/>
  <c r="C89" i="30"/>
  <c r="D89" i="30"/>
  <c r="E89" i="30"/>
  <c r="F89" i="30"/>
  <c r="G89" i="30"/>
  <c r="B90" i="30"/>
  <c r="C90" i="30"/>
  <c r="D90" i="30"/>
  <c r="E90" i="30"/>
  <c r="F90" i="30"/>
  <c r="G90" i="30"/>
  <c r="B91" i="30"/>
  <c r="C91" i="30"/>
  <c r="D91" i="30"/>
  <c r="E91" i="30"/>
  <c r="F91" i="30"/>
  <c r="G91" i="30"/>
  <c r="B92" i="30"/>
  <c r="C92" i="30"/>
  <c r="D92" i="30"/>
  <c r="E92" i="30"/>
  <c r="F92" i="30"/>
  <c r="G92" i="30"/>
  <c r="B93" i="30"/>
  <c r="C93" i="30"/>
  <c r="D93" i="30"/>
  <c r="E93" i="30"/>
  <c r="F93" i="30"/>
  <c r="G93" i="30"/>
  <c r="B94" i="30"/>
  <c r="C94" i="30"/>
  <c r="D94" i="30"/>
  <c r="E94" i="30"/>
  <c r="F94" i="30"/>
  <c r="G94" i="30"/>
  <c r="B95" i="30"/>
  <c r="C95" i="30"/>
  <c r="D95" i="30"/>
  <c r="E95" i="30"/>
  <c r="F95" i="30"/>
  <c r="G95" i="30"/>
  <c r="B96" i="30"/>
  <c r="C96" i="30"/>
  <c r="D96" i="30"/>
  <c r="E96" i="30"/>
  <c r="F96" i="30"/>
  <c r="G96" i="30"/>
  <c r="B97" i="30"/>
  <c r="C97" i="30"/>
  <c r="D97" i="30"/>
  <c r="E97" i="30"/>
  <c r="F97" i="30"/>
  <c r="G97" i="30"/>
  <c r="B98" i="30"/>
  <c r="C98" i="30"/>
  <c r="D98" i="30"/>
  <c r="E98" i="30"/>
  <c r="F98" i="30"/>
  <c r="G98" i="30"/>
  <c r="B99" i="30"/>
  <c r="C99" i="30"/>
  <c r="D99" i="30"/>
  <c r="E99" i="30"/>
  <c r="F99" i="30"/>
  <c r="G99" i="30"/>
  <c r="C4" i="30"/>
  <c r="D4" i="30"/>
  <c r="E4" i="30"/>
  <c r="F4" i="30"/>
  <c r="G4" i="30"/>
  <c r="B4" i="30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3" i="1"/>
  <c r="C2" i="1"/>
  <c r="B3" i="1"/>
  <c r="Q3" i="1" s="1"/>
  <c r="B4" i="1"/>
  <c r="Q4" i="1" s="1"/>
  <c r="B5" i="1"/>
  <c r="H5" i="1" s="1"/>
  <c r="B6" i="1"/>
  <c r="O6" i="1" s="1"/>
  <c r="B7" i="1"/>
  <c r="H7" i="1" s="1"/>
  <c r="B8" i="1"/>
  <c r="H8" i="1" s="1"/>
  <c r="B9" i="1"/>
  <c r="B10" i="1"/>
  <c r="P10" i="1" s="1"/>
  <c r="B11" i="1"/>
  <c r="P11" i="1" s="1"/>
  <c r="B12" i="1"/>
  <c r="M12" i="1" s="1"/>
  <c r="B13" i="1"/>
  <c r="B14" i="1"/>
  <c r="J14" i="1" s="1"/>
  <c r="B15" i="1"/>
  <c r="J15" i="1" s="1"/>
  <c r="B16" i="1"/>
  <c r="I16" i="1" s="1"/>
  <c r="B17" i="1"/>
  <c r="I17" i="1" s="1"/>
  <c r="B18" i="1"/>
  <c r="O18" i="1" s="1"/>
  <c r="B19" i="1"/>
  <c r="I19" i="1" s="1"/>
  <c r="B20" i="1"/>
  <c r="B21" i="1"/>
  <c r="Q21" i="1" s="1"/>
  <c r="B22" i="1"/>
  <c r="Q22" i="1" s="1"/>
  <c r="B23" i="1"/>
  <c r="B24" i="1"/>
  <c r="B25" i="1"/>
  <c r="B26" i="1"/>
  <c r="K26" i="1" s="1"/>
  <c r="B27" i="1"/>
  <c r="Q27" i="1" s="1"/>
  <c r="B28" i="1"/>
  <c r="O28" i="1" s="1"/>
  <c r="B29" i="1"/>
  <c r="O29" i="1" s="1"/>
  <c r="B30" i="1"/>
  <c r="B31" i="1"/>
  <c r="B32" i="1"/>
  <c r="P32" i="1" s="1"/>
  <c r="B33" i="1"/>
  <c r="O33" i="1" s="1"/>
  <c r="B34" i="1"/>
  <c r="P34" i="1" s="1"/>
  <c r="B35" i="1"/>
  <c r="P35" i="1" s="1"/>
  <c r="B36" i="1"/>
  <c r="O36" i="1" s="1"/>
  <c r="B37" i="1"/>
  <c r="B38" i="1"/>
  <c r="K38" i="1" s="1"/>
  <c r="B39" i="1"/>
  <c r="H39" i="1" s="1"/>
  <c r="B40" i="1"/>
  <c r="Q40" i="1" s="1"/>
  <c r="B41" i="1"/>
  <c r="I41" i="1" s="1"/>
  <c r="B42" i="1"/>
  <c r="I42" i="1" s="1"/>
  <c r="B43" i="1"/>
  <c r="M43" i="1" s="1"/>
  <c r="B44" i="1"/>
  <c r="K44" i="1" s="1"/>
  <c r="B45" i="1"/>
  <c r="B46" i="1"/>
  <c r="B47" i="1"/>
  <c r="B48" i="1"/>
  <c r="B49" i="1"/>
  <c r="B50" i="1"/>
  <c r="J50" i="1" s="1"/>
  <c r="B51" i="1"/>
  <c r="H51" i="1" s="1"/>
  <c r="B52" i="1"/>
  <c r="I52" i="1" s="1"/>
  <c r="B53" i="1"/>
  <c r="I53" i="1" s="1"/>
  <c r="B54" i="1"/>
  <c r="H54" i="1" s="1"/>
  <c r="B55" i="1"/>
  <c r="I55" i="1" s="1"/>
  <c r="B56" i="1"/>
  <c r="P56" i="1" s="1"/>
  <c r="B57" i="1"/>
  <c r="Q57" i="1" s="1"/>
  <c r="B58" i="1"/>
  <c r="P58" i="1" s="1"/>
  <c r="B59" i="1"/>
  <c r="P59" i="1" s="1"/>
  <c r="B60" i="1"/>
  <c r="M60" i="1" s="1"/>
  <c r="B61" i="1"/>
  <c r="B62" i="1"/>
  <c r="K62" i="1" s="1"/>
  <c r="B63" i="1"/>
  <c r="J63" i="1" s="1"/>
  <c r="B64" i="1"/>
  <c r="O64" i="1" s="1"/>
  <c r="B65" i="1"/>
  <c r="O65" i="1" s="1"/>
  <c r="B66" i="1"/>
  <c r="B67" i="1"/>
  <c r="B68" i="1"/>
  <c r="J68" i="1" s="1"/>
  <c r="B69" i="1"/>
  <c r="O69" i="1" s="1"/>
  <c r="B70" i="1"/>
  <c r="O70" i="1" s="1"/>
  <c r="B71" i="1"/>
  <c r="O71" i="1" s="1"/>
  <c r="B72" i="1"/>
  <c r="O72" i="1" s="1"/>
  <c r="B73" i="1"/>
  <c r="B74" i="1"/>
  <c r="P74" i="1" s="1"/>
  <c r="B75" i="1"/>
  <c r="H75" i="1" s="1"/>
  <c r="B76" i="1"/>
  <c r="Q76" i="1" s="1"/>
  <c r="B77" i="1"/>
  <c r="P77" i="1" s="1"/>
  <c r="B78" i="1"/>
  <c r="H78" i="1" s="1"/>
  <c r="B79" i="1"/>
  <c r="M79" i="1" s="1"/>
  <c r="B80" i="1"/>
  <c r="P80" i="1" s="1"/>
  <c r="B81" i="1"/>
  <c r="B82" i="1"/>
  <c r="P82" i="1" s="1"/>
  <c r="B83" i="1"/>
  <c r="P83" i="1" s="1"/>
  <c r="B84" i="1"/>
  <c r="B2" i="1"/>
  <c r="D81" i="20"/>
  <c r="E81" i="20" s="1"/>
  <c r="F81" i="20" s="1"/>
  <c r="G81" i="20" s="1"/>
  <c r="C81" i="20"/>
  <c r="D77" i="20"/>
  <c r="E77" i="20"/>
  <c r="F77" i="20"/>
  <c r="G77" i="20"/>
  <c r="C77" i="20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3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2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J5" i="56" l="1"/>
  <c r="K7" i="56"/>
  <c r="Z28" i="56"/>
  <c r="J30" i="56"/>
  <c r="K32" i="56"/>
  <c r="J33" i="56"/>
  <c r="H35" i="56"/>
  <c r="J36" i="56"/>
  <c r="H43" i="56"/>
  <c r="P52" i="56"/>
  <c r="AE57" i="56"/>
  <c r="AG69" i="56"/>
  <c r="AG72" i="56"/>
  <c r="AA75" i="56"/>
  <c r="H28" i="56"/>
  <c r="K34" i="56"/>
  <c r="I45" i="56"/>
  <c r="M48" i="56"/>
  <c r="I79" i="56"/>
  <c r="I81" i="56"/>
  <c r="J45" i="56"/>
  <c r="AG48" i="56"/>
  <c r="H80" i="56"/>
  <c r="H82" i="56"/>
  <c r="H12" i="56"/>
  <c r="AA66" i="56"/>
  <c r="M79" i="56"/>
  <c r="AG81" i="56"/>
  <c r="J82" i="56"/>
  <c r="Q83" i="56"/>
  <c r="Q30" i="56"/>
  <c r="P64" i="56"/>
  <c r="K68" i="56"/>
  <c r="P78" i="56"/>
  <c r="O14" i="56"/>
  <c r="AA20" i="56"/>
  <c r="I48" i="56"/>
  <c r="J57" i="56"/>
  <c r="I23" i="56"/>
  <c r="J48" i="56"/>
  <c r="Q54" i="56"/>
  <c r="AG68" i="56"/>
  <c r="J69" i="56"/>
  <c r="J70" i="56"/>
  <c r="I72" i="56"/>
  <c r="P76" i="56"/>
  <c r="AG3" i="56"/>
  <c r="M5" i="56"/>
  <c r="AF6" i="56"/>
  <c r="J7" i="56"/>
  <c r="Z11" i="56"/>
  <c r="O26" i="56"/>
  <c r="AA31" i="56"/>
  <c r="AA32" i="56"/>
  <c r="AG32" i="56"/>
  <c r="K33" i="56"/>
  <c r="P42" i="56"/>
  <c r="AE42" i="56"/>
  <c r="I43" i="56"/>
  <c r="AA47" i="56"/>
  <c r="AA51" i="56"/>
  <c r="P56" i="56"/>
  <c r="AG56" i="56"/>
  <c r="K57" i="56"/>
  <c r="AA60" i="56"/>
  <c r="AA63" i="56"/>
  <c r="M67" i="56"/>
  <c r="H79" i="56"/>
  <c r="AA11" i="56"/>
  <c r="I18" i="56"/>
  <c r="I19" i="56"/>
  <c r="AG42" i="56"/>
  <c r="P71" i="56"/>
  <c r="J8" i="56"/>
  <c r="H9" i="56"/>
  <c r="I12" i="56"/>
  <c r="AE16" i="56"/>
  <c r="AE18" i="56"/>
  <c r="K20" i="56"/>
  <c r="I21" i="56"/>
  <c r="Q42" i="56"/>
  <c r="K45" i="56"/>
  <c r="H58" i="56"/>
  <c r="P83" i="56"/>
  <c r="AA3" i="56"/>
  <c r="P5" i="56"/>
  <c r="AF7" i="56"/>
  <c r="J12" i="56"/>
  <c r="M15" i="56"/>
  <c r="Q19" i="56"/>
  <c r="AE19" i="56"/>
  <c r="J21" i="56"/>
  <c r="AG33" i="56"/>
  <c r="M36" i="56"/>
  <c r="AF57" i="56"/>
  <c r="K58" i="56"/>
  <c r="K69" i="56"/>
  <c r="AG7" i="56"/>
  <c r="AE8" i="56"/>
  <c r="M9" i="56"/>
  <c r="K12" i="56"/>
  <c r="AG20" i="56"/>
  <c r="K21" i="56"/>
  <c r="Q28" i="56"/>
  <c r="H31" i="56"/>
  <c r="AG36" i="56"/>
  <c r="M45" i="56"/>
  <c r="K46" i="56"/>
  <c r="H47" i="56"/>
  <c r="AA57" i="56"/>
  <c r="AG57" i="56"/>
  <c r="I59" i="56"/>
  <c r="I60" i="56"/>
  <c r="AF79" i="56"/>
  <c r="AE80" i="56"/>
  <c r="J81" i="56"/>
  <c r="Q7" i="56"/>
  <c r="AF9" i="56"/>
  <c r="AF28" i="56"/>
  <c r="H32" i="56"/>
  <c r="AA44" i="56"/>
  <c r="I47" i="56"/>
  <c r="AF58" i="56"/>
  <c r="K59" i="56"/>
  <c r="J60" i="56"/>
  <c r="M69" i="56"/>
  <c r="AG80" i="56"/>
  <c r="AG12" i="56"/>
  <c r="Q13" i="56"/>
  <c r="M31" i="56"/>
  <c r="I41" i="56"/>
  <c r="P45" i="56"/>
  <c r="AG45" i="56"/>
  <c r="AF46" i="56"/>
  <c r="J47" i="56"/>
  <c r="K60" i="56"/>
  <c r="AF69" i="56"/>
  <c r="H71" i="56"/>
  <c r="H72" i="56"/>
  <c r="H22" i="56"/>
  <c r="AG31" i="56"/>
  <c r="I42" i="56"/>
  <c r="I56" i="56"/>
  <c r="K83" i="56"/>
  <c r="AA12" i="56"/>
  <c r="AF21" i="56"/>
  <c r="J22" i="56"/>
  <c r="Z22" i="56"/>
  <c r="J42" i="56"/>
  <c r="K56" i="56"/>
  <c r="M60" i="56"/>
  <c r="K3" i="56"/>
  <c r="J4" i="56"/>
  <c r="AA21" i="56"/>
  <c r="AG21" i="56"/>
  <c r="K22" i="56"/>
  <c r="H23" i="56"/>
  <c r="O41" i="56"/>
  <c r="AF60" i="56"/>
  <c r="H67" i="56"/>
  <c r="AF72" i="56"/>
  <c r="AG82" i="56"/>
  <c r="K4" i="59"/>
  <c r="K9" i="59"/>
  <c r="AF10" i="59"/>
  <c r="Q14" i="59"/>
  <c r="M16" i="59"/>
  <c r="AA19" i="59"/>
  <c r="P19" i="59"/>
  <c r="AF29" i="59"/>
  <c r="AA31" i="59"/>
  <c r="P31" i="59"/>
  <c r="AG33" i="59"/>
  <c r="AF46" i="59"/>
  <c r="J47" i="59"/>
  <c r="O50" i="59"/>
  <c r="J55" i="59"/>
  <c r="M60" i="59"/>
  <c r="M63" i="59"/>
  <c r="AA67" i="59"/>
  <c r="Q69" i="59"/>
  <c r="AF69" i="59"/>
  <c r="P72" i="59"/>
  <c r="M79" i="59"/>
  <c r="AG29" i="59"/>
  <c r="M42" i="59"/>
  <c r="AG46" i="59"/>
  <c r="I83" i="59"/>
  <c r="I2" i="59"/>
  <c r="M4" i="59"/>
  <c r="O15" i="59"/>
  <c r="AE16" i="59"/>
  <c r="P27" i="59"/>
  <c r="Q28" i="59"/>
  <c r="Q29" i="59"/>
  <c r="AA39" i="59"/>
  <c r="AE57" i="59"/>
  <c r="P60" i="59"/>
  <c r="AG60" i="59"/>
  <c r="Q79" i="59"/>
  <c r="AE79" i="59"/>
  <c r="P82" i="59"/>
  <c r="AF82" i="59"/>
  <c r="J83" i="59"/>
  <c r="K2" i="59"/>
  <c r="AE9" i="59"/>
  <c r="O12" i="59"/>
  <c r="AE12" i="59"/>
  <c r="AF16" i="59"/>
  <c r="P42" i="59"/>
  <c r="AF57" i="59"/>
  <c r="AA60" i="59"/>
  <c r="AF79" i="59"/>
  <c r="AG82" i="59"/>
  <c r="K83" i="59"/>
  <c r="H3" i="59"/>
  <c r="Q4" i="59"/>
  <c r="P4" i="59"/>
  <c r="AE4" i="59"/>
  <c r="J6" i="59"/>
  <c r="Q9" i="59"/>
  <c r="AF9" i="59"/>
  <c r="I10" i="59"/>
  <c r="P12" i="59"/>
  <c r="AG12" i="59"/>
  <c r="K13" i="59"/>
  <c r="Q21" i="59"/>
  <c r="AE21" i="59"/>
  <c r="H22" i="59"/>
  <c r="K24" i="59"/>
  <c r="H33" i="59"/>
  <c r="AG34" i="59"/>
  <c r="K35" i="59"/>
  <c r="I36" i="59"/>
  <c r="AA42" i="59"/>
  <c r="Q42" i="59"/>
  <c r="AE42" i="59"/>
  <c r="H43" i="59"/>
  <c r="Q44" i="59"/>
  <c r="K45" i="59"/>
  <c r="K53" i="59"/>
  <c r="H54" i="59"/>
  <c r="AG57" i="59"/>
  <c r="J58" i="59"/>
  <c r="AG67" i="59"/>
  <c r="AF70" i="59"/>
  <c r="I71" i="59"/>
  <c r="I77" i="59"/>
  <c r="AG79" i="59"/>
  <c r="AG80" i="59"/>
  <c r="J81" i="59"/>
  <c r="I3" i="59"/>
  <c r="AF4" i="59"/>
  <c r="K6" i="59"/>
  <c r="Z8" i="59"/>
  <c r="AG9" i="59"/>
  <c r="J10" i="59"/>
  <c r="I14" i="59"/>
  <c r="Z14" i="59"/>
  <c r="M18" i="59"/>
  <c r="P30" i="59"/>
  <c r="I33" i="59"/>
  <c r="AF42" i="59"/>
  <c r="M48" i="59"/>
  <c r="P55" i="59"/>
  <c r="H56" i="59"/>
  <c r="K58" i="59"/>
  <c r="P66" i="59"/>
  <c r="AE68" i="59"/>
  <c r="H69" i="59"/>
  <c r="AG70" i="59"/>
  <c r="J71" i="59"/>
  <c r="K77" i="59"/>
  <c r="H78" i="59"/>
  <c r="K81" i="59"/>
  <c r="M83" i="59"/>
  <c r="J84" i="59"/>
  <c r="P2" i="59"/>
  <c r="AG2" i="59"/>
  <c r="AG4" i="59"/>
  <c r="J8" i="59"/>
  <c r="AA8" i="59"/>
  <c r="K10" i="59"/>
  <c r="AE18" i="59"/>
  <c r="H19" i="59"/>
  <c r="M22" i="59"/>
  <c r="M24" i="59"/>
  <c r="AA30" i="59"/>
  <c r="Q30" i="59"/>
  <c r="AE30" i="59"/>
  <c r="H31" i="59"/>
  <c r="Q32" i="59"/>
  <c r="AG32" i="59"/>
  <c r="AG35" i="59"/>
  <c r="K36" i="59"/>
  <c r="AA38" i="59"/>
  <c r="H41" i="59"/>
  <c r="AG42" i="59"/>
  <c r="M45" i="59"/>
  <c r="Q47" i="59"/>
  <c r="AG53" i="59"/>
  <c r="J54" i="59"/>
  <c r="Q55" i="59"/>
  <c r="AE55" i="59"/>
  <c r="I56" i="59"/>
  <c r="I59" i="59"/>
  <c r="Q66" i="59"/>
  <c r="AE66" i="59"/>
  <c r="H67" i="59"/>
  <c r="AF68" i="59"/>
  <c r="I69" i="59"/>
  <c r="K71" i="59"/>
  <c r="M75" i="59"/>
  <c r="J78" i="59"/>
  <c r="K84" i="59"/>
  <c r="M6" i="59"/>
  <c r="Q13" i="59"/>
  <c r="AE13" i="59"/>
  <c r="I15" i="59"/>
  <c r="AF18" i="59"/>
  <c r="AA26" i="59"/>
  <c r="Z27" i="59"/>
  <c r="H29" i="59"/>
  <c r="Z37" i="59"/>
  <c r="AE45" i="59"/>
  <c r="H46" i="59"/>
  <c r="P48" i="59"/>
  <c r="AE48" i="59"/>
  <c r="AF58" i="59"/>
  <c r="J72" i="59"/>
  <c r="Q76" i="59"/>
  <c r="Q83" i="59"/>
  <c r="AG83" i="59"/>
  <c r="AE6" i="59"/>
  <c r="M10" i="59"/>
  <c r="Z10" i="59"/>
  <c r="H16" i="59"/>
  <c r="O24" i="59"/>
  <c r="AE24" i="59"/>
  <c r="I29" i="59"/>
  <c r="AA29" i="59"/>
  <c r="M39" i="59"/>
  <c r="AF45" i="59"/>
  <c r="I46" i="59"/>
  <c r="H57" i="59"/>
  <c r="AG58" i="59"/>
  <c r="I60" i="59"/>
  <c r="Q68" i="59"/>
  <c r="M71" i="59"/>
  <c r="K72" i="59"/>
  <c r="P75" i="59"/>
  <c r="H79" i="59"/>
  <c r="AE81" i="59"/>
  <c r="H82" i="59"/>
  <c r="M84" i="59"/>
  <c r="H4" i="59"/>
  <c r="AF6" i="59"/>
  <c r="H9" i="59"/>
  <c r="I12" i="59"/>
  <c r="AE15" i="59"/>
  <c r="J16" i="59"/>
  <c r="P24" i="59"/>
  <c r="AG24" i="59"/>
  <c r="P25" i="59"/>
  <c r="M27" i="59"/>
  <c r="AF28" i="59"/>
  <c r="K29" i="59"/>
  <c r="Q40" i="59"/>
  <c r="H42" i="59"/>
  <c r="J46" i="59"/>
  <c r="I57" i="59"/>
  <c r="J60" i="59"/>
  <c r="AG71" i="59"/>
  <c r="I79" i="59"/>
  <c r="AF81" i="59"/>
  <c r="I82" i="59"/>
  <c r="P3" i="59"/>
  <c r="AF3" i="59"/>
  <c r="I4" i="59"/>
  <c r="AG6" i="59"/>
  <c r="AE8" i="59"/>
  <c r="I9" i="59"/>
  <c r="P10" i="59"/>
  <c r="J12" i="59"/>
  <c r="AG15" i="59"/>
  <c r="K16" i="59"/>
  <c r="M19" i="59"/>
  <c r="O23" i="59"/>
  <c r="M31" i="59"/>
  <c r="Q33" i="59"/>
  <c r="AE33" i="59"/>
  <c r="P36" i="59"/>
  <c r="AE36" i="59"/>
  <c r="P39" i="59"/>
  <c r="AF41" i="59"/>
  <c r="I42" i="59"/>
  <c r="AA43" i="59"/>
  <c r="P43" i="59"/>
  <c r="K46" i="59"/>
  <c r="P52" i="59"/>
  <c r="Q53" i="59"/>
  <c r="P54" i="59"/>
  <c r="AG56" i="59"/>
  <c r="J57" i="59"/>
  <c r="AG59" i="59"/>
  <c r="K60" i="59"/>
  <c r="AA62" i="59"/>
  <c r="M69" i="59"/>
  <c r="Q71" i="59"/>
  <c r="M72" i="59"/>
  <c r="Q78" i="59"/>
  <c r="AE78" i="59"/>
  <c r="K79" i="59"/>
  <c r="AG81" i="59"/>
  <c r="J82" i="59"/>
  <c r="J4" i="59"/>
  <c r="J9" i="59"/>
  <c r="K12" i="59"/>
  <c r="J42" i="59"/>
  <c r="Q54" i="59"/>
  <c r="K57" i="59"/>
  <c r="AE69" i="59"/>
  <c r="K82" i="59"/>
  <c r="J2" i="58"/>
  <c r="AF4" i="58"/>
  <c r="J6" i="58"/>
  <c r="M11" i="58"/>
  <c r="P14" i="58"/>
  <c r="J15" i="58"/>
  <c r="AF17" i="58"/>
  <c r="I18" i="58"/>
  <c r="H20" i="58"/>
  <c r="M22" i="58"/>
  <c r="J24" i="58"/>
  <c r="Z24" i="58"/>
  <c r="AA25" i="58"/>
  <c r="AA28" i="58"/>
  <c r="P29" i="58"/>
  <c r="AE29" i="58"/>
  <c r="H30" i="58"/>
  <c r="AE33" i="58"/>
  <c r="I34" i="58"/>
  <c r="AA39" i="58"/>
  <c r="AA40" i="58"/>
  <c r="K42" i="58"/>
  <c r="AG43" i="58"/>
  <c r="J44" i="58"/>
  <c r="AF46" i="58"/>
  <c r="J47" i="58"/>
  <c r="M50" i="58"/>
  <c r="J53" i="58"/>
  <c r="AF54" i="58"/>
  <c r="P66" i="58"/>
  <c r="P68" i="58"/>
  <c r="AE68" i="58"/>
  <c r="H69" i="58"/>
  <c r="K72" i="58"/>
  <c r="M74" i="58"/>
  <c r="P75" i="58"/>
  <c r="P79" i="58"/>
  <c r="AG79" i="58"/>
  <c r="P82" i="58"/>
  <c r="J83" i="58"/>
  <c r="H8" i="58"/>
  <c r="H10" i="58"/>
  <c r="I12" i="58"/>
  <c r="AE14" i="58"/>
  <c r="AG17" i="58"/>
  <c r="Q19" i="58"/>
  <c r="AF19" i="58"/>
  <c r="AF29" i="58"/>
  <c r="AF33" i="58"/>
  <c r="AG54" i="58"/>
  <c r="AE77" i="58"/>
  <c r="H81" i="58"/>
  <c r="AG82" i="58"/>
  <c r="K83" i="58"/>
  <c r="I3" i="58"/>
  <c r="I8" i="58"/>
  <c r="AF9" i="58"/>
  <c r="I10" i="58"/>
  <c r="O11" i="58"/>
  <c r="AF11" i="58"/>
  <c r="J12" i="58"/>
  <c r="O14" i="58"/>
  <c r="AG14" i="58"/>
  <c r="H16" i="58"/>
  <c r="P17" i="58"/>
  <c r="AG19" i="58"/>
  <c r="K26" i="58"/>
  <c r="Q29" i="58"/>
  <c r="AG29" i="58"/>
  <c r="Q31" i="58"/>
  <c r="AF31" i="58"/>
  <c r="I32" i="58"/>
  <c r="I35" i="58"/>
  <c r="I38" i="58"/>
  <c r="M42" i="58"/>
  <c r="AE57" i="58"/>
  <c r="I58" i="58"/>
  <c r="I65" i="58"/>
  <c r="I67" i="58"/>
  <c r="AG71" i="58"/>
  <c r="AG77" i="58"/>
  <c r="I81" i="58"/>
  <c r="J3" i="58"/>
  <c r="J8" i="58"/>
  <c r="AG9" i="58"/>
  <c r="J10" i="58"/>
  <c r="AG11" i="58"/>
  <c r="K12" i="58"/>
  <c r="I16" i="58"/>
  <c r="AA38" i="58"/>
  <c r="H54" i="58"/>
  <c r="H56" i="58"/>
  <c r="AF57" i="58"/>
  <c r="K58" i="58"/>
  <c r="J65" i="58"/>
  <c r="J81" i="58"/>
  <c r="M83" i="58"/>
  <c r="AG2" i="58"/>
  <c r="K3" i="58"/>
  <c r="AF6" i="58"/>
  <c r="K8" i="58"/>
  <c r="K10" i="58"/>
  <c r="Z10" i="58"/>
  <c r="J13" i="58"/>
  <c r="Z13" i="58"/>
  <c r="K16" i="58"/>
  <c r="Z16" i="58"/>
  <c r="M26" i="58"/>
  <c r="AA26" i="58"/>
  <c r="K32" i="58"/>
  <c r="K36" i="58"/>
  <c r="M38" i="58"/>
  <c r="H41" i="58"/>
  <c r="AA42" i="58"/>
  <c r="P42" i="58"/>
  <c r="AE44" i="58"/>
  <c r="H45" i="58"/>
  <c r="AF53" i="58"/>
  <c r="I54" i="58"/>
  <c r="I56" i="58"/>
  <c r="I59" i="58"/>
  <c r="AA76" i="58"/>
  <c r="K81" i="58"/>
  <c r="M84" i="58"/>
  <c r="AA2" i="58"/>
  <c r="AA6" i="58"/>
  <c r="AG6" i="58"/>
  <c r="AA13" i="58"/>
  <c r="M20" i="58"/>
  <c r="M35" i="58"/>
  <c r="I41" i="58"/>
  <c r="Q42" i="58"/>
  <c r="AE42" i="58"/>
  <c r="AF44" i="58"/>
  <c r="J45" i="58"/>
  <c r="Q53" i="58"/>
  <c r="AG53" i="58"/>
  <c r="J54" i="58"/>
  <c r="AG55" i="58"/>
  <c r="J56" i="58"/>
  <c r="AF58" i="58"/>
  <c r="J59" i="58"/>
  <c r="Q64" i="58"/>
  <c r="M69" i="58"/>
  <c r="Q83" i="58"/>
  <c r="M8" i="58"/>
  <c r="M10" i="58"/>
  <c r="Q12" i="58"/>
  <c r="AE12" i="58"/>
  <c r="P15" i="58"/>
  <c r="P18" i="58"/>
  <c r="AE20" i="58"/>
  <c r="O26" i="58"/>
  <c r="M32" i="58"/>
  <c r="AG35" i="58"/>
  <c r="M36" i="58"/>
  <c r="O38" i="58"/>
  <c r="J41" i="58"/>
  <c r="AF42" i="58"/>
  <c r="AG44" i="58"/>
  <c r="K45" i="58"/>
  <c r="AA51" i="58"/>
  <c r="K54" i="58"/>
  <c r="K56" i="58"/>
  <c r="AG58" i="58"/>
  <c r="K59" i="58"/>
  <c r="P63" i="58"/>
  <c r="P65" i="58"/>
  <c r="AE65" i="58"/>
  <c r="Q67" i="58"/>
  <c r="AE69" i="58"/>
  <c r="AA78" i="58"/>
  <c r="P78" i="58"/>
  <c r="H79" i="58"/>
  <c r="AE81" i="58"/>
  <c r="H82" i="58"/>
  <c r="P83" i="58"/>
  <c r="P3" i="58"/>
  <c r="O16" i="58"/>
  <c r="H17" i="58"/>
  <c r="P26" i="58"/>
  <c r="H29" i="58"/>
  <c r="P30" i="58"/>
  <c r="AE32" i="58"/>
  <c r="H33" i="58"/>
  <c r="AE38" i="58"/>
  <c r="AG42" i="58"/>
  <c r="K60" i="58"/>
  <c r="AG65" i="58"/>
  <c r="P67" i="58"/>
  <c r="AF67" i="58"/>
  <c r="AF81" i="58"/>
  <c r="Q3" i="58"/>
  <c r="AE3" i="58"/>
  <c r="P8" i="58"/>
  <c r="Q8" i="58"/>
  <c r="AE8" i="58"/>
  <c r="O10" i="58"/>
  <c r="AE10" i="58"/>
  <c r="I11" i="58"/>
  <c r="P12" i="58"/>
  <c r="AE16" i="58"/>
  <c r="I17" i="58"/>
  <c r="AE26" i="58"/>
  <c r="O28" i="58"/>
  <c r="I29" i="58"/>
  <c r="AF32" i="58"/>
  <c r="J33" i="58"/>
  <c r="AG38" i="58"/>
  <c r="AG81" i="58"/>
  <c r="AA3" i="58"/>
  <c r="AF8" i="58"/>
  <c r="K9" i="58"/>
  <c r="Z9" i="58"/>
  <c r="J11" i="58"/>
  <c r="AF13" i="58"/>
  <c r="AA14" i="58"/>
  <c r="J17" i="58"/>
  <c r="J19" i="58"/>
  <c r="H22" i="58"/>
  <c r="AG26" i="58"/>
  <c r="Q27" i="58"/>
  <c r="J29" i="58"/>
  <c r="K33" i="58"/>
  <c r="H42" i="58"/>
  <c r="AE56" i="58"/>
  <c r="M60" i="58"/>
  <c r="Q65" i="58"/>
  <c r="I71" i="58"/>
  <c r="J77" i="58"/>
  <c r="K82" i="58"/>
  <c r="AG8" i="58"/>
  <c r="K11" i="58"/>
  <c r="Z11" i="58"/>
  <c r="M14" i="58"/>
  <c r="K19" i="58"/>
  <c r="K22" i="58"/>
  <c r="AA22" i="58"/>
  <c r="AF41" i="58"/>
  <c r="I42" i="58"/>
  <c r="AF45" i="58"/>
  <c r="K46" i="58"/>
  <c r="AA54" i="58"/>
  <c r="P54" i="58"/>
  <c r="Q56" i="58"/>
  <c r="AF56" i="58"/>
  <c r="J57" i="58"/>
  <c r="AA64" i="58"/>
  <c r="J71" i="58"/>
  <c r="K77" i="58"/>
  <c r="Q79" i="58"/>
  <c r="AE79" i="58"/>
  <c r="H80" i="58"/>
  <c r="I2" i="58"/>
  <c r="AE4" i="58"/>
  <c r="I6" i="58"/>
  <c r="M9" i="58"/>
  <c r="H18" i="58"/>
  <c r="AF21" i="58"/>
  <c r="J23" i="58"/>
  <c r="Z25" i="58"/>
  <c r="K31" i="58"/>
  <c r="M33" i="58"/>
  <c r="H34" i="58"/>
  <c r="Q41" i="58"/>
  <c r="AG41" i="58"/>
  <c r="J42" i="58"/>
  <c r="Q43" i="58"/>
  <c r="AF43" i="58"/>
  <c r="I44" i="58"/>
  <c r="I47" i="58"/>
  <c r="AA50" i="58"/>
  <c r="Q54" i="58"/>
  <c r="AE54" i="58"/>
  <c r="AG56" i="58"/>
  <c r="K57" i="58"/>
  <c r="P59" i="58"/>
  <c r="M68" i="58"/>
  <c r="K71" i="58"/>
  <c r="Q76" i="58"/>
  <c r="AF79" i="58"/>
  <c r="I80" i="58"/>
  <c r="I83" i="58"/>
  <c r="AG2" i="57"/>
  <c r="Q9" i="57"/>
  <c r="M13" i="57"/>
  <c r="P18" i="57"/>
  <c r="AE18" i="57"/>
  <c r="M21" i="57"/>
  <c r="AG23" i="57"/>
  <c r="M31" i="57"/>
  <c r="P33" i="57"/>
  <c r="AE33" i="57"/>
  <c r="P39" i="57"/>
  <c r="AF41" i="57"/>
  <c r="P43" i="57"/>
  <c r="AA51" i="57"/>
  <c r="P52" i="57"/>
  <c r="P54" i="57"/>
  <c r="AE56" i="57"/>
  <c r="H57" i="57"/>
  <c r="AF69" i="57"/>
  <c r="P72" i="57"/>
  <c r="P76" i="57"/>
  <c r="Q78" i="57"/>
  <c r="AE78" i="57"/>
  <c r="K79" i="57"/>
  <c r="AE81" i="57"/>
  <c r="H82" i="57"/>
  <c r="M84" i="57"/>
  <c r="I10" i="57"/>
  <c r="AF18" i="57"/>
  <c r="Q54" i="57"/>
  <c r="AE54" i="57"/>
  <c r="AF56" i="57"/>
  <c r="AG59" i="57"/>
  <c r="P67" i="57"/>
  <c r="K10" i="57"/>
  <c r="Q18" i="57"/>
  <c r="AG18" i="57"/>
  <c r="Q21" i="57"/>
  <c r="AE21" i="57"/>
  <c r="P29" i="57"/>
  <c r="AF29" i="57"/>
  <c r="I30" i="57"/>
  <c r="AA31" i="57"/>
  <c r="P31" i="57"/>
  <c r="I44" i="57"/>
  <c r="J47" i="57"/>
  <c r="AA54" i="57"/>
  <c r="AF54" i="57"/>
  <c r="I55" i="57"/>
  <c r="AG56" i="57"/>
  <c r="Q67" i="57"/>
  <c r="AA74" i="57"/>
  <c r="AG29" i="57"/>
  <c r="AA2" i="57"/>
  <c r="P4" i="57"/>
  <c r="P15" i="57"/>
  <c r="AG21" i="57"/>
  <c r="J22" i="57"/>
  <c r="P24" i="57"/>
  <c r="AG24" i="57"/>
  <c r="M27" i="57"/>
  <c r="Q29" i="57"/>
  <c r="AF31" i="57"/>
  <c r="I32" i="57"/>
  <c r="AF34" i="57"/>
  <c r="J35" i="57"/>
  <c r="O38" i="57"/>
  <c r="P42" i="57"/>
  <c r="AE44" i="57"/>
  <c r="J48" i="57"/>
  <c r="K55" i="57"/>
  <c r="Q59" i="57"/>
  <c r="P60" i="57"/>
  <c r="AG67" i="57"/>
  <c r="I71" i="57"/>
  <c r="Q79" i="57"/>
  <c r="AE79" i="57"/>
  <c r="AA3" i="57"/>
  <c r="Q4" i="57"/>
  <c r="AE4" i="57"/>
  <c r="Q6" i="57"/>
  <c r="H7" i="57"/>
  <c r="H9" i="57"/>
  <c r="P10" i="57"/>
  <c r="AE10" i="57"/>
  <c r="Q13" i="57"/>
  <c r="AA14" i="57"/>
  <c r="Z16" i="57"/>
  <c r="Z17" i="57"/>
  <c r="M19" i="57"/>
  <c r="K22" i="57"/>
  <c r="Z22" i="57"/>
  <c r="AA24" i="57"/>
  <c r="AG31" i="57"/>
  <c r="AG34" i="57"/>
  <c r="K35" i="57"/>
  <c r="Q42" i="57"/>
  <c r="AE42" i="57"/>
  <c r="AF44" i="57"/>
  <c r="AG47" i="57"/>
  <c r="K48" i="57"/>
  <c r="AA50" i="57"/>
  <c r="M57" i="57"/>
  <c r="P66" i="57"/>
  <c r="AE68" i="57"/>
  <c r="H69" i="57"/>
  <c r="AG70" i="57"/>
  <c r="J71" i="57"/>
  <c r="I77" i="57"/>
  <c r="P79" i="57"/>
  <c r="AF79" i="57"/>
  <c r="I80" i="57"/>
  <c r="I83" i="57"/>
  <c r="AG4" i="57"/>
  <c r="AE6" i="57"/>
  <c r="AF10" i="57"/>
  <c r="O27" i="57"/>
  <c r="P30" i="57"/>
  <c r="AE32" i="57"/>
  <c r="H33" i="57"/>
  <c r="AF42" i="57"/>
  <c r="AG44" i="57"/>
  <c r="M55" i="57"/>
  <c r="AE57" i="57"/>
  <c r="AA63" i="57"/>
  <c r="P64" i="57"/>
  <c r="Q66" i="57"/>
  <c r="AE66" i="57"/>
  <c r="H67" i="57"/>
  <c r="AF68" i="57"/>
  <c r="I69" i="57"/>
  <c r="K71" i="57"/>
  <c r="K77" i="57"/>
  <c r="AG79" i="57"/>
  <c r="P82" i="57"/>
  <c r="AF82" i="57"/>
  <c r="J83" i="57"/>
  <c r="P19" i="57"/>
  <c r="H21" i="57"/>
  <c r="Q30" i="57"/>
  <c r="AE30" i="57"/>
  <c r="H31" i="57"/>
  <c r="H54" i="57"/>
  <c r="AG68" i="57"/>
  <c r="J72" i="57"/>
  <c r="H78" i="57"/>
  <c r="AG82" i="57"/>
  <c r="K83" i="57"/>
  <c r="I18" i="57"/>
  <c r="Q19" i="57"/>
  <c r="I21" i="57"/>
  <c r="I23" i="57"/>
  <c r="Q25" i="57"/>
  <c r="AA30" i="57"/>
  <c r="AF30" i="57"/>
  <c r="I31" i="57"/>
  <c r="AG32" i="57"/>
  <c r="Z37" i="57"/>
  <c r="AA38" i="57"/>
  <c r="H41" i="57"/>
  <c r="Q47" i="57"/>
  <c r="I54" i="57"/>
  <c r="AA55" i="57"/>
  <c r="P55" i="57"/>
  <c r="K72" i="57"/>
  <c r="Q76" i="57"/>
  <c r="AE77" i="57"/>
  <c r="J78" i="57"/>
  <c r="AG80" i="57"/>
  <c r="I2" i="57"/>
  <c r="K12" i="57"/>
  <c r="Z12" i="57"/>
  <c r="J18" i="57"/>
  <c r="J21" i="57"/>
  <c r="AF22" i="57"/>
  <c r="J23" i="57"/>
  <c r="H29" i="57"/>
  <c r="AG30" i="57"/>
  <c r="J31" i="57"/>
  <c r="I41" i="57"/>
  <c r="P48" i="57"/>
  <c r="AG48" i="57"/>
  <c r="J54" i="57"/>
  <c r="Q55" i="57"/>
  <c r="AE55" i="57"/>
  <c r="H56" i="57"/>
  <c r="I59" i="57"/>
  <c r="AG71" i="57"/>
  <c r="O74" i="57"/>
  <c r="P75" i="57"/>
  <c r="AG77" i="57"/>
  <c r="M83" i="57"/>
  <c r="J84" i="57"/>
  <c r="H3" i="57"/>
  <c r="M7" i="57"/>
  <c r="AF11" i="57"/>
  <c r="K13" i="57"/>
  <c r="AG19" i="57"/>
  <c r="K21" i="57"/>
  <c r="AA21" i="57"/>
  <c r="K23" i="57"/>
  <c r="I24" i="57"/>
  <c r="I29" i="57"/>
  <c r="K31" i="57"/>
  <c r="Q35" i="57"/>
  <c r="M38" i="57"/>
  <c r="M39" i="57"/>
  <c r="K41" i="57"/>
  <c r="AE45" i="57"/>
  <c r="H46" i="57"/>
  <c r="AA48" i="57"/>
  <c r="AF55" i="57"/>
  <c r="I56" i="57"/>
  <c r="AF58" i="57"/>
  <c r="J59" i="57"/>
  <c r="Q71" i="57"/>
  <c r="M72" i="57"/>
  <c r="H79" i="57"/>
  <c r="K84" i="57"/>
  <c r="AE2" i="57"/>
  <c r="J3" i="57"/>
  <c r="P5" i="57"/>
  <c r="AE7" i="57"/>
  <c r="P9" i="57"/>
  <c r="J24" i="57"/>
  <c r="K29" i="57"/>
  <c r="M33" i="57"/>
  <c r="P36" i="57"/>
  <c r="AG36" i="57"/>
  <c r="Q40" i="57"/>
  <c r="H42" i="57"/>
  <c r="Q45" i="57"/>
  <c r="AF45" i="57"/>
  <c r="I46" i="57"/>
  <c r="AG55" i="57"/>
  <c r="AG58" i="57"/>
  <c r="K59" i="57"/>
  <c r="M67" i="57"/>
  <c r="P69" i="57"/>
  <c r="AE69" i="57"/>
  <c r="P78" i="57"/>
  <c r="I79" i="57"/>
  <c r="Q83" i="57"/>
  <c r="AG83" i="57"/>
  <c r="I3" i="56"/>
  <c r="AA5" i="56"/>
  <c r="Q5" i="56"/>
  <c r="AE5" i="56"/>
  <c r="AE6" i="56"/>
  <c r="H7" i="56"/>
  <c r="M10" i="56"/>
  <c r="P16" i="56"/>
  <c r="O18" i="56"/>
  <c r="AG19" i="56"/>
  <c r="J20" i="56"/>
  <c r="Q21" i="56"/>
  <c r="P27" i="56"/>
  <c r="AE27" i="56"/>
  <c r="AF31" i="56"/>
  <c r="P33" i="56"/>
  <c r="P36" i="56"/>
  <c r="AF36" i="56"/>
  <c r="P39" i="56"/>
  <c r="AE39" i="56"/>
  <c r="Q40" i="56"/>
  <c r="AG43" i="56"/>
  <c r="J44" i="56"/>
  <c r="Q45" i="56"/>
  <c r="AE45" i="56"/>
  <c r="H46" i="56"/>
  <c r="AA48" i="56"/>
  <c r="P48" i="56"/>
  <c r="AF48" i="56"/>
  <c r="K55" i="56"/>
  <c r="AF56" i="56"/>
  <c r="AF59" i="56"/>
  <c r="AF67" i="56"/>
  <c r="Q69" i="56"/>
  <c r="H70" i="56"/>
  <c r="M72" i="56"/>
  <c r="P75" i="56"/>
  <c r="AE81" i="56"/>
  <c r="AE10" i="56"/>
  <c r="P18" i="56"/>
  <c r="Q33" i="56"/>
  <c r="H34" i="56"/>
  <c r="AG59" i="56"/>
  <c r="I65" i="56"/>
  <c r="J66" i="56"/>
  <c r="I4" i="56"/>
  <c r="Q8" i="56"/>
  <c r="AA17" i="56"/>
  <c r="Q18" i="56"/>
  <c r="H19" i="56"/>
  <c r="P53" i="56"/>
  <c r="M55" i="56"/>
  <c r="M63" i="56"/>
  <c r="P72" i="56"/>
  <c r="AA78" i="56"/>
  <c r="K82" i="56"/>
  <c r="K4" i="56"/>
  <c r="AA7" i="56"/>
  <c r="AF8" i="56"/>
  <c r="I9" i="56"/>
  <c r="AG18" i="56"/>
  <c r="J19" i="56"/>
  <c r="P20" i="56"/>
  <c r="H24" i="56"/>
  <c r="AA27" i="56"/>
  <c r="P30" i="56"/>
  <c r="I31" i="56"/>
  <c r="AF34" i="56"/>
  <c r="K35" i="56"/>
  <c r="O38" i="56"/>
  <c r="AA39" i="56"/>
  <c r="J43" i="56"/>
  <c r="P44" i="56"/>
  <c r="K47" i="56"/>
  <c r="AA50" i="56"/>
  <c r="AA55" i="56"/>
  <c r="P55" i="56"/>
  <c r="P63" i="56"/>
  <c r="AE63" i="56"/>
  <c r="Q64" i="56"/>
  <c r="P66" i="56"/>
  <c r="I67" i="56"/>
  <c r="J71" i="56"/>
  <c r="M7" i="56"/>
  <c r="AG8" i="56"/>
  <c r="J9" i="56"/>
  <c r="M12" i="56"/>
  <c r="I13" i="56"/>
  <c r="K15" i="56"/>
  <c r="Z15" i="56"/>
  <c r="Z16" i="56"/>
  <c r="K19" i="56"/>
  <c r="Q20" i="56"/>
  <c r="AE20" i="56"/>
  <c r="AF23" i="56"/>
  <c r="I24" i="56"/>
  <c r="AG30" i="56"/>
  <c r="J31" i="56"/>
  <c r="P32" i="56"/>
  <c r="H36" i="56"/>
  <c r="AA41" i="56"/>
  <c r="K43" i="56"/>
  <c r="Q44" i="56"/>
  <c r="AE44" i="56"/>
  <c r="H45" i="56"/>
  <c r="H48" i="56"/>
  <c r="Q55" i="56"/>
  <c r="AE55" i="56"/>
  <c r="H56" i="56"/>
  <c r="P57" i="56"/>
  <c r="Q66" i="56"/>
  <c r="AE66" i="56"/>
  <c r="J67" i="56"/>
  <c r="AA68" i="56"/>
  <c r="Q68" i="56"/>
  <c r="AE68" i="56"/>
  <c r="K71" i="56"/>
  <c r="Q79" i="56"/>
  <c r="AE79" i="56"/>
  <c r="I80" i="56"/>
  <c r="I83" i="56"/>
  <c r="M4" i="56"/>
  <c r="AF12" i="56"/>
  <c r="J13" i="56"/>
  <c r="H16" i="56"/>
  <c r="AF20" i="56"/>
  <c r="AG23" i="56"/>
  <c r="J24" i="56"/>
  <c r="O29" i="56"/>
  <c r="K31" i="56"/>
  <c r="Q32" i="56"/>
  <c r="AE32" i="56"/>
  <c r="H33" i="56"/>
  <c r="AF35" i="56"/>
  <c r="I36" i="56"/>
  <c r="AF44" i="56"/>
  <c r="AF47" i="56"/>
  <c r="AF55" i="56"/>
  <c r="Q57" i="56"/>
  <c r="P60" i="56"/>
  <c r="K67" i="56"/>
  <c r="H81" i="56"/>
  <c r="P82" i="56"/>
  <c r="AF82" i="56"/>
  <c r="J83" i="56"/>
  <c r="P7" i="56"/>
  <c r="M19" i="56"/>
  <c r="K24" i="56"/>
  <c r="AG35" i="56"/>
  <c r="M43" i="56"/>
  <c r="AG47" i="56"/>
  <c r="AG55" i="56"/>
  <c r="AE71" i="56"/>
  <c r="P4" i="56"/>
  <c r="H8" i="56"/>
  <c r="K26" i="56"/>
  <c r="Z26" i="56"/>
  <c r="AA38" i="56"/>
  <c r="I53" i="56"/>
  <c r="J54" i="56"/>
  <c r="AF71" i="56"/>
  <c r="I77" i="56"/>
  <c r="J84" i="56"/>
  <c r="AA4" i="56"/>
  <c r="Q4" i="56"/>
  <c r="I8" i="56"/>
  <c r="P9" i="56"/>
  <c r="AE9" i="56"/>
  <c r="H10" i="56"/>
  <c r="I17" i="56"/>
  <c r="J18" i="56"/>
  <c r="AA19" i="56"/>
  <c r="P19" i="56"/>
  <c r="O23" i="56"/>
  <c r="M24" i="56"/>
  <c r="AA35" i="56"/>
  <c r="K38" i="56"/>
  <c r="AA43" i="56"/>
  <c r="P43" i="56"/>
  <c r="M51" i="56"/>
  <c r="H55" i="56"/>
  <c r="J59" i="56"/>
  <c r="Q71" i="56"/>
  <c r="AG71" i="56"/>
  <c r="J72" i="56"/>
  <c r="K77" i="56"/>
  <c r="K81" i="56"/>
  <c r="K84" i="56"/>
  <c r="I10" i="56"/>
  <c r="AF24" i="56"/>
  <c r="M27" i="56"/>
  <c r="P31" i="56"/>
  <c r="M39" i="56"/>
  <c r="AE43" i="56"/>
  <c r="I55" i="56"/>
  <c r="AA67" i="56"/>
  <c r="P67" i="56"/>
  <c r="K72" i="56"/>
  <c r="M75" i="56"/>
  <c r="AG83" i="56"/>
  <c r="K8" i="56"/>
  <c r="AG9" i="56"/>
  <c r="AA18" i="56"/>
  <c r="AF19" i="56"/>
  <c r="I20" i="56"/>
  <c r="P21" i="56"/>
  <c r="P24" i="56"/>
  <c r="AG24" i="56"/>
  <c r="Q31" i="56"/>
  <c r="AE31" i="56"/>
  <c r="M33" i="56"/>
  <c r="AF43" i="56"/>
  <c r="I44" i="56"/>
  <c r="O50" i="56"/>
  <c r="P51" i="56"/>
  <c r="AE51" i="56"/>
  <c r="Q52" i="56"/>
  <c r="P54" i="56"/>
  <c r="AE54" i="56"/>
  <c r="J55" i="56"/>
  <c r="Q56" i="56"/>
  <c r="AE56" i="56"/>
  <c r="H57" i="56"/>
  <c r="H60" i="56"/>
  <c r="Q67" i="56"/>
  <c r="AE67" i="56"/>
  <c r="H68" i="56"/>
  <c r="P69" i="56"/>
  <c r="Q76" i="56"/>
  <c r="AG77" i="56"/>
  <c r="M81" i="56"/>
  <c r="M84" i="56"/>
  <c r="M73" i="59"/>
  <c r="K73" i="59"/>
  <c r="J73" i="59"/>
  <c r="AG73" i="59"/>
  <c r="I73" i="59"/>
  <c r="AF73" i="59"/>
  <c r="H73" i="59"/>
  <c r="AE73" i="59"/>
  <c r="Q73" i="59"/>
  <c r="P73" i="59"/>
  <c r="AA73" i="59"/>
  <c r="O73" i="59"/>
  <c r="J2" i="59"/>
  <c r="K3" i="59"/>
  <c r="M5" i="59"/>
  <c r="P7" i="59"/>
  <c r="AF8" i="59"/>
  <c r="Q11" i="59"/>
  <c r="M13" i="59"/>
  <c r="AF14" i="59"/>
  <c r="J15" i="59"/>
  <c r="AG16" i="59"/>
  <c r="I16" i="59"/>
  <c r="O16" i="59"/>
  <c r="AA16" i="59"/>
  <c r="AF17" i="59"/>
  <c r="Z5" i="59"/>
  <c r="O6" i="59"/>
  <c r="AA6" i="59"/>
  <c r="Q7" i="59"/>
  <c r="P16" i="59"/>
  <c r="AF23" i="59"/>
  <c r="H23" i="59"/>
  <c r="AE23" i="59"/>
  <c r="Q23" i="59"/>
  <c r="P23" i="59"/>
  <c r="M23" i="59"/>
  <c r="J25" i="59"/>
  <c r="AG25" i="59"/>
  <c r="I25" i="59"/>
  <c r="AF25" i="59"/>
  <c r="H25" i="59"/>
  <c r="AE25" i="59"/>
  <c r="AA25" i="59"/>
  <c r="O25" i="59"/>
  <c r="M3" i="59"/>
  <c r="O5" i="59"/>
  <c r="AA5" i="59"/>
  <c r="P6" i="59"/>
  <c r="AE7" i="59"/>
  <c r="H8" i="59"/>
  <c r="AA10" i="59"/>
  <c r="O10" i="59"/>
  <c r="AF11" i="59"/>
  <c r="AG13" i="59"/>
  <c r="I13" i="59"/>
  <c r="AA13" i="59"/>
  <c r="O13" i="59"/>
  <c r="P13" i="59"/>
  <c r="M15" i="59"/>
  <c r="H20" i="59"/>
  <c r="I22" i="59"/>
  <c r="AG23" i="59"/>
  <c r="AA27" i="59"/>
  <c r="O29" i="59"/>
  <c r="M61" i="59"/>
  <c r="K61" i="59"/>
  <c r="J61" i="59"/>
  <c r="AG61" i="59"/>
  <c r="I61" i="59"/>
  <c r="AF61" i="59"/>
  <c r="H61" i="59"/>
  <c r="AE61" i="59"/>
  <c r="Q61" i="59"/>
  <c r="P61" i="59"/>
  <c r="AA61" i="59"/>
  <c r="O61" i="59"/>
  <c r="M2" i="59"/>
  <c r="Z3" i="59"/>
  <c r="O4" i="59"/>
  <c r="AA4" i="59"/>
  <c r="P5" i="59"/>
  <c r="AF7" i="59"/>
  <c r="I8" i="59"/>
  <c r="AG11" i="59"/>
  <c r="H14" i="59"/>
  <c r="AA15" i="59"/>
  <c r="H17" i="59"/>
  <c r="I20" i="59"/>
  <c r="J22" i="59"/>
  <c r="O27" i="59"/>
  <c r="P29" i="59"/>
  <c r="Z73" i="59"/>
  <c r="AA74" i="59"/>
  <c r="Z2" i="59"/>
  <c r="O3" i="59"/>
  <c r="Q5" i="59"/>
  <c r="AG7" i="59"/>
  <c r="AA9" i="59"/>
  <c r="AA18" i="59"/>
  <c r="K20" i="59"/>
  <c r="K22" i="59"/>
  <c r="AA24" i="59"/>
  <c r="K26" i="59"/>
  <c r="J26" i="59"/>
  <c r="AG26" i="59"/>
  <c r="I26" i="59"/>
  <c r="AF26" i="59"/>
  <c r="H26" i="59"/>
  <c r="AE26" i="59"/>
  <c r="Q26" i="59"/>
  <c r="P26" i="59"/>
  <c r="H28" i="59"/>
  <c r="O11" i="59"/>
  <c r="O2" i="59"/>
  <c r="AA2" i="59"/>
  <c r="H7" i="59"/>
  <c r="AE10" i="59"/>
  <c r="H11" i="59"/>
  <c r="AA12" i="59"/>
  <c r="AF13" i="59"/>
  <c r="K14" i="59"/>
  <c r="K15" i="59"/>
  <c r="AF15" i="59"/>
  <c r="H15" i="59"/>
  <c r="Q15" i="59"/>
  <c r="P15" i="59"/>
  <c r="K17" i="59"/>
  <c r="O18" i="59"/>
  <c r="AE5" i="59"/>
  <c r="O9" i="59"/>
  <c r="I11" i="59"/>
  <c r="P18" i="59"/>
  <c r="K27" i="59"/>
  <c r="J27" i="59"/>
  <c r="AG27" i="59"/>
  <c r="I27" i="59"/>
  <c r="AF27" i="59"/>
  <c r="H27" i="59"/>
  <c r="Q27" i="59"/>
  <c r="AE27" i="59"/>
  <c r="Z28" i="59"/>
  <c r="AA7" i="59"/>
  <c r="O7" i="59"/>
  <c r="Q2" i="59"/>
  <c r="H5" i="59"/>
  <c r="AF5" i="59"/>
  <c r="J7" i="59"/>
  <c r="P9" i="59"/>
  <c r="J11" i="59"/>
  <c r="Q20" i="59"/>
  <c r="AE22" i="59"/>
  <c r="Q22" i="59"/>
  <c r="P22" i="59"/>
  <c r="AA22" i="59"/>
  <c r="O22" i="59"/>
  <c r="I23" i="59"/>
  <c r="K25" i="59"/>
  <c r="O28" i="59"/>
  <c r="AA28" i="59"/>
  <c r="M49" i="59"/>
  <c r="K49" i="59"/>
  <c r="J49" i="59"/>
  <c r="AG49" i="59"/>
  <c r="I49" i="59"/>
  <c r="AF49" i="59"/>
  <c r="H49" i="59"/>
  <c r="AE49" i="59"/>
  <c r="Q49" i="59"/>
  <c r="P49" i="59"/>
  <c r="AA49" i="59"/>
  <c r="O49" i="59"/>
  <c r="I5" i="59"/>
  <c r="AG5" i="59"/>
  <c r="K7" i="59"/>
  <c r="P8" i="59"/>
  <c r="M8" i="59"/>
  <c r="O8" i="59"/>
  <c r="O17" i="59"/>
  <c r="AA17" i="59"/>
  <c r="P20" i="59"/>
  <c r="AA20" i="59"/>
  <c r="O20" i="59"/>
  <c r="Z20" i="59"/>
  <c r="M20" i="59"/>
  <c r="J20" i="59"/>
  <c r="AF20" i="59"/>
  <c r="AF22" i="59"/>
  <c r="J23" i="59"/>
  <c r="P28" i="59"/>
  <c r="M37" i="59"/>
  <c r="J37" i="59"/>
  <c r="AG37" i="59"/>
  <c r="I37" i="59"/>
  <c r="AF37" i="59"/>
  <c r="H37" i="59"/>
  <c r="AE37" i="59"/>
  <c r="Q37" i="59"/>
  <c r="P37" i="59"/>
  <c r="AA37" i="59"/>
  <c r="O37" i="59"/>
  <c r="AE11" i="59"/>
  <c r="P11" i="59"/>
  <c r="M11" i="59"/>
  <c r="AE2" i="59"/>
  <c r="J5" i="59"/>
  <c r="Z11" i="59"/>
  <c r="J14" i="59"/>
  <c r="AE14" i="59"/>
  <c r="P14" i="59"/>
  <c r="O14" i="59"/>
  <c r="M17" i="59"/>
  <c r="J17" i="59"/>
  <c r="AE17" i="59"/>
  <c r="P17" i="59"/>
  <c r="AG20" i="59"/>
  <c r="AG22" i="59"/>
  <c r="K23" i="59"/>
  <c r="Z23" i="59"/>
  <c r="M25" i="59"/>
  <c r="Z25" i="59"/>
  <c r="H2" i="59"/>
  <c r="M7" i="59"/>
  <c r="Z7" i="59"/>
  <c r="AA11" i="59"/>
  <c r="AA23" i="59"/>
  <c r="M28" i="59"/>
  <c r="K28" i="59"/>
  <c r="J28" i="59"/>
  <c r="AG28" i="59"/>
  <c r="I28" i="59"/>
  <c r="AE28" i="59"/>
  <c r="Z12" i="59"/>
  <c r="I19" i="59"/>
  <c r="AG19" i="59"/>
  <c r="Z24" i="59"/>
  <c r="AE29" i="59"/>
  <c r="I31" i="59"/>
  <c r="AG31" i="59"/>
  <c r="J32" i="59"/>
  <c r="M35" i="59"/>
  <c r="Z36" i="59"/>
  <c r="P38" i="59"/>
  <c r="Q39" i="59"/>
  <c r="AE41" i="59"/>
  <c r="I43" i="59"/>
  <c r="AG43" i="59"/>
  <c r="J44" i="59"/>
  <c r="M47" i="59"/>
  <c r="Z48" i="59"/>
  <c r="P50" i="59"/>
  <c r="Q51" i="59"/>
  <c r="AE53" i="59"/>
  <c r="I55" i="59"/>
  <c r="AG55" i="59"/>
  <c r="J56" i="59"/>
  <c r="M59" i="59"/>
  <c r="Z60" i="59"/>
  <c r="P62" i="59"/>
  <c r="Q63" i="59"/>
  <c r="AE65" i="59"/>
  <c r="J68" i="59"/>
  <c r="Z72" i="59"/>
  <c r="P74" i="59"/>
  <c r="Q75" i="59"/>
  <c r="AE77" i="59"/>
  <c r="AF78" i="59"/>
  <c r="J80" i="59"/>
  <c r="Z84" i="59"/>
  <c r="M34" i="59"/>
  <c r="Z35" i="59"/>
  <c r="O36" i="59"/>
  <c r="Q38" i="59"/>
  <c r="AE40" i="59"/>
  <c r="K44" i="59"/>
  <c r="M46" i="59"/>
  <c r="Z47" i="59"/>
  <c r="O48" i="59"/>
  <c r="Q50" i="59"/>
  <c r="AE52" i="59"/>
  <c r="H53" i="59"/>
  <c r="AF53" i="59"/>
  <c r="K56" i="59"/>
  <c r="M58" i="59"/>
  <c r="Z59" i="59"/>
  <c r="O60" i="59"/>
  <c r="Q62" i="59"/>
  <c r="AE64" i="59"/>
  <c r="H65" i="59"/>
  <c r="AF65" i="59"/>
  <c r="K68" i="59"/>
  <c r="M70" i="59"/>
  <c r="Z71" i="59"/>
  <c r="O72" i="59"/>
  <c r="AA72" i="59"/>
  <c r="Q74" i="59"/>
  <c r="AE76" i="59"/>
  <c r="H77" i="59"/>
  <c r="AF77" i="59"/>
  <c r="I78" i="59"/>
  <c r="AG78" i="59"/>
  <c r="J79" i="59"/>
  <c r="K80" i="59"/>
  <c r="M82" i="59"/>
  <c r="Z83" i="59"/>
  <c r="O84" i="59"/>
  <c r="AA84" i="59"/>
  <c r="Z34" i="59"/>
  <c r="O35" i="59"/>
  <c r="AE39" i="59"/>
  <c r="H40" i="59"/>
  <c r="AF40" i="59"/>
  <c r="Z46" i="59"/>
  <c r="O47" i="59"/>
  <c r="AA47" i="59"/>
  <c r="AE51" i="59"/>
  <c r="H52" i="59"/>
  <c r="AF52" i="59"/>
  <c r="Z58" i="59"/>
  <c r="O59" i="59"/>
  <c r="AA59" i="59"/>
  <c r="AE63" i="59"/>
  <c r="H64" i="59"/>
  <c r="AF64" i="59"/>
  <c r="Z70" i="59"/>
  <c r="O71" i="59"/>
  <c r="AA71" i="59"/>
  <c r="AE75" i="59"/>
  <c r="H76" i="59"/>
  <c r="AF76" i="59"/>
  <c r="Z82" i="59"/>
  <c r="O83" i="59"/>
  <c r="AA83" i="59"/>
  <c r="P84" i="59"/>
  <c r="Q12" i="59"/>
  <c r="K18" i="59"/>
  <c r="Z21" i="59"/>
  <c r="Q24" i="59"/>
  <c r="J29" i="59"/>
  <c r="K30" i="59"/>
  <c r="M32" i="59"/>
  <c r="Z33" i="59"/>
  <c r="O34" i="59"/>
  <c r="AA34" i="59"/>
  <c r="P35" i="59"/>
  <c r="Q36" i="59"/>
  <c r="AE38" i="59"/>
  <c r="H39" i="59"/>
  <c r="AF39" i="59"/>
  <c r="I40" i="59"/>
  <c r="AG40" i="59"/>
  <c r="J41" i="59"/>
  <c r="K42" i="59"/>
  <c r="M44" i="59"/>
  <c r="O46" i="59"/>
  <c r="AA46" i="59"/>
  <c r="P47" i="59"/>
  <c r="Q48" i="59"/>
  <c r="AE50" i="59"/>
  <c r="H51" i="59"/>
  <c r="AF51" i="59"/>
  <c r="I52" i="59"/>
  <c r="AG52" i="59"/>
  <c r="J53" i="59"/>
  <c r="K54" i="59"/>
  <c r="M56" i="59"/>
  <c r="O58" i="59"/>
  <c r="AA58" i="59"/>
  <c r="P59" i="59"/>
  <c r="Q60" i="59"/>
  <c r="AE62" i="59"/>
  <c r="H63" i="59"/>
  <c r="AF63" i="59"/>
  <c r="I64" i="59"/>
  <c r="AG64" i="59"/>
  <c r="J65" i="59"/>
  <c r="K66" i="59"/>
  <c r="M68" i="59"/>
  <c r="O70" i="59"/>
  <c r="AA70" i="59"/>
  <c r="P71" i="59"/>
  <c r="Q72" i="59"/>
  <c r="AE74" i="59"/>
  <c r="H75" i="59"/>
  <c r="AF75" i="59"/>
  <c r="I76" i="59"/>
  <c r="AG76" i="59"/>
  <c r="J77" i="59"/>
  <c r="K78" i="59"/>
  <c r="M80" i="59"/>
  <c r="O82" i="59"/>
  <c r="AA82" i="59"/>
  <c r="P83" i="59"/>
  <c r="Q84" i="59"/>
  <c r="O21" i="59"/>
  <c r="AA21" i="59"/>
  <c r="Z32" i="59"/>
  <c r="O33" i="59"/>
  <c r="AA33" i="59"/>
  <c r="P34" i="59"/>
  <c r="Q35" i="59"/>
  <c r="H38" i="59"/>
  <c r="AF38" i="59"/>
  <c r="I39" i="59"/>
  <c r="AG39" i="59"/>
  <c r="J40" i="59"/>
  <c r="Z44" i="59"/>
  <c r="O45" i="59"/>
  <c r="AA45" i="59"/>
  <c r="P46" i="59"/>
  <c r="H50" i="59"/>
  <c r="AF50" i="59"/>
  <c r="I51" i="59"/>
  <c r="AG51" i="59"/>
  <c r="J52" i="59"/>
  <c r="Z56" i="59"/>
  <c r="O57" i="59"/>
  <c r="AA57" i="59"/>
  <c r="P58" i="59"/>
  <c r="H62" i="59"/>
  <c r="AF62" i="59"/>
  <c r="I63" i="59"/>
  <c r="AG63" i="59"/>
  <c r="J64" i="59"/>
  <c r="Z68" i="59"/>
  <c r="O69" i="59"/>
  <c r="AA69" i="59"/>
  <c r="P70" i="59"/>
  <c r="H74" i="59"/>
  <c r="AF74" i="59"/>
  <c r="I75" i="59"/>
  <c r="AG75" i="59"/>
  <c r="J76" i="59"/>
  <c r="Z80" i="59"/>
  <c r="O81" i="59"/>
  <c r="AA81" i="59"/>
  <c r="Z19" i="59"/>
  <c r="Z31" i="59"/>
  <c r="O32" i="59"/>
  <c r="AA32" i="59"/>
  <c r="Q34" i="59"/>
  <c r="I38" i="59"/>
  <c r="AG38" i="59"/>
  <c r="J39" i="59"/>
  <c r="K40" i="59"/>
  <c r="Z43" i="59"/>
  <c r="O44" i="59"/>
  <c r="AA44" i="59"/>
  <c r="P45" i="59"/>
  <c r="Q46" i="59"/>
  <c r="I50" i="59"/>
  <c r="AG50" i="59"/>
  <c r="J51" i="59"/>
  <c r="K52" i="59"/>
  <c r="Z55" i="59"/>
  <c r="O56" i="59"/>
  <c r="AA56" i="59"/>
  <c r="P57" i="59"/>
  <c r="Q58" i="59"/>
  <c r="AE60" i="59"/>
  <c r="I62" i="59"/>
  <c r="AG62" i="59"/>
  <c r="J63" i="59"/>
  <c r="K64" i="59"/>
  <c r="Z67" i="59"/>
  <c r="O68" i="59"/>
  <c r="AA68" i="59"/>
  <c r="P69" i="59"/>
  <c r="Q70" i="59"/>
  <c r="AE72" i="59"/>
  <c r="I74" i="59"/>
  <c r="AG74" i="59"/>
  <c r="J75" i="59"/>
  <c r="K76" i="59"/>
  <c r="M78" i="59"/>
  <c r="Z79" i="59"/>
  <c r="O80" i="59"/>
  <c r="AA80" i="59"/>
  <c r="P81" i="59"/>
  <c r="Q82" i="59"/>
  <c r="AE84" i="59"/>
  <c r="H12" i="59"/>
  <c r="O19" i="59"/>
  <c r="H24" i="59"/>
  <c r="M29" i="59"/>
  <c r="O31" i="59"/>
  <c r="P32" i="59"/>
  <c r="AE35" i="59"/>
  <c r="H36" i="59"/>
  <c r="J38" i="59"/>
  <c r="K39" i="59"/>
  <c r="M41" i="59"/>
  <c r="O43" i="59"/>
  <c r="P44" i="59"/>
  <c r="AE47" i="59"/>
  <c r="H48" i="59"/>
  <c r="J50" i="59"/>
  <c r="K51" i="59"/>
  <c r="M53" i="59"/>
  <c r="O55" i="59"/>
  <c r="P56" i="59"/>
  <c r="AE59" i="59"/>
  <c r="H60" i="59"/>
  <c r="J62" i="59"/>
  <c r="K63" i="59"/>
  <c r="M65" i="59"/>
  <c r="O67" i="59"/>
  <c r="P68" i="59"/>
  <c r="AE71" i="59"/>
  <c r="H72" i="59"/>
  <c r="AF72" i="59"/>
  <c r="J74" i="59"/>
  <c r="K75" i="59"/>
  <c r="M77" i="59"/>
  <c r="Z78" i="59"/>
  <c r="O79" i="59"/>
  <c r="AA79" i="59"/>
  <c r="P80" i="59"/>
  <c r="AE83" i="59"/>
  <c r="H84" i="59"/>
  <c r="AF84" i="59"/>
  <c r="O30" i="59"/>
  <c r="H35" i="59"/>
  <c r="K38" i="59"/>
  <c r="M40" i="59"/>
  <c r="O42" i="59"/>
  <c r="H47" i="59"/>
  <c r="K50" i="59"/>
  <c r="M52" i="59"/>
  <c r="O54" i="59"/>
  <c r="H59" i="59"/>
  <c r="K62" i="59"/>
  <c r="M64" i="59"/>
  <c r="O66" i="59"/>
  <c r="I72" i="59"/>
  <c r="K74" i="59"/>
  <c r="M76" i="59"/>
  <c r="O78" i="59"/>
  <c r="Q80" i="59"/>
  <c r="H83" i="59"/>
  <c r="I84" i="59"/>
  <c r="Z40" i="59"/>
  <c r="O41" i="59"/>
  <c r="AA41" i="59"/>
  <c r="Z52" i="59"/>
  <c r="O53" i="59"/>
  <c r="AA53" i="59"/>
  <c r="Z64" i="59"/>
  <c r="O65" i="59"/>
  <c r="AA65" i="59"/>
  <c r="Z76" i="59"/>
  <c r="O77" i="59"/>
  <c r="AA77" i="59"/>
  <c r="M38" i="59"/>
  <c r="O40" i="59"/>
  <c r="AA40" i="59"/>
  <c r="P41" i="59"/>
  <c r="M50" i="59"/>
  <c r="O52" i="59"/>
  <c r="AA52" i="59"/>
  <c r="P53" i="59"/>
  <c r="M62" i="59"/>
  <c r="Z63" i="59"/>
  <c r="O64" i="59"/>
  <c r="AA64" i="59"/>
  <c r="P65" i="59"/>
  <c r="M74" i="59"/>
  <c r="Z75" i="59"/>
  <c r="O76" i="59"/>
  <c r="AA76" i="59"/>
  <c r="P77" i="59"/>
  <c r="AE80" i="59"/>
  <c r="O39" i="59"/>
  <c r="O51" i="59"/>
  <c r="O63" i="59"/>
  <c r="O75" i="59"/>
  <c r="H80" i="59"/>
  <c r="AA7" i="58"/>
  <c r="O7" i="58"/>
  <c r="M7" i="58"/>
  <c r="P7" i="58"/>
  <c r="M61" i="58"/>
  <c r="K61" i="58"/>
  <c r="J61" i="58"/>
  <c r="AG61" i="58"/>
  <c r="I61" i="58"/>
  <c r="AF61" i="58"/>
  <c r="H61" i="58"/>
  <c r="AE61" i="58"/>
  <c r="Q61" i="58"/>
  <c r="P61" i="58"/>
  <c r="AA61" i="58"/>
  <c r="O61" i="58"/>
  <c r="AE2" i="58"/>
  <c r="H3" i="58"/>
  <c r="AF3" i="58"/>
  <c r="K4" i="58"/>
  <c r="M5" i="58"/>
  <c r="Z6" i="58"/>
  <c r="Q7" i="58"/>
  <c r="P10" i="58"/>
  <c r="AA10" i="58"/>
  <c r="AG12" i="58"/>
  <c r="Q14" i="58"/>
  <c r="H15" i="58"/>
  <c r="P16" i="58"/>
  <c r="M16" i="58"/>
  <c r="J16" i="58"/>
  <c r="Q16" i="58"/>
  <c r="K25" i="58"/>
  <c r="AA74" i="58"/>
  <c r="O6" i="58"/>
  <c r="O5" i="58"/>
  <c r="AA5" i="58"/>
  <c r="P6" i="58"/>
  <c r="AF7" i="58"/>
  <c r="Q10" i="58"/>
  <c r="P5" i="58"/>
  <c r="Q6" i="58"/>
  <c r="AG7" i="58"/>
  <c r="J22" i="58"/>
  <c r="AE22" i="58"/>
  <c r="Q22" i="58"/>
  <c r="P22" i="58"/>
  <c r="O22" i="58"/>
  <c r="AG24" i="58"/>
  <c r="I24" i="58"/>
  <c r="AF24" i="58"/>
  <c r="H24" i="58"/>
  <c r="AE24" i="58"/>
  <c r="Q24" i="58"/>
  <c r="AA24" i="58"/>
  <c r="O24" i="58"/>
  <c r="AA27" i="58"/>
  <c r="O27" i="58"/>
  <c r="K27" i="58"/>
  <c r="J27" i="58"/>
  <c r="AG27" i="58"/>
  <c r="I27" i="58"/>
  <c r="AF27" i="58"/>
  <c r="H27" i="58"/>
  <c r="AE27" i="58"/>
  <c r="Z61" i="58"/>
  <c r="O74" i="58"/>
  <c r="K2" i="58"/>
  <c r="O4" i="58"/>
  <c r="AA4" i="58"/>
  <c r="Q5" i="58"/>
  <c r="Q9" i="58"/>
  <c r="AA9" i="58"/>
  <c r="O9" i="58"/>
  <c r="M13" i="58"/>
  <c r="AG13" i="58"/>
  <c r="I13" i="58"/>
  <c r="AE13" i="58"/>
  <c r="P13" i="58"/>
  <c r="AG16" i="58"/>
  <c r="AA29" i="58"/>
  <c r="M49" i="58"/>
  <c r="K49" i="58"/>
  <c r="J49" i="58"/>
  <c r="AG49" i="58"/>
  <c r="I49" i="58"/>
  <c r="AF49" i="58"/>
  <c r="H49" i="58"/>
  <c r="AE49" i="58"/>
  <c r="Q49" i="58"/>
  <c r="P49" i="58"/>
  <c r="AA49" i="58"/>
  <c r="O49" i="58"/>
  <c r="AA62" i="58"/>
  <c r="M3" i="58"/>
  <c r="P4" i="58"/>
  <c r="H7" i="58"/>
  <c r="P9" i="58"/>
  <c r="AF10" i="58"/>
  <c r="M12" i="58"/>
  <c r="Q13" i="58"/>
  <c r="AA17" i="58"/>
  <c r="AF22" i="58"/>
  <c r="P28" i="58"/>
  <c r="M28" i="58"/>
  <c r="K28" i="58"/>
  <c r="J28" i="58"/>
  <c r="AG28" i="58"/>
  <c r="I28" i="58"/>
  <c r="AF28" i="58"/>
  <c r="H28" i="58"/>
  <c r="AE28" i="58"/>
  <c r="M2" i="58"/>
  <c r="Z3" i="58"/>
  <c r="AE5" i="58"/>
  <c r="I7" i="58"/>
  <c r="AA8" i="58"/>
  <c r="AA15" i="58"/>
  <c r="O15" i="58"/>
  <c r="K15" i="58"/>
  <c r="AG15" i="58"/>
  <c r="I15" i="58"/>
  <c r="Q15" i="58"/>
  <c r="AG22" i="58"/>
  <c r="M25" i="58"/>
  <c r="J25" i="58"/>
  <c r="AG25" i="58"/>
  <c r="I25" i="58"/>
  <c r="AF25" i="58"/>
  <c r="H25" i="58"/>
  <c r="AE25" i="58"/>
  <c r="P25" i="58"/>
  <c r="O29" i="58"/>
  <c r="M37" i="58"/>
  <c r="K37" i="58"/>
  <c r="J37" i="58"/>
  <c r="AG37" i="58"/>
  <c r="I37" i="58"/>
  <c r="AF37" i="58"/>
  <c r="H37" i="58"/>
  <c r="AE37" i="58"/>
  <c r="Q37" i="58"/>
  <c r="P37" i="58"/>
  <c r="AA37" i="58"/>
  <c r="O37" i="58"/>
  <c r="Q38" i="58"/>
  <c r="P38" i="58"/>
  <c r="AE7" i="58"/>
  <c r="Z2" i="58"/>
  <c r="O3" i="58"/>
  <c r="AF5" i="58"/>
  <c r="J7" i="58"/>
  <c r="AF12" i="58"/>
  <c r="H12" i="58"/>
  <c r="O12" i="58"/>
  <c r="AA12" i="58"/>
  <c r="O17" i="58"/>
  <c r="AA23" i="58"/>
  <c r="O62" i="58"/>
  <c r="M73" i="58"/>
  <c r="K73" i="58"/>
  <c r="J73" i="58"/>
  <c r="AG73" i="58"/>
  <c r="I73" i="58"/>
  <c r="AF73" i="58"/>
  <c r="H73" i="58"/>
  <c r="AE73" i="58"/>
  <c r="Q73" i="58"/>
  <c r="P73" i="58"/>
  <c r="AA73" i="58"/>
  <c r="O73" i="58"/>
  <c r="O2" i="58"/>
  <c r="H5" i="58"/>
  <c r="AG5" i="58"/>
  <c r="K7" i="58"/>
  <c r="O8" i="58"/>
  <c r="AF15" i="58"/>
  <c r="Q17" i="58"/>
  <c r="Z49" i="58"/>
  <c r="Z7" i="58"/>
  <c r="H4" i="58"/>
  <c r="AG4" i="58"/>
  <c r="J5" i="58"/>
  <c r="H9" i="58"/>
  <c r="AE11" i="58"/>
  <c r="Q11" i="58"/>
  <c r="AA11" i="58"/>
  <c r="H13" i="58"/>
  <c r="AA16" i="58"/>
  <c r="AG21" i="58"/>
  <c r="I21" i="58"/>
  <c r="Q21" i="58"/>
  <c r="P21" i="58"/>
  <c r="AA21" i="58"/>
  <c r="O21" i="58"/>
  <c r="AE21" i="58"/>
  <c r="I22" i="58"/>
  <c r="K23" i="58"/>
  <c r="AF23" i="58"/>
  <c r="H23" i="58"/>
  <c r="AE23" i="58"/>
  <c r="Q23" i="58"/>
  <c r="Z23" i="58"/>
  <c r="P23" i="58"/>
  <c r="K24" i="58"/>
  <c r="M27" i="58"/>
  <c r="Z27" i="58"/>
  <c r="Z37" i="58"/>
  <c r="Z36" i="58"/>
  <c r="Q39" i="58"/>
  <c r="Z48" i="58"/>
  <c r="Q51" i="58"/>
  <c r="Z60" i="58"/>
  <c r="Q63" i="58"/>
  <c r="Z72" i="58"/>
  <c r="Q75" i="58"/>
  <c r="Z84" i="58"/>
  <c r="M34" i="58"/>
  <c r="Z35" i="58"/>
  <c r="O36" i="58"/>
  <c r="AA36" i="58"/>
  <c r="AE40" i="58"/>
  <c r="M46" i="58"/>
  <c r="Z47" i="58"/>
  <c r="O48" i="58"/>
  <c r="AA48" i="58"/>
  <c r="Q50" i="58"/>
  <c r="AE52" i="58"/>
  <c r="J55" i="58"/>
  <c r="M58" i="58"/>
  <c r="Z59" i="58"/>
  <c r="O60" i="58"/>
  <c r="AA60" i="58"/>
  <c r="Q62" i="58"/>
  <c r="AE64" i="58"/>
  <c r="H65" i="58"/>
  <c r="AF65" i="58"/>
  <c r="J67" i="58"/>
  <c r="M70" i="58"/>
  <c r="Z71" i="58"/>
  <c r="O72" i="58"/>
  <c r="AA72" i="58"/>
  <c r="Q74" i="58"/>
  <c r="AE76" i="58"/>
  <c r="H77" i="58"/>
  <c r="AF77" i="58"/>
  <c r="I78" i="58"/>
  <c r="AG78" i="58"/>
  <c r="J79" i="58"/>
  <c r="K80" i="58"/>
  <c r="M82" i="58"/>
  <c r="Z83" i="58"/>
  <c r="O84" i="58"/>
  <c r="AA84" i="58"/>
  <c r="Z34" i="58"/>
  <c r="O35" i="58"/>
  <c r="AA35" i="58"/>
  <c r="P36" i="58"/>
  <c r="AE39" i="58"/>
  <c r="H40" i="58"/>
  <c r="AF40" i="58"/>
  <c r="Z46" i="58"/>
  <c r="O47" i="58"/>
  <c r="AA47" i="58"/>
  <c r="P48" i="58"/>
  <c r="AE51" i="58"/>
  <c r="H52" i="58"/>
  <c r="AF52" i="58"/>
  <c r="Z58" i="58"/>
  <c r="O59" i="58"/>
  <c r="AA59" i="58"/>
  <c r="P60" i="58"/>
  <c r="AE63" i="58"/>
  <c r="H64" i="58"/>
  <c r="AF64" i="58"/>
  <c r="Z70" i="58"/>
  <c r="O71" i="58"/>
  <c r="AA71" i="58"/>
  <c r="P72" i="58"/>
  <c r="AE75" i="58"/>
  <c r="H76" i="58"/>
  <c r="AF76" i="58"/>
  <c r="K79" i="58"/>
  <c r="M81" i="58"/>
  <c r="Z82" i="58"/>
  <c r="O83" i="58"/>
  <c r="AA83" i="58"/>
  <c r="P84" i="58"/>
  <c r="Z33" i="58"/>
  <c r="O34" i="58"/>
  <c r="AA34" i="58"/>
  <c r="Q36" i="58"/>
  <c r="H39" i="58"/>
  <c r="AF39" i="58"/>
  <c r="I40" i="58"/>
  <c r="AG40" i="58"/>
  <c r="Z45" i="58"/>
  <c r="O46" i="58"/>
  <c r="AA46" i="58"/>
  <c r="Q48" i="58"/>
  <c r="AE50" i="58"/>
  <c r="H51" i="58"/>
  <c r="AF51" i="58"/>
  <c r="I52" i="58"/>
  <c r="AG52" i="58"/>
  <c r="Z57" i="58"/>
  <c r="O58" i="58"/>
  <c r="AA58" i="58"/>
  <c r="Q60" i="58"/>
  <c r="AE62" i="58"/>
  <c r="H63" i="58"/>
  <c r="AF63" i="58"/>
  <c r="I64" i="58"/>
  <c r="AG64" i="58"/>
  <c r="Z69" i="58"/>
  <c r="O70" i="58"/>
  <c r="AA70" i="58"/>
  <c r="P71" i="58"/>
  <c r="Q72" i="58"/>
  <c r="AE74" i="58"/>
  <c r="H75" i="58"/>
  <c r="AF75" i="58"/>
  <c r="I76" i="58"/>
  <c r="AG76" i="58"/>
  <c r="M80" i="58"/>
  <c r="O82" i="58"/>
  <c r="AA82" i="58"/>
  <c r="Q84" i="58"/>
  <c r="H14" i="58"/>
  <c r="AF14" i="58"/>
  <c r="K17" i="58"/>
  <c r="M19" i="58"/>
  <c r="H26" i="58"/>
  <c r="AF26" i="58"/>
  <c r="K29" i="58"/>
  <c r="M31" i="58"/>
  <c r="O33" i="58"/>
  <c r="AA33" i="58"/>
  <c r="P34" i="58"/>
  <c r="Q35" i="58"/>
  <c r="H38" i="58"/>
  <c r="AF38" i="58"/>
  <c r="I39" i="58"/>
  <c r="AG39" i="58"/>
  <c r="J40" i="58"/>
  <c r="K41" i="58"/>
  <c r="M43" i="58"/>
  <c r="O45" i="58"/>
  <c r="AA45" i="58"/>
  <c r="P46" i="58"/>
  <c r="Q47" i="58"/>
  <c r="H50" i="58"/>
  <c r="AF50" i="58"/>
  <c r="I51" i="58"/>
  <c r="AG51" i="58"/>
  <c r="J52" i="58"/>
  <c r="K53" i="58"/>
  <c r="M55" i="58"/>
  <c r="O57" i="58"/>
  <c r="AA57" i="58"/>
  <c r="P58" i="58"/>
  <c r="Q59" i="58"/>
  <c r="H62" i="58"/>
  <c r="AF62" i="58"/>
  <c r="I63" i="58"/>
  <c r="AG63" i="58"/>
  <c r="J64" i="58"/>
  <c r="K65" i="58"/>
  <c r="M67" i="58"/>
  <c r="Z68" i="58"/>
  <c r="O69" i="58"/>
  <c r="AA69" i="58"/>
  <c r="P70" i="58"/>
  <c r="H74" i="58"/>
  <c r="AF74" i="58"/>
  <c r="I75" i="58"/>
  <c r="AG75" i="58"/>
  <c r="J76" i="58"/>
  <c r="M79" i="58"/>
  <c r="Z80" i="58"/>
  <c r="O81" i="58"/>
  <c r="AA81" i="58"/>
  <c r="Z19" i="58"/>
  <c r="O20" i="58"/>
  <c r="AA20" i="58"/>
  <c r="Z31" i="58"/>
  <c r="O32" i="58"/>
  <c r="AA32" i="58"/>
  <c r="P33" i="58"/>
  <c r="Q34" i="58"/>
  <c r="AE36" i="58"/>
  <c r="J39" i="58"/>
  <c r="K40" i="58"/>
  <c r="Z43" i="58"/>
  <c r="O44" i="58"/>
  <c r="AA44" i="58"/>
  <c r="P45" i="58"/>
  <c r="Q46" i="58"/>
  <c r="AE48" i="58"/>
  <c r="I50" i="58"/>
  <c r="AG50" i="58"/>
  <c r="J51" i="58"/>
  <c r="K52" i="58"/>
  <c r="Z55" i="58"/>
  <c r="O56" i="58"/>
  <c r="AA56" i="58"/>
  <c r="P57" i="58"/>
  <c r="Q58" i="58"/>
  <c r="AE60" i="58"/>
  <c r="I62" i="58"/>
  <c r="AG62" i="58"/>
  <c r="J63" i="58"/>
  <c r="K64" i="58"/>
  <c r="Z67" i="58"/>
  <c r="O68" i="58"/>
  <c r="AA68" i="58"/>
  <c r="P69" i="58"/>
  <c r="Q70" i="58"/>
  <c r="AE72" i="58"/>
  <c r="I74" i="58"/>
  <c r="AG74" i="58"/>
  <c r="J75" i="58"/>
  <c r="K76" i="58"/>
  <c r="Z79" i="58"/>
  <c r="O80" i="58"/>
  <c r="AA80" i="58"/>
  <c r="P81" i="58"/>
  <c r="AE84" i="58"/>
  <c r="J14" i="58"/>
  <c r="M17" i="58"/>
  <c r="O19" i="58"/>
  <c r="AA19" i="58"/>
  <c r="P20" i="58"/>
  <c r="J26" i="58"/>
  <c r="M29" i="58"/>
  <c r="O31" i="58"/>
  <c r="AA31" i="58"/>
  <c r="P32" i="58"/>
  <c r="Q33" i="58"/>
  <c r="AE35" i="58"/>
  <c r="H36" i="58"/>
  <c r="AF36" i="58"/>
  <c r="J38" i="58"/>
  <c r="K39" i="58"/>
  <c r="M41" i="58"/>
  <c r="O43" i="58"/>
  <c r="AA43" i="58"/>
  <c r="P44" i="58"/>
  <c r="Q45" i="58"/>
  <c r="AE47" i="58"/>
  <c r="H48" i="58"/>
  <c r="AF48" i="58"/>
  <c r="J50" i="58"/>
  <c r="K51" i="58"/>
  <c r="M53" i="58"/>
  <c r="O55" i="58"/>
  <c r="AA55" i="58"/>
  <c r="P56" i="58"/>
  <c r="Q57" i="58"/>
  <c r="AE59" i="58"/>
  <c r="H60" i="58"/>
  <c r="AF60" i="58"/>
  <c r="J62" i="58"/>
  <c r="K63" i="58"/>
  <c r="M65" i="58"/>
  <c r="O67" i="58"/>
  <c r="AA67" i="58"/>
  <c r="Q69" i="58"/>
  <c r="AE71" i="58"/>
  <c r="H72" i="58"/>
  <c r="AF72" i="58"/>
  <c r="J74" i="58"/>
  <c r="K75" i="58"/>
  <c r="M77" i="58"/>
  <c r="Z78" i="58"/>
  <c r="O79" i="58"/>
  <c r="AA79" i="58"/>
  <c r="P80" i="58"/>
  <c r="AE83" i="58"/>
  <c r="H84" i="58"/>
  <c r="AF84" i="58"/>
  <c r="Z17" i="58"/>
  <c r="O18" i="58"/>
  <c r="P19" i="58"/>
  <c r="O30" i="58"/>
  <c r="P31" i="58"/>
  <c r="AE34" i="58"/>
  <c r="H35" i="58"/>
  <c r="AF35" i="58"/>
  <c r="I36" i="58"/>
  <c r="AG36" i="58"/>
  <c r="K38" i="58"/>
  <c r="M40" i="58"/>
  <c r="O42" i="58"/>
  <c r="P43" i="58"/>
  <c r="AE46" i="58"/>
  <c r="H47" i="58"/>
  <c r="AF47" i="58"/>
  <c r="I48" i="58"/>
  <c r="AG48" i="58"/>
  <c r="K50" i="58"/>
  <c r="M52" i="58"/>
  <c r="O54" i="58"/>
  <c r="P55" i="58"/>
  <c r="AE58" i="58"/>
  <c r="H59" i="58"/>
  <c r="I60" i="58"/>
  <c r="AG60" i="58"/>
  <c r="K62" i="58"/>
  <c r="M64" i="58"/>
  <c r="O66" i="58"/>
  <c r="AE70" i="58"/>
  <c r="I72" i="58"/>
  <c r="AG72" i="58"/>
  <c r="K74" i="58"/>
  <c r="M76" i="58"/>
  <c r="O78" i="58"/>
  <c r="Q80" i="58"/>
  <c r="AE82" i="58"/>
  <c r="H83" i="58"/>
  <c r="AF83" i="58"/>
  <c r="I84" i="58"/>
  <c r="AG84" i="58"/>
  <c r="M39" i="58"/>
  <c r="Z40" i="58"/>
  <c r="O41" i="58"/>
  <c r="AA41" i="58"/>
  <c r="M51" i="58"/>
  <c r="Z52" i="58"/>
  <c r="O53" i="58"/>
  <c r="AA53" i="58"/>
  <c r="M63" i="58"/>
  <c r="Z64" i="58"/>
  <c r="O65" i="58"/>
  <c r="AA65" i="58"/>
  <c r="M75" i="58"/>
  <c r="Z76" i="58"/>
  <c r="O77" i="58"/>
  <c r="AA77" i="58"/>
  <c r="Z39" i="58"/>
  <c r="O40" i="58"/>
  <c r="Z51" i="58"/>
  <c r="O52" i="58"/>
  <c r="Z63" i="58"/>
  <c r="O64" i="58"/>
  <c r="Z75" i="58"/>
  <c r="O76" i="58"/>
  <c r="I33" i="58"/>
  <c r="O39" i="58"/>
  <c r="I45" i="58"/>
  <c r="O51" i="58"/>
  <c r="I57" i="58"/>
  <c r="O63" i="58"/>
  <c r="O75" i="58"/>
  <c r="Q2" i="57"/>
  <c r="AF12" i="57"/>
  <c r="H12" i="57"/>
  <c r="AE12" i="57"/>
  <c r="Q12" i="57"/>
  <c r="O12" i="57"/>
  <c r="Z14" i="57"/>
  <c r="AG15" i="57"/>
  <c r="M17" i="57"/>
  <c r="J17" i="57"/>
  <c r="AE17" i="57"/>
  <c r="P17" i="57"/>
  <c r="Q20" i="57"/>
  <c r="P20" i="57"/>
  <c r="AA20" i="57"/>
  <c r="O20" i="57"/>
  <c r="M20" i="57"/>
  <c r="J20" i="57"/>
  <c r="AF20" i="57"/>
  <c r="M61" i="57"/>
  <c r="K61" i="57"/>
  <c r="J61" i="57"/>
  <c r="AG61" i="57"/>
  <c r="I61" i="57"/>
  <c r="AF61" i="57"/>
  <c r="H61" i="57"/>
  <c r="AE61" i="57"/>
  <c r="Q61" i="57"/>
  <c r="P61" i="57"/>
  <c r="AA61" i="57"/>
  <c r="O61" i="57"/>
  <c r="AE3" i="57"/>
  <c r="H4" i="57"/>
  <c r="AF4" i="57"/>
  <c r="AA8" i="57"/>
  <c r="O8" i="57"/>
  <c r="H10" i="57"/>
  <c r="P12" i="57"/>
  <c r="J13" i="57"/>
  <c r="O14" i="57"/>
  <c r="M16" i="57"/>
  <c r="Q17" i="57"/>
  <c r="AG20" i="57"/>
  <c r="AE22" i="57"/>
  <c r="Q22" i="57"/>
  <c r="P22" i="57"/>
  <c r="AA22" i="57"/>
  <c r="O22" i="57"/>
  <c r="AA29" i="57"/>
  <c r="J14" i="57"/>
  <c r="AG14" i="57"/>
  <c r="I14" i="57"/>
  <c r="AE14" i="57"/>
  <c r="P14" i="57"/>
  <c r="H2" i="57"/>
  <c r="AF2" i="57"/>
  <c r="I3" i="57"/>
  <c r="AG3" i="57"/>
  <c r="J4" i="57"/>
  <c r="AA7" i="57"/>
  <c r="Q8" i="57"/>
  <c r="J10" i="57"/>
  <c r="AE11" i="57"/>
  <c r="P11" i="57"/>
  <c r="AA11" i="57"/>
  <c r="AG12" i="57"/>
  <c r="Q14" i="57"/>
  <c r="I15" i="57"/>
  <c r="O16" i="57"/>
  <c r="AA16" i="57"/>
  <c r="AF17" i="57"/>
  <c r="AA23" i="57"/>
  <c r="J25" i="57"/>
  <c r="AG25" i="57"/>
  <c r="I25" i="57"/>
  <c r="AF25" i="57"/>
  <c r="H25" i="57"/>
  <c r="AE25" i="57"/>
  <c r="P25" i="57"/>
  <c r="AA25" i="57"/>
  <c r="O25" i="57"/>
  <c r="AA27" i="57"/>
  <c r="O29" i="57"/>
  <c r="J2" i="57"/>
  <c r="K3" i="57"/>
  <c r="O6" i="57"/>
  <c r="AA6" i="57"/>
  <c r="P7" i="57"/>
  <c r="AF8" i="57"/>
  <c r="Z10" i="57"/>
  <c r="Q11" i="57"/>
  <c r="Z13" i="57"/>
  <c r="AF14" i="57"/>
  <c r="M15" i="57"/>
  <c r="K26" i="57"/>
  <c r="J26" i="57"/>
  <c r="AG26" i="57"/>
  <c r="I26" i="57"/>
  <c r="AF26" i="57"/>
  <c r="H26" i="57"/>
  <c r="AE26" i="57"/>
  <c r="Q26" i="57"/>
  <c r="P26" i="57"/>
  <c r="M49" i="57"/>
  <c r="K49" i="57"/>
  <c r="J49" i="57"/>
  <c r="AG49" i="57"/>
  <c r="I49" i="57"/>
  <c r="AF49" i="57"/>
  <c r="H49" i="57"/>
  <c r="AE49" i="57"/>
  <c r="Q49" i="57"/>
  <c r="P49" i="57"/>
  <c r="AA49" i="57"/>
  <c r="O49" i="57"/>
  <c r="K16" i="57"/>
  <c r="AG16" i="57"/>
  <c r="I16" i="57"/>
  <c r="P16" i="57"/>
  <c r="K2" i="57"/>
  <c r="M4" i="57"/>
  <c r="P6" i="57"/>
  <c r="Q7" i="57"/>
  <c r="AG8" i="57"/>
  <c r="I12" i="57"/>
  <c r="O13" i="57"/>
  <c r="Z15" i="57"/>
  <c r="H17" i="57"/>
  <c r="AA18" i="57"/>
  <c r="H20" i="57"/>
  <c r="O21" i="57"/>
  <c r="M37" i="57"/>
  <c r="J37" i="57"/>
  <c r="AG37" i="57"/>
  <c r="I37" i="57"/>
  <c r="AF37" i="57"/>
  <c r="H37" i="57"/>
  <c r="AE37" i="57"/>
  <c r="Q37" i="57"/>
  <c r="P37" i="57"/>
  <c r="AA37" i="57"/>
  <c r="O37" i="57"/>
  <c r="M3" i="57"/>
  <c r="O5" i="57"/>
  <c r="Q10" i="57"/>
  <c r="AA10" i="57"/>
  <c r="O10" i="57"/>
  <c r="J12" i="57"/>
  <c r="AG13" i="57"/>
  <c r="I13" i="57"/>
  <c r="AF13" i="57"/>
  <c r="H13" i="57"/>
  <c r="P13" i="57"/>
  <c r="O15" i="57"/>
  <c r="AE16" i="57"/>
  <c r="I17" i="57"/>
  <c r="O18" i="57"/>
  <c r="I20" i="57"/>
  <c r="Z20" i="57"/>
  <c r="K27" i="57"/>
  <c r="J27" i="57"/>
  <c r="AG27" i="57"/>
  <c r="I27" i="57"/>
  <c r="AF27" i="57"/>
  <c r="H27" i="57"/>
  <c r="Q27" i="57"/>
  <c r="AE27" i="57"/>
  <c r="M2" i="57"/>
  <c r="Z3" i="57"/>
  <c r="O4" i="57"/>
  <c r="H14" i="57"/>
  <c r="AF16" i="57"/>
  <c r="Z2" i="57"/>
  <c r="O3" i="57"/>
  <c r="K14" i="57"/>
  <c r="K15" i="57"/>
  <c r="J15" i="57"/>
  <c r="AF15" i="57"/>
  <c r="H15" i="57"/>
  <c r="Q15" i="57"/>
  <c r="M73" i="57"/>
  <c r="K73" i="57"/>
  <c r="J73" i="57"/>
  <c r="AG73" i="57"/>
  <c r="I73" i="57"/>
  <c r="AF73" i="57"/>
  <c r="H73" i="57"/>
  <c r="AE73" i="57"/>
  <c r="Q73" i="57"/>
  <c r="P73" i="57"/>
  <c r="AA73" i="57"/>
  <c r="O73" i="57"/>
  <c r="O2" i="57"/>
  <c r="H16" i="57"/>
  <c r="H6" i="57"/>
  <c r="AG6" i="57"/>
  <c r="AG10" i="57"/>
  <c r="J11" i="57"/>
  <c r="AA12" i="57"/>
  <c r="M14" i="57"/>
  <c r="AE15" i="57"/>
  <c r="J16" i="57"/>
  <c r="O17" i="57"/>
  <c r="AA17" i="57"/>
  <c r="AE20" i="57"/>
  <c r="M25" i="57"/>
  <c r="Z26" i="57"/>
  <c r="M28" i="57"/>
  <c r="K28" i="57"/>
  <c r="J28" i="57"/>
  <c r="AG28" i="57"/>
  <c r="I28" i="57"/>
  <c r="AE28" i="57"/>
  <c r="M23" i="57"/>
  <c r="Z24" i="57"/>
  <c r="AE29" i="57"/>
  <c r="J32" i="57"/>
  <c r="M35" i="57"/>
  <c r="Z36" i="57"/>
  <c r="P38" i="57"/>
  <c r="Q39" i="57"/>
  <c r="AE41" i="57"/>
  <c r="J44" i="57"/>
  <c r="M47" i="57"/>
  <c r="Z48" i="57"/>
  <c r="P50" i="57"/>
  <c r="Q51" i="57"/>
  <c r="AE53" i="57"/>
  <c r="J56" i="57"/>
  <c r="M59" i="57"/>
  <c r="Z60" i="57"/>
  <c r="P62" i="57"/>
  <c r="Q63" i="57"/>
  <c r="AE65" i="57"/>
  <c r="J68" i="57"/>
  <c r="Z72" i="57"/>
  <c r="P74" i="57"/>
  <c r="Q75" i="57"/>
  <c r="AF78" i="57"/>
  <c r="J80" i="57"/>
  <c r="Z84" i="57"/>
  <c r="Z23" i="57"/>
  <c r="O24" i="57"/>
  <c r="K32" i="57"/>
  <c r="M34" i="57"/>
  <c r="Z35" i="57"/>
  <c r="O36" i="57"/>
  <c r="Q38" i="57"/>
  <c r="AE40" i="57"/>
  <c r="K44" i="57"/>
  <c r="M46" i="57"/>
  <c r="Z47" i="57"/>
  <c r="O48" i="57"/>
  <c r="Q50" i="57"/>
  <c r="AE52" i="57"/>
  <c r="AF53" i="57"/>
  <c r="K56" i="57"/>
  <c r="M58" i="57"/>
  <c r="Z59" i="57"/>
  <c r="O60" i="57"/>
  <c r="AA60" i="57"/>
  <c r="Q62" i="57"/>
  <c r="AE64" i="57"/>
  <c r="H65" i="57"/>
  <c r="AF65" i="57"/>
  <c r="K68" i="57"/>
  <c r="M70" i="57"/>
  <c r="Z71" i="57"/>
  <c r="O72" i="57"/>
  <c r="AA72" i="57"/>
  <c r="Q74" i="57"/>
  <c r="AE76" i="57"/>
  <c r="H77" i="57"/>
  <c r="AF77" i="57"/>
  <c r="I78" i="57"/>
  <c r="AG78" i="57"/>
  <c r="J79" i="57"/>
  <c r="K80" i="57"/>
  <c r="M82" i="57"/>
  <c r="Z83" i="57"/>
  <c r="O84" i="57"/>
  <c r="AA84" i="57"/>
  <c r="Z34" i="57"/>
  <c r="O35" i="57"/>
  <c r="AA35" i="57"/>
  <c r="AE39" i="57"/>
  <c r="H40" i="57"/>
  <c r="AF40" i="57"/>
  <c r="Z46" i="57"/>
  <c r="O47" i="57"/>
  <c r="AA47" i="57"/>
  <c r="AE51" i="57"/>
  <c r="H52" i="57"/>
  <c r="AF52" i="57"/>
  <c r="Z58" i="57"/>
  <c r="O59" i="57"/>
  <c r="AA59" i="57"/>
  <c r="AE63" i="57"/>
  <c r="H64" i="57"/>
  <c r="AF64" i="57"/>
  <c r="Z70" i="57"/>
  <c r="O71" i="57"/>
  <c r="AA71" i="57"/>
  <c r="AE75" i="57"/>
  <c r="H76" i="57"/>
  <c r="AF76" i="57"/>
  <c r="Z82" i="57"/>
  <c r="O83" i="57"/>
  <c r="AA83" i="57"/>
  <c r="P84" i="57"/>
  <c r="Z9" i="57"/>
  <c r="K18" i="57"/>
  <c r="Z21" i="57"/>
  <c r="P23" i="57"/>
  <c r="Q24" i="57"/>
  <c r="J29" i="57"/>
  <c r="K30" i="57"/>
  <c r="M32" i="57"/>
  <c r="Z33" i="57"/>
  <c r="O34" i="57"/>
  <c r="AA34" i="57"/>
  <c r="P35" i="57"/>
  <c r="Q36" i="57"/>
  <c r="AE38" i="57"/>
  <c r="H39" i="57"/>
  <c r="AF39" i="57"/>
  <c r="I40" i="57"/>
  <c r="AG40" i="57"/>
  <c r="J41" i="57"/>
  <c r="K42" i="57"/>
  <c r="M44" i="57"/>
  <c r="Z45" i="57"/>
  <c r="O46" i="57"/>
  <c r="AA46" i="57"/>
  <c r="P47" i="57"/>
  <c r="Q48" i="57"/>
  <c r="AE50" i="57"/>
  <c r="H51" i="57"/>
  <c r="AF51" i="57"/>
  <c r="I52" i="57"/>
  <c r="AG52" i="57"/>
  <c r="J53" i="57"/>
  <c r="K54" i="57"/>
  <c r="M56" i="57"/>
  <c r="O58" i="57"/>
  <c r="AA58" i="57"/>
  <c r="P59" i="57"/>
  <c r="Q60" i="57"/>
  <c r="AE62" i="57"/>
  <c r="H63" i="57"/>
  <c r="AF63" i="57"/>
  <c r="I64" i="57"/>
  <c r="AG64" i="57"/>
  <c r="J65" i="57"/>
  <c r="K66" i="57"/>
  <c r="M68" i="57"/>
  <c r="Z69" i="57"/>
  <c r="O70" i="57"/>
  <c r="AA70" i="57"/>
  <c r="P71" i="57"/>
  <c r="Q72" i="57"/>
  <c r="AE74" i="57"/>
  <c r="H75" i="57"/>
  <c r="AF75" i="57"/>
  <c r="I76" i="57"/>
  <c r="AG76" i="57"/>
  <c r="J77" i="57"/>
  <c r="K78" i="57"/>
  <c r="M80" i="57"/>
  <c r="O82" i="57"/>
  <c r="AA82" i="57"/>
  <c r="P83" i="57"/>
  <c r="Q84" i="57"/>
  <c r="Q23" i="57"/>
  <c r="Z32" i="57"/>
  <c r="O33" i="57"/>
  <c r="AA33" i="57"/>
  <c r="P34" i="57"/>
  <c r="H38" i="57"/>
  <c r="AF38" i="57"/>
  <c r="I39" i="57"/>
  <c r="AG39" i="57"/>
  <c r="J40" i="57"/>
  <c r="Z44" i="57"/>
  <c r="O45" i="57"/>
  <c r="AA45" i="57"/>
  <c r="P46" i="57"/>
  <c r="H50" i="57"/>
  <c r="AF50" i="57"/>
  <c r="I51" i="57"/>
  <c r="AG51" i="57"/>
  <c r="J52" i="57"/>
  <c r="Z56" i="57"/>
  <c r="O57" i="57"/>
  <c r="AA57" i="57"/>
  <c r="P58" i="57"/>
  <c r="H62" i="57"/>
  <c r="AF62" i="57"/>
  <c r="I63" i="57"/>
  <c r="AG63" i="57"/>
  <c r="J64" i="57"/>
  <c r="Z68" i="57"/>
  <c r="O69" i="57"/>
  <c r="AA69" i="57"/>
  <c r="P70" i="57"/>
  <c r="H74" i="57"/>
  <c r="AF74" i="57"/>
  <c r="I75" i="57"/>
  <c r="AG75" i="57"/>
  <c r="J76" i="57"/>
  <c r="Z80" i="57"/>
  <c r="O81" i="57"/>
  <c r="AA81" i="57"/>
  <c r="M18" i="57"/>
  <c r="AE24" i="57"/>
  <c r="M30" i="57"/>
  <c r="O32" i="57"/>
  <c r="AA32" i="57"/>
  <c r="Q34" i="57"/>
  <c r="AE36" i="57"/>
  <c r="I38" i="57"/>
  <c r="AG38" i="57"/>
  <c r="J39" i="57"/>
  <c r="K40" i="57"/>
  <c r="M42" i="57"/>
  <c r="O44" i="57"/>
  <c r="AA44" i="57"/>
  <c r="Q46" i="57"/>
  <c r="AE48" i="57"/>
  <c r="I50" i="57"/>
  <c r="AG50" i="57"/>
  <c r="J51" i="57"/>
  <c r="K52" i="57"/>
  <c r="M54" i="57"/>
  <c r="O56" i="57"/>
  <c r="AA56" i="57"/>
  <c r="P57" i="57"/>
  <c r="Q58" i="57"/>
  <c r="AE60" i="57"/>
  <c r="I62" i="57"/>
  <c r="AG62" i="57"/>
  <c r="J63" i="57"/>
  <c r="K64" i="57"/>
  <c r="M66" i="57"/>
  <c r="O68" i="57"/>
  <c r="AA68" i="57"/>
  <c r="Q70" i="57"/>
  <c r="AE72" i="57"/>
  <c r="I74" i="57"/>
  <c r="AG74" i="57"/>
  <c r="J75" i="57"/>
  <c r="K76" i="57"/>
  <c r="M78" i="57"/>
  <c r="O80" i="57"/>
  <c r="AA80" i="57"/>
  <c r="P81" i="57"/>
  <c r="Q82" i="57"/>
  <c r="AE84" i="57"/>
  <c r="O19" i="57"/>
  <c r="AE23" i="57"/>
  <c r="H24" i="57"/>
  <c r="M29" i="57"/>
  <c r="O31" i="57"/>
  <c r="P32" i="57"/>
  <c r="AE35" i="57"/>
  <c r="H36" i="57"/>
  <c r="J38" i="57"/>
  <c r="K39" i="57"/>
  <c r="M41" i="57"/>
  <c r="O43" i="57"/>
  <c r="P44" i="57"/>
  <c r="AE47" i="57"/>
  <c r="H48" i="57"/>
  <c r="J50" i="57"/>
  <c r="K51" i="57"/>
  <c r="M53" i="57"/>
  <c r="O55" i="57"/>
  <c r="P56" i="57"/>
  <c r="AE59" i="57"/>
  <c r="H60" i="57"/>
  <c r="AF60" i="57"/>
  <c r="J62" i="57"/>
  <c r="K63" i="57"/>
  <c r="M65" i="57"/>
  <c r="O67" i="57"/>
  <c r="P68" i="57"/>
  <c r="AE71" i="57"/>
  <c r="H72" i="57"/>
  <c r="AF72" i="57"/>
  <c r="J74" i="57"/>
  <c r="K75" i="57"/>
  <c r="M77" i="57"/>
  <c r="Z78" i="57"/>
  <c r="O79" i="57"/>
  <c r="AA79" i="57"/>
  <c r="P80" i="57"/>
  <c r="AE83" i="57"/>
  <c r="H84" i="57"/>
  <c r="AF84" i="57"/>
  <c r="H23" i="57"/>
  <c r="O30" i="57"/>
  <c r="AE34" i="57"/>
  <c r="H35" i="57"/>
  <c r="K38" i="57"/>
  <c r="M40" i="57"/>
  <c r="O42" i="57"/>
  <c r="AE46" i="57"/>
  <c r="H47" i="57"/>
  <c r="K50" i="57"/>
  <c r="M52" i="57"/>
  <c r="O54" i="57"/>
  <c r="AE58" i="57"/>
  <c r="H59" i="57"/>
  <c r="I60" i="57"/>
  <c r="K62" i="57"/>
  <c r="M64" i="57"/>
  <c r="O66" i="57"/>
  <c r="I72" i="57"/>
  <c r="K74" i="57"/>
  <c r="M76" i="57"/>
  <c r="O78" i="57"/>
  <c r="Q80" i="57"/>
  <c r="H83" i="57"/>
  <c r="I84" i="57"/>
  <c r="Z40" i="57"/>
  <c r="O41" i="57"/>
  <c r="AA41" i="57"/>
  <c r="Z52" i="57"/>
  <c r="O53" i="57"/>
  <c r="AA53" i="57"/>
  <c r="Z64" i="57"/>
  <c r="O65" i="57"/>
  <c r="AA65" i="57"/>
  <c r="Z76" i="57"/>
  <c r="O77" i="57"/>
  <c r="AA77" i="57"/>
  <c r="Z39" i="57"/>
  <c r="O40" i="57"/>
  <c r="AA40" i="57"/>
  <c r="P41" i="57"/>
  <c r="Z51" i="57"/>
  <c r="O52" i="57"/>
  <c r="AA52" i="57"/>
  <c r="P53" i="57"/>
  <c r="Z63" i="57"/>
  <c r="O64" i="57"/>
  <c r="AA64" i="57"/>
  <c r="P65" i="57"/>
  <c r="M74" i="57"/>
  <c r="O76" i="57"/>
  <c r="AA76" i="57"/>
  <c r="P77" i="57"/>
  <c r="O39" i="57"/>
  <c r="O51" i="57"/>
  <c r="O63" i="57"/>
  <c r="O75" i="57"/>
  <c r="O2" i="56"/>
  <c r="AA2" i="56"/>
  <c r="P3" i="56"/>
  <c r="AA9" i="56"/>
  <c r="O9" i="56"/>
  <c r="Q9" i="56"/>
  <c r="P12" i="56"/>
  <c r="AG14" i="56"/>
  <c r="I14" i="56"/>
  <c r="AF14" i="56"/>
  <c r="H14" i="56"/>
  <c r="AE14" i="56"/>
  <c r="P14" i="56"/>
  <c r="Q14" i="56"/>
  <c r="AG25" i="56"/>
  <c r="I25" i="56"/>
  <c r="AF25" i="56"/>
  <c r="H25" i="56"/>
  <c r="AE25" i="56"/>
  <c r="P25" i="56"/>
  <c r="AA25" i="56"/>
  <c r="O25" i="56"/>
  <c r="M73" i="56"/>
  <c r="K73" i="56"/>
  <c r="J73" i="56"/>
  <c r="AG73" i="56"/>
  <c r="I73" i="56"/>
  <c r="AF73" i="56"/>
  <c r="H73" i="56"/>
  <c r="AE73" i="56"/>
  <c r="Q73" i="56"/>
  <c r="P73" i="56"/>
  <c r="AA73" i="56"/>
  <c r="O73" i="56"/>
  <c r="O3" i="56"/>
  <c r="P2" i="56"/>
  <c r="Q3" i="56"/>
  <c r="Q11" i="56"/>
  <c r="P11" i="56"/>
  <c r="M37" i="56"/>
  <c r="J37" i="56"/>
  <c r="AG37" i="56"/>
  <c r="I37" i="56"/>
  <c r="AF37" i="56"/>
  <c r="H37" i="56"/>
  <c r="AE37" i="56"/>
  <c r="Q37" i="56"/>
  <c r="P37" i="56"/>
  <c r="AA37" i="56"/>
  <c r="O37" i="56"/>
  <c r="M61" i="56"/>
  <c r="K61" i="56"/>
  <c r="J61" i="56"/>
  <c r="AG61" i="56"/>
  <c r="I61" i="56"/>
  <c r="AF61" i="56"/>
  <c r="H61" i="56"/>
  <c r="AE61" i="56"/>
  <c r="Q61" i="56"/>
  <c r="P61" i="56"/>
  <c r="AA61" i="56"/>
  <c r="O61" i="56"/>
  <c r="O12" i="56"/>
  <c r="Q2" i="56"/>
  <c r="AE4" i="56"/>
  <c r="H5" i="56"/>
  <c r="AF5" i="56"/>
  <c r="I6" i="56"/>
  <c r="J10" i="56"/>
  <c r="O11" i="56"/>
  <c r="K13" i="56"/>
  <c r="AA15" i="56"/>
  <c r="M17" i="56"/>
  <c r="AE3" i="56"/>
  <c r="H4" i="56"/>
  <c r="AF4" i="56"/>
  <c r="I5" i="56"/>
  <c r="AG5" i="56"/>
  <c r="J6" i="56"/>
  <c r="AA8" i="56"/>
  <c r="O8" i="56"/>
  <c r="M8" i="56"/>
  <c r="P8" i="56"/>
  <c r="K10" i="56"/>
  <c r="O15" i="56"/>
  <c r="Z17" i="56"/>
  <c r="AA24" i="56"/>
  <c r="M26" i="56"/>
  <c r="J26" i="56"/>
  <c r="AG26" i="56"/>
  <c r="I26" i="56"/>
  <c r="AF26" i="56"/>
  <c r="H26" i="56"/>
  <c r="AE26" i="56"/>
  <c r="Q26" i="56"/>
  <c r="P26" i="56"/>
  <c r="I29" i="56"/>
  <c r="Z29" i="56"/>
  <c r="P40" i="56"/>
  <c r="AA40" i="56"/>
  <c r="O40" i="56"/>
  <c r="M40" i="56"/>
  <c r="K40" i="56"/>
  <c r="J40" i="56"/>
  <c r="AG40" i="56"/>
  <c r="I40" i="56"/>
  <c r="AF40" i="56"/>
  <c r="H40" i="56"/>
  <c r="AE40" i="56"/>
  <c r="Q41" i="56"/>
  <c r="AE2" i="56"/>
  <c r="H3" i="56"/>
  <c r="AF3" i="56"/>
  <c r="AG4" i="56"/>
  <c r="K6" i="56"/>
  <c r="AE11" i="56"/>
  <c r="M13" i="56"/>
  <c r="O17" i="56"/>
  <c r="Z73" i="56"/>
  <c r="AA74" i="56"/>
  <c r="H2" i="56"/>
  <c r="AF2" i="56"/>
  <c r="AF11" i="56"/>
  <c r="J15" i="56"/>
  <c r="AG15" i="56"/>
  <c r="I15" i="56"/>
  <c r="AF15" i="56"/>
  <c r="H15" i="56"/>
  <c r="Q15" i="56"/>
  <c r="K17" i="56"/>
  <c r="J17" i="56"/>
  <c r="AE17" i="56"/>
  <c r="P17" i="56"/>
  <c r="AG22" i="56"/>
  <c r="I22" i="56"/>
  <c r="Q22" i="56"/>
  <c r="P22" i="56"/>
  <c r="AA22" i="56"/>
  <c r="O22" i="56"/>
  <c r="AE22" i="56"/>
  <c r="O24" i="56"/>
  <c r="M49" i="56"/>
  <c r="K49" i="56"/>
  <c r="J49" i="56"/>
  <c r="AG49" i="56"/>
  <c r="I49" i="56"/>
  <c r="AF49" i="56"/>
  <c r="H49" i="56"/>
  <c r="AE49" i="56"/>
  <c r="Q49" i="56"/>
  <c r="P49" i="56"/>
  <c r="AA49" i="56"/>
  <c r="O49" i="56"/>
  <c r="Z61" i="56"/>
  <c r="AA62" i="56"/>
  <c r="Z2" i="56"/>
  <c r="I2" i="56"/>
  <c r="AG2" i="56"/>
  <c r="Z6" i="56"/>
  <c r="O7" i="56"/>
  <c r="Q10" i="56"/>
  <c r="P10" i="56"/>
  <c r="AA10" i="56"/>
  <c r="O10" i="56"/>
  <c r="AG11" i="56"/>
  <c r="AF13" i="56"/>
  <c r="H13" i="56"/>
  <c r="AE13" i="56"/>
  <c r="AA13" i="56"/>
  <c r="O13" i="56"/>
  <c r="P13" i="56"/>
  <c r="J14" i="56"/>
  <c r="AE15" i="56"/>
  <c r="M16" i="56"/>
  <c r="Q17" i="56"/>
  <c r="AF22" i="56"/>
  <c r="K23" i="56"/>
  <c r="J25" i="56"/>
  <c r="P28" i="56"/>
  <c r="AA28" i="56"/>
  <c r="O28" i="56"/>
  <c r="K28" i="56"/>
  <c r="J28" i="56"/>
  <c r="AG28" i="56"/>
  <c r="I28" i="56"/>
  <c r="AE28" i="56"/>
  <c r="Z37" i="56"/>
  <c r="J2" i="56"/>
  <c r="O6" i="56"/>
  <c r="AA6" i="56"/>
  <c r="H11" i="56"/>
  <c r="K14" i="56"/>
  <c r="AA23" i="56"/>
  <c r="K25" i="56"/>
  <c r="K37" i="56"/>
  <c r="K2" i="56"/>
  <c r="Z5" i="56"/>
  <c r="P6" i="56"/>
  <c r="AF10" i="56"/>
  <c r="I11" i="56"/>
  <c r="AG13" i="56"/>
  <c r="O16" i="56"/>
  <c r="AA16" i="56"/>
  <c r="AF17" i="56"/>
  <c r="Z25" i="56"/>
  <c r="AA30" i="56"/>
  <c r="M3" i="56"/>
  <c r="O5" i="56"/>
  <c r="Q6" i="56"/>
  <c r="AG10" i="56"/>
  <c r="J11" i="56"/>
  <c r="M14" i="56"/>
  <c r="Z14" i="56"/>
  <c r="AG17" i="56"/>
  <c r="M25" i="56"/>
  <c r="Q29" i="56"/>
  <c r="P29" i="56"/>
  <c r="M29" i="56"/>
  <c r="K29" i="56"/>
  <c r="J29" i="56"/>
  <c r="AF29" i="56"/>
  <c r="H29" i="56"/>
  <c r="AE29" i="56"/>
  <c r="Z49" i="56"/>
  <c r="O4" i="56"/>
  <c r="K11" i="56"/>
  <c r="AA14" i="56"/>
  <c r="K16" i="56"/>
  <c r="J16" i="56"/>
  <c r="AG16" i="56"/>
  <c r="I16" i="56"/>
  <c r="Q16" i="56"/>
  <c r="J23" i="56"/>
  <c r="AE23" i="56"/>
  <c r="Q23" i="56"/>
  <c r="P23" i="56"/>
  <c r="M23" i="56"/>
  <c r="AA26" i="56"/>
  <c r="O30" i="56"/>
  <c r="Z12" i="56"/>
  <c r="H18" i="56"/>
  <c r="AF18" i="56"/>
  <c r="Z24" i="56"/>
  <c r="Q27" i="56"/>
  <c r="H30" i="56"/>
  <c r="AF30" i="56"/>
  <c r="M35" i="56"/>
  <c r="Z36" i="56"/>
  <c r="P38" i="56"/>
  <c r="Q39" i="56"/>
  <c r="AE41" i="56"/>
  <c r="H42" i="56"/>
  <c r="AF42" i="56"/>
  <c r="M47" i="56"/>
  <c r="Z48" i="56"/>
  <c r="P50" i="56"/>
  <c r="Q51" i="56"/>
  <c r="AE53" i="56"/>
  <c r="H54" i="56"/>
  <c r="AF54" i="56"/>
  <c r="J56" i="56"/>
  <c r="M59" i="56"/>
  <c r="Z60" i="56"/>
  <c r="P62" i="56"/>
  <c r="Q63" i="56"/>
  <c r="AE65" i="56"/>
  <c r="H66" i="56"/>
  <c r="AF66" i="56"/>
  <c r="J68" i="56"/>
  <c r="M71" i="56"/>
  <c r="Z72" i="56"/>
  <c r="P74" i="56"/>
  <c r="Q75" i="56"/>
  <c r="AE77" i="56"/>
  <c r="H78" i="56"/>
  <c r="AF78" i="56"/>
  <c r="AG79" i="56"/>
  <c r="J80" i="56"/>
  <c r="M83" i="56"/>
  <c r="Z84" i="56"/>
  <c r="M34" i="56"/>
  <c r="Z35" i="56"/>
  <c r="O36" i="56"/>
  <c r="Q38" i="56"/>
  <c r="H41" i="56"/>
  <c r="AF41" i="56"/>
  <c r="M46" i="56"/>
  <c r="Z47" i="56"/>
  <c r="O48" i="56"/>
  <c r="Q50" i="56"/>
  <c r="AE52" i="56"/>
  <c r="H53" i="56"/>
  <c r="AF53" i="56"/>
  <c r="I54" i="56"/>
  <c r="AG54" i="56"/>
  <c r="M58" i="56"/>
  <c r="Z59" i="56"/>
  <c r="O60" i="56"/>
  <c r="Q62" i="56"/>
  <c r="AE64" i="56"/>
  <c r="H65" i="56"/>
  <c r="AF65" i="56"/>
  <c r="I66" i="56"/>
  <c r="AG66" i="56"/>
  <c r="M70" i="56"/>
  <c r="Z71" i="56"/>
  <c r="O72" i="56"/>
  <c r="Q74" i="56"/>
  <c r="AE76" i="56"/>
  <c r="H77" i="56"/>
  <c r="AF77" i="56"/>
  <c r="I78" i="56"/>
  <c r="AG78" i="56"/>
  <c r="J79" i="56"/>
  <c r="K80" i="56"/>
  <c r="M82" i="56"/>
  <c r="Z83" i="56"/>
  <c r="O84" i="56"/>
  <c r="AA84" i="56"/>
  <c r="Z34" i="56"/>
  <c r="O35" i="56"/>
  <c r="Z46" i="56"/>
  <c r="O47" i="56"/>
  <c r="H52" i="56"/>
  <c r="AF52" i="56"/>
  <c r="Z58" i="56"/>
  <c r="O59" i="56"/>
  <c r="H64" i="56"/>
  <c r="AF64" i="56"/>
  <c r="Z70" i="56"/>
  <c r="O71" i="56"/>
  <c r="AA71" i="56"/>
  <c r="AE75" i="56"/>
  <c r="H76" i="56"/>
  <c r="AF76" i="56"/>
  <c r="Z82" i="56"/>
  <c r="O83" i="56"/>
  <c r="AA83" i="56"/>
  <c r="P84" i="56"/>
  <c r="Z9" i="56"/>
  <c r="Q12" i="56"/>
  <c r="K18" i="56"/>
  <c r="M20" i="56"/>
  <c r="Z21" i="56"/>
  <c r="Q24" i="56"/>
  <c r="H27" i="56"/>
  <c r="AF27" i="56"/>
  <c r="K30" i="56"/>
  <c r="M32" i="56"/>
  <c r="Z33" i="56"/>
  <c r="O34" i="56"/>
  <c r="AA34" i="56"/>
  <c r="P35" i="56"/>
  <c r="Q36" i="56"/>
  <c r="AE38" i="56"/>
  <c r="H39" i="56"/>
  <c r="AF39" i="56"/>
  <c r="J41" i="56"/>
  <c r="K42" i="56"/>
  <c r="M44" i="56"/>
  <c r="Z45" i="56"/>
  <c r="O46" i="56"/>
  <c r="AA46" i="56"/>
  <c r="P47" i="56"/>
  <c r="Q48" i="56"/>
  <c r="AE50" i="56"/>
  <c r="H51" i="56"/>
  <c r="AF51" i="56"/>
  <c r="I52" i="56"/>
  <c r="AG52" i="56"/>
  <c r="J53" i="56"/>
  <c r="K54" i="56"/>
  <c r="M56" i="56"/>
  <c r="Z57" i="56"/>
  <c r="O58" i="56"/>
  <c r="AA58" i="56"/>
  <c r="P59" i="56"/>
  <c r="Q60" i="56"/>
  <c r="AE62" i="56"/>
  <c r="H63" i="56"/>
  <c r="AF63" i="56"/>
  <c r="I64" i="56"/>
  <c r="AG64" i="56"/>
  <c r="J65" i="56"/>
  <c r="K66" i="56"/>
  <c r="M68" i="56"/>
  <c r="Z69" i="56"/>
  <c r="O70" i="56"/>
  <c r="AA70" i="56"/>
  <c r="Q72" i="56"/>
  <c r="AE74" i="56"/>
  <c r="H75" i="56"/>
  <c r="AF75" i="56"/>
  <c r="I76" i="56"/>
  <c r="AG76" i="56"/>
  <c r="J77" i="56"/>
  <c r="K78" i="56"/>
  <c r="M80" i="56"/>
  <c r="O82" i="56"/>
  <c r="AA82" i="56"/>
  <c r="Q84" i="56"/>
  <c r="Z20" i="56"/>
  <c r="O21" i="56"/>
  <c r="I27" i="56"/>
  <c r="AG27" i="56"/>
  <c r="Z32" i="56"/>
  <c r="O33" i="56"/>
  <c r="P34" i="56"/>
  <c r="Q35" i="56"/>
  <c r="H38" i="56"/>
  <c r="AF38" i="56"/>
  <c r="I39" i="56"/>
  <c r="AG39" i="56"/>
  <c r="K41" i="56"/>
  <c r="Z44" i="56"/>
  <c r="O45" i="56"/>
  <c r="P46" i="56"/>
  <c r="Q47" i="56"/>
  <c r="H50" i="56"/>
  <c r="AF50" i="56"/>
  <c r="I51" i="56"/>
  <c r="AG51" i="56"/>
  <c r="J52" i="56"/>
  <c r="K53" i="56"/>
  <c r="Z56" i="56"/>
  <c r="O57" i="56"/>
  <c r="P58" i="56"/>
  <c r="Q59" i="56"/>
  <c r="H62" i="56"/>
  <c r="AF62" i="56"/>
  <c r="I63" i="56"/>
  <c r="AG63" i="56"/>
  <c r="J64" i="56"/>
  <c r="K65" i="56"/>
  <c r="Z68" i="56"/>
  <c r="O69" i="56"/>
  <c r="P70" i="56"/>
  <c r="H74" i="56"/>
  <c r="AF74" i="56"/>
  <c r="I75" i="56"/>
  <c r="AG75" i="56"/>
  <c r="J76" i="56"/>
  <c r="Z80" i="56"/>
  <c r="O81" i="56"/>
  <c r="AA81" i="56"/>
  <c r="M18" i="56"/>
  <c r="O20" i="56"/>
  <c r="J27" i="56"/>
  <c r="M30" i="56"/>
  <c r="O32" i="56"/>
  <c r="Q34" i="56"/>
  <c r="I38" i="56"/>
  <c r="AG38" i="56"/>
  <c r="J39" i="56"/>
  <c r="M42" i="56"/>
  <c r="O44" i="56"/>
  <c r="Q46" i="56"/>
  <c r="I50" i="56"/>
  <c r="AG50" i="56"/>
  <c r="J51" i="56"/>
  <c r="K52" i="56"/>
  <c r="M54" i="56"/>
  <c r="O56" i="56"/>
  <c r="Q58" i="56"/>
  <c r="I62" i="56"/>
  <c r="AG62" i="56"/>
  <c r="J63" i="56"/>
  <c r="K64" i="56"/>
  <c r="M66" i="56"/>
  <c r="O68" i="56"/>
  <c r="Q70" i="56"/>
  <c r="I74" i="56"/>
  <c r="AG74" i="56"/>
  <c r="J75" i="56"/>
  <c r="K76" i="56"/>
  <c r="M78" i="56"/>
  <c r="O80" i="56"/>
  <c r="AA80" i="56"/>
  <c r="P81" i="56"/>
  <c r="Q82" i="56"/>
  <c r="AE84" i="56"/>
  <c r="O19" i="56"/>
  <c r="K27" i="56"/>
  <c r="O31" i="56"/>
  <c r="AE35" i="56"/>
  <c r="J38" i="56"/>
  <c r="K39" i="56"/>
  <c r="M41" i="56"/>
  <c r="O43" i="56"/>
  <c r="J50" i="56"/>
  <c r="K51" i="56"/>
  <c r="M53" i="56"/>
  <c r="O55" i="56"/>
  <c r="J62" i="56"/>
  <c r="K63" i="56"/>
  <c r="M65" i="56"/>
  <c r="O67" i="56"/>
  <c r="J74" i="56"/>
  <c r="K75" i="56"/>
  <c r="M77" i="56"/>
  <c r="Z78" i="56"/>
  <c r="O79" i="56"/>
  <c r="AA79" i="56"/>
  <c r="P80" i="56"/>
  <c r="AE83" i="56"/>
  <c r="H84" i="56"/>
  <c r="AF84" i="56"/>
  <c r="AE34" i="56"/>
  <c r="Z41" i="56"/>
  <c r="O42" i="56"/>
  <c r="AA42" i="56"/>
  <c r="AE46" i="56"/>
  <c r="K50" i="56"/>
  <c r="M52" i="56"/>
  <c r="Z53" i="56"/>
  <c r="O54" i="56"/>
  <c r="AA54" i="56"/>
  <c r="AE58" i="56"/>
  <c r="K62" i="56"/>
  <c r="M64" i="56"/>
  <c r="O66" i="56"/>
  <c r="AE70" i="56"/>
  <c r="K74" i="56"/>
  <c r="M76" i="56"/>
  <c r="O78" i="56"/>
  <c r="Q80" i="56"/>
  <c r="H83" i="56"/>
  <c r="I84" i="56"/>
  <c r="Z52" i="56"/>
  <c r="O53" i="56"/>
  <c r="AA53" i="56"/>
  <c r="Z64" i="56"/>
  <c r="O65" i="56"/>
  <c r="AA65" i="56"/>
  <c r="Z76" i="56"/>
  <c r="O77" i="56"/>
  <c r="AA77" i="56"/>
  <c r="I34" i="56"/>
  <c r="AG34" i="56"/>
  <c r="M38" i="56"/>
  <c r="P41" i="56"/>
  <c r="I46" i="56"/>
  <c r="AG46" i="56"/>
  <c r="M50" i="56"/>
  <c r="O52" i="56"/>
  <c r="AA52" i="56"/>
  <c r="I58" i="56"/>
  <c r="AG58" i="56"/>
  <c r="M62" i="56"/>
  <c r="O64" i="56"/>
  <c r="AA64" i="56"/>
  <c r="P65" i="56"/>
  <c r="I70" i="56"/>
  <c r="M74" i="56"/>
  <c r="Z75" i="56"/>
  <c r="O76" i="56"/>
  <c r="AA76" i="56"/>
  <c r="P77" i="56"/>
  <c r="O27" i="56"/>
  <c r="O39" i="56"/>
  <c r="O51" i="56"/>
  <c r="O63" i="56"/>
  <c r="O75" i="56"/>
  <c r="AA66" i="1"/>
  <c r="AE66" i="1"/>
  <c r="AF66" i="1"/>
  <c r="AG66" i="1"/>
  <c r="P66" i="1"/>
  <c r="Q66" i="1"/>
  <c r="J66" i="1"/>
  <c r="K66" i="1"/>
  <c r="Z66" i="1"/>
  <c r="P2" i="1"/>
  <c r="Q2" i="1"/>
  <c r="J2" i="1"/>
  <c r="Z2" i="1"/>
  <c r="AA2" i="1"/>
  <c r="AE2" i="1"/>
  <c r="AF2" i="1"/>
  <c r="AG2" i="1"/>
  <c r="O2" i="1"/>
  <c r="P73" i="1"/>
  <c r="Q73" i="1"/>
  <c r="J73" i="1"/>
  <c r="Z73" i="1"/>
  <c r="AA73" i="1"/>
  <c r="AE73" i="1"/>
  <c r="AF73" i="1"/>
  <c r="AG73" i="1"/>
  <c r="O73" i="1"/>
  <c r="P61" i="1"/>
  <c r="Q61" i="1"/>
  <c r="J61" i="1"/>
  <c r="Z61" i="1"/>
  <c r="AA61" i="1"/>
  <c r="AE61" i="1"/>
  <c r="AF61" i="1"/>
  <c r="AG61" i="1"/>
  <c r="O61" i="1"/>
  <c r="P49" i="1"/>
  <c r="Q49" i="1"/>
  <c r="J49" i="1"/>
  <c r="Z49" i="1"/>
  <c r="AA49" i="1"/>
  <c r="AE49" i="1"/>
  <c r="AF49" i="1"/>
  <c r="AG49" i="1"/>
  <c r="O49" i="1"/>
  <c r="P37" i="1"/>
  <c r="Q37" i="1"/>
  <c r="J37" i="1"/>
  <c r="Z37" i="1"/>
  <c r="AA37" i="1"/>
  <c r="AE37" i="1"/>
  <c r="AF37" i="1"/>
  <c r="AG37" i="1"/>
  <c r="O37" i="1"/>
  <c r="P25" i="1"/>
  <c r="Q25" i="1"/>
  <c r="J25" i="1"/>
  <c r="M25" i="1"/>
  <c r="Z25" i="1"/>
  <c r="AA25" i="1"/>
  <c r="AE25" i="1"/>
  <c r="AF25" i="1"/>
  <c r="AG25" i="1"/>
  <c r="O25" i="1"/>
  <c r="P13" i="1"/>
  <c r="Q13" i="1"/>
  <c r="J13" i="1"/>
  <c r="M13" i="1"/>
  <c r="Z13" i="1"/>
  <c r="AA13" i="1"/>
  <c r="AE13" i="1"/>
  <c r="AF13" i="1"/>
  <c r="AG13" i="1"/>
  <c r="O13" i="1"/>
  <c r="H63" i="1"/>
  <c r="H27" i="1"/>
  <c r="H14" i="1"/>
  <c r="I79" i="1"/>
  <c r="I61" i="1"/>
  <c r="I43" i="1"/>
  <c r="I25" i="1"/>
  <c r="I7" i="1"/>
  <c r="O54" i="1"/>
  <c r="P62" i="1"/>
  <c r="P38" i="1"/>
  <c r="P14" i="1"/>
  <c r="Q63" i="1"/>
  <c r="J74" i="1"/>
  <c r="J38" i="1"/>
  <c r="K2" i="1"/>
  <c r="K49" i="1"/>
  <c r="K13" i="1"/>
  <c r="AG75" i="1"/>
  <c r="I75" i="1"/>
  <c r="K75" i="1"/>
  <c r="M75" i="1"/>
  <c r="Z75" i="1"/>
  <c r="AA75" i="1"/>
  <c r="AE75" i="1"/>
  <c r="AF75" i="1"/>
  <c r="Q84" i="1"/>
  <c r="J84" i="1"/>
  <c r="K84" i="1"/>
  <c r="Z84" i="1"/>
  <c r="AA84" i="1"/>
  <c r="AE84" i="1"/>
  <c r="AF84" i="1"/>
  <c r="AG84" i="1"/>
  <c r="P84" i="1"/>
  <c r="Q72" i="1"/>
  <c r="J72" i="1"/>
  <c r="K72" i="1"/>
  <c r="Z72" i="1"/>
  <c r="AA72" i="1"/>
  <c r="AE72" i="1"/>
  <c r="AF72" i="1"/>
  <c r="AG72" i="1"/>
  <c r="P72" i="1"/>
  <c r="Q60" i="1"/>
  <c r="J60" i="1"/>
  <c r="K60" i="1"/>
  <c r="Z60" i="1"/>
  <c r="AA60" i="1"/>
  <c r="AE60" i="1"/>
  <c r="AF60" i="1"/>
  <c r="AG60" i="1"/>
  <c r="P60" i="1"/>
  <c r="Q48" i="1"/>
  <c r="J48" i="1"/>
  <c r="K48" i="1"/>
  <c r="Z48" i="1"/>
  <c r="AA48" i="1"/>
  <c r="AE48" i="1"/>
  <c r="AF48" i="1"/>
  <c r="AG48" i="1"/>
  <c r="P48" i="1"/>
  <c r="Q36" i="1"/>
  <c r="J36" i="1"/>
  <c r="K36" i="1"/>
  <c r="Z36" i="1"/>
  <c r="AA36" i="1"/>
  <c r="AE36" i="1"/>
  <c r="AF36" i="1"/>
  <c r="AG36" i="1"/>
  <c r="P36" i="1"/>
  <c r="Q24" i="1"/>
  <c r="J24" i="1"/>
  <c r="K24" i="1"/>
  <c r="Z24" i="1"/>
  <c r="AA24" i="1"/>
  <c r="AE24" i="1"/>
  <c r="AF24" i="1"/>
  <c r="AG24" i="1"/>
  <c r="P24" i="1"/>
  <c r="Q12" i="1"/>
  <c r="J12" i="1"/>
  <c r="K12" i="1"/>
  <c r="Z12" i="1"/>
  <c r="AA12" i="1"/>
  <c r="AE12" i="1"/>
  <c r="AF12" i="1"/>
  <c r="AG12" i="1"/>
  <c r="P12" i="1"/>
  <c r="H74" i="1"/>
  <c r="H62" i="1"/>
  <c r="H50" i="1"/>
  <c r="H38" i="1"/>
  <c r="H26" i="1"/>
  <c r="H13" i="1"/>
  <c r="I78" i="1"/>
  <c r="I60" i="1"/>
  <c r="I24" i="1"/>
  <c r="I6" i="1"/>
  <c r="O53" i="1"/>
  <c r="O35" i="1"/>
  <c r="O17" i="1"/>
  <c r="Q58" i="1"/>
  <c r="J69" i="1"/>
  <c r="J33" i="1"/>
  <c r="K80" i="1"/>
  <c r="K8" i="1"/>
  <c r="M55" i="1"/>
  <c r="AA18" i="1"/>
  <c r="AE18" i="1"/>
  <c r="AF18" i="1"/>
  <c r="AG18" i="1"/>
  <c r="P18" i="1"/>
  <c r="Q18" i="1"/>
  <c r="J18" i="1"/>
  <c r="K18" i="1"/>
  <c r="Z18" i="1"/>
  <c r="AG51" i="1"/>
  <c r="I51" i="1"/>
  <c r="P51" i="1"/>
  <c r="K51" i="1"/>
  <c r="M51" i="1"/>
  <c r="Z51" i="1"/>
  <c r="AA51" i="1"/>
  <c r="AE51" i="1"/>
  <c r="AF51" i="1"/>
  <c r="J83" i="1"/>
  <c r="K83" i="1"/>
  <c r="M83" i="1"/>
  <c r="Z83" i="1"/>
  <c r="AA83" i="1"/>
  <c r="AE83" i="1"/>
  <c r="AF83" i="1"/>
  <c r="AG83" i="1"/>
  <c r="Q83" i="1"/>
  <c r="J71" i="1"/>
  <c r="K71" i="1"/>
  <c r="M71" i="1"/>
  <c r="Z71" i="1"/>
  <c r="AA71" i="1"/>
  <c r="AE71" i="1"/>
  <c r="AF71" i="1"/>
  <c r="AG71" i="1"/>
  <c r="Q71" i="1"/>
  <c r="J59" i="1"/>
  <c r="K59" i="1"/>
  <c r="M59" i="1"/>
  <c r="Z59" i="1"/>
  <c r="AA59" i="1"/>
  <c r="AE59" i="1"/>
  <c r="AF59" i="1"/>
  <c r="AG59" i="1"/>
  <c r="Q59" i="1"/>
  <c r="J47" i="1"/>
  <c r="K47" i="1"/>
  <c r="M47" i="1"/>
  <c r="Z47" i="1"/>
  <c r="AA47" i="1"/>
  <c r="AE47" i="1"/>
  <c r="AF47" i="1"/>
  <c r="AG47" i="1"/>
  <c r="Q47" i="1"/>
  <c r="J35" i="1"/>
  <c r="K35" i="1"/>
  <c r="M35" i="1"/>
  <c r="Z35" i="1"/>
  <c r="AA35" i="1"/>
  <c r="AE35" i="1"/>
  <c r="AF35" i="1"/>
  <c r="AG35" i="1"/>
  <c r="Q35" i="1"/>
  <c r="J23" i="1"/>
  <c r="K23" i="1"/>
  <c r="M23" i="1"/>
  <c r="Z23" i="1"/>
  <c r="AA23" i="1"/>
  <c r="AE23" i="1"/>
  <c r="AF23" i="1"/>
  <c r="AG23" i="1"/>
  <c r="Q23" i="1"/>
  <c r="J11" i="1"/>
  <c r="K11" i="1"/>
  <c r="M11" i="1"/>
  <c r="Z11" i="1"/>
  <c r="AA11" i="1"/>
  <c r="AE11" i="1"/>
  <c r="AF11" i="1"/>
  <c r="AG11" i="1"/>
  <c r="Q11" i="1"/>
  <c r="H2" i="1"/>
  <c r="H73" i="1"/>
  <c r="H61" i="1"/>
  <c r="H49" i="1"/>
  <c r="H37" i="1"/>
  <c r="H25" i="1"/>
  <c r="H12" i="1"/>
  <c r="I77" i="1"/>
  <c r="I59" i="1"/>
  <c r="I23" i="1"/>
  <c r="I5" i="1"/>
  <c r="O52" i="1"/>
  <c r="O34" i="1"/>
  <c r="O16" i="1"/>
  <c r="J32" i="1"/>
  <c r="K79" i="1"/>
  <c r="K43" i="1"/>
  <c r="K7" i="1"/>
  <c r="M54" i="1"/>
  <c r="AA30" i="1"/>
  <c r="AE30" i="1"/>
  <c r="AF30" i="1"/>
  <c r="AG30" i="1"/>
  <c r="P30" i="1"/>
  <c r="Q30" i="1"/>
  <c r="J30" i="1"/>
  <c r="K30" i="1"/>
  <c r="Z30" i="1"/>
  <c r="AG27" i="1"/>
  <c r="I27" i="1"/>
  <c r="P27" i="1"/>
  <c r="K27" i="1"/>
  <c r="M27" i="1"/>
  <c r="Z27" i="1"/>
  <c r="AA27" i="1"/>
  <c r="AE27" i="1"/>
  <c r="AF27" i="1"/>
  <c r="K82" i="1"/>
  <c r="M82" i="1"/>
  <c r="Z82" i="1"/>
  <c r="AA82" i="1"/>
  <c r="AE82" i="1"/>
  <c r="AF82" i="1"/>
  <c r="AG82" i="1"/>
  <c r="J82" i="1"/>
  <c r="K70" i="1"/>
  <c r="M70" i="1"/>
  <c r="Z70" i="1"/>
  <c r="AA70" i="1"/>
  <c r="AE70" i="1"/>
  <c r="AF70" i="1"/>
  <c r="AG70" i="1"/>
  <c r="J70" i="1"/>
  <c r="K58" i="1"/>
  <c r="M58" i="1"/>
  <c r="Z58" i="1"/>
  <c r="AA58" i="1"/>
  <c r="AE58" i="1"/>
  <c r="AF58" i="1"/>
  <c r="AG58" i="1"/>
  <c r="J58" i="1"/>
  <c r="K46" i="1"/>
  <c r="M46" i="1"/>
  <c r="Z46" i="1"/>
  <c r="AA46" i="1"/>
  <c r="AE46" i="1"/>
  <c r="AF46" i="1"/>
  <c r="AG46" i="1"/>
  <c r="J46" i="1"/>
  <c r="K34" i="1"/>
  <c r="M34" i="1"/>
  <c r="Z34" i="1"/>
  <c r="AA34" i="1"/>
  <c r="AE34" i="1"/>
  <c r="AF34" i="1"/>
  <c r="AG34" i="1"/>
  <c r="J34" i="1"/>
  <c r="K22" i="1"/>
  <c r="M22" i="1"/>
  <c r="Z22" i="1"/>
  <c r="AA22" i="1"/>
  <c r="AE22" i="1"/>
  <c r="AF22" i="1"/>
  <c r="AG22" i="1"/>
  <c r="J22" i="1"/>
  <c r="K10" i="1"/>
  <c r="M10" i="1"/>
  <c r="Z10" i="1"/>
  <c r="AA10" i="1"/>
  <c r="AE10" i="1"/>
  <c r="AF10" i="1"/>
  <c r="H10" i="1"/>
  <c r="AG10" i="1"/>
  <c r="J10" i="1"/>
  <c r="H84" i="1"/>
  <c r="H72" i="1"/>
  <c r="H60" i="1"/>
  <c r="H48" i="1"/>
  <c r="H36" i="1"/>
  <c r="H24" i="1"/>
  <c r="H11" i="1"/>
  <c r="I76" i="1"/>
  <c r="I58" i="1"/>
  <c r="I40" i="1"/>
  <c r="I22" i="1"/>
  <c r="I4" i="1"/>
  <c r="O51" i="1"/>
  <c r="O15" i="1"/>
  <c r="P5" i="1"/>
  <c r="Q52" i="1"/>
  <c r="Q16" i="1"/>
  <c r="J27" i="1"/>
  <c r="K74" i="1"/>
  <c r="M2" i="1"/>
  <c r="M49" i="1"/>
  <c r="AG39" i="1"/>
  <c r="I39" i="1"/>
  <c r="P39" i="1"/>
  <c r="K39" i="1"/>
  <c r="M39" i="1"/>
  <c r="Z39" i="1"/>
  <c r="AA39" i="1"/>
  <c r="AE39" i="1"/>
  <c r="AF39" i="1"/>
  <c r="M81" i="1"/>
  <c r="Z81" i="1"/>
  <c r="AA81" i="1"/>
  <c r="AE81" i="1"/>
  <c r="AF81" i="1"/>
  <c r="AG81" i="1"/>
  <c r="I81" i="1"/>
  <c r="P81" i="1"/>
  <c r="K81" i="1"/>
  <c r="M69" i="1"/>
  <c r="Z69" i="1"/>
  <c r="AA69" i="1"/>
  <c r="AE69" i="1"/>
  <c r="AF69" i="1"/>
  <c r="AG69" i="1"/>
  <c r="I69" i="1"/>
  <c r="P69" i="1"/>
  <c r="K69" i="1"/>
  <c r="M57" i="1"/>
  <c r="Z57" i="1"/>
  <c r="AA57" i="1"/>
  <c r="AE57" i="1"/>
  <c r="AF57" i="1"/>
  <c r="AG57" i="1"/>
  <c r="I57" i="1"/>
  <c r="P57" i="1"/>
  <c r="K57" i="1"/>
  <c r="M45" i="1"/>
  <c r="Z45" i="1"/>
  <c r="AA45" i="1"/>
  <c r="AE45" i="1"/>
  <c r="AF45" i="1"/>
  <c r="AG45" i="1"/>
  <c r="I45" i="1"/>
  <c r="P45" i="1"/>
  <c r="K45" i="1"/>
  <c r="M33" i="1"/>
  <c r="Z33" i="1"/>
  <c r="AA33" i="1"/>
  <c r="AE33" i="1"/>
  <c r="AF33" i="1"/>
  <c r="AG33" i="1"/>
  <c r="I33" i="1"/>
  <c r="P33" i="1"/>
  <c r="K33" i="1"/>
  <c r="M21" i="1"/>
  <c r="Z21" i="1"/>
  <c r="AA21" i="1"/>
  <c r="AE21" i="1"/>
  <c r="AF21" i="1"/>
  <c r="H21" i="1"/>
  <c r="AG21" i="1"/>
  <c r="I21" i="1"/>
  <c r="P21" i="1"/>
  <c r="K21" i="1"/>
  <c r="M9" i="1"/>
  <c r="Z9" i="1"/>
  <c r="AA9" i="1"/>
  <c r="AE9" i="1"/>
  <c r="AF9" i="1"/>
  <c r="H9" i="1"/>
  <c r="AG9" i="1"/>
  <c r="I9" i="1"/>
  <c r="P9" i="1"/>
  <c r="K9" i="1"/>
  <c r="H83" i="1"/>
  <c r="H71" i="1"/>
  <c r="H59" i="1"/>
  <c r="H47" i="1"/>
  <c r="H35" i="1"/>
  <c r="H23" i="1"/>
  <c r="I73" i="1"/>
  <c r="I37" i="1"/>
  <c r="O84" i="1"/>
  <c r="O66" i="1"/>
  <c r="O48" i="1"/>
  <c r="O30" i="1"/>
  <c r="O12" i="1"/>
  <c r="P76" i="1"/>
  <c r="P53" i="1"/>
  <c r="P29" i="1"/>
  <c r="P4" i="1"/>
  <c r="Q51" i="1"/>
  <c r="Q15" i="1"/>
  <c r="J62" i="1"/>
  <c r="J26" i="1"/>
  <c r="K73" i="1"/>
  <c r="K37" i="1"/>
  <c r="M84" i="1"/>
  <c r="M48" i="1"/>
  <c r="Z80" i="1"/>
  <c r="AA80" i="1"/>
  <c r="AE80" i="1"/>
  <c r="AF80" i="1"/>
  <c r="AG80" i="1"/>
  <c r="I80" i="1"/>
  <c r="O80" i="1"/>
  <c r="Q80" i="1"/>
  <c r="M80" i="1"/>
  <c r="Z68" i="1"/>
  <c r="AA68" i="1"/>
  <c r="AE68" i="1"/>
  <c r="AF68" i="1"/>
  <c r="AG68" i="1"/>
  <c r="I68" i="1"/>
  <c r="O68" i="1"/>
  <c r="Q68" i="1"/>
  <c r="M68" i="1"/>
  <c r="Z56" i="1"/>
  <c r="AA56" i="1"/>
  <c r="AE56" i="1"/>
  <c r="AF56" i="1"/>
  <c r="AG56" i="1"/>
  <c r="I56" i="1"/>
  <c r="O56" i="1"/>
  <c r="Q56" i="1"/>
  <c r="M56" i="1"/>
  <c r="Z44" i="1"/>
  <c r="AA44" i="1"/>
  <c r="AE44" i="1"/>
  <c r="AF44" i="1"/>
  <c r="AG44" i="1"/>
  <c r="I44" i="1"/>
  <c r="O44" i="1"/>
  <c r="Q44" i="1"/>
  <c r="M44" i="1"/>
  <c r="Z32" i="1"/>
  <c r="AA32" i="1"/>
  <c r="AE32" i="1"/>
  <c r="AF32" i="1"/>
  <c r="AG32" i="1"/>
  <c r="I32" i="1"/>
  <c r="O32" i="1"/>
  <c r="Q32" i="1"/>
  <c r="M32" i="1"/>
  <c r="Z20" i="1"/>
  <c r="AA20" i="1"/>
  <c r="AE20" i="1"/>
  <c r="AF20" i="1"/>
  <c r="AG20" i="1"/>
  <c r="I20" i="1"/>
  <c r="O20" i="1"/>
  <c r="Q20" i="1"/>
  <c r="M20" i="1"/>
  <c r="Z8" i="1"/>
  <c r="AA8" i="1"/>
  <c r="AE8" i="1"/>
  <c r="AF8" i="1"/>
  <c r="AG8" i="1"/>
  <c r="I8" i="1"/>
  <c r="O8" i="1"/>
  <c r="P8" i="1"/>
  <c r="Q8" i="1"/>
  <c r="M8" i="1"/>
  <c r="H82" i="1"/>
  <c r="H70" i="1"/>
  <c r="H58" i="1"/>
  <c r="H46" i="1"/>
  <c r="H34" i="1"/>
  <c r="H22" i="1"/>
  <c r="I72" i="1"/>
  <c r="I54" i="1"/>
  <c r="I36" i="1"/>
  <c r="I18" i="1"/>
  <c r="O83" i="1"/>
  <c r="O47" i="1"/>
  <c r="O11" i="1"/>
  <c r="P75" i="1"/>
  <c r="P52" i="1"/>
  <c r="P28" i="1"/>
  <c r="Q82" i="1"/>
  <c r="Q46" i="1"/>
  <c r="Q10" i="1"/>
  <c r="J57" i="1"/>
  <c r="J21" i="1"/>
  <c r="K68" i="1"/>
  <c r="K32" i="1"/>
  <c r="AA42" i="1"/>
  <c r="AE42" i="1"/>
  <c r="AF42" i="1"/>
  <c r="AG42" i="1"/>
  <c r="P42" i="1"/>
  <c r="Q42" i="1"/>
  <c r="J42" i="1"/>
  <c r="K42" i="1"/>
  <c r="Z42" i="1"/>
  <c r="AG63" i="1"/>
  <c r="I63" i="1"/>
  <c r="P63" i="1"/>
  <c r="K63" i="1"/>
  <c r="M63" i="1"/>
  <c r="Z63" i="1"/>
  <c r="AA63" i="1"/>
  <c r="AE63" i="1"/>
  <c r="AF63" i="1"/>
  <c r="Z79" i="1"/>
  <c r="AA79" i="1"/>
  <c r="AE79" i="1"/>
  <c r="AF79" i="1"/>
  <c r="AG79" i="1"/>
  <c r="O79" i="1"/>
  <c r="P79" i="1"/>
  <c r="Q79" i="1"/>
  <c r="J79" i="1"/>
  <c r="Z67" i="1"/>
  <c r="AA67" i="1"/>
  <c r="AE67" i="1"/>
  <c r="AF67" i="1"/>
  <c r="AG67" i="1"/>
  <c r="O67" i="1"/>
  <c r="P67" i="1"/>
  <c r="Q67" i="1"/>
  <c r="J67" i="1"/>
  <c r="Z55" i="1"/>
  <c r="AA55" i="1"/>
  <c r="AE55" i="1"/>
  <c r="AF55" i="1"/>
  <c r="AG55" i="1"/>
  <c r="O55" i="1"/>
  <c r="P55" i="1"/>
  <c r="Q55" i="1"/>
  <c r="J55" i="1"/>
  <c r="Z43" i="1"/>
  <c r="AA43" i="1"/>
  <c r="AE43" i="1"/>
  <c r="AF43" i="1"/>
  <c r="AG43" i="1"/>
  <c r="O43" i="1"/>
  <c r="P43" i="1"/>
  <c r="Q43" i="1"/>
  <c r="J43" i="1"/>
  <c r="Z31" i="1"/>
  <c r="AA31" i="1"/>
  <c r="AE31" i="1"/>
  <c r="AF31" i="1"/>
  <c r="AG31" i="1"/>
  <c r="O31" i="1"/>
  <c r="P31" i="1"/>
  <c r="Q31" i="1"/>
  <c r="J31" i="1"/>
  <c r="M31" i="1"/>
  <c r="Z19" i="1"/>
  <c r="AA19" i="1"/>
  <c r="AE19" i="1"/>
  <c r="AF19" i="1"/>
  <c r="AG19" i="1"/>
  <c r="O19" i="1"/>
  <c r="P19" i="1"/>
  <c r="Q19" i="1"/>
  <c r="J19" i="1"/>
  <c r="M19" i="1"/>
  <c r="Z7" i="1"/>
  <c r="AA7" i="1"/>
  <c r="AE7" i="1"/>
  <c r="AF7" i="1"/>
  <c r="AG7" i="1"/>
  <c r="O7" i="1"/>
  <c r="P7" i="1"/>
  <c r="Q7" i="1"/>
  <c r="J7" i="1"/>
  <c r="M7" i="1"/>
  <c r="H81" i="1"/>
  <c r="H69" i="1"/>
  <c r="H57" i="1"/>
  <c r="H45" i="1"/>
  <c r="H33" i="1"/>
  <c r="H20" i="1"/>
  <c r="H6" i="1"/>
  <c r="I71" i="1"/>
  <c r="I35" i="1"/>
  <c r="O82" i="1"/>
  <c r="O46" i="1"/>
  <c r="O10" i="1"/>
  <c r="P50" i="1"/>
  <c r="P26" i="1"/>
  <c r="Q81" i="1"/>
  <c r="Q45" i="1"/>
  <c r="Q9" i="1"/>
  <c r="J56" i="1"/>
  <c r="J20" i="1"/>
  <c r="K67" i="1"/>
  <c r="K31" i="1"/>
  <c r="M78" i="1"/>
  <c r="M42" i="1"/>
  <c r="H80" i="1"/>
  <c r="H68" i="1"/>
  <c r="H56" i="1"/>
  <c r="H44" i="1"/>
  <c r="H32" i="1"/>
  <c r="H19" i="1"/>
  <c r="I70" i="1"/>
  <c r="I34" i="1"/>
  <c r="O81" i="1"/>
  <c r="O63" i="1"/>
  <c r="O45" i="1"/>
  <c r="O27" i="1"/>
  <c r="O9" i="1"/>
  <c r="P71" i="1"/>
  <c r="P47" i="1"/>
  <c r="P23" i="1"/>
  <c r="J51" i="1"/>
  <c r="M73" i="1"/>
  <c r="M37" i="1"/>
  <c r="AE77" i="1"/>
  <c r="AF77" i="1"/>
  <c r="AG77" i="1"/>
  <c r="Q77" i="1"/>
  <c r="J77" i="1"/>
  <c r="K77" i="1"/>
  <c r="M77" i="1"/>
  <c r="Z77" i="1"/>
  <c r="AA77" i="1"/>
  <c r="AE65" i="1"/>
  <c r="AF65" i="1"/>
  <c r="AG65" i="1"/>
  <c r="Q65" i="1"/>
  <c r="J65" i="1"/>
  <c r="K65" i="1"/>
  <c r="M65" i="1"/>
  <c r="Z65" i="1"/>
  <c r="AA65" i="1"/>
  <c r="AE53" i="1"/>
  <c r="AF53" i="1"/>
  <c r="AG53" i="1"/>
  <c r="Q53" i="1"/>
  <c r="J53" i="1"/>
  <c r="K53" i="1"/>
  <c r="M53" i="1"/>
  <c r="Z53" i="1"/>
  <c r="AA53" i="1"/>
  <c r="AE41" i="1"/>
  <c r="AF41" i="1"/>
  <c r="AG41" i="1"/>
  <c r="Q41" i="1"/>
  <c r="J41" i="1"/>
  <c r="K41" i="1"/>
  <c r="M41" i="1"/>
  <c r="Z41" i="1"/>
  <c r="AA41" i="1"/>
  <c r="AE29" i="1"/>
  <c r="AF29" i="1"/>
  <c r="AG29" i="1"/>
  <c r="Q29" i="1"/>
  <c r="J29" i="1"/>
  <c r="K29" i="1"/>
  <c r="M29" i="1"/>
  <c r="Z29" i="1"/>
  <c r="AA29" i="1"/>
  <c r="AE17" i="1"/>
  <c r="AF17" i="1"/>
  <c r="AG17" i="1"/>
  <c r="Q17" i="1"/>
  <c r="J17" i="1"/>
  <c r="K17" i="1"/>
  <c r="M17" i="1"/>
  <c r="Z17" i="1"/>
  <c r="AA17" i="1"/>
  <c r="AE5" i="1"/>
  <c r="AF5" i="1"/>
  <c r="AG5" i="1"/>
  <c r="Q5" i="1"/>
  <c r="J5" i="1"/>
  <c r="K5" i="1"/>
  <c r="M5" i="1"/>
  <c r="Z5" i="1"/>
  <c r="AA5" i="1"/>
  <c r="H79" i="1"/>
  <c r="H67" i="1"/>
  <c r="H55" i="1"/>
  <c r="H43" i="1"/>
  <c r="H31" i="1"/>
  <c r="H18" i="1"/>
  <c r="I2" i="1"/>
  <c r="I67" i="1"/>
  <c r="I49" i="1"/>
  <c r="I31" i="1"/>
  <c r="I13" i="1"/>
  <c r="O78" i="1"/>
  <c r="O60" i="1"/>
  <c r="O42" i="1"/>
  <c r="O24" i="1"/>
  <c r="P70" i="1"/>
  <c r="P46" i="1"/>
  <c r="P22" i="1"/>
  <c r="Q75" i="1"/>
  <c r="Q39" i="1"/>
  <c r="K61" i="1"/>
  <c r="K25" i="1"/>
  <c r="M72" i="1"/>
  <c r="M36" i="1"/>
  <c r="AA6" i="1"/>
  <c r="AE6" i="1"/>
  <c r="AF6" i="1"/>
  <c r="AG6" i="1"/>
  <c r="P6" i="1"/>
  <c r="Q6" i="1"/>
  <c r="J6" i="1"/>
  <c r="K6" i="1"/>
  <c r="M6" i="1"/>
  <c r="Z6" i="1"/>
  <c r="AF76" i="1"/>
  <c r="AG76" i="1"/>
  <c r="J76" i="1"/>
  <c r="K76" i="1"/>
  <c r="M76" i="1"/>
  <c r="Z76" i="1"/>
  <c r="AA76" i="1"/>
  <c r="AE76" i="1"/>
  <c r="AF64" i="1"/>
  <c r="AG64" i="1"/>
  <c r="J64" i="1"/>
  <c r="K64" i="1"/>
  <c r="M64" i="1"/>
  <c r="Z64" i="1"/>
  <c r="AA64" i="1"/>
  <c r="AE64" i="1"/>
  <c r="AF52" i="1"/>
  <c r="AG52" i="1"/>
  <c r="J52" i="1"/>
  <c r="K52" i="1"/>
  <c r="M52" i="1"/>
  <c r="Z52" i="1"/>
  <c r="AA52" i="1"/>
  <c r="AE52" i="1"/>
  <c r="AF40" i="1"/>
  <c r="AG40" i="1"/>
  <c r="J40" i="1"/>
  <c r="K40" i="1"/>
  <c r="M40" i="1"/>
  <c r="Z40" i="1"/>
  <c r="AA40" i="1"/>
  <c r="AE40" i="1"/>
  <c r="AF28" i="1"/>
  <c r="AG28" i="1"/>
  <c r="J28" i="1"/>
  <c r="K28" i="1"/>
  <c r="M28" i="1"/>
  <c r="Z28" i="1"/>
  <c r="AA28" i="1"/>
  <c r="AE28" i="1"/>
  <c r="AF16" i="1"/>
  <c r="AG16" i="1"/>
  <c r="J16" i="1"/>
  <c r="K16" i="1"/>
  <c r="M16" i="1"/>
  <c r="Z16" i="1"/>
  <c r="AA16" i="1"/>
  <c r="AE16" i="1"/>
  <c r="AF4" i="1"/>
  <c r="H4" i="1"/>
  <c r="AG4" i="1"/>
  <c r="J4" i="1"/>
  <c r="K4" i="1"/>
  <c r="M4" i="1"/>
  <c r="Z4" i="1"/>
  <c r="AA4" i="1"/>
  <c r="AE4" i="1"/>
  <c r="H66" i="1"/>
  <c r="H42" i="1"/>
  <c r="H30" i="1"/>
  <c r="H17" i="1"/>
  <c r="I84" i="1"/>
  <c r="I66" i="1"/>
  <c r="I48" i="1"/>
  <c r="I30" i="1"/>
  <c r="I12" i="1"/>
  <c r="O77" i="1"/>
  <c r="O59" i="1"/>
  <c r="O41" i="1"/>
  <c r="O23" i="1"/>
  <c r="O5" i="1"/>
  <c r="P68" i="1"/>
  <c r="P44" i="1"/>
  <c r="P20" i="1"/>
  <c r="Q70" i="1"/>
  <c r="Q34" i="1"/>
  <c r="J81" i="1"/>
  <c r="J45" i="1"/>
  <c r="J9" i="1"/>
  <c r="K56" i="1"/>
  <c r="K20" i="1"/>
  <c r="M67" i="1"/>
  <c r="M30" i="1"/>
  <c r="AA54" i="1"/>
  <c r="AE54" i="1"/>
  <c r="AF54" i="1"/>
  <c r="AG54" i="1"/>
  <c r="P54" i="1"/>
  <c r="Q54" i="1"/>
  <c r="J54" i="1"/>
  <c r="K54" i="1"/>
  <c r="Z54" i="1"/>
  <c r="AG15" i="1"/>
  <c r="I15" i="1"/>
  <c r="P15" i="1"/>
  <c r="K15" i="1"/>
  <c r="M15" i="1"/>
  <c r="Z15" i="1"/>
  <c r="AA15" i="1"/>
  <c r="AE15" i="1"/>
  <c r="AF15" i="1"/>
  <c r="H77" i="1"/>
  <c r="H65" i="1"/>
  <c r="H53" i="1"/>
  <c r="H41" i="1"/>
  <c r="H29" i="1"/>
  <c r="H16" i="1"/>
  <c r="I83" i="1"/>
  <c r="I65" i="1"/>
  <c r="I47" i="1"/>
  <c r="I29" i="1"/>
  <c r="I11" i="1"/>
  <c r="O76" i="1"/>
  <c r="O58" i="1"/>
  <c r="O40" i="1"/>
  <c r="O22" i="1"/>
  <c r="O4" i="1"/>
  <c r="P65" i="1"/>
  <c r="P41" i="1"/>
  <c r="P17" i="1"/>
  <c r="Q69" i="1"/>
  <c r="Q33" i="1"/>
  <c r="J80" i="1"/>
  <c r="J44" i="1"/>
  <c r="J8" i="1"/>
  <c r="K55" i="1"/>
  <c r="K19" i="1"/>
  <c r="M66" i="1"/>
  <c r="M24" i="1"/>
  <c r="AA78" i="1"/>
  <c r="AE78" i="1"/>
  <c r="AF78" i="1"/>
  <c r="AG78" i="1"/>
  <c r="P78" i="1"/>
  <c r="Q78" i="1"/>
  <c r="J78" i="1"/>
  <c r="K78" i="1"/>
  <c r="Z78" i="1"/>
  <c r="AG3" i="1"/>
  <c r="I3" i="1"/>
  <c r="P3" i="1"/>
  <c r="K3" i="1"/>
  <c r="M3" i="1"/>
  <c r="Z3" i="1"/>
  <c r="AA3" i="1"/>
  <c r="AE3" i="1"/>
  <c r="AF3" i="1"/>
  <c r="H3" i="1"/>
  <c r="O74" i="1"/>
  <c r="Q74" i="1"/>
  <c r="M74" i="1"/>
  <c r="Z74" i="1"/>
  <c r="AA74" i="1"/>
  <c r="AE74" i="1"/>
  <c r="AF74" i="1"/>
  <c r="AG74" i="1"/>
  <c r="I74" i="1"/>
  <c r="O62" i="1"/>
  <c r="Q62" i="1"/>
  <c r="M62" i="1"/>
  <c r="Z62" i="1"/>
  <c r="AA62" i="1"/>
  <c r="AE62" i="1"/>
  <c r="AF62" i="1"/>
  <c r="AG62" i="1"/>
  <c r="I62" i="1"/>
  <c r="O50" i="1"/>
  <c r="Q50" i="1"/>
  <c r="M50" i="1"/>
  <c r="Z50" i="1"/>
  <c r="AA50" i="1"/>
  <c r="AE50" i="1"/>
  <c r="AF50" i="1"/>
  <c r="AG50" i="1"/>
  <c r="I50" i="1"/>
  <c r="O38" i="1"/>
  <c r="Q38" i="1"/>
  <c r="M38" i="1"/>
  <c r="Z38" i="1"/>
  <c r="AA38" i="1"/>
  <c r="AE38" i="1"/>
  <c r="AF38" i="1"/>
  <c r="AG38" i="1"/>
  <c r="I38" i="1"/>
  <c r="O26" i="1"/>
  <c r="Q26" i="1"/>
  <c r="M26" i="1"/>
  <c r="Z26" i="1"/>
  <c r="AA26" i="1"/>
  <c r="AE26" i="1"/>
  <c r="AF26" i="1"/>
  <c r="AG26" i="1"/>
  <c r="I26" i="1"/>
  <c r="O14" i="1"/>
  <c r="Q14" i="1"/>
  <c r="M14" i="1"/>
  <c r="Z14" i="1"/>
  <c r="AA14" i="1"/>
  <c r="AE14" i="1"/>
  <c r="AF14" i="1"/>
  <c r="AG14" i="1"/>
  <c r="I14" i="1"/>
  <c r="H76" i="1"/>
  <c r="H64" i="1"/>
  <c r="H52" i="1"/>
  <c r="H40" i="1"/>
  <c r="H28" i="1"/>
  <c r="H15" i="1"/>
  <c r="I82" i="1"/>
  <c r="I64" i="1"/>
  <c r="I46" i="1"/>
  <c r="I28" i="1"/>
  <c r="I10" i="1"/>
  <c r="O75" i="1"/>
  <c r="O57" i="1"/>
  <c r="O39" i="1"/>
  <c r="O21" i="1"/>
  <c r="O3" i="1"/>
  <c r="P64" i="1"/>
  <c r="P40" i="1"/>
  <c r="P16" i="1"/>
  <c r="Q64" i="1"/>
  <c r="Q28" i="1"/>
  <c r="J75" i="1"/>
  <c r="J39" i="1"/>
  <c r="J3" i="1"/>
  <c r="K50" i="1"/>
  <c r="K14" i="1"/>
  <c r="M61" i="1"/>
  <c r="M18" i="1"/>
</calcChain>
</file>

<file path=xl/sharedStrings.xml><?xml version="1.0" encoding="utf-8"?>
<sst xmlns="http://schemas.openxmlformats.org/spreadsheetml/2006/main" count="4665" uniqueCount="321">
  <si>
    <t>id</t>
  </si>
  <si>
    <t>Бурятия</t>
  </si>
  <si>
    <t>Карачаево-Черкесская республика</t>
  </si>
  <si>
    <t>Сахалинская область</t>
  </si>
  <si>
    <t>Воронежская область</t>
  </si>
  <si>
    <t>Томская область</t>
  </si>
  <si>
    <t>Новосибирская область</t>
  </si>
  <si>
    <t>Ненецкий автономный округ</t>
  </si>
  <si>
    <t>Магаданская область</t>
  </si>
  <si>
    <t>Камчатский край</t>
  </si>
  <si>
    <t>Приморский край</t>
  </si>
  <si>
    <t>Ставропольский край</t>
  </si>
  <si>
    <t>Алтайский край</t>
  </si>
  <si>
    <t>Москва</t>
  </si>
  <si>
    <t>Тыва</t>
  </si>
  <si>
    <t>Тамбовская область</t>
  </si>
  <si>
    <t>Свердловская область</t>
  </si>
  <si>
    <t>Ханты-Мансийский автономный округ - Югра</t>
  </si>
  <si>
    <t>Чукотский автономный округ</t>
  </si>
  <si>
    <t>Тюменская область</t>
  </si>
  <si>
    <t>Владимирская область</t>
  </si>
  <si>
    <t>Московская область</t>
  </si>
  <si>
    <t>Волгоградская область</t>
  </si>
  <si>
    <t>Оренбургская область</t>
  </si>
  <si>
    <t>Самарская область</t>
  </si>
  <si>
    <t>Астраханская область</t>
  </si>
  <si>
    <t>Адыгея</t>
  </si>
  <si>
    <t>Республика Калмыкия</t>
  </si>
  <si>
    <t>Краснодарский край</t>
  </si>
  <si>
    <t>Ростовская область</t>
  </si>
  <si>
    <t>Мурманская область</t>
  </si>
  <si>
    <t>Псковская область</t>
  </si>
  <si>
    <t>Санкт-Петербург</t>
  </si>
  <si>
    <t>Ленинградская область</t>
  </si>
  <si>
    <t>Республика Мордовия</t>
  </si>
  <si>
    <t>Татарстан</t>
  </si>
  <si>
    <t>Кировская область</t>
  </si>
  <si>
    <t>Костромская область</t>
  </si>
  <si>
    <t>Тверская область</t>
  </si>
  <si>
    <t>Тульская область</t>
  </si>
  <si>
    <t>Калужская область</t>
  </si>
  <si>
    <t>Ульяновская область</t>
  </si>
  <si>
    <t>Марий Эл</t>
  </si>
  <si>
    <t>Смоленская область</t>
  </si>
  <si>
    <t>Пермский край</t>
  </si>
  <si>
    <t>Ивановская область</t>
  </si>
  <si>
    <t>Чувашия</t>
  </si>
  <si>
    <t>Северная Осетия - Алания</t>
  </si>
  <si>
    <t>Брянская область</t>
  </si>
  <si>
    <t>Пензенская область</t>
  </si>
  <si>
    <t>Белгородская область</t>
  </si>
  <si>
    <t>Липецкая область</t>
  </si>
  <si>
    <t>Новгородская область</t>
  </si>
  <si>
    <t>Архангельская область</t>
  </si>
  <si>
    <t>Нижегородская область</t>
  </si>
  <si>
    <t>Курганская область</t>
  </si>
  <si>
    <t>Курская область</t>
  </si>
  <si>
    <t>Забайкальский край</t>
  </si>
  <si>
    <t>Алтай</t>
  </si>
  <si>
    <t>Рязанская область</t>
  </si>
  <si>
    <t>Ямало-Ненецкий автономный округ</t>
  </si>
  <si>
    <t>Красноярский край</t>
  </si>
  <si>
    <t>Республика Саха (Якутия)</t>
  </si>
  <si>
    <t>Дагестан</t>
  </si>
  <si>
    <t>Омская область</t>
  </si>
  <si>
    <t>Республика Коми</t>
  </si>
  <si>
    <t>Чеченская республика</t>
  </si>
  <si>
    <t>Кабардино-Балкарская республика</t>
  </si>
  <si>
    <t>Саратовская область</t>
  </si>
  <si>
    <t>Калининградская область</t>
  </si>
  <si>
    <t>Орловская область</t>
  </si>
  <si>
    <t>Республика Карелия</t>
  </si>
  <si>
    <t>Иркутская область</t>
  </si>
  <si>
    <t>Амурская область</t>
  </si>
  <si>
    <t>Еврейская автономная область</t>
  </si>
  <si>
    <t>Хабаровский край</t>
  </si>
  <si>
    <t>Кемеровская область</t>
  </si>
  <si>
    <t>Республика Хакасия</t>
  </si>
  <si>
    <t>Ярославская область</t>
  </si>
  <si>
    <t>Удмуртская республика</t>
  </si>
  <si>
    <t>Вологодская область</t>
  </si>
  <si>
    <t>Ингушетия</t>
  </si>
  <si>
    <t>Челябинская область</t>
  </si>
  <si>
    <t>Башкортостан</t>
  </si>
  <si>
    <t>AVA_1</t>
  </si>
  <si>
    <t>Коэффициент Джини (индекс концентрации доходов) (значение показателя за год)</t>
  </si>
  <si>
    <t/>
  </si>
  <si>
    <t>Российская Федерация</t>
  </si>
  <si>
    <t>Архангельская область (кроме Ненецкого автономного округа)</t>
  </si>
  <si>
    <t>Республика Крым</t>
  </si>
  <si>
    <t>Город федерального значения Севастополь</t>
  </si>
  <si>
    <t>Кабардино-Балкарская Республика</t>
  </si>
  <si>
    <t>Карачаево-Черкесская Республика</t>
  </si>
  <si>
    <t>Чеченская Республика</t>
  </si>
  <si>
    <t>Удмуртская Республика</t>
  </si>
  <si>
    <t>Тюменская область (кроме Ханты-Мансийского автономного округа-Югры и Ямало-Ненецкого автономного округа)</t>
  </si>
  <si>
    <t>Центральный федеральный округ</t>
  </si>
  <si>
    <t>Северо-Западный федеральный округ</t>
  </si>
  <si>
    <t>Южный федеральный округ (с 29.07.2016)</t>
  </si>
  <si>
    <t>Северо-Кавказский федеральный округ</t>
  </si>
  <si>
    <t>Приволжский федеральный округ</t>
  </si>
  <si>
    <t>Уральский федеральный округ</t>
  </si>
  <si>
    <t>Сибирский федеральный округ</t>
  </si>
  <si>
    <t>Дальневосточный федеральный округ</t>
  </si>
  <si>
    <t>AVA_2</t>
  </si>
  <si>
    <t>Регион</t>
  </si>
  <si>
    <t>Доля занятых в Финансовой и страховой деятельности</t>
  </si>
  <si>
    <t>AVA_3</t>
  </si>
  <si>
    <t>GUL_1</t>
  </si>
  <si>
    <t>GUL_2</t>
  </si>
  <si>
    <t>LUJ_1</t>
  </si>
  <si>
    <t>LUJ_2</t>
  </si>
  <si>
    <t>Численность постоянного населения в среднем за год (человек, значение показателя за год, все население)</t>
  </si>
  <si>
    <t>Population</t>
  </si>
  <si>
    <t>INV_1</t>
  </si>
  <si>
    <t>IRA_1</t>
  </si>
  <si>
    <t>IRA_2</t>
  </si>
  <si>
    <t>ГУ МВД России по г.Санкт-Петербургу и Ленинградской области</t>
  </si>
  <si>
    <t>LUJ_3</t>
  </si>
  <si>
    <t>LUJ_4</t>
  </si>
  <si>
    <t>GUL_3</t>
  </si>
  <si>
    <t>DES_1</t>
  </si>
  <si>
    <t>DES_2</t>
  </si>
  <si>
    <t>г. Севастополь</t>
  </si>
  <si>
    <t>РОССИЙСКАЯ ФЕДЕРАЦИЯ</t>
  </si>
  <si>
    <t>Южный федеральный округ</t>
  </si>
  <si>
    <t>г.Севастополь</t>
  </si>
  <si>
    <t>Южный федеральный округ (с 28.07.2016)</t>
  </si>
  <si>
    <t>Северо-Кавказский федеральный округ (с 03.06.2014)</t>
  </si>
  <si>
    <t>Регионы</t>
  </si>
  <si>
    <t>Балансовая стоимость внеоборотных и оборотных активов в секторе финансов и безопасности</t>
  </si>
  <si>
    <t>Количество преступлений экономической направленности, зарегистрированных в отчетном периоде (единица, январь-декабрь)</t>
  </si>
  <si>
    <t>Архангельская область (без а/о)</t>
  </si>
  <si>
    <t>Тюменская область (без а/о)</t>
  </si>
  <si>
    <t>Сибирский федеральный округ (до 03.11.2018 г.)</t>
  </si>
  <si>
    <t>Дальневосточный федеральный округ (до 03.11.2018 г.)</t>
  </si>
  <si>
    <t>AVA_4</t>
  </si>
  <si>
    <t>Количество преступлений, зарегистрированных в отчетном периоде (единица, январь-декабрь, по ст.158 УК РФ (Кража))</t>
  </si>
  <si>
    <t>Архангельская область (без АО)</t>
  </si>
  <si>
    <t>Тюменская область (без АО)</t>
  </si>
  <si>
    <t>Income</t>
  </si>
  <si>
    <t>Livable_wage</t>
  </si>
  <si>
    <t>Денежные доходы (в среднем на душу) (рубль, значение показателя за год)</t>
  </si>
  <si>
    <t>Величина прожиточного минимума (рубль, IV квартал, Трудоспособное население)</t>
  </si>
  <si>
    <t>AVA_5</t>
  </si>
  <si>
    <t>ЦЕНТРАЛЬНЫЙ ФЕДЕРАЛЬНЫЙ ОКРУГ</t>
  </si>
  <si>
    <t>СЕВЕРО-ЗАПАДНЫЙ ФЕДЕРАЛЬНЫЙ ОКРУГ</t>
  </si>
  <si>
    <t>Архангельская область без данных по Ненецкому автономному округу</t>
  </si>
  <si>
    <t>ЮЖНЫЙ ФЕДЕРАЛЬНЫЙ ОКРУГ</t>
  </si>
  <si>
    <t>СЕВЕРО-КАВКАЗСКИЙ ФЕДЕРАЛЬНЫЙ ОКРУГ</t>
  </si>
  <si>
    <t>ПРИВОЛЖСКИЙ ФЕДЕРАЛЬНЫЙ ОКРУГ</t>
  </si>
  <si>
    <t>УРАЛЬСКИЙ ФЕДЕРАЛЬНЫЙ ОКРУГ</t>
  </si>
  <si>
    <t>Тюменская область без данных по Ханты-Мансийскому автономному округу - Югре и Ямало-Ненецкому автономному округу</t>
  </si>
  <si>
    <t>СИБИРСКИЙ ФЕДЕРАЛЬНЫЙ ОКРУГ</t>
  </si>
  <si>
    <t>ДАЛЬНЕВОСТОЧНЫЙ ФЕДЕРАЛЬНЫЙ ОКРУГ</t>
  </si>
  <si>
    <t>Задолженность по кредитам, предоставленным физическим лицам-резидентам в рублях, млн руб. на конец года</t>
  </si>
  <si>
    <t>Дальневосточный ФО</t>
  </si>
  <si>
    <t>Крымский ФО</t>
  </si>
  <si>
    <t>Приволжский ФО</t>
  </si>
  <si>
    <t>Северо-Западный ФО</t>
  </si>
  <si>
    <t>Северо-Кавказский ФО</t>
  </si>
  <si>
    <t>Сибирский ФО</t>
  </si>
  <si>
    <t>Уральский ФО</t>
  </si>
  <si>
    <t>Центральный ФО</t>
  </si>
  <si>
    <t>Южный ФО</t>
  </si>
  <si>
    <t>Зарегистрировано убийств и покушений на убийство (ст.ст. 30, 105, 106, 107 УК РФ)</t>
  </si>
  <si>
    <t>Зарегистрировано преступлений по ст. 111 УК РФ - умышленное причинение тяжкого вреда здоровью</t>
  </si>
  <si>
    <t>Доля лиц, совершивших преступление, не совершавших его ранее</t>
  </si>
  <si>
    <t>Зарегистрировано преступлений средней тяжести</t>
  </si>
  <si>
    <t>IRA_3</t>
  </si>
  <si>
    <t>IRA_4</t>
  </si>
  <si>
    <t>Доля расходов на одежду в общих расходах</t>
  </si>
  <si>
    <t>федеральный округ</t>
  </si>
  <si>
    <t>Архангельская область без
автономного округа</t>
  </si>
  <si>
    <t>Тюменская область без
автономных округов</t>
  </si>
  <si>
    <t>Донецкая Народная Республика</t>
  </si>
  <si>
    <t>Запорожская область</t>
  </si>
  <si>
    <t>Севастополь</t>
  </si>
  <si>
    <t>Херсонская область</t>
  </si>
  <si>
    <t>Луганская Народная Республика</t>
  </si>
  <si>
    <t>Проникновение авторов в социальных сетях относительно населения (на янв.24)</t>
  </si>
  <si>
    <t xml:space="preserve">    Центральный федеральный округ</t>
  </si>
  <si>
    <t xml:space="preserve">        Белгородская область</t>
  </si>
  <si>
    <t xml:space="preserve">        Брянская область</t>
  </si>
  <si>
    <t xml:space="preserve">        Владимирская область</t>
  </si>
  <si>
    <t xml:space="preserve">        Воронежская область</t>
  </si>
  <si>
    <t xml:space="preserve">        Ивановская область</t>
  </si>
  <si>
    <t xml:space="preserve">        Калужская область</t>
  </si>
  <si>
    <t xml:space="preserve">        Костромская область</t>
  </si>
  <si>
    <t xml:space="preserve">        Курская область</t>
  </si>
  <si>
    <t xml:space="preserve">        Липецкая область</t>
  </si>
  <si>
    <t xml:space="preserve">        Московская область</t>
  </si>
  <si>
    <t xml:space="preserve">        Орловская область</t>
  </si>
  <si>
    <t xml:space="preserve">        Рязанская область</t>
  </si>
  <si>
    <t xml:space="preserve">        Смоленская область</t>
  </si>
  <si>
    <t xml:space="preserve">        Тамбовская область</t>
  </si>
  <si>
    <t xml:space="preserve">        Тверская область</t>
  </si>
  <si>
    <t xml:space="preserve">        Тульская область</t>
  </si>
  <si>
    <t xml:space="preserve">        Ярославская область</t>
  </si>
  <si>
    <t xml:space="preserve">    Северо-Западный федеральный округ</t>
  </si>
  <si>
    <t xml:space="preserve">        Республика Карелия</t>
  </si>
  <si>
    <t xml:space="preserve">        Республика Коми</t>
  </si>
  <si>
    <t xml:space="preserve">        Архангельская область</t>
  </si>
  <si>
    <t xml:space="preserve">            Архангельская область (кроме Ненецкого автономного округа)</t>
  </si>
  <si>
    <t xml:space="preserve">        Вологодская область</t>
  </si>
  <si>
    <t xml:space="preserve">        Калининградская область</t>
  </si>
  <si>
    <t xml:space="preserve">        Ленинградская область</t>
  </si>
  <si>
    <t xml:space="preserve">        Мурманская область</t>
  </si>
  <si>
    <t xml:space="preserve">        Новгородская область</t>
  </si>
  <si>
    <t xml:space="preserve">        Псковская область</t>
  </si>
  <si>
    <t xml:space="preserve">    Южный федеральный округ (с 29.07.2016)</t>
  </si>
  <si>
    <t xml:space="preserve">        Республика Калмыкия</t>
  </si>
  <si>
    <t xml:space="preserve">        Республика Крым</t>
  </si>
  <si>
    <t xml:space="preserve">        Краснодарский край</t>
  </si>
  <si>
    <t xml:space="preserve">        Астраханская область</t>
  </si>
  <si>
    <t xml:space="preserve">        Волгоградская область</t>
  </si>
  <si>
    <t xml:space="preserve">        Ростовская область</t>
  </si>
  <si>
    <t xml:space="preserve">        Город федерального значения Севастополь</t>
  </si>
  <si>
    <t xml:space="preserve">    Северо-Кавказский федеральный округ</t>
  </si>
  <si>
    <t xml:space="preserve">        Кабардино-Балкарская Республика</t>
  </si>
  <si>
    <t xml:space="preserve">        Карачаево-Черкесская Республика</t>
  </si>
  <si>
    <t xml:space="preserve">        Чеченская Республика</t>
  </si>
  <si>
    <t xml:space="preserve">        Ставропольский край</t>
  </si>
  <si>
    <t xml:space="preserve">    Приволжский федеральный округ</t>
  </si>
  <si>
    <t xml:space="preserve">        Республика Мордовия</t>
  </si>
  <si>
    <t xml:space="preserve">        Удмуртская Республика</t>
  </si>
  <si>
    <t xml:space="preserve">        Пермский край</t>
  </si>
  <si>
    <t xml:space="preserve">        Кировская область</t>
  </si>
  <si>
    <t xml:space="preserve">        Нижегородская область</t>
  </si>
  <si>
    <t xml:space="preserve">        Оренбургская область</t>
  </si>
  <si>
    <t xml:space="preserve">        Пензенская область</t>
  </si>
  <si>
    <t xml:space="preserve">        Самарская область</t>
  </si>
  <si>
    <t xml:space="preserve">        Саратовская область</t>
  </si>
  <si>
    <t xml:space="preserve">        Ульяновская область</t>
  </si>
  <si>
    <t xml:space="preserve">    Уральский федеральный округ</t>
  </si>
  <si>
    <t xml:space="preserve">        Курганская область</t>
  </si>
  <si>
    <t xml:space="preserve">        Свердловская область</t>
  </si>
  <si>
    <t xml:space="preserve">        Тюменская область</t>
  </si>
  <si>
    <t xml:space="preserve">            Тюменская область (кроме Ханты-Мансийского автономного округа-Югры и Ямало-Ненецкого автономного округа)</t>
  </si>
  <si>
    <t xml:space="preserve">        Челябинская область</t>
  </si>
  <si>
    <t xml:space="preserve">    Сибирский федеральный округ</t>
  </si>
  <si>
    <t xml:space="preserve">        Республика Хакасия</t>
  </si>
  <si>
    <t xml:space="preserve">        Алтайский край</t>
  </si>
  <si>
    <t xml:space="preserve">        Красноярский край</t>
  </si>
  <si>
    <t xml:space="preserve">        Иркутская область</t>
  </si>
  <si>
    <t xml:space="preserve">        Новосибирская область</t>
  </si>
  <si>
    <t xml:space="preserve">        Омская область</t>
  </si>
  <si>
    <t xml:space="preserve">        Томская область</t>
  </si>
  <si>
    <t xml:space="preserve">    Дальневосточный федеральный округ</t>
  </si>
  <si>
    <t xml:space="preserve">        Республика Саха (Якутия)</t>
  </si>
  <si>
    <t xml:space="preserve">        Забайкальский край</t>
  </si>
  <si>
    <t xml:space="preserve">        Камчатский край</t>
  </si>
  <si>
    <t xml:space="preserve">        Приморский край</t>
  </si>
  <si>
    <t xml:space="preserve">        Хабаровский край</t>
  </si>
  <si>
    <t xml:space="preserve">        Амурская область</t>
  </si>
  <si>
    <t xml:space="preserve">        Магаданская область</t>
  </si>
  <si>
    <t xml:space="preserve">        Сахалинская область</t>
  </si>
  <si>
    <t xml:space="preserve">        Еврейская автономная область</t>
  </si>
  <si>
    <t xml:space="preserve">        Чукотский автономный округ</t>
  </si>
  <si>
    <t>Доля розничной продажи одежды и косметики в % к соответствующей товарной группе</t>
  </si>
  <si>
    <t>Оборот розничной торговли непродовольственными товарами, млн руб.</t>
  </si>
  <si>
    <t>Оборот розничной торговли косметикой и одеждой, млн руб.</t>
  </si>
  <si>
    <t xml:space="preserve">        Бурятия</t>
  </si>
  <si>
    <t xml:space="preserve">            Ненецкий автономный округ</t>
  </si>
  <si>
    <t xml:space="preserve">        Москва</t>
  </si>
  <si>
    <t xml:space="preserve">        Тыва</t>
  </si>
  <si>
    <t xml:space="preserve">            Ханты-Мансийский автономный округ - Югра</t>
  </si>
  <si>
    <t xml:space="preserve">        Адыгея</t>
  </si>
  <si>
    <t xml:space="preserve">        Санкт-Петербург</t>
  </si>
  <si>
    <t xml:space="preserve">        Чувашия</t>
  </si>
  <si>
    <t xml:space="preserve">        Северная Осетия - Алания</t>
  </si>
  <si>
    <t xml:space="preserve">        Алтай</t>
  </si>
  <si>
    <t xml:space="preserve">            Ямало-Ненецкий автономный округ</t>
  </si>
  <si>
    <t xml:space="preserve">        Дагестан</t>
  </si>
  <si>
    <t xml:space="preserve">        Кемеровская область</t>
  </si>
  <si>
    <t xml:space="preserve">        Ингушетия</t>
  </si>
  <si>
    <t xml:space="preserve">        Башкортостан</t>
  </si>
  <si>
    <t xml:space="preserve">        Татарстан</t>
  </si>
  <si>
    <t xml:space="preserve">        Марий Эл</t>
  </si>
  <si>
    <t>INV_2</t>
  </si>
  <si>
    <t>INV_3</t>
  </si>
  <si>
    <t>INV_4</t>
  </si>
  <si>
    <t>INV_5</t>
  </si>
  <si>
    <t>Объем телекоммуникационных услуг, тыс. руб.</t>
  </si>
  <si>
    <t>Соотношение разводов к бракам за год</t>
  </si>
  <si>
    <t>Разводов за год</t>
  </si>
  <si>
    <t>Браков за год</t>
  </si>
  <si>
    <t>Архангельская область без автономного округа</t>
  </si>
  <si>
    <t>Севеpо-Кавказский федеpальный округ</t>
  </si>
  <si>
    <t>Тюменская область без автономных округов</t>
  </si>
  <si>
    <t>Доля родившихся живыми у женщин, не состоявших
в зарегистрированном браке, по субъектам Российской Федерации</t>
  </si>
  <si>
    <t>Число абортов, включая мини-аборты - всего</t>
  </si>
  <si>
    <t>Число родившихся (без мертворожденных) за год</t>
  </si>
  <si>
    <t>Соотношение абортов к числу родившихся детей</t>
  </si>
  <si>
    <t>Количество преступлений, зарегистрированных в отчетном периоде (единица, январь-декабрь, по ст.131 УК РФ (Изнасилование))</t>
  </si>
  <si>
    <t>Заболеваемость с впервые в жизни установленным диагнозом ВИЧ-инфекции на 100 тыс. человек населения (человек)</t>
  </si>
  <si>
    <t>Южный федеральный округ (с 03.06.2014)</t>
  </si>
  <si>
    <t>Сибирский федеральный округ (с 03.11.2018)</t>
  </si>
  <si>
    <t>Дальневосточный федеральный округ (с 03.11.2018)</t>
  </si>
  <si>
    <t>Ожидаемая продолжительность жизни при рождении (год, значение показателя за год, все население, Оба пола)</t>
  </si>
  <si>
    <t>ИМТ (2019-2021 ФАКТ)</t>
  </si>
  <si>
    <t>Число умерших по основным классам и отдельным причинам смерти за год (человек, значение показателя за год, все население, Болезни органов пищеварения)</t>
  </si>
  <si>
    <t>Число умерших по основным классам и отдельным причинам смерти за год (человек, значение показателя за год, все население, Самоубийство)</t>
  </si>
  <si>
    <t>Оборот общественного питания (торговля), млн руб</t>
  </si>
  <si>
    <t>Доля расходов на алкогольные напитки и табачные изделия</t>
  </si>
  <si>
    <t>Доля людей с пагубным влиянием алкоголя</t>
  </si>
  <si>
    <t>Доля курящих ежедневно людей</t>
  </si>
  <si>
    <t>Выявлено лиц, совершивших преступления, связанных с незаконным оборотом наркотиков</t>
  </si>
  <si>
    <t>Выявлено лиц, совершивших преступления в состоянии алкогольного опьянения</t>
  </si>
  <si>
    <t>Индекс производительности труда относительно уровня 2011 года (процент, значение показателя за год, К базисному периоду)</t>
  </si>
  <si>
    <t>Доля людей "Расслабляюсь, выпиваю"</t>
  </si>
  <si>
    <t>Доля людей "Бездельничаю, "убиваю" время"</t>
  </si>
  <si>
    <t>LUJ_5</t>
  </si>
  <si>
    <t>GUL_4</t>
  </si>
  <si>
    <t>GUL_5</t>
  </si>
  <si>
    <t>GUL_6</t>
  </si>
  <si>
    <t>GUL_7</t>
  </si>
  <si>
    <t>GUL_8</t>
  </si>
  <si>
    <t>DES_3</t>
  </si>
  <si>
    <t>DES_4</t>
  </si>
  <si>
    <t>DES_5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</si>
</sst>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9" formatCode="0.0"/>
    <numFmt numFmtId="170" formatCode="0.0%"/>
    <numFmt numFmtId="172" formatCode="_-* #,##0_-;\-* #,##0_-;_-* &quot;-&quot;??_-;_-@_-"/>
    <numFmt numFmtId="181" formatCode="#,##0.0"/>
    <numFmt numFmtId="184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8"/>
      <name val="Calibri"/>
      <family val="2"/>
      <scheme val="minor"/>
    </font>
    <font>
      <sz val="10"/>
      <name val="Arial Cyr"/>
      <charset val="204"/>
    </font>
    <font>
      <sz val="10"/>
      <name val="Arial"/>
      <family val="2"/>
    </font>
    <font>
      <sz val="11"/>
      <color theme="1"/>
      <name val="Arial Narrow"/>
      <family val="2"/>
      <charset val="204"/>
    </font>
    <font>
      <b/>
      <sz val="11"/>
      <color theme="1"/>
      <name val="Arial Narrow"/>
      <family val="2"/>
      <charset val="204"/>
    </font>
    <font>
      <b/>
      <sz val="11"/>
      <name val="Arial Narrow"/>
      <family val="2"/>
      <charset val="204"/>
    </font>
    <font>
      <sz val="11"/>
      <name val="Arial Narrow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auto="1"/>
      </right>
      <top style="medium">
        <color theme="0" tint="-0.249977111117893"/>
      </top>
      <bottom/>
      <diagonal/>
    </border>
    <border>
      <left style="thin">
        <color auto="1"/>
      </left>
      <right style="thin">
        <color auto="1"/>
      </right>
      <top style="medium">
        <color theme="0" tint="-0.249977111117893"/>
      </top>
      <bottom/>
      <diagonal/>
    </border>
    <border>
      <left style="thin">
        <color auto="1"/>
      </left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auto="1"/>
      </left>
      <right/>
      <top style="medium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medium">
        <color theme="0" tint="-0.249977111117893"/>
      </top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0" fontId="3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  <xf numFmtId="0" fontId="1" fillId="0" borderId="0"/>
    <xf numFmtId="0" fontId="8" fillId="0" borderId="0"/>
    <xf numFmtId="43" fontId="2" fillId="0" borderId="0" applyFont="0" applyFill="0" applyBorder="0" applyAlignment="0" applyProtection="0"/>
  </cellStyleXfs>
  <cellXfs count="113">
    <xf numFmtId="0" fontId="0" fillId="0" borderId="0" xfId="0"/>
    <xf numFmtId="0" fontId="9" fillId="0" borderId="0" xfId="0" applyFont="1" applyFill="1"/>
    <xf numFmtId="0" fontId="11" fillId="0" borderId="0" xfId="2" applyFont="1" applyFill="1" applyAlignment="1"/>
    <xf numFmtId="0" fontId="12" fillId="0" borderId="0" xfId="2" applyFont="1" applyFill="1" applyAlignment="1"/>
    <xf numFmtId="0" fontId="12" fillId="0" borderId="0" xfId="2" applyFont="1" applyFill="1"/>
    <xf numFmtId="0" fontId="12" fillId="2" borderId="1" xfId="2" applyFont="1" applyFill="1" applyBorder="1" applyAlignment="1">
      <alignment horizontal="center" vertical="top" wrapText="1"/>
    </xf>
    <xf numFmtId="0" fontId="12" fillId="2" borderId="1" xfId="2" applyFont="1" applyFill="1" applyBorder="1" applyAlignment="1">
      <alignment horizontal="center"/>
    </xf>
    <xf numFmtId="0" fontId="12" fillId="0" borderId="1" xfId="2" applyFont="1" applyFill="1" applyBorder="1" applyAlignment="1">
      <alignment horizontal="center" vertical="center"/>
    </xf>
    <xf numFmtId="0" fontId="11" fillId="0" borderId="0" xfId="2" applyFont="1" applyFill="1" applyAlignment="1">
      <alignment horizontal="left"/>
    </xf>
    <xf numFmtId="0" fontId="12" fillId="0" borderId="0" xfId="2" applyFont="1" applyFill="1" applyAlignment="1">
      <alignment horizontal="left"/>
    </xf>
    <xf numFmtId="0" fontId="12" fillId="2" borderId="1" xfId="2" applyFont="1" applyFill="1" applyBorder="1" applyAlignment="1">
      <alignment horizontal="left" vertical="top" wrapText="1"/>
    </xf>
    <xf numFmtId="0" fontId="12" fillId="0" borderId="1" xfId="2" applyFont="1" applyFill="1" applyBorder="1" applyAlignment="1">
      <alignment horizontal="left" vertical="center" wrapText="1"/>
    </xf>
    <xf numFmtId="0" fontId="12" fillId="0" borderId="1" xfId="2" applyFont="1" applyFill="1" applyBorder="1" applyAlignment="1">
      <alignment horizontal="left" vertical="center"/>
    </xf>
    <xf numFmtId="0" fontId="9" fillId="0" borderId="0" xfId="0" applyFont="1"/>
    <xf numFmtId="3" fontId="9" fillId="0" borderId="1" xfId="0" applyNumberFormat="1" applyFont="1" applyBorder="1" applyAlignment="1">
      <alignment horizontal="center"/>
    </xf>
    <xf numFmtId="170" fontId="9" fillId="0" borderId="1" xfId="1" applyNumberFormat="1" applyFont="1" applyBorder="1" applyAlignment="1">
      <alignment horizontal="center"/>
    </xf>
    <xf numFmtId="170" fontId="9" fillId="0" borderId="0" xfId="1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3" fontId="12" fillId="0" borderId="1" xfId="2" applyNumberFormat="1" applyFont="1" applyFill="1" applyBorder="1" applyAlignment="1">
      <alignment horizontal="center" vertical="center"/>
    </xf>
    <xf numFmtId="0" fontId="12" fillId="2" borderId="1" xfId="2" applyNumberFormat="1" applyFont="1" applyFill="1" applyBorder="1" applyAlignment="1">
      <alignment horizontal="center" vertical="top" wrapText="1"/>
    </xf>
    <xf numFmtId="0" fontId="12" fillId="2" borderId="1" xfId="2" applyNumberFormat="1" applyFont="1" applyFill="1" applyBorder="1" applyAlignment="1">
      <alignment horizontal="center"/>
    </xf>
    <xf numFmtId="0" fontId="9" fillId="0" borderId="1" xfId="0" applyFont="1" applyFill="1" applyBorder="1"/>
    <xf numFmtId="170" fontId="9" fillId="0" borderId="1" xfId="1" applyNumberFormat="1" applyFont="1" applyFill="1" applyBorder="1" applyAlignment="1">
      <alignment horizontal="center"/>
    </xf>
    <xf numFmtId="3" fontId="12" fillId="3" borderId="1" xfId="2" applyNumberFormat="1" applyFont="1" applyFill="1" applyBorder="1" applyAlignment="1">
      <alignment horizontal="center" vertical="center"/>
    </xf>
    <xf numFmtId="0" fontId="3" fillId="0" borderId="0" xfId="2"/>
    <xf numFmtId="0" fontId="4" fillId="0" borderId="0" xfId="2" applyFont="1"/>
    <xf numFmtId="0" fontId="12" fillId="0" borderId="1" xfId="2" applyNumberFormat="1" applyFont="1" applyFill="1" applyBorder="1" applyAlignment="1">
      <alignment horizontal="center" vertical="center"/>
    </xf>
    <xf numFmtId="9" fontId="12" fillId="0" borderId="1" xfId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top"/>
    </xf>
    <xf numFmtId="0" fontId="9" fillId="0" borderId="3" xfId="0" applyFont="1" applyBorder="1"/>
    <xf numFmtId="0" fontId="10" fillId="4" borderId="6" xfId="0" applyFont="1" applyFill="1" applyBorder="1" applyAlignment="1">
      <alignment horizontal="center" vertical="top"/>
    </xf>
    <xf numFmtId="0" fontId="10" fillId="4" borderId="7" xfId="0" applyFont="1" applyFill="1" applyBorder="1" applyAlignment="1">
      <alignment horizontal="center" vertical="top"/>
    </xf>
    <xf numFmtId="0" fontId="10" fillId="4" borderId="8" xfId="0" applyFont="1" applyFill="1" applyBorder="1" applyAlignment="1">
      <alignment horizontal="center" vertical="top"/>
    </xf>
    <xf numFmtId="3" fontId="9" fillId="0" borderId="9" xfId="0" applyNumberFormat="1" applyFont="1" applyBorder="1" applyAlignment="1">
      <alignment horizontal="center"/>
    </xf>
    <xf numFmtId="3" fontId="9" fillId="0" borderId="10" xfId="0" applyNumberFormat="1" applyFont="1" applyBorder="1" applyAlignment="1">
      <alignment horizontal="center"/>
    </xf>
    <xf numFmtId="3" fontId="9" fillId="0" borderId="11" xfId="0" applyNumberFormat="1" applyFont="1" applyBorder="1" applyAlignment="1">
      <alignment horizontal="center"/>
    </xf>
    <xf numFmtId="3" fontId="9" fillId="0" borderId="12" xfId="0" applyNumberFormat="1" applyFont="1" applyBorder="1" applyAlignment="1">
      <alignment horizontal="center"/>
    </xf>
    <xf numFmtId="3" fontId="9" fillId="0" borderId="13" xfId="0" applyNumberFormat="1" applyFont="1" applyBorder="1" applyAlignment="1">
      <alignment horizontal="center"/>
    </xf>
    <xf numFmtId="0" fontId="10" fillId="2" borderId="6" xfId="0" applyFont="1" applyFill="1" applyBorder="1" applyAlignment="1">
      <alignment horizontal="center" vertical="top"/>
    </xf>
    <xf numFmtId="0" fontId="10" fillId="2" borderId="7" xfId="0" applyFont="1" applyFill="1" applyBorder="1" applyAlignment="1">
      <alignment horizontal="center" vertical="top"/>
    </xf>
    <xf numFmtId="0" fontId="10" fillId="2" borderId="8" xfId="0" applyFont="1" applyFill="1" applyBorder="1" applyAlignment="1">
      <alignment horizontal="center" vertical="top"/>
    </xf>
    <xf numFmtId="2" fontId="9" fillId="0" borderId="9" xfId="0" applyNumberFormat="1" applyFont="1" applyBorder="1" applyAlignment="1">
      <alignment horizontal="center"/>
    </xf>
    <xf numFmtId="2" fontId="9" fillId="0" borderId="11" xfId="0" applyNumberFormat="1" applyFont="1" applyBorder="1" applyAlignment="1">
      <alignment horizontal="center"/>
    </xf>
    <xf numFmtId="170" fontId="9" fillId="0" borderId="12" xfId="1" applyNumberFormat="1" applyFont="1" applyBorder="1" applyAlignment="1">
      <alignment horizontal="center"/>
    </xf>
    <xf numFmtId="0" fontId="10" fillId="5" borderId="6" xfId="0" applyFont="1" applyFill="1" applyBorder="1" applyAlignment="1">
      <alignment horizontal="center" vertical="top"/>
    </xf>
    <xf numFmtId="0" fontId="10" fillId="5" borderId="7" xfId="0" applyFont="1" applyFill="1" applyBorder="1" applyAlignment="1">
      <alignment horizontal="center" vertical="top"/>
    </xf>
    <xf numFmtId="170" fontId="12" fillId="0" borderId="1" xfId="1" applyNumberFormat="1" applyFont="1" applyFill="1" applyBorder="1" applyAlignment="1">
      <alignment horizontal="center" vertical="center"/>
    </xf>
    <xf numFmtId="0" fontId="4" fillId="0" borderId="0" xfId="2" applyFont="1" applyAlignment="1"/>
    <xf numFmtId="0" fontId="12" fillId="2" borderId="1" xfId="2" applyFont="1" applyFill="1" applyBorder="1" applyAlignment="1">
      <alignment horizontal="left" vertical="top"/>
    </xf>
    <xf numFmtId="170" fontId="9" fillId="0" borderId="5" xfId="1" applyNumberFormat="1" applyFont="1" applyBorder="1" applyAlignment="1">
      <alignment horizontal="center"/>
    </xf>
    <xf numFmtId="3" fontId="12" fillId="0" borderId="1" xfId="1" applyNumberFormat="1" applyFont="1" applyFill="1" applyBorder="1" applyAlignment="1">
      <alignment horizontal="center" vertical="center"/>
    </xf>
    <xf numFmtId="172" fontId="3" fillId="0" borderId="0" xfId="8" applyNumberFormat="1" applyFont="1"/>
    <xf numFmtId="172" fontId="12" fillId="0" borderId="0" xfId="8" applyNumberFormat="1" applyFont="1" applyFill="1"/>
    <xf numFmtId="172" fontId="12" fillId="0" borderId="1" xfId="8" applyNumberFormat="1" applyFont="1" applyFill="1" applyBorder="1" applyAlignment="1">
      <alignment horizontal="center" vertical="center"/>
    </xf>
    <xf numFmtId="37" fontId="12" fillId="0" borderId="1" xfId="1" applyNumberFormat="1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center" vertical="top"/>
    </xf>
    <xf numFmtId="0" fontId="10" fillId="2" borderId="4" xfId="0" applyFont="1" applyFill="1" applyBorder="1" applyAlignment="1">
      <alignment horizontal="center" vertical="top"/>
    </xf>
    <xf numFmtId="1" fontId="9" fillId="0" borderId="5" xfId="0" applyNumberFormat="1" applyFont="1" applyBorder="1" applyAlignment="1">
      <alignment horizontal="center"/>
    </xf>
    <xf numFmtId="0" fontId="10" fillId="6" borderId="16" xfId="0" applyFont="1" applyFill="1" applyBorder="1" applyAlignment="1">
      <alignment horizontal="center" vertical="top"/>
    </xf>
    <xf numFmtId="0" fontId="10" fillId="6" borderId="17" xfId="0" applyFont="1" applyFill="1" applyBorder="1" applyAlignment="1">
      <alignment horizontal="center" vertical="top"/>
    </xf>
    <xf numFmtId="0" fontId="10" fillId="6" borderId="18" xfId="0" applyFont="1" applyFill="1" applyBorder="1" applyAlignment="1">
      <alignment horizontal="center" vertical="top"/>
    </xf>
    <xf numFmtId="170" fontId="9" fillId="0" borderId="9" xfId="1" applyNumberFormat="1" applyFont="1" applyBorder="1" applyAlignment="1">
      <alignment horizontal="center"/>
    </xf>
    <xf numFmtId="170" fontId="9" fillId="0" borderId="11" xfId="1" applyNumberFormat="1" applyFont="1" applyBorder="1" applyAlignment="1">
      <alignment horizontal="center"/>
    </xf>
    <xf numFmtId="9" fontId="12" fillId="0" borderId="1" xfId="1" applyNumberFormat="1" applyFont="1" applyFill="1" applyBorder="1" applyAlignment="1">
      <alignment horizontal="center" vertical="center"/>
    </xf>
    <xf numFmtId="0" fontId="12" fillId="0" borderId="1" xfId="2" applyNumberFormat="1" applyFont="1" applyFill="1" applyBorder="1" applyAlignment="1">
      <alignment horizontal="left" vertical="center"/>
    </xf>
    <xf numFmtId="0" fontId="3" fillId="0" borderId="0" xfId="2"/>
    <xf numFmtId="0" fontId="4" fillId="0" borderId="0" xfId="2" applyFont="1"/>
    <xf numFmtId="0" fontId="12" fillId="0" borderId="1" xfId="1" applyNumberFormat="1" applyFont="1" applyFill="1" applyBorder="1" applyAlignment="1">
      <alignment horizontal="center" vertical="center"/>
    </xf>
    <xf numFmtId="0" fontId="12" fillId="0" borderId="0" xfId="2" applyNumberFormat="1" applyFont="1" applyFill="1" applyAlignment="1">
      <alignment horizontal="left"/>
    </xf>
    <xf numFmtId="0" fontId="12" fillId="0" borderId="0" xfId="2" applyNumberFormat="1" applyFont="1" applyFill="1"/>
    <xf numFmtId="169" fontId="12" fillId="0" borderId="1" xfId="1" applyNumberFormat="1" applyFont="1" applyFill="1" applyBorder="1" applyAlignment="1">
      <alignment horizontal="center" vertical="center"/>
    </xf>
    <xf numFmtId="172" fontId="12" fillId="0" borderId="1" xfId="8" applyNumberFormat="1" applyFont="1" applyFill="1" applyBorder="1" applyAlignment="1">
      <alignment horizontal="left" vertical="center"/>
    </xf>
    <xf numFmtId="172" fontId="12" fillId="0" borderId="1" xfId="8" applyNumberFormat="1" applyFont="1" applyFill="1" applyBorder="1" applyAlignment="1">
      <alignment horizontal="left" vertical="center" wrapText="1"/>
    </xf>
    <xf numFmtId="9" fontId="9" fillId="0" borderId="5" xfId="1" applyFont="1" applyBorder="1" applyAlignment="1">
      <alignment horizontal="center"/>
    </xf>
    <xf numFmtId="0" fontId="10" fillId="7" borderId="6" xfId="0" applyFont="1" applyFill="1" applyBorder="1" applyAlignment="1">
      <alignment horizontal="center" vertical="top"/>
    </xf>
    <xf numFmtId="0" fontId="10" fillId="7" borderId="19" xfId="0" applyFont="1" applyFill="1" applyBorder="1" applyAlignment="1">
      <alignment horizontal="center" vertical="top"/>
    </xf>
    <xf numFmtId="0" fontId="10" fillId="7" borderId="20" xfId="0" applyFont="1" applyFill="1" applyBorder="1" applyAlignment="1">
      <alignment horizontal="center" vertical="top"/>
    </xf>
    <xf numFmtId="9" fontId="9" fillId="0" borderId="9" xfId="1" applyFont="1" applyBorder="1" applyAlignment="1">
      <alignment horizontal="center"/>
    </xf>
    <xf numFmtId="9" fontId="9" fillId="0" borderId="11" xfId="1" applyFont="1" applyBorder="1" applyAlignment="1">
      <alignment horizontal="center"/>
    </xf>
    <xf numFmtId="9" fontId="9" fillId="0" borderId="21" xfId="1" applyFont="1" applyBorder="1" applyAlignment="1">
      <alignment horizontal="center"/>
    </xf>
    <xf numFmtId="9" fontId="9" fillId="0" borderId="1" xfId="1" applyFont="1" applyBorder="1" applyAlignment="1">
      <alignment horizontal="center"/>
    </xf>
    <xf numFmtId="0" fontId="10" fillId="8" borderId="6" xfId="0" applyFont="1" applyFill="1" applyBorder="1" applyAlignment="1">
      <alignment horizontal="center" vertical="top"/>
    </xf>
    <xf numFmtId="0" fontId="10" fillId="8" borderId="7" xfId="0" applyFont="1" applyFill="1" applyBorder="1" applyAlignment="1">
      <alignment horizontal="center" vertical="top"/>
    </xf>
    <xf numFmtId="0" fontId="10" fillId="8" borderId="19" xfId="0" applyFont="1" applyFill="1" applyBorder="1" applyAlignment="1">
      <alignment horizontal="center" vertical="top"/>
    </xf>
    <xf numFmtId="0" fontId="10" fillId="8" borderId="8" xfId="0" applyFont="1" applyFill="1" applyBorder="1" applyAlignment="1">
      <alignment horizontal="center" vertical="top"/>
    </xf>
    <xf numFmtId="1" fontId="9" fillId="0" borderId="21" xfId="0" applyNumberFormat="1" applyFont="1" applyBorder="1" applyAlignment="1">
      <alignment horizontal="center"/>
    </xf>
    <xf numFmtId="170" fontId="9" fillId="0" borderId="21" xfId="1" applyNumberFormat="1" applyFont="1" applyBorder="1" applyAlignment="1">
      <alignment horizontal="center"/>
    </xf>
    <xf numFmtId="181" fontId="9" fillId="0" borderId="1" xfId="0" applyNumberFormat="1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181" fontId="9" fillId="0" borderId="10" xfId="0" applyNumberFormat="1" applyFont="1" applyBorder="1" applyAlignment="1">
      <alignment horizontal="center"/>
    </xf>
    <xf numFmtId="181" fontId="9" fillId="0" borderId="13" xfId="0" applyNumberFormat="1" applyFont="1" applyBorder="1" applyAlignment="1">
      <alignment horizontal="center"/>
    </xf>
    <xf numFmtId="9" fontId="9" fillId="0" borderId="12" xfId="1" applyFont="1" applyBorder="1" applyAlignment="1">
      <alignment horizontal="center"/>
    </xf>
    <xf numFmtId="181" fontId="9" fillId="0" borderId="12" xfId="0" applyNumberFormat="1" applyFont="1" applyBorder="1" applyAlignment="1">
      <alignment horizontal="center"/>
    </xf>
    <xf numFmtId="4" fontId="9" fillId="0" borderId="9" xfId="0" applyNumberFormat="1" applyFont="1" applyBorder="1" applyAlignment="1">
      <alignment horizontal="center"/>
    </xf>
    <xf numFmtId="4" fontId="9" fillId="0" borderId="11" xfId="0" applyNumberFormat="1" applyFont="1" applyBorder="1" applyAlignment="1">
      <alignment horizontal="center"/>
    </xf>
    <xf numFmtId="4" fontId="9" fillId="0" borderId="12" xfId="0" applyNumberFormat="1" applyFont="1" applyBorder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9" fillId="0" borderId="15" xfId="0" applyNumberFormat="1" applyFont="1" applyBorder="1" applyAlignment="1">
      <alignment horizontal="center"/>
    </xf>
    <xf numFmtId="184" fontId="9" fillId="0" borderId="9" xfId="0" applyNumberFormat="1" applyFont="1" applyBorder="1" applyAlignment="1">
      <alignment horizontal="center"/>
    </xf>
    <xf numFmtId="184" fontId="9" fillId="0" borderId="11" xfId="0" applyNumberFormat="1" applyFont="1" applyBorder="1" applyAlignment="1">
      <alignment horizontal="center"/>
    </xf>
    <xf numFmtId="169" fontId="9" fillId="0" borderId="5" xfId="0" applyNumberFormat="1" applyFont="1" applyBorder="1" applyAlignment="1">
      <alignment horizontal="center"/>
    </xf>
    <xf numFmtId="2" fontId="9" fillId="0" borderId="5" xfId="0" applyNumberFormat="1" applyFont="1" applyBorder="1" applyAlignment="1">
      <alignment horizontal="center"/>
    </xf>
    <xf numFmtId="2" fontId="9" fillId="0" borderId="21" xfId="0" applyNumberFormat="1" applyFont="1" applyBorder="1" applyAlignment="1">
      <alignment horizontal="center"/>
    </xf>
    <xf numFmtId="2" fontId="9" fillId="0" borderId="22" xfId="0" applyNumberFormat="1" applyFont="1" applyBorder="1" applyAlignment="1">
      <alignment horizontal="center"/>
    </xf>
    <xf numFmtId="2" fontId="9" fillId="0" borderId="23" xfId="0" applyNumberFormat="1" applyFont="1" applyBorder="1" applyAlignment="1">
      <alignment horizontal="center"/>
    </xf>
    <xf numFmtId="0" fontId="10" fillId="9" borderId="6" xfId="0" applyFont="1" applyFill="1" applyBorder="1" applyAlignment="1">
      <alignment horizontal="center" vertical="top"/>
    </xf>
    <xf numFmtId="0" fontId="10" fillId="9" borderId="7" xfId="0" applyFont="1" applyFill="1" applyBorder="1" applyAlignment="1">
      <alignment horizontal="center" vertical="top"/>
    </xf>
    <xf numFmtId="0" fontId="10" fillId="9" borderId="19" xfId="0" applyFont="1" applyFill="1" applyBorder="1" applyAlignment="1">
      <alignment horizontal="center" vertical="top"/>
    </xf>
    <xf numFmtId="0" fontId="10" fillId="9" borderId="20" xfId="0" applyFont="1" applyFill="1" applyBorder="1" applyAlignment="1">
      <alignment horizontal="center" vertical="top"/>
    </xf>
    <xf numFmtId="9" fontId="9" fillId="0" borderId="22" xfId="1" applyFont="1" applyBorder="1" applyAlignment="1">
      <alignment horizontal="center"/>
    </xf>
    <xf numFmtId="9" fontId="9" fillId="0" borderId="10" xfId="1" applyFont="1" applyBorder="1" applyAlignment="1">
      <alignment horizontal="center"/>
    </xf>
    <xf numFmtId="169" fontId="9" fillId="0" borderId="21" xfId="0" applyNumberFormat="1" applyFont="1" applyBorder="1" applyAlignment="1">
      <alignment horizontal="center"/>
    </xf>
    <xf numFmtId="9" fontId="9" fillId="0" borderId="13" xfId="1" applyFont="1" applyBorder="1" applyAlignment="1">
      <alignment horizontal="center"/>
    </xf>
  </cellXfs>
  <cellStyles count="9">
    <cellStyle name="Normal" xfId="7" xr:uid="{BFB0B5E7-4CD4-489A-99EA-9E4A3AD1B30A}"/>
    <cellStyle name="Обычный" xfId="0" builtinId="0"/>
    <cellStyle name="Обычный 2" xfId="2" xr:uid="{5BF93740-74E6-400D-8AFB-8C7AB0F362F5}"/>
    <cellStyle name="Обычный 2 2" xfId="5" xr:uid="{E43F12ED-CB6E-427A-9DA2-9441182A92A8}"/>
    <cellStyle name="Обычный 3" xfId="3" xr:uid="{F37C8727-9761-4EA2-911E-576D9C208A63}"/>
    <cellStyle name="Обычный 4" xfId="6" xr:uid="{AEC9569B-3100-4E57-98A4-7B4A1D89CBE3}"/>
    <cellStyle name="Процентный" xfId="1" builtinId="5"/>
    <cellStyle name="Процентный 2" xfId="4" xr:uid="{C4FB6A38-D1CC-41F8-8CDE-76F9025F1243}"/>
    <cellStyle name="Финансовый" xfId="8" builtinId="3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002060"/>
  </sheetPr>
  <dimension ref="A1:AK84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Z6" sqref="Z6"/>
    </sheetView>
  </sheetViews>
  <sheetFormatPr defaultRowHeight="16.5" x14ac:dyDescent="0.3"/>
  <cols>
    <col min="1" max="1" width="43.140625" style="13" bestFit="1" customWidth="1"/>
    <col min="2" max="4" width="19.7109375" style="13" customWidth="1"/>
    <col min="5" max="5" width="16.7109375" style="13" customWidth="1"/>
    <col min="6" max="36" width="15.85546875" style="13" customWidth="1"/>
    <col min="37" max="16384" width="9.140625" style="13"/>
  </cols>
  <sheetData>
    <row r="1" spans="1:37" x14ac:dyDescent="0.3">
      <c r="A1" s="28">
        <v>2022</v>
      </c>
      <c r="B1" s="30" t="s">
        <v>113</v>
      </c>
      <c r="C1" s="31" t="s">
        <v>140</v>
      </c>
      <c r="D1" s="32" t="s">
        <v>141</v>
      </c>
      <c r="E1" s="38" t="s">
        <v>84</v>
      </c>
      <c r="F1" s="39" t="s">
        <v>104</v>
      </c>
      <c r="G1" s="39" t="s">
        <v>107</v>
      </c>
      <c r="H1" s="39" t="s">
        <v>136</v>
      </c>
      <c r="I1" s="40" t="s">
        <v>144</v>
      </c>
      <c r="J1" s="44" t="s">
        <v>115</v>
      </c>
      <c r="K1" s="45" t="s">
        <v>116</v>
      </c>
      <c r="L1" s="45" t="s">
        <v>169</v>
      </c>
      <c r="M1" s="55" t="s">
        <v>170</v>
      </c>
      <c r="N1" s="58" t="s">
        <v>114</v>
      </c>
      <c r="O1" s="59" t="s">
        <v>279</v>
      </c>
      <c r="P1" s="59" t="s">
        <v>280</v>
      </c>
      <c r="Q1" s="59" t="s">
        <v>281</v>
      </c>
      <c r="R1" s="60" t="s">
        <v>282</v>
      </c>
      <c r="S1" s="74" t="s">
        <v>110</v>
      </c>
      <c r="T1" s="75" t="s">
        <v>111</v>
      </c>
      <c r="U1" s="75" t="s">
        <v>118</v>
      </c>
      <c r="V1" s="75" t="s">
        <v>119</v>
      </c>
      <c r="W1" s="76" t="s">
        <v>312</v>
      </c>
      <c r="X1" s="81" t="s">
        <v>108</v>
      </c>
      <c r="Y1" s="82" t="s">
        <v>109</v>
      </c>
      <c r="Z1" s="83" t="s">
        <v>120</v>
      </c>
      <c r="AA1" s="82" t="s">
        <v>313</v>
      </c>
      <c r="AB1" s="83" t="s">
        <v>314</v>
      </c>
      <c r="AC1" s="82" t="s">
        <v>315</v>
      </c>
      <c r="AD1" s="83" t="s">
        <v>316</v>
      </c>
      <c r="AE1" s="84" t="s">
        <v>317</v>
      </c>
      <c r="AF1" s="105" t="s">
        <v>121</v>
      </c>
      <c r="AG1" s="106" t="s">
        <v>122</v>
      </c>
      <c r="AH1" s="107" t="s">
        <v>318</v>
      </c>
      <c r="AI1" s="106" t="s">
        <v>319</v>
      </c>
      <c r="AJ1" s="108" t="s">
        <v>320</v>
      </c>
      <c r="AK1" s="56" t="s">
        <v>0</v>
      </c>
    </row>
    <row r="2" spans="1:37" x14ac:dyDescent="0.3">
      <c r="A2" s="29" t="s">
        <v>1</v>
      </c>
      <c r="B2" s="33">
        <f>INDEX(Population!$A:$J,MATCH('2022'!$A2,Population!$A:$A,0),MATCH('2022'!$A$1,Population!$3:$3,0))</f>
        <v>976290</v>
      </c>
      <c r="C2" s="14">
        <f>INDEX(Income!$A:$J,MATCH('2022'!$A2,Income!$A:$A,0),MATCH('2022'!$A$1,Income!$3:$3,0))</f>
        <v>32726</v>
      </c>
      <c r="D2" s="34">
        <f>INDEX(Livable_wage!$A:$J,MATCH('2022'!$A2,Livable_wage!$A:$A,0),MATCH('2022'!$A$1,Livable_wage!$3:$3,0))</f>
        <v>15172</v>
      </c>
      <c r="E2" s="41">
        <f>INDEX(AVA_1!$A:$J,MATCH('2022'!$A2,AVA_1!$A:$A,0),MATCH('2022'!$A$1,AVA_1!$3:$3,0))</f>
        <v>0.35499999999999998</v>
      </c>
      <c r="F2" s="15">
        <f>INDEX(AVA_2!$A:$J,MATCH('2022'!$A2,AVA_2!$A:$A,0),MATCH('2022'!$A$1,AVA_2!$3:$3,0))</f>
        <v>8.3507092453547257E-3</v>
      </c>
      <c r="G2" s="15">
        <f>INDEX(AVA_3!$A:$J,MATCH('2022'!$A2,AVA_3!$A:$A,0),MATCH('2022'!$A$1,AVA_3!$3:$3,0))</f>
        <v>1.5477518837554796E-3</v>
      </c>
      <c r="H2" s="87">
        <f>INDEX(AVA_4!$A:$J,MATCH('2022'!$A2,AVA_4!$A:$A,0),MATCH('2022'!$A$1,AVA_4!$3:$3,0))/(B2/1000)</f>
        <v>0.5100943367237194</v>
      </c>
      <c r="I2" s="89">
        <f>INDEX(AVA_5!$A:$J,MATCH('2022'!$A2,AVA_5!$A:$A,0),MATCH('2022'!$A$1,AVA_5!$3:$3,0))/(B2/1000)</f>
        <v>9.3539327204775429</v>
      </c>
      <c r="J2" s="93">
        <f>INDEX(IRA_1!$A:$J,MATCH('2022'!$A2,IRA_1!$A:$A,0),MATCH('2022'!$A$1,IRA_1!$3:$3,0))/(B2/1000)</f>
        <v>0.1812985895584304</v>
      </c>
      <c r="K2" s="88">
        <f>INDEX(IRA_2!$A:$J,MATCH('2022'!$A2,IRA_2!$A:$A,0),MATCH('2022'!$A$1,IRA_2!$3:$3,0))/(B2/1000)</f>
        <v>0.23251288039414519</v>
      </c>
      <c r="L2" s="15">
        <f>INDEX(IRA_3!$A:$J,MATCH('2022'!$A2,IRA_3!$A:$A,0),MATCH('2022'!$A$1,IRA_3!$3:$3,0))</f>
        <v>0.33096842852075203</v>
      </c>
      <c r="M2" s="96">
        <f>INDEX(IRA_4!$A:$J,MATCH('2022'!$A2,IRA_4!$A:$A,0),MATCH('2022'!$A$1,IRA_4!$3:$3,0))/(B2/1000)</f>
        <v>7.4957236067152184</v>
      </c>
      <c r="N2" s="61">
        <f>INDEX(INV_1!$A:$J,MATCH('2022'!$A2,INV_1!$A:$A,0),MATCH('2022'!$A$1,INV_1!$3:$3,0))</f>
        <v>7.5739149151677454E-2</v>
      </c>
      <c r="O2" s="80">
        <f>INDEX(INV_2!$A:$J,MATCH('2022'!$A2,INV_2!$A:$A,0),MATCH('2022'!$A$1,INV_2!$3:$3,0))/B2*10^6/C2</f>
        <v>0.33329874573243823</v>
      </c>
      <c r="P2" s="87">
        <f>INDEX(INV_3!$A:$J,MATCH('2022'!$A2,INV_3!$A:$A,0),MATCH('2022'!$A$1,INV_3!$3:$3,0))/B2*10^6/C2</f>
        <v>4.990286946676262</v>
      </c>
      <c r="Q2" s="87">
        <f>INDEX(INV_4!$A:$J,MATCH('2022'!$A2,INV_4!$A:$A,0),MATCH('2022'!$A$1,INV_4!$3:$3,0))/B2*10^3/C2</f>
        <v>0.25713330767917708</v>
      </c>
      <c r="R2" s="34">
        <f>INDEX(INV_5!$A:$J,MATCH('2022'!$A2,INV_5!$A:$A,0),MATCH('2022'!$A$1,INV_5!$3:$3,0))</f>
        <v>7.7200000000000005E-2</v>
      </c>
      <c r="S2" s="77">
        <f>INDEX(LUJ_1!$A:$J,MATCH('2022'!$A2,LUJ_1!$A:$A,0),MATCH('2022'!$A$1,LUJ_1!$3:$3,0))</f>
        <v>0.76215542318880736</v>
      </c>
      <c r="T2" s="73">
        <f>INDEX(LUJ_2!$A:$J,MATCH('2022'!$A2,LUJ_2!$A:$A,0),MATCH('2022'!$A$1,LUJ_2!$3:$3,0))</f>
        <v>0.34200000000000003</v>
      </c>
      <c r="U2" s="73">
        <f>INDEX(LUJ_3!$A:$J,MATCH('2022'!$A2,LUJ_3!$A:$A,0),MATCH('2022'!$A$1,LUJ_3!$3:$3,0))</f>
        <v>0.40810711665443872</v>
      </c>
      <c r="V2" s="14">
        <f>INDEX(LUJ_4!$A:$J,MATCH('2022'!$A2,LUJ_4!$A:$A,0),MATCH('2022'!$A$1,LUJ_4!$3:$3,0))</f>
        <v>65</v>
      </c>
      <c r="W2" s="34">
        <f>INDEX(LUJ_5!$A:$J,MATCH('2022'!$A2,LUJ_5!$A:$A,0),MATCH('2022'!$A$1,LUJ_5!$3:$3,0))</f>
        <v>56.3</v>
      </c>
      <c r="X2" s="98">
        <f>1/INDEX(GUL_1!$A:$J,MATCH('2022'!$A2,GUL_1!$A:$A,0),MATCH('2022'!$A$1,GUL_1!$3:$3,0))</f>
        <v>1.4419610670511897E-2</v>
      </c>
      <c r="Y2" s="57" t="e">
        <f>INDEX(GUL_2!$A:$J,MATCH('2022'!$A2,GUL_2!$A:$A,0),MATCH('2022'!$A$1,GUL_2!$3:$3,0))</f>
        <v>#N/A</v>
      </c>
      <c r="Z2" s="100">
        <f>INDEX(GUL_3!$A:$J,MATCH('2022'!$A2,GUL_3!$A:$A,0),MATCH('2022'!$A$1,GUL_3!$3:$3,0))/(B2/1000)</f>
        <v>0.81123436683772243</v>
      </c>
      <c r="AA2" s="101">
        <f>INDEX(GUL_4!$A:$J,MATCH('2022'!$A2,GUL_4!$A:$A,0),MATCH('2022'!$A$1,GUL_4!$3:$3,0))/B2/C2*10^6</f>
        <v>0.45969513026247366</v>
      </c>
      <c r="AB2" s="73">
        <f>INDEX(GUL_5!$A:$J,MATCH('2022'!$A2,GUL_5!$A:$A,0),MATCH('2022'!$A$1,GUL_5!$3:$3,0))</f>
        <v>3.184695049561543E-2</v>
      </c>
      <c r="AC2" s="49" t="e">
        <f>INDEX(GUL_6!$A:$J,MATCH('2022'!$A2,GUL_6!$A:$A,0),MATCH('2022'!$A$1,GUL_6!$3:$3,0))</f>
        <v>#N/A</v>
      </c>
      <c r="AD2" s="49" t="e">
        <f>INDEX(GUL_7!$A:$J,MATCH('2022'!$A2,GUL_7!$A:$A,0),MATCH('2022'!$A$1,GUL_7!$3:$3,0))</f>
        <v>#N/A</v>
      </c>
      <c r="AE2" s="103">
        <f>INDEX(GUL_8!$A:$J,MATCH('2022'!$A2,GUL_8!$A:$A,0),MATCH('2022'!$A$1,GUL_8!$3:$3,0))/(B2/1000)</f>
        <v>3.5532474981818929</v>
      </c>
      <c r="AF2" s="41">
        <f>INDEX(DES_1!$A:$J,MATCH('2022'!$A2,DES_1!$A:$A,0),MATCH('2022'!$A$1,DES_1!$3:$3,0))/(B2/1000)</f>
        <v>0.34825717768286063</v>
      </c>
      <c r="AG2" s="100">
        <f>INDEX(DES_2!$A:$J,MATCH('2022'!$A2,DES_2!$A:$A,0),MATCH('2022'!$A$1,DES_2!$3:$3,0))/(B2/1000)</f>
        <v>0.85937580022329429</v>
      </c>
      <c r="AH2" s="57">
        <f>1/INDEX(DES_3!$A:$J,MATCH('2022'!$A2,DES_3!$A:$A,0),MATCH('2022'!$A$1,DES_3!$3:$3,0))</f>
        <v>7.1428571428571426E-3</v>
      </c>
      <c r="AI2" s="73" t="e">
        <f>INDEX(DES_4!$A:$J,MATCH('2022'!$A2,DES_4!$A:$A,0),MATCH('2022'!$A$1,DES_4!$3:$3,0))</f>
        <v>#N/A</v>
      </c>
      <c r="AJ2" s="109" t="e">
        <f>INDEX(DES_5!$A:$J,MATCH('2022'!$A2,DES_5!$A:$A,0),MATCH('2022'!$A$1,DES_5!$3:$3,0))</f>
        <v>#N/A</v>
      </c>
      <c r="AK2" s="57">
        <v>10</v>
      </c>
    </row>
    <row r="3" spans="1:37" x14ac:dyDescent="0.3">
      <c r="A3" s="29" t="s">
        <v>2</v>
      </c>
      <c r="B3" s="33">
        <f>INDEX(Population!$A:$J,MATCH('2022'!$A3,Population!$A:$A,0),MATCH('2022'!$A$1,Population!$3:$3,0))</f>
        <v>468770</v>
      </c>
      <c r="C3" s="14">
        <f>INDEX(Income!$A:$J,MATCH('2022'!$A3,Income!$A:$A,0),MATCH('2022'!$A$1,Income!$3:$3,0))</f>
        <v>22190</v>
      </c>
      <c r="D3" s="34">
        <f>INDEX(Livable_wage!$A:$J,MATCH('2022'!$A3,Livable_wage!$A:$A,0),MATCH('2022'!$A$1,Livable_wage!$3:$3,0))</f>
        <v>12667</v>
      </c>
      <c r="E3" s="41">
        <f>INDEX(AVA_1!$A:$J,MATCH('2022'!$A3,AVA_1!$A:$A,0),MATCH('2022'!$A$1,AVA_1!$3:$3,0))</f>
        <v>0.31900000000000001</v>
      </c>
      <c r="F3" s="15">
        <f>INDEX(AVA_2!$A:$J,MATCH('2022'!$A3,AVA_2!$A:$A,0),MATCH('2022'!$A$1,AVA_2!$3:$3,0))</f>
        <v>5.5812372043897536E-3</v>
      </c>
      <c r="G3" s="15">
        <f>INDEX(AVA_3!$A:$J,MATCH('2022'!$A3,AVA_3!$A:$A,0),MATCH('2022'!$A$1,AVA_3!$3:$3,0))</f>
        <v>1.1254903845701365E-2</v>
      </c>
      <c r="H3" s="87">
        <f>INDEX(AVA_4!$A:$J,MATCH('2022'!$A3,AVA_4!$A:$A,0),MATCH('2022'!$A$1,AVA_4!$3:$3,0))/(B3/1000)</f>
        <v>0.82983126053288392</v>
      </c>
      <c r="I3" s="89">
        <f>INDEX(AVA_5!$A:$J,MATCH('2022'!$A3,AVA_5!$A:$A,0),MATCH('2022'!$A$1,AVA_5!$3:$3,0))/(B3/1000)</f>
        <v>2.0863109840646801</v>
      </c>
      <c r="J3" s="93">
        <f>INDEX(IRA_1!$A:$J,MATCH('2022'!$A3,IRA_1!$A:$A,0),MATCH('2022'!$A$1,IRA_1!$3:$3,0))/(B3/1000)</f>
        <v>2.9865392409923846E-2</v>
      </c>
      <c r="K3" s="88">
        <f>INDEX(IRA_2!$A:$J,MATCH('2022'!$A3,IRA_2!$A:$A,0),MATCH('2022'!$A$1,IRA_2!$3:$3,0))/(B3/1000)</f>
        <v>2.7732150094929284E-2</v>
      </c>
      <c r="L3" s="15">
        <f>INDEX(IRA_3!$A:$J,MATCH('2022'!$A3,IRA_3!$A:$A,0),MATCH('2022'!$A$1,IRA_3!$3:$3,0))</f>
        <v>0.45454545454545459</v>
      </c>
      <c r="M3" s="96">
        <f>INDEX(IRA_4!$A:$J,MATCH('2022'!$A3,IRA_4!$A:$A,0),MATCH('2022'!$A$1,IRA_4!$3:$3,0))/(B3/1000)</f>
        <v>2.8265460673677922</v>
      </c>
      <c r="N3" s="61">
        <f>INDEX(INV_1!$A:$J,MATCH('2022'!$A3,INV_1!$A:$A,0),MATCH('2022'!$A$1,INV_1!$3:$3,0))</f>
        <v>0.11870693910383004</v>
      </c>
      <c r="O3" s="80">
        <f>INDEX(INV_2!$A:$J,MATCH('2022'!$A3,INV_2!$A:$A,0),MATCH('2022'!$A$1,INV_2!$3:$3,0))/B3*10^6/C3</f>
        <v>0.20307854909706125</v>
      </c>
      <c r="P3" s="87">
        <f>INDEX(INV_3!$A:$J,MATCH('2022'!$A3,INV_3!$A:$A,0),MATCH('2022'!$A$1,INV_3!$3:$3,0))/B3*10^6/C3</f>
        <v>5.2045728909047098</v>
      </c>
      <c r="Q3" s="87">
        <f>INDEX(INV_4!$A:$J,MATCH('2022'!$A3,INV_4!$A:$A,0),MATCH('2022'!$A$1,INV_4!$3:$3,0))/B3*10^3/C3</f>
        <v>0.25650421880632779</v>
      </c>
      <c r="R3" s="34">
        <f>INDEX(INV_5!$A:$J,MATCH('2022'!$A3,INV_5!$A:$A,0),MATCH('2022'!$A$1,INV_5!$3:$3,0))</f>
        <v>0.34749999999999998</v>
      </c>
      <c r="S3" s="77">
        <f>INDEX(LUJ_1!$A:$J,MATCH('2022'!$A3,LUJ_1!$A:$A,0),MATCH('2022'!$A$1,LUJ_1!$3:$3,0))</f>
        <v>1.5167870803229919</v>
      </c>
      <c r="T3" s="73">
        <f>INDEX(LUJ_2!$A:$J,MATCH('2022'!$A3,LUJ_2!$A:$A,0),MATCH('2022'!$A$1,LUJ_2!$3:$3,0))</f>
        <v>0.24299999999999999</v>
      </c>
      <c r="U3" s="73">
        <f>INDEX(LUJ_3!$A:$J,MATCH('2022'!$A3,LUJ_3!$A:$A,0),MATCH('2022'!$A$1,LUJ_3!$3:$3,0))</f>
        <v>0.21709479427142533</v>
      </c>
      <c r="V3" s="14">
        <f>INDEX(LUJ_4!$A:$J,MATCH('2022'!$A3,LUJ_4!$A:$A,0),MATCH('2022'!$A$1,LUJ_4!$3:$3,0))</f>
        <v>50</v>
      </c>
      <c r="W3" s="34">
        <f>INDEX(LUJ_5!$A:$J,MATCH('2022'!$A3,LUJ_5!$A:$A,0),MATCH('2022'!$A$1,LUJ_5!$3:$3,0))</f>
        <v>12.4</v>
      </c>
      <c r="X3" s="98">
        <f>1/INDEX(GUL_1!$A:$J,MATCH('2022'!$A3,GUL_1!$A:$A,0),MATCH('2022'!$A$1,GUL_1!$3:$3,0))</f>
        <v>1.3276686139139671E-2</v>
      </c>
      <c r="Y3" s="57" t="e">
        <f>INDEX(GUL_2!$A:$J,MATCH('2022'!$A3,GUL_2!$A:$A,0),MATCH('2022'!$A$1,GUL_2!$3:$3,0))</f>
        <v>#N/A</v>
      </c>
      <c r="Z3" s="57">
        <f>INDEX(GUL_3!$A:$J,MATCH('2022'!$A3,GUL_3!$A:$A,0),MATCH('2022'!$A$1,GUL_3!$3:$3,0))/(B3/1000)</f>
        <v>0.37545064743904261</v>
      </c>
      <c r="AA3" s="101">
        <f>INDEX(GUL_4!$A:$J,MATCH('2022'!$A3,GUL_4!$A:$A,0),MATCH('2022'!$A$1,GUL_4!$3:$3,0))/B3/C3*10^6</f>
        <v>0.13720333932118459</v>
      </c>
      <c r="AB3" s="73">
        <f>INDEX(GUL_5!$A:$J,MATCH('2022'!$A3,GUL_5!$A:$A,0),MATCH('2022'!$A$1,GUL_5!$3:$3,0))</f>
        <v>1.1382516921639895E-2</v>
      </c>
      <c r="AC3" s="49" t="e">
        <f>INDEX(GUL_6!$A:$J,MATCH('2022'!$A3,GUL_6!$A:$A,0),MATCH('2022'!$A$1,GUL_6!$3:$3,0))</f>
        <v>#N/A</v>
      </c>
      <c r="AD3" s="49" t="e">
        <f>INDEX(GUL_7!$A:$J,MATCH('2022'!$A3,GUL_7!$A:$A,0),MATCH('2022'!$A$1,GUL_7!$3:$3,0))</f>
        <v>#N/A</v>
      </c>
      <c r="AE3" s="103">
        <f>INDEX(GUL_8!$A:$J,MATCH('2022'!$A3,GUL_8!$A:$A,0),MATCH('2022'!$A$1,GUL_8!$3:$3,0))/(B3/1000)</f>
        <v>0.96635876869253579</v>
      </c>
      <c r="AF3" s="41">
        <f>INDEX(DES_1!$A:$J,MATCH('2022'!$A3,DES_1!$A:$A,0),MATCH('2022'!$A$1,DES_1!$3:$3,0))/(B3/1000)</f>
        <v>4.4798088614885767E-2</v>
      </c>
      <c r="AG3" s="100">
        <f>INDEX(DES_2!$A:$J,MATCH('2022'!$A3,DES_2!$A:$A,0),MATCH('2022'!$A$1,DES_2!$3:$3,0))/(B3/1000)</f>
        <v>0.85543016831281871</v>
      </c>
      <c r="AH3" s="57">
        <f>1/INDEX(DES_3!$A:$J,MATCH('2022'!$A3,DES_3!$A:$A,0),MATCH('2022'!$A$1,DES_3!$3:$3,0))</f>
        <v>9.7943192948090115E-3</v>
      </c>
      <c r="AI3" s="80" t="e">
        <f>INDEX(DES_4!$A:$J,MATCH('2022'!$A3,DES_4!$A:$A,0),MATCH('2022'!$A$1,DES_4!$3:$3,0))</f>
        <v>#N/A</v>
      </c>
      <c r="AJ3" s="110" t="e">
        <f>INDEX(DES_5!$A:$J,MATCH('2022'!$A3,DES_5!$A:$A,0),MATCH('2022'!$A$1,DES_5!$3:$3,0))</f>
        <v>#N/A</v>
      </c>
      <c r="AK3" s="57">
        <v>13</v>
      </c>
    </row>
    <row r="4" spans="1:37" x14ac:dyDescent="0.3">
      <c r="A4" s="29" t="s">
        <v>3</v>
      </c>
      <c r="B4" s="33">
        <f>INDEX(Population!$A:$J,MATCH('2022'!$A4,Population!$A:$A,0),MATCH('2022'!$A$1,Population!$3:$3,0))</f>
        <v>463272</v>
      </c>
      <c r="C4" s="14">
        <f>INDEX(Income!$A:$J,MATCH('2022'!$A4,Income!$A:$A,0),MATCH('2022'!$A$1,Income!$3:$3,0))</f>
        <v>73617</v>
      </c>
      <c r="D4" s="34">
        <f>INDEX(Livable_wage!$A:$J,MATCH('2022'!$A4,Livable_wage!$A:$A,0),MATCH('2022'!$A$1,Livable_wage!$3:$3,0))</f>
        <v>18930</v>
      </c>
      <c r="E4" s="41">
        <f>INDEX(AVA_1!$A:$J,MATCH('2022'!$A4,AVA_1!$A:$A,0),MATCH('2022'!$A$1,AVA_1!$3:$3,0))</f>
        <v>0.39300000000000002</v>
      </c>
      <c r="F4" s="15">
        <f>INDEX(AVA_2!$A:$J,MATCH('2022'!$A4,AVA_2!$A:$A,0),MATCH('2022'!$A$1,AVA_2!$3:$3,0))</f>
        <v>9.3963618846630275E-3</v>
      </c>
      <c r="G4" s="15">
        <f>INDEX(AVA_3!$A:$J,MATCH('2022'!$A4,AVA_3!$A:$A,0),MATCH('2022'!$A$1,AVA_3!$3:$3,0))</f>
        <v>1.9843581215700349E-2</v>
      </c>
      <c r="H4" s="87">
        <f>INDEX(AVA_4!$A:$J,MATCH('2022'!$A4,AVA_4!$A:$A,0),MATCH('2022'!$A$1,AVA_4!$3:$3,0))/(B4/1000)</f>
        <v>0.88716779775164489</v>
      </c>
      <c r="I4" s="89">
        <f>INDEX(AVA_5!$A:$J,MATCH('2022'!$A4,AVA_5!$A:$A,0),MATCH('2022'!$A$1,AVA_5!$3:$3,0))/(B4/1000)</f>
        <v>4.925831908684315</v>
      </c>
      <c r="J4" s="93">
        <f>INDEX(IRA_1!$A:$J,MATCH('2022'!$A4,IRA_1!$A:$A,0),MATCH('2022'!$A$1,IRA_1!$3:$3,0))/(B4/1000)</f>
        <v>7.339101003298279E-2</v>
      </c>
      <c r="K4" s="88">
        <f>INDEX(IRA_2!$A:$J,MATCH('2022'!$A4,IRA_2!$A:$A,0),MATCH('2022'!$A$1,IRA_2!$3:$3,0))/(B4/1000)</f>
        <v>0.22664870745479979</v>
      </c>
      <c r="L4" s="15">
        <f>INDEX(IRA_3!$A:$J,MATCH('2022'!$A4,IRA_3!$A:$A,0),MATCH('2022'!$A$1,IRA_3!$3:$3,0))</f>
        <v>0.37594486438417074</v>
      </c>
      <c r="M4" s="96">
        <f>INDEX(IRA_4!$A:$J,MATCH('2022'!$A4,IRA_4!$A:$A,0),MATCH('2022'!$A$1,IRA_4!$3:$3,0))/(B4/1000)</f>
        <v>5.7633528467077655</v>
      </c>
      <c r="N4" s="61">
        <f>INDEX(INV_1!$A:$J,MATCH('2022'!$A4,INV_1!$A:$A,0),MATCH('2022'!$A$1,INV_1!$3:$3,0))</f>
        <v>7.1943515101365652E-2</v>
      </c>
      <c r="O4" s="80">
        <f>INDEX(INV_2!$A:$J,MATCH('2022'!$A4,INV_2!$A:$A,0),MATCH('2022'!$A$1,INV_2!$3:$3,0))/B4*10^6/C4</f>
        <v>0.23443130313082278</v>
      </c>
      <c r="P4" s="87">
        <f>INDEX(INV_3!$A:$J,MATCH('2022'!$A4,INV_3!$A:$A,0),MATCH('2022'!$A$1,INV_3!$3:$3,0))/B4*10^6/C4</f>
        <v>4.0060173740025835</v>
      </c>
      <c r="Q4" s="87">
        <f>INDEX(INV_4!$A:$J,MATCH('2022'!$A4,INV_4!$A:$A,0),MATCH('2022'!$A$1,INV_4!$3:$3,0))/B4*10^3/C4</f>
        <v>0.17935210479278499</v>
      </c>
      <c r="R4" s="34">
        <f>INDEX(INV_5!$A:$J,MATCH('2022'!$A4,INV_5!$A:$A,0),MATCH('2022'!$A$1,INV_5!$3:$3,0))</f>
        <v>0.1416</v>
      </c>
      <c r="S4" s="77">
        <f>INDEX(LUJ_1!$A:$J,MATCH('2022'!$A4,LUJ_1!$A:$A,0),MATCH('2022'!$A$1,LUJ_1!$3:$3,0))</f>
        <v>0.54218682737838997</v>
      </c>
      <c r="T4" s="73">
        <f>INDEX(LUJ_2!$A:$J,MATCH('2022'!$A4,LUJ_2!$A:$A,0),MATCH('2022'!$A$1,LUJ_2!$3:$3,0))</f>
        <v>0.32600000000000001</v>
      </c>
      <c r="U4" s="73">
        <f>INDEX(LUJ_3!$A:$J,MATCH('2022'!$A4,LUJ_3!$A:$A,0),MATCH('2022'!$A$1,LUJ_3!$3:$3,0))</f>
        <v>0.58787676767676766</v>
      </c>
      <c r="V4" s="14">
        <f>INDEX(LUJ_4!$A:$J,MATCH('2022'!$A4,LUJ_4!$A:$A,0),MATCH('2022'!$A$1,LUJ_4!$3:$3,0))</f>
        <v>13</v>
      </c>
      <c r="W4" s="34">
        <f>INDEX(LUJ_5!$A:$J,MATCH('2022'!$A4,LUJ_5!$A:$A,0),MATCH('2022'!$A$1,LUJ_5!$3:$3,0))</f>
        <v>35.6</v>
      </c>
      <c r="X4" s="98">
        <f>1/INDEX(GUL_1!$A:$J,MATCH('2022'!$A4,GUL_1!$A:$A,0),MATCH('2022'!$A$1,GUL_1!$3:$3,0))</f>
        <v>1.4210601108426885E-2</v>
      </c>
      <c r="Y4" s="57" t="e">
        <f>INDEX(GUL_2!$A:$J,MATCH('2022'!$A4,GUL_2!$A:$A,0),MATCH('2022'!$A$1,GUL_2!$3:$3,0))</f>
        <v>#N/A</v>
      </c>
      <c r="Z4" s="57">
        <f>INDEX(GUL_3!$A:$J,MATCH('2022'!$A4,GUL_3!$A:$A,0),MATCH('2022'!$A$1,GUL_3!$3:$3,0))/(B4/1000)</f>
        <v>1.4440760503548671</v>
      </c>
      <c r="AA4" s="101">
        <f>INDEX(GUL_4!$A:$J,MATCH('2022'!$A4,GUL_4!$A:$A,0),MATCH('2022'!$A$1,GUL_4!$3:$3,0))/B4/C4*10^6</f>
        <v>0.32867879504119502</v>
      </c>
      <c r="AB4" s="73">
        <f>INDEX(GUL_5!$A:$J,MATCH('2022'!$A4,GUL_5!$A:$A,0),MATCH('2022'!$A$1,GUL_5!$3:$3,0))</f>
        <v>2.4734877600761936E-2</v>
      </c>
      <c r="AC4" s="49" t="e">
        <f>INDEX(GUL_6!$A:$J,MATCH('2022'!$A4,GUL_6!$A:$A,0),MATCH('2022'!$A$1,GUL_6!$3:$3,0))</f>
        <v>#N/A</v>
      </c>
      <c r="AD4" s="49" t="e">
        <f>INDEX(GUL_7!$A:$J,MATCH('2022'!$A4,GUL_7!$A:$A,0),MATCH('2022'!$A$1,GUL_7!$3:$3,0))</f>
        <v>#N/A</v>
      </c>
      <c r="AE4" s="103">
        <f>INDEX(GUL_8!$A:$J,MATCH('2022'!$A4,GUL_8!$A:$A,0),MATCH('2022'!$A$1,GUL_8!$3:$3,0))/(B4/1000)</f>
        <v>3.449377471550191</v>
      </c>
      <c r="AF4" s="41">
        <f>INDEX(DES_1!$A:$J,MATCH('2022'!$A4,DES_1!$A:$A,0),MATCH('2022'!$A$1,DES_1!$3:$3,0))/(B4/1000)</f>
        <v>6.4756773558514221E-3</v>
      </c>
      <c r="AG4" s="100">
        <f>INDEX(DES_2!$A:$J,MATCH('2022'!$A4,DES_2!$A:$A,0),MATCH('2022'!$A$1,DES_2!$3:$3,0))/(B4/1000)</f>
        <v>0.69073891795748499</v>
      </c>
      <c r="AH4" s="57">
        <f>1/INDEX(DES_3!$A:$J,MATCH('2022'!$A4,DES_3!$A:$A,0),MATCH('2022'!$A$1,DES_3!$3:$3,0))</f>
        <v>9.5785440613026813E-3</v>
      </c>
      <c r="AI4" s="80" t="e">
        <f>INDEX(DES_4!$A:$J,MATCH('2022'!$A4,DES_4!$A:$A,0),MATCH('2022'!$A$1,DES_4!$3:$3,0))</f>
        <v>#N/A</v>
      </c>
      <c r="AJ4" s="110" t="e">
        <f>INDEX(DES_5!$A:$J,MATCH('2022'!$A4,DES_5!$A:$A,0),MATCH('2022'!$A$1,DES_5!$3:$3,0))</f>
        <v>#N/A</v>
      </c>
      <c r="AK4" s="57">
        <v>11</v>
      </c>
    </row>
    <row r="5" spans="1:37" x14ac:dyDescent="0.3">
      <c r="A5" s="29" t="s">
        <v>4</v>
      </c>
      <c r="B5" s="33">
        <f>INDEX(Population!$A:$J,MATCH('2022'!$A5,Population!$A:$A,0),MATCH('2022'!$A$1,Population!$3:$3,0))</f>
        <v>2293949</v>
      </c>
      <c r="C5" s="14">
        <f>INDEX(Income!$A:$J,MATCH('2022'!$A5,Income!$A:$A,0),MATCH('2022'!$A$1,Income!$3:$3,0))</f>
        <v>39304</v>
      </c>
      <c r="D5" s="34">
        <f>INDEX(Livable_wage!$A:$J,MATCH('2022'!$A5,Livable_wage!$A:$A,0),MATCH('2022'!$A$1,Livable_wage!$3:$3,0))</f>
        <v>11832</v>
      </c>
      <c r="E5" s="41">
        <f>INDEX(AVA_1!$A:$J,MATCH('2022'!$A5,AVA_1!$A:$A,0),MATCH('2022'!$A$1,AVA_1!$3:$3,0))</f>
        <v>0.38500000000000001</v>
      </c>
      <c r="F5" s="15">
        <f>INDEX(AVA_2!$A:$J,MATCH('2022'!$A5,AVA_2!$A:$A,0),MATCH('2022'!$A$1,AVA_2!$3:$3,0))</f>
        <v>1.2618923832261054E-2</v>
      </c>
      <c r="G5" s="15">
        <f>INDEX(AVA_3!$A:$J,MATCH('2022'!$A5,AVA_3!$A:$A,0),MATCH('2022'!$A$1,AVA_3!$3:$3,0))</f>
        <v>2.1999593708587079E-2</v>
      </c>
      <c r="H5" s="87">
        <f>INDEX(AVA_4!$A:$J,MATCH('2022'!$A5,AVA_4!$A:$A,0),MATCH('2022'!$A$1,AVA_4!$3:$3,0))/(B5/1000)</f>
        <v>0.62381508917591455</v>
      </c>
      <c r="I5" s="89">
        <f>INDEX(AVA_5!$A:$J,MATCH('2022'!$A5,AVA_5!$A:$A,0),MATCH('2022'!$A$1,AVA_5!$3:$3,0))/(B5/1000)</f>
        <v>6.449140761193906</v>
      </c>
      <c r="J5" s="93">
        <f>INDEX(IRA_1!$A:$J,MATCH('2022'!$A5,IRA_1!$A:$A,0),MATCH('2022'!$A$1,IRA_1!$3:$3,0))/(B5/1000)</f>
        <v>3.7925864960380549E-2</v>
      </c>
      <c r="K5" s="88">
        <f>INDEX(IRA_2!$A:$J,MATCH('2022'!$A5,IRA_2!$A:$A,0),MATCH('2022'!$A$1,IRA_2!$3:$3,0))/(B5/1000)</f>
        <v>7.9775095261490112E-2</v>
      </c>
      <c r="L5" s="15">
        <f>INDEX(IRA_3!$A:$J,MATCH('2022'!$A5,IRA_3!$A:$A,0),MATCH('2022'!$A$1,IRA_3!$3:$3,0))</f>
        <v>0.39691126428758394</v>
      </c>
      <c r="M5" s="96">
        <f>INDEX(IRA_4!$A:$J,MATCH('2022'!$A5,IRA_4!$A:$A,0),MATCH('2022'!$A$1,IRA_4!$3:$3,0))/(B5/1000)</f>
        <v>5.1927919931960123</v>
      </c>
      <c r="N5" s="61">
        <f>INDEX(INV_1!$A:$J,MATCH('2022'!$A5,INV_1!$A:$A,0),MATCH('2022'!$A$1,INV_1!$3:$3,0))</f>
        <v>6.2601907501279849E-2</v>
      </c>
      <c r="O5" s="80">
        <f>INDEX(INV_2!$A:$J,MATCH('2022'!$A5,INV_2!$A:$A,0),MATCH('2022'!$A$1,INV_2!$3:$3,0))/B5*10^6/C5</f>
        <v>0.58549582093304342</v>
      </c>
      <c r="P5" s="87">
        <f>INDEX(INV_3!$A:$J,MATCH('2022'!$A5,INV_3!$A:$A,0),MATCH('2022'!$A$1,INV_3!$3:$3,0))/B5*10^6/C5</f>
        <v>3.6644296167861392</v>
      </c>
      <c r="Q5" s="87">
        <f>INDEX(INV_4!$A:$J,MATCH('2022'!$A5,INV_4!$A:$A,0),MATCH('2022'!$A$1,INV_4!$3:$3,0))/B5*10^3/C5</f>
        <v>0.20217027311755881</v>
      </c>
      <c r="R5" s="34">
        <f>INDEX(INV_5!$A:$J,MATCH('2022'!$A5,INV_5!$A:$A,0),MATCH('2022'!$A$1,INV_5!$3:$3,0))</f>
        <v>9.35E-2</v>
      </c>
      <c r="S5" s="77">
        <f>INDEX(LUJ_1!$A:$J,MATCH('2022'!$A5,LUJ_1!$A:$A,0),MATCH('2022'!$A$1,LUJ_1!$3:$3,0))</f>
        <v>0.59844961240310079</v>
      </c>
      <c r="T5" s="73">
        <f>INDEX(LUJ_2!$A:$J,MATCH('2022'!$A5,LUJ_2!$A:$A,0),MATCH('2022'!$A$1,LUJ_2!$3:$3,0))</f>
        <v>0.16300000000000001</v>
      </c>
      <c r="U5" s="73">
        <f>INDEX(LUJ_3!$A:$J,MATCH('2022'!$A5,LUJ_3!$A:$A,0),MATCH('2022'!$A$1,LUJ_3!$3:$3,0))</f>
        <v>0.2745861167586407</v>
      </c>
      <c r="V5" s="14">
        <f>INDEX(LUJ_4!$A:$J,MATCH('2022'!$A5,LUJ_4!$A:$A,0),MATCH('2022'!$A$1,LUJ_4!$3:$3,0))</f>
        <v>29</v>
      </c>
      <c r="W5" s="34">
        <f>INDEX(LUJ_5!$A:$J,MATCH('2022'!$A5,LUJ_5!$A:$A,0),MATCH('2022'!$A$1,LUJ_5!$3:$3,0))</f>
        <v>25.3</v>
      </c>
      <c r="X5" s="98">
        <f>1/INDEX(GUL_1!$A:$J,MATCH('2022'!$A5,GUL_1!$A:$A,0),MATCH('2022'!$A$1,GUL_1!$3:$3,0))</f>
        <v>1.3802622498274672E-2</v>
      </c>
      <c r="Y5" s="57" t="e">
        <f>INDEX(GUL_2!$A:$J,MATCH('2022'!$A5,GUL_2!$A:$A,0),MATCH('2022'!$A$1,GUL_2!$3:$3,0))</f>
        <v>#N/A</v>
      </c>
      <c r="Z5" s="57">
        <f>INDEX(GUL_3!$A:$J,MATCH('2022'!$A5,GUL_3!$A:$A,0),MATCH('2022'!$A$1,GUL_3!$3:$3,0))/(B5/1000)</f>
        <v>0.55755380786582442</v>
      </c>
      <c r="AA5" s="101">
        <f>INDEX(GUL_4!$A:$J,MATCH('2022'!$A5,GUL_4!$A:$A,0),MATCH('2022'!$A$1,GUL_4!$3:$3,0))/B5/C5*10^6</f>
        <v>0.26169078407427249</v>
      </c>
      <c r="AB5" s="73">
        <f>INDEX(GUL_5!$A:$J,MATCH('2022'!$A5,GUL_5!$A:$A,0),MATCH('2022'!$A$1,GUL_5!$3:$3,0))</f>
        <v>4.3034700985673781E-2</v>
      </c>
      <c r="AC5" s="49" t="e">
        <f>INDEX(GUL_6!$A:$J,MATCH('2022'!$A5,GUL_6!$A:$A,0),MATCH('2022'!$A$1,GUL_6!$3:$3,0))</f>
        <v>#N/A</v>
      </c>
      <c r="AD5" s="49" t="e">
        <f>INDEX(GUL_7!$A:$J,MATCH('2022'!$A5,GUL_7!$A:$A,0),MATCH('2022'!$A$1,GUL_7!$3:$3,0))</f>
        <v>#N/A</v>
      </c>
      <c r="AE5" s="103">
        <f>INDEX(GUL_8!$A:$J,MATCH('2022'!$A5,GUL_8!$A:$A,0),MATCH('2022'!$A$1,GUL_8!$3:$3,0))/(B5/1000)</f>
        <v>1.2554769090332871</v>
      </c>
      <c r="AF5" s="41">
        <f>INDEX(DES_1!$A:$J,MATCH('2022'!$A5,DES_1!$A:$A,0),MATCH('2022'!$A$1,DES_1!$3:$3,0))/(B5/1000)</f>
        <v>8.5878108013735258E-2</v>
      </c>
      <c r="AG5" s="100">
        <f>INDEX(DES_2!$A:$J,MATCH('2022'!$A5,DES_2!$A:$A,0),MATCH('2022'!$A$1,DES_2!$3:$3,0))/(B5/1000)</f>
        <v>0.53270582737454053</v>
      </c>
      <c r="AH5" s="57">
        <f>1/INDEX(DES_3!$A:$J,MATCH('2022'!$A5,DES_3!$A:$A,0),MATCH('2022'!$A$1,DES_3!$3:$3,0))</f>
        <v>8.130081300813009E-3</v>
      </c>
      <c r="AI5" s="80" t="e">
        <f>INDEX(DES_4!$A:$J,MATCH('2022'!$A5,DES_4!$A:$A,0),MATCH('2022'!$A$1,DES_4!$3:$3,0))</f>
        <v>#N/A</v>
      </c>
      <c r="AJ5" s="110" t="e">
        <f>INDEX(DES_5!$A:$J,MATCH('2022'!$A5,DES_5!$A:$A,0),MATCH('2022'!$A$1,DES_5!$3:$3,0))</f>
        <v>#N/A</v>
      </c>
      <c r="AK5" s="57">
        <v>16</v>
      </c>
    </row>
    <row r="6" spans="1:37" x14ac:dyDescent="0.3">
      <c r="A6" s="29" t="s">
        <v>5</v>
      </c>
      <c r="B6" s="33">
        <f>INDEX(Population!$A:$J,MATCH('2022'!$A6,Population!$A:$A,0),MATCH('2022'!$A$1,Population!$3:$3,0))</f>
        <v>1057416</v>
      </c>
      <c r="C6" s="14">
        <f>INDEX(Income!$A:$J,MATCH('2022'!$A6,Income!$A:$A,0),MATCH('2022'!$A$1,Income!$3:$3,0))</f>
        <v>34748</v>
      </c>
      <c r="D6" s="34">
        <f>INDEX(Livable_wage!$A:$J,MATCH('2022'!$A6,Livable_wage!$A:$A,0),MATCH('2022'!$A$1,Livable_wage!$3:$3,0))</f>
        <v>14004</v>
      </c>
      <c r="E6" s="41">
        <f>INDEX(AVA_1!$A:$J,MATCH('2022'!$A6,AVA_1!$A:$A,0),MATCH('2022'!$A$1,AVA_1!$3:$3,0))</f>
        <v>0.34</v>
      </c>
      <c r="F6" s="15">
        <f>INDEX(AVA_2!$A:$J,MATCH('2022'!$A6,AVA_2!$A:$A,0),MATCH('2022'!$A$1,AVA_2!$3:$3,0))</f>
        <v>1.1317638197362529E-2</v>
      </c>
      <c r="G6" s="15">
        <f>INDEX(AVA_3!$A:$J,MATCH('2022'!$A6,AVA_3!$A:$A,0),MATCH('2022'!$A$1,AVA_3!$3:$3,0))</f>
        <v>4.2639889579505125E-2</v>
      </c>
      <c r="H6" s="87">
        <f>INDEX(AVA_4!$A:$J,MATCH('2022'!$A6,AVA_4!$A:$A,0),MATCH('2022'!$A$1,AVA_4!$3:$3,0))/(B6/1000)</f>
        <v>0.76507259205459355</v>
      </c>
      <c r="I6" s="89">
        <f>INDEX(AVA_5!$A:$J,MATCH('2022'!$A6,AVA_5!$A:$A,0),MATCH('2022'!$A$1,AVA_5!$3:$3,0))/(B6/1000)</f>
        <v>5.5276258350545104</v>
      </c>
      <c r="J6" s="93">
        <f>INDEX(IRA_1!$A:$J,MATCH('2022'!$A6,IRA_1!$A:$A,0),MATCH('2022'!$A$1,IRA_1!$3:$3,0))/(B6/1000)</f>
        <v>4.2556571869538574E-2</v>
      </c>
      <c r="K6" s="88">
        <f>INDEX(IRA_2!$A:$J,MATCH('2022'!$A6,IRA_2!$A:$A,0),MATCH('2022'!$A$1,IRA_2!$3:$3,0))/(B6/1000)</f>
        <v>0.15887786831294401</v>
      </c>
      <c r="L6" s="15">
        <f>INDEX(IRA_3!$A:$J,MATCH('2022'!$A6,IRA_3!$A:$A,0),MATCH('2022'!$A$1,IRA_3!$3:$3,0))</f>
        <v>0.31754494730316185</v>
      </c>
      <c r="M6" s="96">
        <f>INDEX(IRA_4!$A:$J,MATCH('2022'!$A6,IRA_4!$A:$A,0),MATCH('2022'!$A$1,IRA_4!$3:$3,0))/(B6/1000)</f>
        <v>4.9904673279012233</v>
      </c>
      <c r="N6" s="61">
        <f>INDEX(INV_1!$A:$J,MATCH('2022'!$A6,INV_1!$A:$A,0),MATCH('2022'!$A$1,INV_1!$3:$3,0))</f>
        <v>8.0209420050688165E-2</v>
      </c>
      <c r="O6" s="80">
        <f>INDEX(INV_2!$A:$J,MATCH('2022'!$A6,INV_2!$A:$A,0),MATCH('2022'!$A$1,INV_2!$3:$3,0))/B6*10^6/C6</f>
        <v>0.52412077933044943</v>
      </c>
      <c r="P6" s="87">
        <f>INDEX(INV_3!$A:$J,MATCH('2022'!$A6,INV_3!$A:$A,0),MATCH('2022'!$A$1,INV_3!$3:$3,0))/B6*10^6/C6</f>
        <v>4.9942722336823069</v>
      </c>
      <c r="Q6" s="87">
        <f>INDEX(INV_4!$A:$J,MATCH('2022'!$A6,INV_4!$A:$A,0),MATCH('2022'!$A$1,INV_4!$3:$3,0))/B6*10^3/C6</f>
        <v>0.24770530215831621</v>
      </c>
      <c r="R6" s="34">
        <f>INDEX(INV_5!$A:$J,MATCH('2022'!$A6,INV_5!$A:$A,0),MATCH('2022'!$A$1,INV_5!$3:$3,0))</f>
        <v>0.1137</v>
      </c>
      <c r="S6" s="77">
        <f>INDEX(LUJ_1!$A:$J,MATCH('2022'!$A6,LUJ_1!$A:$A,0),MATCH('2022'!$A$1,LUJ_1!$3:$3,0))</f>
        <v>0.66340351347726967</v>
      </c>
      <c r="T6" s="73">
        <f>INDEX(LUJ_2!$A:$J,MATCH('2022'!$A6,LUJ_2!$A:$A,0),MATCH('2022'!$A$1,LUJ_2!$3:$3,0))</f>
        <v>0.254</v>
      </c>
      <c r="U6" s="73">
        <f>INDEX(LUJ_3!$A:$J,MATCH('2022'!$A6,LUJ_3!$A:$A,0),MATCH('2022'!$A$1,LUJ_3!$3:$3,0))</f>
        <v>0.58623853211009169</v>
      </c>
      <c r="V6" s="14">
        <f>INDEX(LUJ_4!$A:$J,MATCH('2022'!$A6,LUJ_4!$A:$A,0),MATCH('2022'!$A$1,LUJ_4!$3:$3,0))</f>
        <v>20</v>
      </c>
      <c r="W6" s="34">
        <f>INDEX(LUJ_5!$A:$J,MATCH('2022'!$A6,LUJ_5!$A:$A,0),MATCH('2022'!$A$1,LUJ_5!$3:$3,0))</f>
        <v>85.9</v>
      </c>
      <c r="X6" s="98">
        <f>1/INDEX(GUL_1!$A:$J,MATCH('2022'!$A6,GUL_1!$A:$A,0),MATCH('2022'!$A$1,GUL_1!$3:$3,0))</f>
        <v>1.3825521913452233E-2</v>
      </c>
      <c r="Y6" s="57" t="e">
        <f>INDEX(GUL_2!$A:$J,MATCH('2022'!$A6,GUL_2!$A:$A,0),MATCH('2022'!$A$1,GUL_2!$3:$3,0))</f>
        <v>#N/A</v>
      </c>
      <c r="Z6" s="57">
        <f>INDEX(GUL_3!$A:$J,MATCH('2022'!$A6,GUL_3!$A:$A,0),MATCH('2022'!$A$1,GUL_3!$3:$3,0))/(B6/1000)</f>
        <v>0.94664729869795805</v>
      </c>
      <c r="AA6" s="101">
        <f>INDEX(GUL_4!$A:$J,MATCH('2022'!$A6,GUL_4!$A:$A,0),MATCH('2022'!$A$1,GUL_4!$3:$3,0))/B6/C6*10^6</f>
        <v>0.26196190070101616</v>
      </c>
      <c r="AB6" s="73">
        <f>INDEX(GUL_5!$A:$J,MATCH('2022'!$A6,GUL_5!$A:$A,0),MATCH('2022'!$A$1,GUL_5!$3:$3,0))</f>
        <v>2.8205425255064944E-2</v>
      </c>
      <c r="AC6" s="49" t="e">
        <f>INDEX(GUL_6!$A:$J,MATCH('2022'!$A6,GUL_6!$A:$A,0),MATCH('2022'!$A$1,GUL_6!$3:$3,0))</f>
        <v>#N/A</v>
      </c>
      <c r="AD6" s="49" t="e">
        <f>INDEX(GUL_7!$A:$J,MATCH('2022'!$A6,GUL_7!$A:$A,0),MATCH('2022'!$A$1,GUL_7!$3:$3,0))</f>
        <v>#N/A</v>
      </c>
      <c r="AE6" s="103">
        <f>INDEX(GUL_8!$A:$J,MATCH('2022'!$A6,GUL_8!$A:$A,0),MATCH('2022'!$A$1,GUL_8!$3:$3,0))/(B6/1000)</f>
        <v>2.2299643659638213</v>
      </c>
      <c r="AF6" s="41">
        <f>INDEX(DES_1!$A:$J,MATCH('2022'!$A6,DES_1!$A:$A,0),MATCH('2022'!$A$1,DES_1!$3:$3,0))/(B6/1000)</f>
        <v>4.2556571869538574E-2</v>
      </c>
      <c r="AG6" s="100">
        <f>INDEX(DES_2!$A:$J,MATCH('2022'!$A6,DES_2!$A:$A,0),MATCH('2022'!$A$1,DES_2!$3:$3,0))/(B6/1000)</f>
        <v>0.49271053208954663</v>
      </c>
      <c r="AH6" s="57">
        <f>1/INDEX(DES_3!$A:$J,MATCH('2022'!$A6,DES_3!$A:$A,0),MATCH('2022'!$A$1,DES_3!$3:$3,0))</f>
        <v>9.3545369504209538E-3</v>
      </c>
      <c r="AI6" s="80" t="e">
        <f>INDEX(DES_4!$A:$J,MATCH('2022'!$A6,DES_4!$A:$A,0),MATCH('2022'!$A$1,DES_4!$3:$3,0))</f>
        <v>#N/A</v>
      </c>
      <c r="AJ6" s="110" t="e">
        <f>INDEX(DES_5!$A:$J,MATCH('2022'!$A6,DES_5!$A:$A,0),MATCH('2022'!$A$1,DES_5!$3:$3,0))</f>
        <v>#N/A</v>
      </c>
      <c r="AK6" s="57">
        <v>18</v>
      </c>
    </row>
    <row r="7" spans="1:37" x14ac:dyDescent="0.3">
      <c r="A7" s="29" t="s">
        <v>6</v>
      </c>
      <c r="B7" s="33">
        <f>INDEX(Population!$A:$J,MATCH('2022'!$A7,Population!$A:$A,0),MATCH('2022'!$A$1,Population!$3:$3,0))</f>
        <v>2795879</v>
      </c>
      <c r="C7" s="14">
        <f>INDEX(Income!$A:$J,MATCH('2022'!$A7,Income!$A:$A,0),MATCH('2022'!$A$1,Income!$3:$3,0))</f>
        <v>39843</v>
      </c>
      <c r="D7" s="34">
        <f>INDEX(Livable_wage!$A:$J,MATCH('2022'!$A7,Livable_wage!$A:$A,0),MATCH('2022'!$A$1,Livable_wage!$3:$3,0))</f>
        <v>14053</v>
      </c>
      <c r="E7" s="41">
        <f>INDEX(AVA_1!$A:$J,MATCH('2022'!$A7,AVA_1!$A:$A,0),MATCH('2022'!$A$1,AVA_1!$3:$3,0))</f>
        <v>0.36799999999999999</v>
      </c>
      <c r="F7" s="15">
        <f>INDEX(AVA_2!$A:$J,MATCH('2022'!$A7,AVA_2!$A:$A,0),MATCH('2022'!$A$1,AVA_2!$3:$3,0))</f>
        <v>1.7593845458098202E-2</v>
      </c>
      <c r="G7" s="15">
        <f>INDEX(AVA_3!$A:$J,MATCH('2022'!$A7,AVA_3!$A:$A,0),MATCH('2022'!$A$1,AVA_3!$3:$3,0))</f>
        <v>8.6205403048932039E-2</v>
      </c>
      <c r="H7" s="87">
        <f>INDEX(AVA_4!$A:$J,MATCH('2022'!$A7,AVA_4!$A:$A,0),MATCH('2022'!$A$1,AVA_4!$3:$3,0))/(B7/1000)</f>
        <v>0.80189450258755834</v>
      </c>
      <c r="I7" s="89">
        <f>INDEX(AVA_5!$A:$J,MATCH('2022'!$A7,AVA_5!$A:$A,0),MATCH('2022'!$A$1,AVA_5!$3:$3,0))/(B7/1000)</f>
        <v>7.5436025664916118</v>
      </c>
      <c r="J7" s="93">
        <f>INDEX(IRA_1!$A:$J,MATCH('2022'!$A7,IRA_1!$A:$A,0),MATCH('2022'!$A$1,IRA_1!$3:$3,0))/(B7/1000)</f>
        <v>4.5781666517041693E-2</v>
      </c>
      <c r="K7" s="88">
        <f>INDEX(IRA_2!$A:$J,MATCH('2022'!$A7,IRA_2!$A:$A,0),MATCH('2022'!$A$1,IRA_2!$3:$3,0))/(B7/1000)</f>
        <v>0.13054928342750169</v>
      </c>
      <c r="L7" s="15">
        <f>INDEX(IRA_3!$A:$J,MATCH('2022'!$A7,IRA_3!$A:$A,0),MATCH('2022'!$A$1,IRA_3!$3:$3,0))</f>
        <v>0.37000918662992011</v>
      </c>
      <c r="M7" s="96">
        <f>INDEX(IRA_4!$A:$J,MATCH('2022'!$A7,IRA_4!$A:$A,0),MATCH('2022'!$A$1,IRA_4!$3:$3,0))/(B7/1000)</f>
        <v>6.5947059940719894</v>
      </c>
      <c r="N7" s="61">
        <f>INDEX(INV_1!$A:$J,MATCH('2022'!$A7,INV_1!$A:$A,0),MATCH('2022'!$A$1,INV_1!$3:$3,0))</f>
        <v>6.2725120770778534E-2</v>
      </c>
      <c r="O7" s="80">
        <f>INDEX(INV_2!$A:$J,MATCH('2022'!$A7,INV_2!$A:$A,0),MATCH('2022'!$A$1,INV_2!$3:$3,0))/B7*10^6/C7</f>
        <v>0.66817937829749263</v>
      </c>
      <c r="P7" s="87">
        <f>INDEX(INV_3!$A:$J,MATCH('2022'!$A7,INV_3!$A:$A,0),MATCH('2022'!$A$1,INV_3!$3:$3,0))/B7*10^6/C7</f>
        <v>5.3681989371155572</v>
      </c>
      <c r="Q7" s="87">
        <f>INDEX(INV_4!$A:$J,MATCH('2022'!$A7,INV_4!$A:$A,0),MATCH('2022'!$A$1,INV_4!$3:$3,0))/B7*10^3/C7</f>
        <v>0.26032586101231414</v>
      </c>
      <c r="R7" s="34">
        <f>INDEX(INV_5!$A:$J,MATCH('2022'!$A7,INV_5!$A:$A,0),MATCH('2022'!$A$1,INV_5!$3:$3,0))</f>
        <v>0.1608</v>
      </c>
      <c r="S7" s="77">
        <f>INDEX(LUJ_1!$A:$J,MATCH('2022'!$A7,LUJ_1!$A:$A,0),MATCH('2022'!$A$1,LUJ_1!$3:$3,0))</f>
        <v>0.61644990900616981</v>
      </c>
      <c r="T7" s="73">
        <f>INDEX(LUJ_2!$A:$J,MATCH('2022'!$A7,LUJ_2!$A:$A,0),MATCH('2022'!$A$1,LUJ_2!$3:$3,0))</f>
        <v>0.223</v>
      </c>
      <c r="U7" s="73">
        <f>INDEX(LUJ_3!$A:$J,MATCH('2022'!$A7,LUJ_3!$A:$A,0),MATCH('2022'!$A$1,LUJ_3!$3:$3,0))</f>
        <v>0.55427122765979486</v>
      </c>
      <c r="V7" s="14">
        <f>INDEX(LUJ_4!$A:$J,MATCH('2022'!$A7,LUJ_4!$A:$A,0),MATCH('2022'!$A$1,LUJ_4!$3:$3,0))</f>
        <v>94</v>
      </c>
      <c r="W7" s="34">
        <f>INDEX(LUJ_5!$A:$J,MATCH('2022'!$A7,LUJ_5!$A:$A,0),MATCH('2022'!$A$1,LUJ_5!$3:$3,0))</f>
        <v>52.2</v>
      </c>
      <c r="X7" s="98">
        <f>1/INDEX(GUL_1!$A:$J,MATCH('2022'!$A7,GUL_1!$A:$A,0),MATCH('2022'!$A$1,GUL_1!$3:$3,0))</f>
        <v>1.3987970345502868E-2</v>
      </c>
      <c r="Y7" s="57" t="e">
        <f>INDEX(GUL_2!$A:$J,MATCH('2022'!$A7,GUL_2!$A:$A,0),MATCH('2022'!$A$1,GUL_2!$3:$3,0))</f>
        <v>#N/A</v>
      </c>
      <c r="Z7" s="57">
        <f>INDEX(GUL_3!$A:$J,MATCH('2022'!$A7,GUL_3!$A:$A,0),MATCH('2022'!$A$1,GUL_3!$3:$3,0))/(B7/1000)</f>
        <v>0.59766534960919271</v>
      </c>
      <c r="AA7" s="101">
        <f>INDEX(GUL_4!$A:$J,MATCH('2022'!$A7,GUL_4!$A:$A,0),MATCH('2022'!$A$1,GUL_4!$3:$3,0))/B7/C7*10^6</f>
        <v>0.40574810595855609</v>
      </c>
      <c r="AB7" s="73">
        <f>INDEX(GUL_5!$A:$J,MATCH('2022'!$A7,GUL_5!$A:$A,0),MATCH('2022'!$A$1,GUL_5!$3:$3,0))</f>
        <v>4.2220000023731871E-2</v>
      </c>
      <c r="AC7" s="49" t="e">
        <f>INDEX(GUL_6!$A:$J,MATCH('2022'!$A7,GUL_6!$A:$A,0),MATCH('2022'!$A$1,GUL_6!$3:$3,0))</f>
        <v>#N/A</v>
      </c>
      <c r="AD7" s="49" t="e">
        <f>INDEX(GUL_7!$A:$J,MATCH('2022'!$A7,GUL_7!$A:$A,0),MATCH('2022'!$A$1,GUL_7!$3:$3,0))</f>
        <v>#N/A</v>
      </c>
      <c r="AE7" s="103">
        <f>INDEX(GUL_8!$A:$J,MATCH('2022'!$A7,GUL_8!$A:$A,0),MATCH('2022'!$A$1,GUL_8!$3:$3,0))/(B7/1000)</f>
        <v>1.3806033809045384</v>
      </c>
      <c r="AF7" s="41">
        <f>INDEX(DES_1!$A:$J,MATCH('2022'!$A7,DES_1!$A:$A,0),MATCH('2022'!$A$1,DES_1!$3:$3,0))/(B7/1000)</f>
        <v>0.13698733028146068</v>
      </c>
      <c r="AG7" s="100">
        <f>INDEX(DES_2!$A:$J,MATCH('2022'!$A7,DES_2!$A:$A,0),MATCH('2022'!$A$1,DES_2!$3:$3,0))/(B7/1000)</f>
        <v>0.41167732938371082</v>
      </c>
      <c r="AH7" s="57">
        <f>1/INDEX(DES_3!$A:$J,MATCH('2022'!$A7,DES_3!$A:$A,0),MATCH('2022'!$A$1,DES_3!$3:$3,0))</f>
        <v>7.6863950807071488E-3</v>
      </c>
      <c r="AI7" s="80" t="e">
        <f>INDEX(DES_4!$A:$J,MATCH('2022'!$A7,DES_4!$A:$A,0),MATCH('2022'!$A$1,DES_4!$3:$3,0))</f>
        <v>#N/A</v>
      </c>
      <c r="AJ7" s="110" t="e">
        <f>INDEX(DES_5!$A:$J,MATCH('2022'!$A7,DES_5!$A:$A,0),MATCH('2022'!$A$1,DES_5!$3:$3,0))</f>
        <v>#N/A</v>
      </c>
      <c r="AK7" s="57">
        <v>19</v>
      </c>
    </row>
    <row r="8" spans="1:37" x14ac:dyDescent="0.3">
      <c r="A8" s="29" t="s">
        <v>7</v>
      </c>
      <c r="B8" s="33">
        <f>INDEX(Population!$A:$J,MATCH('2022'!$A8,Population!$A:$A,0),MATCH('2022'!$A$1,Population!$3:$3,0))</f>
        <v>41405</v>
      </c>
      <c r="C8" s="14">
        <f>INDEX(Income!$A:$J,MATCH('2022'!$A8,Income!$A:$A,0),MATCH('2022'!$A$1,Income!$3:$3,0))</f>
        <v>103915</v>
      </c>
      <c r="D8" s="34">
        <f>INDEX(Livable_wage!$A:$J,MATCH('2022'!$A8,Livable_wage!$A:$A,0),MATCH('2022'!$A$1,Livable_wage!$3:$3,0))</f>
        <v>25419</v>
      </c>
      <c r="E8" s="41">
        <f>INDEX(AVA_1!$A:$J,MATCH('2022'!$A8,AVA_1!$A:$A,0),MATCH('2022'!$A$1,AVA_1!$3:$3,0))</f>
        <v>0.41899999999999998</v>
      </c>
      <c r="F8" s="15">
        <f>INDEX(AVA_2!$A:$J,MATCH('2022'!$A8,AVA_2!$A:$A,0),MATCH('2022'!$A$1,AVA_2!$3:$3,0))</f>
        <v>5.3108568710862154E-3</v>
      </c>
      <c r="G8" s="15">
        <f>INDEX(AVA_3!$A:$J,MATCH('2022'!$A8,AVA_3!$A:$A,0),MATCH('2022'!$A$1,AVA_3!$3:$3,0))</f>
        <v>2.3407448530864249E-3</v>
      </c>
      <c r="H8" s="87">
        <f>INDEX(AVA_4!$A:$J,MATCH('2022'!$A8,AVA_4!$A:$A,0),MATCH('2022'!$A$1,AVA_4!$3:$3,0))/(B8/1000)</f>
        <v>1.6423137302258182</v>
      </c>
      <c r="I8" s="89">
        <f>INDEX(AVA_5!$A:$J,MATCH('2022'!$A8,AVA_5!$A:$A,0),MATCH('2022'!$A$1,AVA_5!$3:$3,0))/(B8/1000)</f>
        <v>4.0816326530612246</v>
      </c>
      <c r="J8" s="93">
        <f>INDEX(IRA_1!$A:$J,MATCH('2022'!$A8,IRA_1!$A:$A,0),MATCH('2022'!$A$1,IRA_1!$3:$3,0))/(B8/1000)</f>
        <v>7.2455017509962569E-2</v>
      </c>
      <c r="K8" s="88">
        <f>INDEX(IRA_2!$A:$J,MATCH('2022'!$A8,IRA_2!$A:$A,0),MATCH('2022'!$A$1,IRA_2!$3:$3,0))/(B8/1000)</f>
        <v>0.28982007003985027</v>
      </c>
      <c r="L8" s="15">
        <f>INDEX(IRA_3!$A:$J,MATCH('2022'!$A8,IRA_3!$A:$A,0),MATCH('2022'!$A$1,IRA_3!$3:$3,0))</f>
        <v>0.4461942257217848</v>
      </c>
      <c r="M8" s="96">
        <f>INDEX(IRA_4!$A:$J,MATCH('2022'!$A8,IRA_4!$A:$A,0),MATCH('2022'!$A$1,IRA_4!$3:$3,0))/(B8/1000)</f>
        <v>4.4197560681077164</v>
      </c>
      <c r="N8" s="61">
        <f>INDEX(INV_1!$A:$J,MATCH('2022'!$A8,INV_1!$A:$A,0),MATCH('2022'!$A$1,INV_1!$3:$3,0))</f>
        <v>8.6244259956897634E-2</v>
      </c>
      <c r="O8" s="80">
        <f>INDEX(INV_2!$A:$J,MATCH('2022'!$A8,INV_2!$A:$A,0),MATCH('2022'!$A$1,INV_2!$3:$3,0))/B8*10^6/C8</f>
        <v>6.5303929741638872E-2</v>
      </c>
      <c r="P8" s="87">
        <f>INDEX(INV_3!$A:$J,MATCH('2022'!$A8,INV_3!$A:$A,0),MATCH('2022'!$A$1,INV_3!$3:$3,0))/B8*10^6/C8</f>
        <v>2.6395664208267813</v>
      </c>
      <c r="Q8" s="87">
        <f>INDEX(INV_4!$A:$J,MATCH('2022'!$A8,INV_4!$A:$A,0),MATCH('2022'!$A$1,INV_4!$3:$3,0))/B8*10^3/C8</f>
        <v>4.6698408671132577E-2</v>
      </c>
      <c r="R8" s="34">
        <f>INDEX(INV_5!$A:$J,MATCH('2022'!$A8,INV_5!$A:$A,0),MATCH('2022'!$A$1,INV_5!$3:$3,0))</f>
        <v>3.7100000000000001E-2</v>
      </c>
      <c r="S8" s="77">
        <f>INDEX(LUJ_1!$A:$J,MATCH('2022'!$A8,LUJ_1!$A:$A,0),MATCH('2022'!$A$1,LUJ_1!$3:$3,0))</f>
        <v>0.63888888888888884</v>
      </c>
      <c r="T8" s="73">
        <f>INDEX(LUJ_2!$A:$J,MATCH('2022'!$A8,LUJ_2!$A:$A,0),MATCH('2022'!$A$1,LUJ_2!$3:$3,0))</f>
        <v>0.42899999999999999</v>
      </c>
      <c r="U8" s="73">
        <f>INDEX(LUJ_3!$A:$J,MATCH('2022'!$A8,LUJ_3!$A:$A,0),MATCH('2022'!$A$1,LUJ_3!$3:$3,0))</f>
        <v>0.50414937759336098</v>
      </c>
      <c r="V8" s="14">
        <f>INDEX(LUJ_4!$A:$J,MATCH('2022'!$A8,LUJ_4!$A:$A,0),MATCH('2022'!$A$1,LUJ_4!$3:$3,0))</f>
        <v>1</v>
      </c>
      <c r="W8" s="34">
        <f>INDEX(LUJ_5!$A:$J,MATCH('2022'!$A8,LUJ_5!$A:$A,0),MATCH('2022'!$A$1,LUJ_5!$3:$3,0))</f>
        <v>38.6</v>
      </c>
      <c r="X8" s="98">
        <f>1/INDEX(GUL_1!$A:$J,MATCH('2022'!$A8,GUL_1!$A:$A,0),MATCH('2022'!$A$1,GUL_1!$3:$3,0))</f>
        <v>1.4136273678258413E-2</v>
      </c>
      <c r="Y8" s="57" t="e">
        <f>INDEX(GUL_2!$A:$J,MATCH('2022'!$A8,GUL_2!$A:$A,0),MATCH('2022'!$A$1,GUL_2!$3:$3,0))</f>
        <v>#N/A</v>
      </c>
      <c r="Z8" s="57">
        <f>INDEX(GUL_3!$A:$J,MATCH('2022'!$A8,GUL_3!$A:$A,0),MATCH('2022'!$A$1,GUL_3!$3:$3,0))/(B8/1000)</f>
        <v>1.0868252626494384</v>
      </c>
      <c r="AA8" s="101">
        <f>INDEX(GUL_4!$A:$J,MATCH('2022'!$A8,GUL_4!$A:$A,0),MATCH('2022'!$A$1,GUL_4!$3:$3,0))/B8/C8*10^6</f>
        <v>0.45495508260141015</v>
      </c>
      <c r="AB8" s="73">
        <f>INDEX(GUL_5!$A:$J,MATCH('2022'!$A8,GUL_5!$A:$A,0),MATCH('2022'!$A$1,GUL_5!$3:$3,0))</f>
        <v>4.8916836768054299E-2</v>
      </c>
      <c r="AC8" s="49" t="e">
        <f>INDEX(GUL_6!$A:$J,MATCH('2022'!$A8,GUL_6!$A:$A,0),MATCH('2022'!$A$1,GUL_6!$3:$3,0))</f>
        <v>#N/A</v>
      </c>
      <c r="AD8" s="49" t="e">
        <f>INDEX(GUL_7!$A:$J,MATCH('2022'!$A8,GUL_7!$A:$A,0),MATCH('2022'!$A$1,GUL_7!$3:$3,0))</f>
        <v>#N/A</v>
      </c>
      <c r="AE8" s="103">
        <f>INDEX(GUL_8!$A:$J,MATCH('2022'!$A8,GUL_8!$A:$A,0),MATCH('2022'!$A$1,GUL_8!$3:$3,0))/(B8/1000)</f>
        <v>4.0091776355512616</v>
      </c>
      <c r="AF8" s="41">
        <f>INDEX(DES_1!$A:$J,MATCH('2022'!$A8,DES_1!$A:$A,0),MATCH('2022'!$A$1,DES_1!$3:$3,0))/(B8/1000)</f>
        <v>0.33812341504649196</v>
      </c>
      <c r="AG8" s="100">
        <f>INDEX(DES_2!$A:$J,MATCH('2022'!$A8,DES_2!$A:$A,0),MATCH('2022'!$A$1,DES_2!$3:$3,0))/(B8/1000)</f>
        <v>0.31397174254317112</v>
      </c>
      <c r="AH8" s="57">
        <f>1/INDEX(DES_3!$A:$J,MATCH('2022'!$A8,DES_3!$A:$A,0),MATCH('2022'!$A$1,DES_3!$3:$3,0))</f>
        <v>8.8183421516754845E-3</v>
      </c>
      <c r="AI8" s="80" t="e">
        <f>INDEX(DES_4!$A:$J,MATCH('2022'!$A8,DES_4!$A:$A,0),MATCH('2022'!$A$1,DES_4!$3:$3,0))</f>
        <v>#N/A</v>
      </c>
      <c r="AJ8" s="110" t="e">
        <f>INDEX(DES_5!$A:$J,MATCH('2022'!$A8,DES_5!$A:$A,0),MATCH('2022'!$A$1,DES_5!$3:$3,0))</f>
        <v>#N/A</v>
      </c>
      <c r="AK8" s="57">
        <v>3</v>
      </c>
    </row>
    <row r="9" spans="1:37" x14ac:dyDescent="0.3">
      <c r="A9" s="29" t="s">
        <v>8</v>
      </c>
      <c r="B9" s="33">
        <f>INDEX(Population!$A:$J,MATCH('2022'!$A9,Population!$A:$A,0),MATCH('2022'!$A$1,Population!$3:$3,0))</f>
        <v>135111</v>
      </c>
      <c r="C9" s="14">
        <f>INDEX(Income!$A:$J,MATCH('2022'!$A9,Income!$A:$A,0),MATCH('2022'!$A$1,Income!$3:$3,0))</f>
        <v>93707</v>
      </c>
      <c r="D9" s="34">
        <f>INDEX(Livable_wage!$A:$J,MATCH('2022'!$A9,Livable_wage!$A:$A,0),MATCH('2022'!$A$1,Livable_wage!$3:$3,0))</f>
        <v>24220</v>
      </c>
      <c r="E9" s="41">
        <f>INDEX(AVA_1!$A:$J,MATCH('2022'!$A9,AVA_1!$A:$A,0),MATCH('2022'!$A$1,AVA_1!$3:$3,0))</f>
        <v>0.39700000000000002</v>
      </c>
      <c r="F9" s="15">
        <f>INDEX(AVA_2!$A:$J,MATCH('2022'!$A9,AVA_2!$A:$A,0),MATCH('2022'!$A$1,AVA_2!$3:$3,0))</f>
        <v>9.7304289031954604E-3</v>
      </c>
      <c r="G9" s="15">
        <f>INDEX(AVA_3!$A:$J,MATCH('2022'!$A9,AVA_3!$A:$A,0),MATCH('2022'!$A$1,AVA_3!$3:$3,0))</f>
        <v>1.9276257413238119E-3</v>
      </c>
      <c r="H9" s="87">
        <f>INDEX(AVA_4!$A:$J,MATCH('2022'!$A9,AVA_4!$A:$A,0),MATCH('2022'!$A$1,AVA_4!$3:$3,0))/(B9/1000)</f>
        <v>0.96957316576740615</v>
      </c>
      <c r="I9" s="89">
        <f>INDEX(AVA_5!$A:$J,MATCH('2022'!$A9,AVA_5!$A:$A,0),MATCH('2022'!$A$1,AVA_5!$3:$3,0))/(B9/1000)</f>
        <v>4.4259904819000679</v>
      </c>
      <c r="J9" s="93">
        <f>INDEX(IRA_1!$A:$J,MATCH('2022'!$A9,IRA_1!$A:$A,0),MATCH('2022'!$A$1,IRA_1!$3:$3,0))/(B9/1000)</f>
        <v>0.10361850626521897</v>
      </c>
      <c r="K9" s="88">
        <f>INDEX(IRA_2!$A:$J,MATCH('2022'!$A9,IRA_2!$A:$A,0),MATCH('2022'!$A$1,IRA_2!$3:$3,0))/(B9/1000)</f>
        <v>0.29605287504348277</v>
      </c>
      <c r="L9" s="15">
        <f>INDEX(IRA_3!$A:$J,MATCH('2022'!$A9,IRA_3!$A:$A,0),MATCH('2022'!$A$1,IRA_3!$3:$3,0))</f>
        <v>0.44546211490424648</v>
      </c>
      <c r="M9" s="96">
        <f>INDEX(IRA_4!$A:$J,MATCH('2022'!$A9,IRA_4!$A:$A,0),MATCH('2022'!$A$1,IRA_4!$3:$3,0))/(B9/1000)</f>
        <v>5.4177676132957346</v>
      </c>
      <c r="N9" s="61">
        <f>INDEX(INV_1!$A:$J,MATCH('2022'!$A9,INV_1!$A:$A,0),MATCH('2022'!$A$1,INV_1!$3:$3,0))</f>
        <v>6.8460647645304726E-2</v>
      </c>
      <c r="O9" s="80">
        <f>INDEX(INV_2!$A:$J,MATCH('2022'!$A9,INV_2!$A:$A,0),MATCH('2022'!$A$1,INV_2!$3:$3,0))/B9*10^6/C9</f>
        <v>0.21458714242459115</v>
      </c>
      <c r="P9" s="87">
        <f>INDEX(INV_3!$A:$J,MATCH('2022'!$A9,INV_3!$A:$A,0),MATCH('2022'!$A$1,INV_3!$3:$3,0))/B9*10^6/C9</f>
        <v>3.5303326741381511</v>
      </c>
      <c r="Q9" s="87">
        <f>INDEX(INV_4!$A:$J,MATCH('2022'!$A9,INV_4!$A:$A,0),MATCH('2022'!$A$1,INV_4!$3:$3,0))/B9*10^3/C9</f>
        <v>0.16410002315203021</v>
      </c>
      <c r="R9" s="34">
        <f>INDEX(INV_5!$A:$J,MATCH('2022'!$A9,INV_5!$A:$A,0),MATCH('2022'!$A$1,INV_5!$3:$3,0))</f>
        <v>6.7699999999999996E-2</v>
      </c>
      <c r="S9" s="77">
        <f>INDEX(LUJ_1!$A:$J,MATCH('2022'!$A9,LUJ_1!$A:$A,0),MATCH('2022'!$A$1,LUJ_1!$3:$3,0))</f>
        <v>0.55430410297666932</v>
      </c>
      <c r="T9" s="73">
        <f>INDEX(LUJ_2!$A:$J,MATCH('2022'!$A9,LUJ_2!$A:$A,0),MATCH('2022'!$A$1,LUJ_2!$3:$3,0))</f>
        <v>0.315</v>
      </c>
      <c r="U9" s="73">
        <f>INDEX(LUJ_3!$A:$J,MATCH('2022'!$A9,LUJ_3!$A:$A,0),MATCH('2022'!$A$1,LUJ_3!$3:$3,0))</f>
        <v>0.69309462915601028</v>
      </c>
      <c r="V9" s="14">
        <f>INDEX(LUJ_4!$A:$J,MATCH('2022'!$A9,LUJ_4!$A:$A,0),MATCH('2022'!$A$1,LUJ_4!$3:$3,0))</f>
        <v>7</v>
      </c>
      <c r="W9" s="34">
        <f>INDEX(LUJ_5!$A:$J,MATCH('2022'!$A9,LUJ_5!$A:$A,0),MATCH('2022'!$A$1,LUJ_5!$3:$3,0))</f>
        <v>30.9</v>
      </c>
      <c r="X9" s="98">
        <f>1/INDEX(GUL_1!$A:$J,MATCH('2022'!$A9,GUL_1!$A:$A,0),MATCH('2022'!$A$1,GUL_1!$3:$3,0))</f>
        <v>1.4609203798392987E-2</v>
      </c>
      <c r="Y9" s="57" t="e">
        <f>INDEX(GUL_2!$A:$J,MATCH('2022'!$A9,GUL_2!$A:$A,0),MATCH('2022'!$A$1,GUL_2!$3:$3,0))</f>
        <v>#N/A</v>
      </c>
      <c r="Z9" s="57">
        <f>INDEX(GUL_3!$A:$J,MATCH('2022'!$A9,GUL_3!$A:$A,0),MATCH('2022'!$A$1,GUL_3!$3:$3,0))/(B9/1000)</f>
        <v>1.2064154658021924</v>
      </c>
      <c r="AA9" s="101">
        <f>INDEX(GUL_4!$A:$J,MATCH('2022'!$A9,GUL_4!$A:$A,0),MATCH('2022'!$A$1,GUL_4!$3:$3,0))/B9/C9*10^6</f>
        <v>0.31759250910313364</v>
      </c>
      <c r="AB9" s="73">
        <f>INDEX(GUL_5!$A:$J,MATCH('2022'!$A9,GUL_5!$A:$A,0),MATCH('2022'!$A$1,GUL_5!$3:$3,0))</f>
        <v>2.3632280107750613E-2</v>
      </c>
      <c r="AC9" s="49" t="e">
        <f>INDEX(GUL_6!$A:$J,MATCH('2022'!$A9,GUL_6!$A:$A,0),MATCH('2022'!$A$1,GUL_6!$3:$3,0))</f>
        <v>#N/A</v>
      </c>
      <c r="AD9" s="49" t="e">
        <f>INDEX(GUL_7!$A:$J,MATCH('2022'!$A9,GUL_7!$A:$A,0),MATCH('2022'!$A$1,GUL_7!$3:$3,0))</f>
        <v>#N/A</v>
      </c>
      <c r="AE9" s="103">
        <f>INDEX(GUL_8!$A:$J,MATCH('2022'!$A9,GUL_8!$A:$A,0),MATCH('2022'!$A$1,GUL_8!$3:$3,0))/(B9/1000)</f>
        <v>2.7236864504000415</v>
      </c>
      <c r="AF9" s="41">
        <f>INDEX(DES_1!$A:$J,MATCH('2022'!$A9,DES_1!$A:$A,0),MATCH('2022'!$A$1,DES_1!$3:$3,0))/(B9/1000)</f>
        <v>0.11842115001739312</v>
      </c>
      <c r="AG9" s="100">
        <f>INDEX(DES_2!$A:$J,MATCH('2022'!$A9,DES_2!$A:$A,0),MATCH('2022'!$A$1,DES_2!$3:$3,0))/(B9/1000)</f>
        <v>0.72532954385653281</v>
      </c>
      <c r="AH9" s="57">
        <f>1/INDEX(DES_3!$A:$J,MATCH('2022'!$A9,DES_3!$A:$A,0),MATCH('2022'!$A$1,DES_3!$3:$3,0))</f>
        <v>6.6401062416998674E-3</v>
      </c>
      <c r="AI9" s="80" t="e">
        <f>INDEX(DES_4!$A:$J,MATCH('2022'!$A9,DES_4!$A:$A,0),MATCH('2022'!$A$1,DES_4!$3:$3,0))</f>
        <v>#N/A</v>
      </c>
      <c r="AJ9" s="110" t="e">
        <f>INDEX(DES_5!$A:$J,MATCH('2022'!$A9,DES_5!$A:$A,0),MATCH('2022'!$A$1,DES_5!$3:$3,0))</f>
        <v>#N/A</v>
      </c>
      <c r="AK9" s="57">
        <v>7</v>
      </c>
    </row>
    <row r="10" spans="1:37" x14ac:dyDescent="0.3">
      <c r="A10" s="29" t="s">
        <v>9</v>
      </c>
      <c r="B10" s="33">
        <f>INDEX(Population!$A:$J,MATCH('2022'!$A10,Population!$A:$A,0),MATCH('2022'!$A$1,Population!$3:$3,0))</f>
        <v>290652</v>
      </c>
      <c r="C10" s="14">
        <f>INDEX(Income!$A:$J,MATCH('2022'!$A10,Income!$A:$A,0),MATCH('2022'!$A$1,Income!$3:$3,0))</f>
        <v>70653</v>
      </c>
      <c r="D10" s="34">
        <f>INDEX(Livable_wage!$A:$J,MATCH('2022'!$A10,Livable_wage!$A:$A,0),MATCH('2022'!$A$1,Livable_wage!$3:$3,0))</f>
        <v>25223</v>
      </c>
      <c r="E10" s="41">
        <f>INDEX(AVA_1!$A:$J,MATCH('2022'!$A10,AVA_1!$A:$A,0),MATCH('2022'!$A$1,AVA_1!$3:$3,0))</f>
        <v>0.36199999999999999</v>
      </c>
      <c r="F10" s="15">
        <f>INDEX(AVA_2!$A:$J,MATCH('2022'!$A10,AVA_2!$A:$A,0),MATCH('2022'!$A$1,AVA_2!$3:$3,0))</f>
        <v>1.0171740982112791E-2</v>
      </c>
      <c r="G10" s="15">
        <f>INDEX(AVA_3!$A:$J,MATCH('2022'!$A10,AVA_3!$A:$A,0),MATCH('2022'!$A$1,AVA_3!$3:$3,0))</f>
        <v>2.060530673444631E-2</v>
      </c>
      <c r="H10" s="87">
        <f>INDEX(AVA_4!$A:$J,MATCH('2022'!$A10,AVA_4!$A:$A,0),MATCH('2022'!$A$1,AVA_4!$3:$3,0))/(B10/1000)</f>
        <v>0.88421892847804251</v>
      </c>
      <c r="I10" s="89">
        <f>INDEX(AVA_5!$A:$J,MATCH('2022'!$A10,AVA_5!$A:$A,0),MATCH('2022'!$A$1,AVA_5!$3:$3,0))/(B10/1000)</f>
        <v>4.9887838377165821</v>
      </c>
      <c r="J10" s="93">
        <f>INDEX(IRA_1!$A:$J,MATCH('2022'!$A10,IRA_1!$A:$A,0),MATCH('2022'!$A$1,IRA_1!$3:$3,0))/(B10/1000)</f>
        <v>7.9132433287918205E-2</v>
      </c>
      <c r="K10" s="88">
        <f>INDEX(IRA_2!$A:$J,MATCH('2022'!$A10,IRA_2!$A:$A,0),MATCH('2022'!$A$1,IRA_2!$3:$3,0))/(B10/1000)</f>
        <v>0.22363513755281231</v>
      </c>
      <c r="L10" s="15">
        <f>INDEX(IRA_3!$A:$J,MATCH('2022'!$A10,IRA_3!$A:$A,0),MATCH('2022'!$A$1,IRA_3!$3:$3,0))</f>
        <v>0.44323756131744918</v>
      </c>
      <c r="M10" s="96">
        <f>INDEX(IRA_4!$A:$J,MATCH('2022'!$A10,IRA_4!$A:$A,0),MATCH('2022'!$A$1,IRA_4!$3:$3,0))/(B10/1000)</f>
        <v>3.8224405818642229</v>
      </c>
      <c r="N10" s="61">
        <f>INDEX(INV_1!$A:$J,MATCH('2022'!$A10,INV_1!$A:$A,0),MATCH('2022'!$A$1,INV_1!$3:$3,0))</f>
        <v>7.7622786486531384E-2</v>
      </c>
      <c r="O10" s="80">
        <f>INDEX(INV_2!$A:$J,MATCH('2022'!$A10,INV_2!$A:$A,0),MATCH('2022'!$A$1,INV_2!$3:$3,0))/B10*10^6/C10</f>
        <v>0.16152943940208209</v>
      </c>
      <c r="P10" s="87">
        <f>INDEX(INV_3!$A:$J,MATCH('2022'!$A10,INV_3!$A:$A,0),MATCH('2022'!$A$1,INV_3!$3:$3,0))/B10*10^6/C10</f>
        <v>3.9089017128135004</v>
      </c>
      <c r="Q10" s="87">
        <f>INDEX(INV_4!$A:$J,MATCH('2022'!$A10,INV_4!$A:$A,0),MATCH('2022'!$A$1,INV_4!$3:$3,0))/B10*10^3/C10</f>
        <v>0.23081542784477352</v>
      </c>
      <c r="R10" s="34">
        <f>INDEX(INV_5!$A:$J,MATCH('2022'!$A10,INV_5!$A:$A,0),MATCH('2022'!$A$1,INV_5!$3:$3,0))</f>
        <v>0.1648</v>
      </c>
      <c r="S10" s="77">
        <f>INDEX(LUJ_1!$A:$J,MATCH('2022'!$A10,LUJ_1!$A:$A,0),MATCH('2022'!$A$1,LUJ_1!$3:$3,0))</f>
        <v>0.58476190476190482</v>
      </c>
      <c r="T10" s="73">
        <f>INDEX(LUJ_2!$A:$J,MATCH('2022'!$A10,LUJ_2!$A:$A,0),MATCH('2022'!$A$1,LUJ_2!$3:$3,0))</f>
        <v>0.26300000000000001</v>
      </c>
      <c r="U10" s="73">
        <f>INDEX(LUJ_3!$A:$J,MATCH('2022'!$A10,LUJ_3!$A:$A,0),MATCH('2022'!$A$1,LUJ_3!$3:$3,0))</f>
        <v>0.47302924150115144</v>
      </c>
      <c r="V10" s="14">
        <f>INDEX(LUJ_4!$A:$J,MATCH('2022'!$A10,LUJ_4!$A:$A,0),MATCH('2022'!$A$1,LUJ_4!$3:$3,0))</f>
        <v>21</v>
      </c>
      <c r="W10" s="34">
        <f>INDEX(LUJ_5!$A:$J,MATCH('2022'!$A10,LUJ_5!$A:$A,0),MATCH('2022'!$A$1,LUJ_5!$3:$3,0))</f>
        <v>28.4</v>
      </c>
      <c r="X10" s="98">
        <f>1/INDEX(GUL_1!$A:$J,MATCH('2022'!$A10,GUL_1!$A:$A,0),MATCH('2022'!$A$1,GUL_1!$3:$3,0))</f>
        <v>1.4541224371092046E-2</v>
      </c>
      <c r="Y10" s="57" t="e">
        <f>INDEX(GUL_2!$A:$J,MATCH('2022'!$A10,GUL_2!$A:$A,0),MATCH('2022'!$A$1,GUL_2!$3:$3,0))</f>
        <v>#N/A</v>
      </c>
      <c r="Z10" s="57">
        <f>INDEX(GUL_3!$A:$J,MATCH('2022'!$A10,GUL_3!$A:$A,0),MATCH('2022'!$A$1,GUL_3!$3:$3,0))/(B10/1000)</f>
        <v>0.74659730536861957</v>
      </c>
      <c r="AA10" s="101">
        <f>INDEX(GUL_4!$A:$J,MATCH('2022'!$A10,GUL_4!$A:$A,0),MATCH('2022'!$A$1,GUL_4!$3:$3,0))/B10/C10*10^6</f>
        <v>0.41039255753497439</v>
      </c>
      <c r="AB10" s="73">
        <f>INDEX(GUL_5!$A:$J,MATCH('2022'!$A10,GUL_5!$A:$A,0),MATCH('2022'!$A$1,GUL_5!$3:$3,0))</f>
        <v>5.1023810388543062E-2</v>
      </c>
      <c r="AC10" s="49" t="e">
        <f>INDEX(GUL_6!$A:$J,MATCH('2022'!$A10,GUL_6!$A:$A,0),MATCH('2022'!$A$1,GUL_6!$3:$3,0))</f>
        <v>#N/A</v>
      </c>
      <c r="AD10" s="49" t="e">
        <f>INDEX(GUL_7!$A:$J,MATCH('2022'!$A10,GUL_7!$A:$A,0),MATCH('2022'!$A$1,GUL_7!$3:$3,0))</f>
        <v>#N/A</v>
      </c>
      <c r="AE10" s="103">
        <f>INDEX(GUL_8!$A:$J,MATCH('2022'!$A10,GUL_8!$A:$A,0),MATCH('2022'!$A$1,GUL_8!$3:$3,0))/(B10/1000)</f>
        <v>2.8143621925876996</v>
      </c>
      <c r="AF10" s="41">
        <f>INDEX(DES_1!$A:$J,MATCH('2022'!$A10,DES_1!$A:$A,0),MATCH('2022'!$A$1,DES_1!$3:$3,0))/(B10/1000)</f>
        <v>3.4405405777355742E-2</v>
      </c>
      <c r="AG10" s="100">
        <f>INDEX(DES_2!$A:$J,MATCH('2022'!$A10,DES_2!$A:$A,0),MATCH('2022'!$A$1,DES_2!$3:$3,0))/(B10/1000)</f>
        <v>0.58489189821504761</v>
      </c>
      <c r="AH10" s="57">
        <f>1/INDEX(DES_3!$A:$J,MATCH('2022'!$A10,DES_3!$A:$A,0),MATCH('2022'!$A$1,DES_3!$3:$3,0))</f>
        <v>8.1168831168831161E-3</v>
      </c>
      <c r="AI10" s="80" t="e">
        <f>INDEX(DES_4!$A:$J,MATCH('2022'!$A10,DES_4!$A:$A,0),MATCH('2022'!$A$1,DES_4!$3:$3,0))</f>
        <v>#N/A</v>
      </c>
      <c r="AJ10" s="110" t="e">
        <f>INDEX(DES_5!$A:$J,MATCH('2022'!$A10,DES_5!$A:$A,0),MATCH('2022'!$A$1,DES_5!$3:$3,0))</f>
        <v>#N/A</v>
      </c>
      <c r="AK10" s="57">
        <v>8</v>
      </c>
    </row>
    <row r="11" spans="1:37" x14ac:dyDescent="0.3">
      <c r="A11" s="29" t="s">
        <v>10</v>
      </c>
      <c r="B11" s="33">
        <f>INDEX(Population!$A:$J,MATCH('2022'!$A11,Population!$A:$A,0),MATCH('2022'!$A$1,Population!$3:$3,0))</f>
        <v>1831019</v>
      </c>
      <c r="C11" s="14">
        <f>INDEX(Income!$A:$J,MATCH('2022'!$A11,Income!$A:$A,0),MATCH('2022'!$A$1,Income!$3:$3,0))</f>
        <v>45536</v>
      </c>
      <c r="D11" s="34">
        <f>INDEX(Livable_wage!$A:$J,MATCH('2022'!$A11,Livable_wage!$A:$A,0),MATCH('2022'!$A$1,Livable_wage!$3:$3,0))</f>
        <v>16564</v>
      </c>
      <c r="E11" s="41">
        <f>INDEX(AVA_1!$A:$J,MATCH('2022'!$A11,AVA_1!$A:$A,0),MATCH('2022'!$A$1,AVA_1!$3:$3,0))</f>
        <v>0.36099999999999999</v>
      </c>
      <c r="F11" s="15">
        <f>INDEX(AVA_2!$A:$J,MATCH('2022'!$A11,AVA_2!$A:$A,0),MATCH('2022'!$A$1,AVA_2!$3:$3,0))</f>
        <v>1.0109500712063202E-2</v>
      </c>
      <c r="G11" s="15">
        <f>INDEX(AVA_3!$A:$J,MATCH('2022'!$A11,AVA_3!$A:$A,0),MATCH('2022'!$A$1,AVA_3!$3:$3,0))</f>
        <v>0.40320942303479745</v>
      </c>
      <c r="H11" s="87">
        <f>INDEX(AVA_4!$A:$J,MATCH('2022'!$A11,AVA_4!$A:$A,0),MATCH('2022'!$A$1,AVA_4!$3:$3,0))/(B11/1000)</f>
        <v>0.62697328645961625</v>
      </c>
      <c r="I11" s="89">
        <f>INDEX(AVA_5!$A:$J,MATCH('2022'!$A11,AVA_5!$A:$A,0),MATCH('2022'!$A$1,AVA_5!$3:$3,0))/(B11/1000)</f>
        <v>6.3298087021489131</v>
      </c>
      <c r="J11" s="93">
        <f>INDEX(IRA_1!$A:$J,MATCH('2022'!$A11,IRA_1!$A:$A,0),MATCH('2022'!$A$1,IRA_1!$3:$3,0))/(B11/1000)</f>
        <v>8.0283164729585008E-2</v>
      </c>
      <c r="K11" s="88">
        <f>INDEX(IRA_2!$A:$J,MATCH('2022'!$A11,IRA_2!$A:$A,0),MATCH('2022'!$A$1,IRA_2!$3:$3,0))/(B11/1000)</f>
        <v>0.23757263032224132</v>
      </c>
      <c r="L11" s="15">
        <f>INDEX(IRA_3!$A:$J,MATCH('2022'!$A11,IRA_3!$A:$A,0),MATCH('2022'!$A$1,IRA_3!$3:$3,0))</f>
        <v>0.3438975050573162</v>
      </c>
      <c r="M11" s="96">
        <f>INDEX(IRA_4!$A:$J,MATCH('2022'!$A11,IRA_4!$A:$A,0),MATCH('2022'!$A$1,IRA_4!$3:$3,0))/(B11/1000)</f>
        <v>6.4013535632344611</v>
      </c>
      <c r="N11" s="61">
        <f>INDEX(INV_1!$A:$J,MATCH('2022'!$A11,INV_1!$A:$A,0),MATCH('2022'!$A$1,INV_1!$3:$3,0))</f>
        <v>7.5301819803702832E-2</v>
      </c>
      <c r="O11" s="80">
        <f>INDEX(INV_2!$A:$J,MATCH('2022'!$A11,INV_2!$A:$A,0),MATCH('2022'!$A$1,INV_2!$3:$3,0))/B11*10^6/C11</f>
        <v>0.27225919973605556</v>
      </c>
      <c r="P11" s="87">
        <f>INDEX(INV_3!$A:$J,MATCH('2022'!$A11,INV_3!$A:$A,0),MATCH('2022'!$A$1,INV_3!$3:$3,0))/B11*10^6/C11</f>
        <v>4.7440141293058167</v>
      </c>
      <c r="Q11" s="87">
        <f>INDEX(INV_4!$A:$J,MATCH('2022'!$A11,INV_4!$A:$A,0),MATCH('2022'!$A$1,INV_4!$3:$3,0))/B11*10^3/C11</f>
        <v>0.23294877482437243</v>
      </c>
      <c r="R11" s="34">
        <f>INDEX(INV_5!$A:$J,MATCH('2022'!$A11,INV_5!$A:$A,0),MATCH('2022'!$A$1,INV_5!$3:$3,0))</f>
        <v>0.17549999999999999</v>
      </c>
      <c r="S11" s="77">
        <f>INDEX(LUJ_1!$A:$J,MATCH('2022'!$A11,LUJ_1!$A:$A,0),MATCH('2022'!$A$1,LUJ_1!$3:$3,0))</f>
        <v>0.57653233999322717</v>
      </c>
      <c r="T11" s="73">
        <f>INDEX(LUJ_2!$A:$J,MATCH('2022'!$A11,LUJ_2!$A:$A,0),MATCH('2022'!$A$1,LUJ_2!$3:$3,0))</f>
        <v>0.247</v>
      </c>
      <c r="U11" s="73">
        <f>INDEX(LUJ_3!$A:$J,MATCH('2022'!$A11,LUJ_3!$A:$A,0),MATCH('2022'!$A$1,LUJ_3!$3:$3,0))</f>
        <v>0.43855985556234101</v>
      </c>
      <c r="V11" s="14">
        <f>INDEX(LUJ_4!$A:$J,MATCH('2022'!$A11,LUJ_4!$A:$A,0),MATCH('2022'!$A$1,LUJ_4!$3:$3,0))</f>
        <v>53</v>
      </c>
      <c r="W11" s="34">
        <f>INDEX(LUJ_5!$A:$J,MATCH('2022'!$A11,LUJ_5!$A:$A,0),MATCH('2022'!$A$1,LUJ_5!$3:$3,0))</f>
        <v>46.4</v>
      </c>
      <c r="X11" s="98">
        <f>1/INDEX(GUL_1!$A:$J,MATCH('2022'!$A11,GUL_1!$A:$A,0),MATCH('2022'!$A$1,GUL_1!$3:$3,0))</f>
        <v>1.4345144168698898E-2</v>
      </c>
      <c r="Y11" s="57" t="e">
        <f>INDEX(GUL_2!$A:$J,MATCH('2022'!$A11,GUL_2!$A:$A,0),MATCH('2022'!$A$1,GUL_2!$3:$3,0))</f>
        <v>#N/A</v>
      </c>
      <c r="Z11" s="57">
        <f>INDEX(GUL_3!$A:$J,MATCH('2022'!$A11,GUL_3!$A:$A,0),MATCH('2022'!$A$1,GUL_3!$3:$3,0))/(B11/1000)</f>
        <v>0.94865208935570844</v>
      </c>
      <c r="AA11" s="101">
        <f>INDEX(GUL_4!$A:$J,MATCH('2022'!$A11,GUL_4!$A:$A,0),MATCH('2022'!$A$1,GUL_4!$3:$3,0))/B11/C11*10^6</f>
        <v>0.35611847230271521</v>
      </c>
      <c r="AB11" s="73">
        <f>INDEX(GUL_5!$A:$J,MATCH('2022'!$A11,GUL_5!$A:$A,0),MATCH('2022'!$A$1,GUL_5!$3:$3,0))</f>
        <v>2.4847605872701357E-2</v>
      </c>
      <c r="AC11" s="49" t="e">
        <f>INDEX(GUL_6!$A:$J,MATCH('2022'!$A11,GUL_6!$A:$A,0),MATCH('2022'!$A$1,GUL_6!$3:$3,0))</f>
        <v>#N/A</v>
      </c>
      <c r="AD11" s="49" t="e">
        <f>INDEX(GUL_7!$A:$J,MATCH('2022'!$A11,GUL_7!$A:$A,0),MATCH('2022'!$A$1,GUL_7!$3:$3,0))</f>
        <v>#N/A</v>
      </c>
      <c r="AE11" s="103">
        <f>INDEX(GUL_8!$A:$J,MATCH('2022'!$A11,GUL_8!$A:$A,0),MATCH('2022'!$A$1,GUL_8!$3:$3,0))/(B11/1000)</f>
        <v>2.0518629244153117</v>
      </c>
      <c r="AF11" s="41">
        <f>INDEX(DES_1!$A:$J,MATCH('2022'!$A11,DES_1!$A:$A,0),MATCH('2022'!$A$1,DES_1!$3:$3,0))/(B11/1000)</f>
        <v>0.12561311488302415</v>
      </c>
      <c r="AG11" s="100">
        <f>INDEX(DES_2!$A:$J,MATCH('2022'!$A11,DES_2!$A:$A,0),MATCH('2022'!$A$1,DES_2!$3:$3,0))/(B11/1000)</f>
        <v>1.1299718899694651</v>
      </c>
      <c r="AH11" s="57">
        <f>1/INDEX(DES_3!$A:$J,MATCH('2022'!$A11,DES_3!$A:$A,0),MATCH('2022'!$A$1,DES_3!$3:$3,0))</f>
        <v>8.8105726872246704E-3</v>
      </c>
      <c r="AI11" s="80" t="e">
        <f>INDEX(DES_4!$A:$J,MATCH('2022'!$A11,DES_4!$A:$A,0),MATCH('2022'!$A$1,DES_4!$3:$3,0))</f>
        <v>#N/A</v>
      </c>
      <c r="AJ11" s="110" t="e">
        <f>INDEX(DES_5!$A:$J,MATCH('2022'!$A11,DES_5!$A:$A,0),MATCH('2022'!$A$1,DES_5!$3:$3,0))</f>
        <v>#N/A</v>
      </c>
      <c r="AK11" s="57">
        <v>12</v>
      </c>
    </row>
    <row r="12" spans="1:37" x14ac:dyDescent="0.3">
      <c r="A12" s="29" t="s">
        <v>11</v>
      </c>
      <c r="B12" s="33">
        <f>INDEX(Population!$A:$J,MATCH('2022'!$A12,Population!$A:$A,0),MATCH('2022'!$A$1,Population!$3:$3,0))</f>
        <v>2896829</v>
      </c>
      <c r="C12" s="14">
        <f>INDEX(Income!$A:$J,MATCH('2022'!$A12,Income!$A:$A,0),MATCH('2022'!$A$1,Income!$3:$3,0))</f>
        <v>27620</v>
      </c>
      <c r="D12" s="34">
        <f>INDEX(Livable_wage!$A:$J,MATCH('2022'!$A12,Livable_wage!$A:$A,0),MATCH('2022'!$A$1,Livable_wage!$3:$3,0))</f>
        <v>12528</v>
      </c>
      <c r="E12" s="41">
        <f>INDEX(AVA_1!$A:$J,MATCH('2022'!$A12,AVA_1!$A:$A,0),MATCH('2022'!$A$1,AVA_1!$3:$3,0))</f>
        <v>0.33500000000000002</v>
      </c>
      <c r="F12" s="15">
        <f>INDEX(AVA_2!$A:$J,MATCH('2022'!$A12,AVA_2!$A:$A,0),MATCH('2022'!$A$1,AVA_2!$3:$3,0))</f>
        <v>1.0334629373700546E-2</v>
      </c>
      <c r="G12" s="15">
        <f>INDEX(AVA_3!$A:$J,MATCH('2022'!$A12,AVA_3!$A:$A,0),MATCH('2022'!$A$1,AVA_3!$3:$3,0))</f>
        <v>1.5269209385488806E-2</v>
      </c>
      <c r="H12" s="87">
        <f>INDEX(AVA_4!$A:$J,MATCH('2022'!$A12,AVA_4!$A:$A,0),MATCH('2022'!$A$1,AVA_4!$3:$3,0))/(B12/1000)</f>
        <v>0.81123186767323852</v>
      </c>
      <c r="I12" s="89">
        <f>INDEX(AVA_5!$A:$J,MATCH('2022'!$A12,AVA_5!$A:$A,0),MATCH('2022'!$A$1,AVA_5!$3:$3,0))/(B12/1000)</f>
        <v>3.8269431851172433</v>
      </c>
      <c r="J12" s="93">
        <f>INDEX(IRA_1!$A:$J,MATCH('2022'!$A12,IRA_1!$A:$A,0),MATCH('2022'!$A$1,IRA_1!$3:$3,0))/(B12/1000)</f>
        <v>2.7961609055971198E-2</v>
      </c>
      <c r="K12" s="88">
        <f>INDEX(IRA_2!$A:$J,MATCH('2022'!$A12,IRA_2!$A:$A,0),MATCH('2022'!$A$1,IRA_2!$3:$3,0))/(B12/1000)</f>
        <v>8.3884827167913595E-2</v>
      </c>
      <c r="L12" s="15">
        <f>INDEX(IRA_3!$A:$J,MATCH('2022'!$A12,IRA_3!$A:$A,0),MATCH('2022'!$A$1,IRA_3!$3:$3,0))</f>
        <v>0.41189721928898271</v>
      </c>
      <c r="M12" s="96">
        <f>INDEX(IRA_4!$A:$J,MATCH('2022'!$A12,IRA_4!$A:$A,0),MATCH('2022'!$A$1,IRA_4!$3:$3,0))/(B12/1000)</f>
        <v>4.0492552373647186</v>
      </c>
      <c r="N12" s="61">
        <f>INDEX(INV_1!$A:$J,MATCH('2022'!$A12,INV_1!$A:$A,0),MATCH('2022'!$A$1,INV_1!$3:$3,0))</f>
        <v>8.0794026124721391E-2</v>
      </c>
      <c r="O12" s="80">
        <f>INDEX(INV_2!$A:$J,MATCH('2022'!$A12,INV_2!$A:$A,0),MATCH('2022'!$A$1,INV_2!$3:$3,0))/B12*10^6/C12</f>
        <v>0.46985357539888384</v>
      </c>
      <c r="P12" s="87">
        <f>INDEX(INV_3!$A:$J,MATCH('2022'!$A12,INV_3!$A:$A,0),MATCH('2022'!$A$1,INV_3!$3:$3,0))/B12*10^6/C12</f>
        <v>4.6741038744177787</v>
      </c>
      <c r="Q12" s="87">
        <f>INDEX(INV_4!$A:$J,MATCH('2022'!$A12,INV_4!$A:$A,0),MATCH('2022'!$A$1,INV_4!$3:$3,0))/B12*10^3/C12</f>
        <v>0.26324617074880291</v>
      </c>
      <c r="R12" s="34">
        <f>INDEX(INV_5!$A:$J,MATCH('2022'!$A12,INV_5!$A:$A,0),MATCH('2022'!$A$1,INV_5!$3:$3,0))</f>
        <v>0.1444</v>
      </c>
      <c r="S12" s="77">
        <f>INDEX(LUJ_1!$A:$J,MATCH('2022'!$A12,LUJ_1!$A:$A,0),MATCH('2022'!$A$1,LUJ_1!$3:$3,0))</f>
        <v>0.76660802038463871</v>
      </c>
      <c r="T12" s="73">
        <f>INDEX(LUJ_2!$A:$J,MATCH('2022'!$A12,LUJ_2!$A:$A,0),MATCH('2022'!$A$1,LUJ_2!$3:$3,0))</f>
        <v>0.24600000000000002</v>
      </c>
      <c r="U12" s="73">
        <f>INDEX(LUJ_3!$A:$J,MATCH('2022'!$A12,LUJ_3!$A:$A,0),MATCH('2022'!$A$1,LUJ_3!$3:$3,0))</f>
        <v>0.33003497059291048</v>
      </c>
      <c r="V12" s="14">
        <f>INDEX(LUJ_4!$A:$J,MATCH('2022'!$A12,LUJ_4!$A:$A,0),MATCH('2022'!$A$1,LUJ_4!$3:$3,0))</f>
        <v>59</v>
      </c>
      <c r="W12" s="34">
        <f>INDEX(LUJ_5!$A:$J,MATCH('2022'!$A12,LUJ_5!$A:$A,0),MATCH('2022'!$A$1,LUJ_5!$3:$3,0))</f>
        <v>18.399999999999999</v>
      </c>
      <c r="X12" s="98">
        <f>1/INDEX(GUL_1!$A:$J,MATCH('2022'!$A12,GUL_1!$A:$A,0),MATCH('2022'!$A$1,GUL_1!$3:$3,0))</f>
        <v>1.3460761879122356E-2</v>
      </c>
      <c r="Y12" s="57" t="e">
        <f>INDEX(GUL_2!$A:$J,MATCH('2022'!$A12,GUL_2!$A:$A,0),MATCH('2022'!$A$1,GUL_2!$3:$3,0))</f>
        <v>#N/A</v>
      </c>
      <c r="Z12" s="57">
        <f>INDEX(GUL_3!$A:$J,MATCH('2022'!$A12,GUL_3!$A:$A,0),MATCH('2022'!$A$1,GUL_3!$3:$3,0))/(B12/1000)</f>
        <v>0.6886840748970684</v>
      </c>
      <c r="AA12" s="101">
        <f>INDEX(GUL_4!$A:$J,MATCH('2022'!$A12,GUL_4!$A:$A,0),MATCH('2022'!$A$1,GUL_4!$3:$3,0))/B12/C12*10^6</f>
        <v>0.44247975871503825</v>
      </c>
      <c r="AB12" s="73">
        <f>INDEX(GUL_5!$A:$J,MATCH('2022'!$A12,GUL_5!$A:$A,0),MATCH('2022'!$A$1,GUL_5!$3:$3,0))</f>
        <v>3.2308924193842313E-2</v>
      </c>
      <c r="AC12" s="49" t="e">
        <f>INDEX(GUL_6!$A:$J,MATCH('2022'!$A12,GUL_6!$A:$A,0),MATCH('2022'!$A$1,GUL_6!$3:$3,0))</f>
        <v>#N/A</v>
      </c>
      <c r="AD12" s="49" t="e">
        <f>INDEX(GUL_7!$A:$J,MATCH('2022'!$A12,GUL_7!$A:$A,0),MATCH('2022'!$A$1,GUL_7!$3:$3,0))</f>
        <v>#N/A</v>
      </c>
      <c r="AE12" s="103">
        <f>INDEX(GUL_8!$A:$J,MATCH('2022'!$A12,GUL_8!$A:$A,0),MATCH('2022'!$A$1,GUL_8!$3:$3,0))/(B12/1000)</f>
        <v>0.68177997389559408</v>
      </c>
      <c r="AF12" s="41">
        <f>INDEX(DES_1!$A:$J,MATCH('2022'!$A12,DES_1!$A:$A,0),MATCH('2022'!$A$1,DES_1!$3:$3,0))/(B12/1000)</f>
        <v>6.0065678712827024E-2</v>
      </c>
      <c r="AG12" s="100">
        <f>INDEX(DES_2!$A:$J,MATCH('2022'!$A12,DES_2!$A:$A,0),MATCH('2022'!$A$1,DES_2!$3:$3,0))/(B12/1000)</f>
        <v>0.60583486287937605</v>
      </c>
      <c r="AH12" s="57">
        <f>1/INDEX(DES_3!$A:$J,MATCH('2022'!$A12,DES_3!$A:$A,0),MATCH('2022'!$A$1,DES_3!$3:$3,0))</f>
        <v>8.291873963515755E-3</v>
      </c>
      <c r="AI12" s="80" t="e">
        <f>INDEX(DES_4!$A:$J,MATCH('2022'!$A12,DES_4!$A:$A,0),MATCH('2022'!$A$1,DES_4!$3:$3,0))</f>
        <v>#N/A</v>
      </c>
      <c r="AJ12" s="110" t="e">
        <f>INDEX(DES_5!$A:$J,MATCH('2022'!$A12,DES_5!$A:$A,0),MATCH('2022'!$A$1,DES_5!$3:$3,0))</f>
        <v>#N/A</v>
      </c>
      <c r="AK12" s="57">
        <v>15</v>
      </c>
    </row>
    <row r="13" spans="1:37" x14ac:dyDescent="0.3">
      <c r="A13" s="29" t="s">
        <v>12</v>
      </c>
      <c r="B13" s="33">
        <f>INDEX(Population!$A:$J,MATCH('2022'!$A13,Population!$A:$A,0),MATCH('2022'!$A$1,Population!$3:$3,0))</f>
        <v>2142941</v>
      </c>
      <c r="C13" s="14">
        <f>INDEX(Income!$A:$J,MATCH('2022'!$A13,Income!$A:$A,0),MATCH('2022'!$A$1,Income!$3:$3,0))</f>
        <v>31142</v>
      </c>
      <c r="D13" s="34">
        <f>INDEX(Livable_wage!$A:$J,MATCH('2022'!$A13,Livable_wage!$A:$A,0),MATCH('2022'!$A$1,Livable_wage!$3:$3,0))</f>
        <v>12388</v>
      </c>
      <c r="E13" s="41">
        <f>INDEX(AVA_1!$A:$J,MATCH('2022'!$A13,AVA_1!$A:$A,0),MATCH('2022'!$A$1,AVA_1!$3:$3,0))</f>
        <v>0.35299999999999998</v>
      </c>
      <c r="F13" s="15">
        <f>INDEX(AVA_2!$A:$J,MATCH('2022'!$A13,AVA_2!$A:$A,0),MATCH('2022'!$A$1,AVA_2!$3:$3,0))</f>
        <v>9.6146618468077542E-3</v>
      </c>
      <c r="G13" s="15">
        <f>INDEX(AVA_3!$A:$J,MATCH('2022'!$A13,AVA_3!$A:$A,0),MATCH('2022'!$A$1,AVA_3!$3:$3,0))</f>
        <v>7.3971822904580131E-3</v>
      </c>
      <c r="H13" s="87">
        <f>INDEX(AVA_4!$A:$J,MATCH('2022'!$A13,AVA_4!$A:$A,0),MATCH('2022'!$A$1,AVA_4!$3:$3,0))/(B13/1000)</f>
        <v>0.50164703554600898</v>
      </c>
      <c r="I13" s="89">
        <f>INDEX(AVA_5!$A:$J,MATCH('2022'!$A13,AVA_5!$A:$A,0),MATCH('2022'!$A$1,AVA_5!$3:$3,0))/(B13/1000)</f>
        <v>6.2138901630982843</v>
      </c>
      <c r="J13" s="93">
        <f>INDEX(IRA_1!$A:$J,MATCH('2022'!$A13,IRA_1!$A:$A,0),MATCH('2022'!$A$1,IRA_1!$3:$3,0))/(B13/1000)</f>
        <v>5.9264347455202926E-2</v>
      </c>
      <c r="K13" s="88">
        <f>INDEX(IRA_2!$A:$J,MATCH('2022'!$A13,IRA_2!$A:$A,0),MATCH('2022'!$A$1,IRA_2!$3:$3,0))/(B13/1000)</f>
        <v>0.18712601046879035</v>
      </c>
      <c r="L13" s="15">
        <f>INDEX(IRA_3!$A:$J,MATCH('2022'!$A13,IRA_3!$A:$A,0),MATCH('2022'!$A$1,IRA_3!$3:$3,0))</f>
        <v>0.31069120920888305</v>
      </c>
      <c r="M13" s="96">
        <f>INDEX(IRA_4!$A:$J,MATCH('2022'!$A13,IRA_4!$A:$A,0),MATCH('2022'!$A$1,IRA_4!$3:$3,0))/(B13/1000)</f>
        <v>5.5344500851866671</v>
      </c>
      <c r="N13" s="61">
        <f>INDEX(INV_1!$A:$J,MATCH('2022'!$A13,INV_1!$A:$A,0),MATCH('2022'!$A$1,INV_1!$3:$3,0))</f>
        <v>8.0226702300621747E-2</v>
      </c>
      <c r="O13" s="80">
        <f>INDEX(INV_2!$A:$J,MATCH('2022'!$A13,INV_2!$A:$A,0),MATCH('2022'!$A$1,INV_2!$3:$3,0))/B13*10^6/C13</f>
        <v>0.5542878022017822</v>
      </c>
      <c r="P13" s="87">
        <f>INDEX(INV_3!$A:$J,MATCH('2022'!$A13,INV_3!$A:$A,0),MATCH('2022'!$A$1,INV_3!$3:$3,0))/B13*10^6/C13</f>
        <v>4.8743345437865804</v>
      </c>
      <c r="Q13" s="87">
        <f>INDEX(INV_4!$A:$J,MATCH('2022'!$A13,INV_4!$A:$A,0),MATCH('2022'!$A$1,INV_4!$3:$3,0))/B13*10^3/C13</f>
        <v>0.29457473972872283</v>
      </c>
      <c r="R13" s="34">
        <f>INDEX(INV_5!$A:$J,MATCH('2022'!$A13,INV_5!$A:$A,0),MATCH('2022'!$A$1,INV_5!$3:$3,0))</f>
        <v>8.0399999999999999E-2</v>
      </c>
      <c r="S13" s="77">
        <f>INDEX(LUJ_1!$A:$J,MATCH('2022'!$A13,LUJ_1!$A:$A,0),MATCH('2022'!$A$1,LUJ_1!$3:$3,0))</f>
        <v>0.68908045977011489</v>
      </c>
      <c r="T13" s="73">
        <f>INDEX(LUJ_2!$A:$J,MATCH('2022'!$A13,LUJ_2!$A:$A,0),MATCH('2022'!$A$1,LUJ_2!$3:$3,0))</f>
        <v>0.24</v>
      </c>
      <c r="U13" s="73">
        <f>INDEX(LUJ_3!$A:$J,MATCH('2022'!$A13,LUJ_3!$A:$A,0),MATCH('2022'!$A$1,LUJ_3!$3:$3,0))</f>
        <v>0.45523321956769058</v>
      </c>
      <c r="V13" s="14">
        <f>INDEX(LUJ_4!$A:$J,MATCH('2022'!$A13,LUJ_4!$A:$A,0),MATCH('2022'!$A$1,LUJ_4!$3:$3,0))</f>
        <v>66</v>
      </c>
      <c r="W13" s="34">
        <f>INDEX(LUJ_5!$A:$J,MATCH('2022'!$A13,LUJ_5!$A:$A,0),MATCH('2022'!$A$1,LUJ_5!$3:$3,0))</f>
        <v>77.3</v>
      </c>
      <c r="X13" s="98">
        <f>1/INDEX(GUL_1!$A:$J,MATCH('2022'!$A13,GUL_1!$A:$A,0),MATCH('2022'!$A$1,GUL_1!$3:$3,0))</f>
        <v>1.4293882218410521E-2</v>
      </c>
      <c r="Y13" s="57" t="e">
        <f>INDEX(GUL_2!$A:$J,MATCH('2022'!$A13,GUL_2!$A:$A,0),MATCH('2022'!$A$1,GUL_2!$3:$3,0))</f>
        <v>#N/A</v>
      </c>
      <c r="Z13" s="57">
        <f>INDEX(GUL_3!$A:$J,MATCH('2022'!$A13,GUL_3!$A:$A,0),MATCH('2022'!$A$1,GUL_3!$3:$3,0))/(B13/1000)</f>
        <v>0.74710409665968414</v>
      </c>
      <c r="AA13" s="101">
        <f>INDEX(GUL_4!$A:$J,MATCH('2022'!$A13,GUL_4!$A:$A,0),MATCH('2022'!$A$1,GUL_4!$3:$3,0))/B13/C13*10^6</f>
        <v>0.20702019908264427</v>
      </c>
      <c r="AB13" s="73">
        <f>INDEX(GUL_5!$A:$J,MATCH('2022'!$A13,GUL_5!$A:$A,0),MATCH('2022'!$A$1,GUL_5!$3:$3,0))</f>
        <v>2.7975929898779797E-2</v>
      </c>
      <c r="AC13" s="49" t="e">
        <f>INDEX(GUL_6!$A:$J,MATCH('2022'!$A13,GUL_6!$A:$A,0),MATCH('2022'!$A$1,GUL_6!$3:$3,0))</f>
        <v>#N/A</v>
      </c>
      <c r="AD13" s="49" t="e">
        <f>INDEX(GUL_7!$A:$J,MATCH('2022'!$A13,GUL_7!$A:$A,0),MATCH('2022'!$A$1,GUL_7!$3:$3,0))</f>
        <v>#N/A</v>
      </c>
      <c r="AE13" s="103">
        <f>INDEX(GUL_8!$A:$J,MATCH('2022'!$A13,GUL_8!$A:$A,0),MATCH('2022'!$A$1,GUL_8!$3:$3,0))/(B13/1000)</f>
        <v>3.1764756939178449</v>
      </c>
      <c r="AF13" s="41">
        <f>INDEX(DES_1!$A:$J,MATCH('2022'!$A13,DES_1!$A:$A,0),MATCH('2022'!$A$1,DES_1!$3:$3,0))/(B13/1000)</f>
        <v>0.20532529826999438</v>
      </c>
      <c r="AG13" s="100">
        <f>INDEX(DES_2!$A:$J,MATCH('2022'!$A13,DES_2!$A:$A,0),MATCH('2022'!$A$1,DES_2!$3:$3,0))/(B13/1000)</f>
        <v>0.79190234355495559</v>
      </c>
      <c r="AH13" s="57">
        <f>1/INDEX(DES_3!$A:$J,MATCH('2022'!$A13,DES_3!$A:$A,0),MATCH('2022'!$A$1,DES_3!$3:$3,0))</f>
        <v>8.3472454090150246E-3</v>
      </c>
      <c r="AI13" s="80" t="e">
        <f>INDEX(DES_4!$A:$J,MATCH('2022'!$A13,DES_4!$A:$A,0),MATCH('2022'!$A$1,DES_4!$3:$3,0))</f>
        <v>#N/A</v>
      </c>
      <c r="AJ13" s="110" t="e">
        <f>INDEX(DES_5!$A:$J,MATCH('2022'!$A13,DES_5!$A:$A,0),MATCH('2022'!$A$1,DES_5!$3:$3,0))</f>
        <v>#N/A</v>
      </c>
      <c r="AK13" s="57">
        <v>17</v>
      </c>
    </row>
    <row r="14" spans="1:37" x14ac:dyDescent="0.3">
      <c r="A14" s="29" t="s">
        <v>13</v>
      </c>
      <c r="B14" s="33">
        <f>INDEX(Population!$A:$J,MATCH('2022'!$A14,Population!$A:$A,0),MATCH('2022'!$A$1,Population!$3:$3,0))</f>
        <v>13059651</v>
      </c>
      <c r="C14" s="14">
        <f>INDEX(Income!$A:$J,MATCH('2022'!$A14,Income!$A:$A,0),MATCH('2022'!$A$1,Income!$3:$3,0))</f>
        <v>95460</v>
      </c>
      <c r="D14" s="34">
        <f>INDEX(Livable_wage!$A:$J,MATCH('2022'!$A14,Livable_wage!$A:$A,0),MATCH('2022'!$A$1,Livable_wage!$3:$3,0))</f>
        <v>20585</v>
      </c>
      <c r="E14" s="41">
        <f>INDEX(AVA_1!$A:$J,MATCH('2022'!$A14,AVA_1!$A:$A,0),MATCH('2022'!$A$1,AVA_1!$3:$3,0))</f>
        <v>0.41199999999999998</v>
      </c>
      <c r="F14" s="15">
        <f>INDEX(AVA_2!$A:$J,MATCH('2022'!$A14,AVA_2!$A:$A,0),MATCH('2022'!$A$1,AVA_2!$3:$3,0))</f>
        <v>5.7453054664423894E-2</v>
      </c>
      <c r="G14" s="15">
        <f>INDEX(AVA_3!$A:$J,MATCH('2022'!$A14,AVA_3!$A:$A,0),MATCH('2022'!$A$1,AVA_3!$3:$3,0))</f>
        <v>0.22401996537582608</v>
      </c>
      <c r="H14" s="87">
        <f>INDEX(AVA_4!$A:$J,MATCH('2022'!$A14,AVA_4!$A:$A,0),MATCH('2022'!$A$1,AVA_4!$3:$3,0))/(B14/1000)</f>
        <v>0.82000659895122774</v>
      </c>
      <c r="I14" s="89">
        <f>INDEX(AVA_5!$A:$J,MATCH('2022'!$A14,AVA_5!$A:$A,0),MATCH('2022'!$A$1,AVA_5!$3:$3,0))/(B14/1000)</f>
        <v>4.36543059228765</v>
      </c>
      <c r="J14" s="93">
        <f>INDEX(IRA_1!$A:$J,MATCH('2022'!$A14,IRA_1!$A:$A,0),MATCH('2022'!$A$1,IRA_1!$3:$3,0))/(B14/1000)</f>
        <v>3.162412226789215E-2</v>
      </c>
      <c r="K14" s="88">
        <f>INDEX(IRA_2!$A:$J,MATCH('2022'!$A14,IRA_2!$A:$A,0),MATCH('2022'!$A$1,IRA_2!$3:$3,0))/(B14/1000)</f>
        <v>4.157844646843932E-2</v>
      </c>
      <c r="L14" s="15">
        <f>INDEX(IRA_3!$A:$J,MATCH('2022'!$A14,IRA_3!$A:$A,0),MATCH('2022'!$A$1,IRA_3!$3:$3,0))</f>
        <v>0.63106180665610145</v>
      </c>
      <c r="M14" s="96">
        <f>INDEX(IRA_4!$A:$J,MATCH('2022'!$A14,IRA_4!$A:$A,0),MATCH('2022'!$A$1,IRA_4!$3:$3,0))/(B14/1000)</f>
        <v>3.1353824079984984</v>
      </c>
      <c r="N14" s="61">
        <f>INDEX(INV_1!$A:$J,MATCH('2022'!$A14,INV_1!$A:$A,0),MATCH('2022'!$A$1,INV_1!$3:$3,0))</f>
        <v>7.2515426103070629E-2</v>
      </c>
      <c r="O14" s="80">
        <f>INDEX(INV_2!$A:$J,MATCH('2022'!$A14,INV_2!$A:$A,0),MATCH('2022'!$A$1,INV_2!$3:$3,0))/B14*10^6/C14</f>
        <v>0.44374995621669161</v>
      </c>
      <c r="P14" s="87">
        <f>INDEX(INV_3!$A:$J,MATCH('2022'!$A14,INV_3!$A:$A,0),MATCH('2022'!$A$1,INV_3!$3:$3,0))/B14*10^6/C14</f>
        <v>2.6857769039892561</v>
      </c>
      <c r="Q14" s="87">
        <f>INDEX(INV_4!$A:$J,MATCH('2022'!$A14,INV_4!$A:$A,0),MATCH('2022'!$A$1,INV_4!$3:$3,0))/B14*10^3/C14</f>
        <v>0.24445508574198735</v>
      </c>
      <c r="R14" s="34">
        <f>INDEX(INV_5!$A:$J,MATCH('2022'!$A14,INV_5!$A:$A,0),MATCH('2022'!$A$1,INV_5!$3:$3,0))</f>
        <v>0.32529999999999998</v>
      </c>
      <c r="S14" s="77">
        <f>INDEX(LUJ_1!$A:$J,MATCH('2022'!$A14,LUJ_1!$A:$A,0),MATCH('2022'!$A$1,LUJ_1!$3:$3,0))</f>
        <v>0.4695178050882749</v>
      </c>
      <c r="T14" s="73">
        <f>INDEX(LUJ_2!$A:$J,MATCH('2022'!$A14,LUJ_2!$A:$A,0),MATCH('2022'!$A$1,LUJ_2!$3:$3,0))</f>
        <v>0.20300000000000001</v>
      </c>
      <c r="U14" s="73">
        <f>INDEX(LUJ_3!$A:$J,MATCH('2022'!$A14,LUJ_3!$A:$A,0),MATCH('2022'!$A$1,LUJ_3!$3:$3,0))</f>
        <v>0.24869800359334218</v>
      </c>
      <c r="V14" s="14">
        <f>INDEX(LUJ_4!$A:$J,MATCH('2022'!$A14,LUJ_4!$A:$A,0),MATCH('2022'!$A$1,LUJ_4!$3:$3,0))</f>
        <v>151</v>
      </c>
      <c r="W14" s="34">
        <f>INDEX(LUJ_5!$A:$J,MATCH('2022'!$A14,LUJ_5!$A:$A,0),MATCH('2022'!$A$1,LUJ_5!$3:$3,0))</f>
        <v>13.1</v>
      </c>
      <c r="X14" s="98">
        <f>1/INDEX(GUL_1!$A:$J,MATCH('2022'!$A14,GUL_1!$A:$A,0),MATCH('2022'!$A$1,GUL_1!$3:$3,0))</f>
        <v>1.2792631444288089E-2</v>
      </c>
      <c r="Y14" s="57" t="e">
        <f>INDEX(GUL_2!$A:$J,MATCH('2022'!$A14,GUL_2!$A:$A,0),MATCH('2022'!$A$1,GUL_2!$3:$3,0))</f>
        <v>#N/A</v>
      </c>
      <c r="Z14" s="57">
        <f>INDEX(GUL_3!$A:$J,MATCH('2022'!$A14,GUL_3!$A:$A,0),MATCH('2022'!$A$1,GUL_3!$3:$3,0))/(B14/1000)</f>
        <v>0.34794191667143326</v>
      </c>
      <c r="AA14" s="101">
        <f>INDEX(GUL_4!$A:$J,MATCH('2022'!$A14,GUL_4!$A:$A,0),MATCH('2022'!$A$1,GUL_4!$3:$3,0))/B14/C14*10^6</f>
        <v>0.35955421202432136</v>
      </c>
      <c r="AB14" s="73">
        <f>INDEX(GUL_5!$A:$J,MATCH('2022'!$A14,GUL_5!$A:$A,0),MATCH('2022'!$A$1,GUL_5!$3:$3,0))</f>
        <v>3.8801615390321308E-2</v>
      </c>
      <c r="AC14" s="49" t="e">
        <f>INDEX(GUL_6!$A:$J,MATCH('2022'!$A14,GUL_6!$A:$A,0),MATCH('2022'!$A$1,GUL_6!$3:$3,0))</f>
        <v>#N/A</v>
      </c>
      <c r="AD14" s="49" t="e">
        <f>INDEX(GUL_7!$A:$J,MATCH('2022'!$A14,GUL_7!$A:$A,0),MATCH('2022'!$A$1,GUL_7!$3:$3,0))</f>
        <v>#N/A</v>
      </c>
      <c r="AE14" s="103">
        <f>INDEX(GUL_8!$A:$J,MATCH('2022'!$A14,GUL_8!$A:$A,0),MATCH('2022'!$A$1,GUL_8!$3:$3,0))/(B14/1000)</f>
        <v>0.41088387430873918</v>
      </c>
      <c r="AF14" s="41">
        <f>INDEX(DES_1!$A:$J,MATCH('2022'!$A14,DES_1!$A:$A,0),MATCH('2022'!$A$1,DES_1!$3:$3,0))/(B14/1000)</f>
        <v>1.5237773199299124E-2</v>
      </c>
      <c r="AG14" s="100">
        <f>INDEX(DES_2!$A:$J,MATCH('2022'!$A14,DES_2!$A:$A,0),MATCH('2022'!$A$1,DES_2!$3:$3,0))/(B14/1000)</f>
        <v>0.34296475457115966</v>
      </c>
      <c r="AH14" s="57">
        <f>1/INDEX(DES_3!$A:$J,MATCH('2022'!$A14,DES_3!$A:$A,0),MATCH('2022'!$A$1,DES_3!$3:$3,0))</f>
        <v>8.7950747581354433E-3</v>
      </c>
      <c r="AI14" s="80" t="e">
        <f>INDEX(DES_4!$A:$J,MATCH('2022'!$A14,DES_4!$A:$A,0),MATCH('2022'!$A$1,DES_4!$3:$3,0))</f>
        <v>#N/A</v>
      </c>
      <c r="AJ14" s="110" t="e">
        <f>INDEX(DES_5!$A:$J,MATCH('2022'!$A14,DES_5!$A:$A,0),MATCH('2022'!$A$1,DES_5!$3:$3,0))</f>
        <v>#N/A</v>
      </c>
      <c r="AK14" s="57">
        <v>42</v>
      </c>
    </row>
    <row r="15" spans="1:37" x14ac:dyDescent="0.3">
      <c r="A15" s="29" t="s">
        <v>14</v>
      </c>
      <c r="B15" s="33">
        <f>INDEX(Population!$A:$J,MATCH('2022'!$A15,Population!$A:$A,0),MATCH('2022'!$A$1,Population!$3:$3,0))</f>
        <v>336761</v>
      </c>
      <c r="C15" s="14">
        <f>INDEX(Income!$A:$J,MATCH('2022'!$A15,Income!$A:$A,0),MATCH('2022'!$A$1,Income!$3:$3,0))</f>
        <v>21776</v>
      </c>
      <c r="D15" s="34">
        <f>INDEX(Livable_wage!$A:$J,MATCH('2022'!$A15,Livable_wage!$A:$A,0),MATCH('2022'!$A$1,Livable_wage!$3:$3,0))</f>
        <v>14059</v>
      </c>
      <c r="E15" s="41">
        <f>INDEX(AVA_1!$A:$J,MATCH('2022'!$A15,AVA_1!$A:$A,0),MATCH('2022'!$A$1,AVA_1!$3:$3,0))</f>
        <v>0.36299999999999999</v>
      </c>
      <c r="F15" s="15">
        <f>INDEX(AVA_2!$A:$J,MATCH('2022'!$A15,AVA_2!$A:$A,0),MATCH('2022'!$A$1,AVA_2!$3:$3,0))</f>
        <v>6.9299984749123071E-3</v>
      </c>
      <c r="G15" s="15">
        <f>INDEX(AVA_3!$A:$J,MATCH('2022'!$A15,AVA_3!$A:$A,0),MATCH('2022'!$A$1,AVA_3!$3:$3,0))</f>
        <v>0.38899863769360321</v>
      </c>
      <c r="H15" s="87">
        <f>INDEX(AVA_4!$A:$J,MATCH('2022'!$A15,AVA_4!$A:$A,0),MATCH('2022'!$A$1,AVA_4!$3:$3,0))/(B15/1000)</f>
        <v>0.55825941840058668</v>
      </c>
      <c r="I15" s="89">
        <f>INDEX(AVA_5!$A:$J,MATCH('2022'!$A15,AVA_5!$A:$A,0),MATCH('2022'!$A$1,AVA_5!$3:$3,0))/(B15/1000)</f>
        <v>6.9782427300073344</v>
      </c>
      <c r="J15" s="93">
        <f>INDEX(IRA_1!$A:$J,MATCH('2022'!$A15,IRA_1!$A:$A,0),MATCH('2022'!$A$1,IRA_1!$3:$3,0))/(B15/1000)</f>
        <v>0.3236716840726806</v>
      </c>
      <c r="K15" s="88">
        <f>INDEX(IRA_2!$A:$J,MATCH('2022'!$A15,IRA_2!$A:$A,0),MATCH('2022'!$A$1,IRA_2!$3:$3,0))/(B15/1000)</f>
        <v>0.95913719225207184</v>
      </c>
      <c r="L15" s="15">
        <f>INDEX(IRA_3!$A:$J,MATCH('2022'!$A15,IRA_3!$A:$A,0),MATCH('2022'!$A$1,IRA_3!$3:$3,0))</f>
        <v>0.36055734190782418</v>
      </c>
      <c r="M15" s="96">
        <f>INDEX(IRA_4!$A:$J,MATCH('2022'!$A15,IRA_4!$A:$A,0),MATCH('2022'!$A$1,IRA_4!$3:$3,0))/(B15/1000)</f>
        <v>6.9366702201264392</v>
      </c>
      <c r="N15" s="61">
        <f>INDEX(INV_1!$A:$J,MATCH('2022'!$A15,INV_1!$A:$A,0),MATCH('2022'!$A$1,INV_1!$3:$3,0))</f>
        <v>0.12268733507766828</v>
      </c>
      <c r="O15" s="80">
        <f>INDEX(INV_2!$A:$J,MATCH('2022'!$A15,INV_2!$A:$A,0),MATCH('2022'!$A$1,INV_2!$3:$3,0))/B15*10^6/C15</f>
        <v>0.29015649576725761</v>
      </c>
      <c r="P15" s="87">
        <f>INDEX(INV_3!$A:$J,MATCH('2022'!$A15,INV_3!$A:$A,0),MATCH('2022'!$A$1,INV_3!$3:$3,0))/B15*10^6/C15</f>
        <v>9.1438958029265436</v>
      </c>
      <c r="Q15" s="87">
        <f>INDEX(INV_4!$A:$J,MATCH('2022'!$A15,INV_4!$A:$A,0),MATCH('2022'!$A$1,INV_4!$3:$3,0))/B15*10^3/C15</f>
        <v>0.20267659479759204</v>
      </c>
      <c r="R15" s="34">
        <f>INDEX(INV_5!$A:$J,MATCH('2022'!$A15,INV_5!$A:$A,0),MATCH('2022'!$A$1,INV_5!$3:$3,0))</f>
        <v>4.4900000000000002E-2</v>
      </c>
      <c r="S15" s="77">
        <f>INDEX(LUJ_1!$A:$J,MATCH('2022'!$A15,LUJ_1!$A:$A,0),MATCH('2022'!$A$1,LUJ_1!$3:$3,0))</f>
        <v>0.45836734693877551</v>
      </c>
      <c r="T15" s="73">
        <f>INDEX(LUJ_2!$A:$J,MATCH('2022'!$A15,LUJ_2!$A:$A,0),MATCH('2022'!$A$1,LUJ_2!$3:$3,0))</f>
        <v>0.58399999999999996</v>
      </c>
      <c r="U15" s="73">
        <f>INDEX(LUJ_3!$A:$J,MATCH('2022'!$A15,LUJ_3!$A:$A,0),MATCH('2022'!$A$1,LUJ_3!$3:$3,0))</f>
        <v>0.45847287340924314</v>
      </c>
      <c r="V15" s="14">
        <f>INDEX(LUJ_4!$A:$J,MATCH('2022'!$A15,LUJ_4!$A:$A,0),MATCH('2022'!$A$1,LUJ_4!$3:$3,0))</f>
        <v>33</v>
      </c>
      <c r="W15" s="34">
        <f>INDEX(LUJ_5!$A:$J,MATCH('2022'!$A15,LUJ_5!$A:$A,0),MATCH('2022'!$A$1,LUJ_5!$3:$3,0))</f>
        <v>8.9</v>
      </c>
      <c r="X15" s="98">
        <f>1/INDEX(GUL_1!$A:$J,MATCH('2022'!$A15,GUL_1!$A:$A,0),MATCH('2022'!$A$1,GUL_1!$3:$3,0))</f>
        <v>1.4900908955446282E-2</v>
      </c>
      <c r="Y15" s="57" t="e">
        <f>INDEX(GUL_2!$A:$J,MATCH('2022'!$A15,GUL_2!$A:$A,0),MATCH('2022'!$A$1,GUL_2!$3:$3,0))</f>
        <v>#N/A</v>
      </c>
      <c r="Z15" s="57">
        <f>INDEX(GUL_3!$A:$J,MATCH('2022'!$A15,GUL_3!$A:$A,0),MATCH('2022'!$A$1,GUL_3!$3:$3,0))/(B15/1000)</f>
        <v>0.64437390315386878</v>
      </c>
      <c r="AA15" s="101">
        <f>INDEX(GUL_4!$A:$J,MATCH('2022'!$A15,GUL_4!$A:$A,0),MATCH('2022'!$A$1,GUL_4!$3:$3,0))/B15/C15*10^6</f>
        <v>0.19284476930192662</v>
      </c>
      <c r="AB15" s="73">
        <f>INDEX(GUL_5!$A:$J,MATCH('2022'!$A15,GUL_5!$A:$A,0),MATCH('2022'!$A$1,GUL_5!$3:$3,0))</f>
        <v>1.9697196323595435E-2</v>
      </c>
      <c r="AC15" s="49" t="e">
        <f>INDEX(GUL_6!$A:$J,MATCH('2022'!$A15,GUL_6!$A:$A,0),MATCH('2022'!$A$1,GUL_6!$3:$3,0))</f>
        <v>#N/A</v>
      </c>
      <c r="AD15" s="49" t="e">
        <f>INDEX(GUL_7!$A:$J,MATCH('2022'!$A15,GUL_7!$A:$A,0),MATCH('2022'!$A$1,GUL_7!$3:$3,0))</f>
        <v>#N/A</v>
      </c>
      <c r="AE15" s="103">
        <f>INDEX(GUL_8!$A:$J,MATCH('2022'!$A15,GUL_8!$A:$A,0),MATCH('2022'!$A$1,GUL_8!$3:$3,0))/(B15/1000)</f>
        <v>6.0666169776191419</v>
      </c>
      <c r="AF15" s="41">
        <f>INDEX(DES_1!$A:$J,MATCH('2022'!$A15,DES_1!$A:$A,0),MATCH('2022'!$A$1,DES_1!$3:$3,0))/(B15/1000)</f>
        <v>0.11283966967671434</v>
      </c>
      <c r="AG15" s="100">
        <f>INDEX(DES_2!$A:$J,MATCH('2022'!$A15,DES_2!$A:$A,0),MATCH('2022'!$A$1,DES_2!$3:$3,0))/(B15/1000)</f>
        <v>2.2122514186618996</v>
      </c>
      <c r="AH15" s="57">
        <f>1/INDEX(DES_3!$A:$J,MATCH('2022'!$A15,DES_3!$A:$A,0),MATCH('2022'!$A$1,DES_3!$3:$3,0))</f>
        <v>8.9928057553956831E-3</v>
      </c>
      <c r="AI15" s="80" t="e">
        <f>INDEX(DES_4!$A:$J,MATCH('2022'!$A15,DES_4!$A:$A,0),MATCH('2022'!$A$1,DES_4!$3:$3,0))</f>
        <v>#N/A</v>
      </c>
      <c r="AJ15" s="110" t="e">
        <f>INDEX(DES_5!$A:$J,MATCH('2022'!$A15,DES_5!$A:$A,0),MATCH('2022'!$A$1,DES_5!$3:$3,0))</f>
        <v>#N/A</v>
      </c>
      <c r="AK15" s="57">
        <v>76</v>
      </c>
    </row>
    <row r="16" spans="1:37" x14ac:dyDescent="0.3">
      <c r="A16" s="29" t="s">
        <v>15</v>
      </c>
      <c r="B16" s="33">
        <f>INDEX(Population!$A:$J,MATCH('2022'!$A16,Population!$A:$A,0),MATCH('2022'!$A$1,Population!$3:$3,0))</f>
        <v>972711</v>
      </c>
      <c r="C16" s="14">
        <f>INDEX(Income!$A:$J,MATCH('2022'!$A16,Income!$A:$A,0),MATCH('2022'!$A$1,Income!$3:$3,0))</f>
        <v>34051</v>
      </c>
      <c r="D16" s="34">
        <f>INDEX(Livable_wage!$A:$J,MATCH('2022'!$A16,Livable_wage!$A:$A,0),MATCH('2022'!$A$1,Livable_wage!$3:$3,0))</f>
        <v>12210</v>
      </c>
      <c r="E16" s="41">
        <f>INDEX(AVA_1!$A:$J,MATCH('2022'!$A16,AVA_1!$A:$A,0),MATCH('2022'!$A$1,AVA_1!$3:$3,0))</f>
        <v>0.35199999999999998</v>
      </c>
      <c r="F16" s="15">
        <f>INDEX(AVA_2!$A:$J,MATCH('2022'!$A16,AVA_2!$A:$A,0),MATCH('2022'!$A$1,AVA_2!$3:$3,0))</f>
        <v>8.4299346997247296E-3</v>
      </c>
      <c r="G16" s="15">
        <f>INDEX(AVA_3!$A:$J,MATCH('2022'!$A16,AVA_3!$A:$A,0),MATCH('2022'!$A$1,AVA_3!$3:$3,0))</f>
        <v>7.2753525552162635E-2</v>
      </c>
      <c r="H16" s="87">
        <f>INDEX(AVA_4!$A:$J,MATCH('2022'!$A16,AVA_4!$A:$A,0),MATCH('2022'!$A$1,AVA_4!$3:$3,0))/(B16/1000)</f>
        <v>0.68468435126157712</v>
      </c>
      <c r="I16" s="89">
        <f>INDEX(AVA_5!$A:$J,MATCH('2022'!$A16,AVA_5!$A:$A,0),MATCH('2022'!$A$1,AVA_5!$3:$3,0))/(B16/1000)</f>
        <v>4.2674545676979081</v>
      </c>
      <c r="J16" s="93">
        <f>INDEX(IRA_1!$A:$J,MATCH('2022'!$A16,IRA_1!$A:$A,0),MATCH('2022'!$A$1,IRA_1!$3:$3,0))/(B16/1000)</f>
        <v>4.5234401584848941E-2</v>
      </c>
      <c r="K16" s="88">
        <f>INDEX(IRA_2!$A:$J,MATCH('2022'!$A16,IRA_2!$A:$A,0),MATCH('2022'!$A$1,IRA_2!$3:$3,0))/(B16/1000)</f>
        <v>0.10177740356591013</v>
      </c>
      <c r="L16" s="15">
        <f>INDEX(IRA_3!$A:$J,MATCH('2022'!$A16,IRA_3!$A:$A,0),MATCH('2022'!$A$1,IRA_3!$3:$3,0))</f>
        <v>0.33752432270618171</v>
      </c>
      <c r="M16" s="96">
        <f>INDEX(IRA_4!$A:$J,MATCH('2022'!$A16,IRA_4!$A:$A,0),MATCH('2022'!$A$1,IRA_4!$3:$3,0))/(B16/1000)</f>
        <v>3.3997765009339878</v>
      </c>
      <c r="N16" s="61">
        <f>INDEX(INV_1!$A:$J,MATCH('2022'!$A16,INV_1!$A:$A,0),MATCH('2022'!$A$1,INV_1!$3:$3,0))</f>
        <v>6.3517888341286605E-2</v>
      </c>
      <c r="O16" s="80">
        <f>INDEX(INV_2!$A:$J,MATCH('2022'!$A16,INV_2!$A:$A,0),MATCH('2022'!$A$1,INV_2!$3:$3,0))/B16*10^6/C16</f>
        <v>0.66990808258600043</v>
      </c>
      <c r="P16" s="87">
        <f>INDEX(INV_3!$A:$J,MATCH('2022'!$A16,INV_3!$A:$A,0),MATCH('2022'!$A$1,INV_3!$3:$3,0))/B16*10^6/C16</f>
        <v>3.7476848021599278</v>
      </c>
      <c r="Q16" s="87">
        <f>INDEX(INV_4!$A:$J,MATCH('2022'!$A16,INV_4!$A:$A,0),MATCH('2022'!$A$1,INV_4!$3:$3,0))/B16*10^3/C16</f>
        <v>0.2096915360795053</v>
      </c>
      <c r="R16" s="34">
        <f>INDEX(INV_5!$A:$J,MATCH('2022'!$A16,INV_5!$A:$A,0),MATCH('2022'!$A$1,INV_5!$3:$3,0))</f>
        <v>5.5599999999999997E-2</v>
      </c>
      <c r="S16" s="77">
        <f>INDEX(LUJ_1!$A:$J,MATCH('2022'!$A16,LUJ_1!$A:$A,0),MATCH('2022'!$A$1,LUJ_1!$3:$3,0))</f>
        <v>0.65908702342280734</v>
      </c>
      <c r="T16" s="73">
        <f>INDEX(LUJ_2!$A:$J,MATCH('2022'!$A16,LUJ_2!$A:$A,0),MATCH('2022'!$A$1,LUJ_2!$3:$3,0))</f>
        <v>0.19600000000000001</v>
      </c>
      <c r="U16" s="73">
        <f>INDEX(LUJ_3!$A:$J,MATCH('2022'!$A16,LUJ_3!$A:$A,0),MATCH('2022'!$A$1,LUJ_3!$3:$3,0))</f>
        <v>0.37154570300637718</v>
      </c>
      <c r="V16" s="14">
        <f>INDEX(LUJ_4!$A:$J,MATCH('2022'!$A16,LUJ_4!$A:$A,0),MATCH('2022'!$A$1,LUJ_4!$3:$3,0))</f>
        <v>8</v>
      </c>
      <c r="W16" s="34">
        <f>INDEX(LUJ_5!$A:$J,MATCH('2022'!$A16,LUJ_5!$A:$A,0),MATCH('2022'!$A$1,LUJ_5!$3:$3,0))</f>
        <v>18.600000000000001</v>
      </c>
      <c r="X16" s="98">
        <f>1/INDEX(GUL_1!$A:$J,MATCH('2022'!$A16,GUL_1!$A:$A,0),MATCH('2022'!$A$1,GUL_1!$3:$3,0))</f>
        <v>1.3886960144424384E-2</v>
      </c>
      <c r="Y16" s="57" t="e">
        <f>INDEX(GUL_2!$A:$J,MATCH('2022'!$A16,GUL_2!$A:$A,0),MATCH('2022'!$A$1,GUL_2!$3:$3,0))</f>
        <v>#N/A</v>
      </c>
      <c r="Z16" s="57">
        <f>INDEX(GUL_3!$A:$J,MATCH('2022'!$A16,GUL_3!$A:$A,0),MATCH('2022'!$A$1,GUL_3!$3:$3,0))/(B16/1000)</f>
        <v>0.69393684249484178</v>
      </c>
      <c r="AA16" s="101">
        <f>INDEX(GUL_4!$A:$J,MATCH('2022'!$A16,GUL_4!$A:$A,0),MATCH('2022'!$A$1,GUL_4!$3:$3,0))/B16/C16*10^6</f>
        <v>0.25442139355895815</v>
      </c>
      <c r="AB16" s="73">
        <f>INDEX(GUL_5!$A:$J,MATCH('2022'!$A16,GUL_5!$A:$A,0),MATCH('2022'!$A$1,GUL_5!$3:$3,0))</f>
        <v>1.945930793501786E-2</v>
      </c>
      <c r="AC16" s="49" t="e">
        <f>INDEX(GUL_6!$A:$J,MATCH('2022'!$A16,GUL_6!$A:$A,0),MATCH('2022'!$A$1,GUL_6!$3:$3,0))</f>
        <v>#N/A</v>
      </c>
      <c r="AD16" s="49" t="e">
        <f>INDEX(GUL_7!$A:$J,MATCH('2022'!$A16,GUL_7!$A:$A,0),MATCH('2022'!$A$1,GUL_7!$3:$3,0))</f>
        <v>#N/A</v>
      </c>
      <c r="AE16" s="103">
        <f>INDEX(GUL_8!$A:$J,MATCH('2022'!$A16,GUL_8!$A:$A,0),MATCH('2022'!$A$1,GUL_8!$3:$3,0))/(B16/1000)</f>
        <v>2.0057344884554609</v>
      </c>
      <c r="AF16" s="41">
        <f>INDEX(DES_1!$A:$J,MATCH('2022'!$A16,DES_1!$A:$A,0),MATCH('2022'!$A$1,DES_1!$3:$3,0))/(B16/1000)</f>
        <v>7.1963820703168771E-2</v>
      </c>
      <c r="AG16" s="100">
        <f>INDEX(DES_2!$A:$J,MATCH('2022'!$A16,DES_2!$A:$A,0),MATCH('2022'!$A$1,DES_2!$3:$3,0))/(B16/1000)</f>
        <v>0.49552230827039068</v>
      </c>
      <c r="AH16" s="57">
        <f>1/INDEX(DES_3!$A:$J,MATCH('2022'!$A16,DES_3!$A:$A,0),MATCH('2022'!$A$1,DES_3!$3:$3,0))</f>
        <v>7.1890726096333572E-3</v>
      </c>
      <c r="AI16" s="80" t="e">
        <f>INDEX(DES_4!$A:$J,MATCH('2022'!$A16,DES_4!$A:$A,0),MATCH('2022'!$A$1,DES_4!$3:$3,0))</f>
        <v>#N/A</v>
      </c>
      <c r="AJ16" s="110" t="e">
        <f>INDEX(DES_5!$A:$J,MATCH('2022'!$A16,DES_5!$A:$A,0),MATCH('2022'!$A$1,DES_5!$3:$3,0))</f>
        <v>#N/A</v>
      </c>
      <c r="AK16" s="57">
        <v>73</v>
      </c>
    </row>
    <row r="17" spans="1:37" x14ac:dyDescent="0.3">
      <c r="A17" s="29" t="s">
        <v>16</v>
      </c>
      <c r="B17" s="33">
        <f>INDEX(Population!$A:$J,MATCH('2022'!$A17,Population!$A:$A,0),MATCH('2022'!$A$1,Population!$3:$3,0))</f>
        <v>4251426</v>
      </c>
      <c r="C17" s="14">
        <f>INDEX(Income!$A:$J,MATCH('2022'!$A17,Income!$A:$A,0),MATCH('2022'!$A$1,Income!$3:$3,0))</f>
        <v>46187</v>
      </c>
      <c r="D17" s="34">
        <f>INDEX(Livable_wage!$A:$J,MATCH('2022'!$A17,Livable_wage!$A:$A,0),MATCH('2022'!$A$1,Livable_wage!$3:$3,0))</f>
        <v>13501</v>
      </c>
      <c r="E17" s="41">
        <f>INDEX(AVA_1!$A:$J,MATCH('2022'!$A17,AVA_1!$A:$A,0),MATCH('2022'!$A$1,AVA_1!$3:$3,0))</f>
        <v>0.39500000000000002</v>
      </c>
      <c r="F17" s="15">
        <f>INDEX(AVA_2!$A:$J,MATCH('2022'!$A17,AVA_2!$A:$A,0),MATCH('2022'!$A$1,AVA_2!$3:$3,0))</f>
        <v>1.4874849724166601E-2</v>
      </c>
      <c r="G17" s="15">
        <f>INDEX(AVA_3!$A:$J,MATCH('2022'!$A17,AVA_3!$A:$A,0),MATCH('2022'!$A$1,AVA_3!$3:$3,0))</f>
        <v>1.5842096269963284E-2</v>
      </c>
      <c r="H17" s="87">
        <f>INDEX(AVA_4!$A:$J,MATCH('2022'!$A17,AVA_4!$A:$A,0),MATCH('2022'!$A$1,AVA_4!$3:$3,0))/(B17/1000)</f>
        <v>0.51864950724768577</v>
      </c>
      <c r="I17" s="89">
        <f>INDEX(AVA_5!$A:$J,MATCH('2022'!$A17,AVA_5!$A:$A,0),MATCH('2022'!$A$1,AVA_5!$3:$3,0))/(B17/1000)</f>
        <v>4.6826641225791059</v>
      </c>
      <c r="J17" s="93">
        <f>INDEX(IRA_1!$A:$J,MATCH('2022'!$A17,IRA_1!$A:$A,0),MATCH('2022'!$A$1,IRA_1!$3:$3,0))/(B17/1000)</f>
        <v>5.3864279891029501E-2</v>
      </c>
      <c r="K17" s="88">
        <f>INDEX(IRA_2!$A:$J,MATCH('2022'!$A17,IRA_2!$A:$A,0),MATCH('2022'!$A$1,IRA_2!$3:$3,0))/(B17/1000)</f>
        <v>0.15006729506758437</v>
      </c>
      <c r="L17" s="15">
        <f>INDEX(IRA_3!$A:$J,MATCH('2022'!$A17,IRA_3!$A:$A,0),MATCH('2022'!$A$1,IRA_3!$3:$3,0))</f>
        <v>0.33773173839766513</v>
      </c>
      <c r="M17" s="96">
        <f>INDEX(IRA_4!$A:$J,MATCH('2022'!$A17,IRA_4!$A:$A,0),MATCH('2022'!$A$1,IRA_4!$3:$3,0))/(B17/1000)</f>
        <v>3.3584025689262846</v>
      </c>
      <c r="N17" s="61">
        <f>INDEX(INV_1!$A:$J,MATCH('2022'!$A17,INV_1!$A:$A,0),MATCH('2022'!$A$1,INV_1!$3:$3,0))</f>
        <v>7.5019349134445037E-2</v>
      </c>
      <c r="O17" s="80">
        <f>INDEX(INV_2!$A:$J,MATCH('2022'!$A17,INV_2!$A:$A,0),MATCH('2022'!$A$1,INV_2!$3:$3,0))/B17*10^6/C17</f>
        <v>0.65076636574478641</v>
      </c>
      <c r="P17" s="87">
        <f>INDEX(INV_3!$A:$J,MATCH('2022'!$A17,INV_3!$A:$A,0),MATCH('2022'!$A$1,INV_3!$3:$3,0))/B17*10^6/C17</f>
        <v>4.1081915006476821</v>
      </c>
      <c r="Q17" s="87">
        <f>INDEX(INV_4!$A:$J,MATCH('2022'!$A17,INV_4!$A:$A,0),MATCH('2022'!$A$1,INV_4!$3:$3,0))/B17*10^3/C17</f>
        <v>0.20880172013200515</v>
      </c>
      <c r="R17" s="34">
        <f>INDEX(INV_5!$A:$J,MATCH('2022'!$A17,INV_5!$A:$A,0),MATCH('2022'!$A$1,INV_5!$3:$3,0))</f>
        <v>0.114</v>
      </c>
      <c r="S17" s="77">
        <f>INDEX(LUJ_1!$A:$J,MATCH('2022'!$A17,LUJ_1!$A:$A,0),MATCH('2022'!$A$1,LUJ_1!$3:$3,0))</f>
        <v>0.62908132224700875</v>
      </c>
      <c r="T17" s="73">
        <f>INDEX(LUJ_2!$A:$J,MATCH('2022'!$A17,LUJ_2!$A:$A,0),MATCH('2022'!$A$1,LUJ_2!$3:$3,0))</f>
        <v>0.24600000000000002</v>
      </c>
      <c r="U17" s="73">
        <f>INDEX(LUJ_3!$A:$J,MATCH('2022'!$A17,LUJ_3!$A:$A,0),MATCH('2022'!$A$1,LUJ_3!$3:$3,0))</f>
        <v>0.61720156654030578</v>
      </c>
      <c r="V17" s="14">
        <f>INDEX(LUJ_4!$A:$J,MATCH('2022'!$A17,LUJ_4!$A:$A,0),MATCH('2022'!$A$1,LUJ_4!$3:$3,0))</f>
        <v>141</v>
      </c>
      <c r="W17" s="34">
        <f>INDEX(LUJ_5!$A:$J,MATCH('2022'!$A17,LUJ_5!$A:$A,0),MATCH('2022'!$A$1,LUJ_5!$3:$3,0))</f>
        <v>67.7</v>
      </c>
      <c r="X17" s="98">
        <f>1/INDEX(GUL_1!$A:$J,MATCH('2022'!$A17,GUL_1!$A:$A,0),MATCH('2022'!$A$1,GUL_1!$3:$3,0))</f>
        <v>1.4023278642546627E-2</v>
      </c>
      <c r="Y17" s="57" t="e">
        <f>INDEX(GUL_2!$A:$J,MATCH('2022'!$A17,GUL_2!$A:$A,0),MATCH('2022'!$A$1,GUL_2!$3:$3,0))</f>
        <v>#N/A</v>
      </c>
      <c r="Z17" s="57">
        <f>INDEX(GUL_3!$A:$J,MATCH('2022'!$A17,GUL_3!$A:$A,0),MATCH('2022'!$A$1,GUL_3!$3:$3,0))/(B17/1000)</f>
        <v>0.79902602091627606</v>
      </c>
      <c r="AA17" s="101">
        <f>INDEX(GUL_4!$A:$J,MATCH('2022'!$A17,GUL_4!$A:$A,0),MATCH('2022'!$A$1,GUL_4!$3:$3,0))/B17/C17*10^6</f>
        <v>0.37563281658202963</v>
      </c>
      <c r="AB17" s="73">
        <f>INDEX(GUL_5!$A:$J,MATCH('2022'!$A17,GUL_5!$A:$A,0),MATCH('2022'!$A$1,GUL_5!$3:$3,0))</f>
        <v>3.9492179376005389E-2</v>
      </c>
      <c r="AC17" s="49" t="e">
        <f>INDEX(GUL_6!$A:$J,MATCH('2022'!$A17,GUL_6!$A:$A,0),MATCH('2022'!$A$1,GUL_6!$3:$3,0))</f>
        <v>#N/A</v>
      </c>
      <c r="AD17" s="49" t="e">
        <f>INDEX(GUL_7!$A:$J,MATCH('2022'!$A17,GUL_7!$A:$A,0),MATCH('2022'!$A$1,GUL_7!$3:$3,0))</f>
        <v>#N/A</v>
      </c>
      <c r="AE17" s="103">
        <f>INDEX(GUL_8!$A:$J,MATCH('2022'!$A17,GUL_8!$A:$A,0),MATCH('2022'!$A$1,GUL_8!$3:$3,0))/(B17/1000)</f>
        <v>1.9962713687125213</v>
      </c>
      <c r="AF17" s="41">
        <f>INDEX(DES_1!$A:$J,MATCH('2022'!$A17,DES_1!$A:$A,0),MATCH('2022'!$A$1,DES_1!$3:$3,0))/(B17/1000)</f>
        <v>5.5275571067213682E-2</v>
      </c>
      <c r="AG17" s="100">
        <f>INDEX(DES_2!$A:$J,MATCH('2022'!$A17,DES_2!$A:$A,0),MATCH('2022'!$A$1,DES_2!$3:$3,0))/(B17/1000)</f>
        <v>0.57862938223551341</v>
      </c>
      <c r="AH17" s="57">
        <f>1/INDEX(DES_3!$A:$J,MATCH('2022'!$A17,DES_3!$A:$A,0),MATCH('2022'!$A$1,DES_3!$3:$3,0))</f>
        <v>8.0840743734842367E-3</v>
      </c>
      <c r="AI17" s="80" t="e">
        <f>INDEX(DES_4!$A:$J,MATCH('2022'!$A17,DES_4!$A:$A,0),MATCH('2022'!$A$1,DES_4!$3:$3,0))</f>
        <v>#N/A</v>
      </c>
      <c r="AJ17" s="110" t="e">
        <f>INDEX(DES_5!$A:$J,MATCH('2022'!$A17,DES_5!$A:$A,0),MATCH('2022'!$A$1,DES_5!$3:$3,0))</f>
        <v>#N/A</v>
      </c>
      <c r="AK17" s="57">
        <v>72</v>
      </c>
    </row>
    <row r="18" spans="1:37" x14ac:dyDescent="0.3">
      <c r="A18" s="29" t="s">
        <v>17</v>
      </c>
      <c r="B18" s="33">
        <f>INDEX(Population!$A:$J,MATCH('2022'!$A18,Population!$A:$A,0),MATCH('2022'!$A$1,Population!$3:$3,0))</f>
        <v>1722058</v>
      </c>
      <c r="C18" s="14">
        <f>INDEX(Income!$A:$J,MATCH('2022'!$A18,Income!$A:$A,0),MATCH('2022'!$A$1,Income!$3:$3,0))</f>
        <v>62796</v>
      </c>
      <c r="D18" s="34">
        <f>INDEX(Livable_wage!$A:$J,MATCH('2022'!$A18,Livable_wage!$A:$A,0),MATCH('2022'!$A$1,Livable_wage!$3:$3,0))</f>
        <v>18625</v>
      </c>
      <c r="E18" s="41">
        <f>INDEX(AVA_1!$A:$J,MATCH('2022'!$A18,AVA_1!$A:$A,0),MATCH('2022'!$A$1,AVA_1!$3:$3,0))</f>
        <v>0.38300000000000001</v>
      </c>
      <c r="F18" s="15">
        <f>INDEX(AVA_2!$A:$J,MATCH('2022'!$A18,AVA_2!$A:$A,0),MATCH('2022'!$A$1,AVA_2!$3:$3,0))</f>
        <v>1.1066553747072029E-2</v>
      </c>
      <c r="G18" s="15">
        <f>INDEX(AVA_3!$A:$J,MATCH('2022'!$A18,AVA_3!$A:$A,0),MATCH('2022'!$A$1,AVA_3!$3:$3,0))</f>
        <v>0.28416752014217922</v>
      </c>
      <c r="H18" s="87">
        <f>INDEX(AVA_4!$A:$J,MATCH('2022'!$A18,AVA_4!$A:$A,0),MATCH('2022'!$A$1,AVA_4!$3:$3,0))/(B18/1000)</f>
        <v>0.63122148034502901</v>
      </c>
      <c r="I18" s="89">
        <f>INDEX(AVA_5!$A:$J,MATCH('2022'!$A18,AVA_5!$A:$A,0),MATCH('2022'!$A$1,AVA_5!$3:$3,0))/(B18/1000)</f>
        <v>3.1322986798354062</v>
      </c>
      <c r="J18" s="93">
        <f>INDEX(IRA_1!$A:$J,MATCH('2022'!$A18,IRA_1!$A:$A,0),MATCH('2022'!$A$1,IRA_1!$3:$3,0))/(B18/1000)</f>
        <v>3.8326235237140675E-2</v>
      </c>
      <c r="K18" s="88">
        <f>INDEX(IRA_2!$A:$J,MATCH('2022'!$A18,IRA_2!$A:$A,0),MATCH('2022'!$A$1,IRA_2!$3:$3,0))/(B18/1000)</f>
        <v>0.13762602653336881</v>
      </c>
      <c r="L18" s="15">
        <f>INDEX(IRA_3!$A:$J,MATCH('2022'!$A18,IRA_3!$A:$A,0),MATCH('2022'!$A$1,IRA_3!$3:$3,0))</f>
        <v>0.40531682447195916</v>
      </c>
      <c r="M18" s="96">
        <f>INDEX(IRA_4!$A:$J,MATCH('2022'!$A18,IRA_4!$A:$A,0),MATCH('2022'!$A$1,IRA_4!$3:$3,0))/(B18/1000)</f>
        <v>2.3315126435927245</v>
      </c>
      <c r="N18" s="61">
        <f>INDEX(INV_1!$A:$J,MATCH('2022'!$A18,INV_1!$A:$A,0),MATCH('2022'!$A$1,INV_1!$3:$3,0))</f>
        <v>6.1481385485724308E-2</v>
      </c>
      <c r="O18" s="80">
        <f>INDEX(INV_2!$A:$J,MATCH('2022'!$A18,INV_2!$A:$A,0),MATCH('2022'!$A$1,INV_2!$3:$3,0))/B18*10^6/C18</f>
        <v>0.37086176657674952</v>
      </c>
      <c r="P18" s="87">
        <f>INDEX(INV_3!$A:$J,MATCH('2022'!$A18,INV_3!$A:$A,0),MATCH('2022'!$A$1,INV_3!$3:$3,0))/B18*10^6/C18</f>
        <v>5.37174811350972</v>
      </c>
      <c r="Q18" s="87">
        <f>INDEX(INV_4!$A:$J,MATCH('2022'!$A18,INV_4!$A:$A,0),MATCH('2022'!$A$1,INV_4!$3:$3,0))/B18*10^3/C18</f>
        <v>0.24887384404047055</v>
      </c>
      <c r="R18" s="34">
        <f>INDEX(INV_5!$A:$J,MATCH('2022'!$A18,INV_5!$A:$A,0),MATCH('2022'!$A$1,INV_5!$3:$3,0))</f>
        <v>9.7699999999999995E-2</v>
      </c>
      <c r="S18" s="77">
        <f>INDEX(LUJ_1!$A:$J,MATCH('2022'!$A18,LUJ_1!$A:$A,0),MATCH('2022'!$A$1,LUJ_1!$3:$3,0))</f>
        <v>0.71608610567514674</v>
      </c>
      <c r="T18" s="73">
        <f>INDEX(LUJ_2!$A:$J,MATCH('2022'!$A18,LUJ_2!$A:$A,0),MATCH('2022'!$A$1,LUJ_2!$3:$3,0))</f>
        <v>0.17499999999999999</v>
      </c>
      <c r="U18" s="73">
        <f>INDEX(LUJ_3!$A:$J,MATCH('2022'!$A18,LUJ_3!$A:$A,0),MATCH('2022'!$A$1,LUJ_3!$3:$3,0))</f>
        <v>0.36074089621156469</v>
      </c>
      <c r="V18" s="14">
        <f>INDEX(LUJ_4!$A:$J,MATCH('2022'!$A18,LUJ_4!$A:$A,0),MATCH('2022'!$A$1,LUJ_4!$3:$3,0))</f>
        <v>44</v>
      </c>
      <c r="W18" s="34">
        <f>INDEX(LUJ_5!$A:$J,MATCH('2022'!$A18,LUJ_5!$A:$A,0),MATCH('2022'!$A$1,LUJ_5!$3:$3,0))</f>
        <v>38.299999999999997</v>
      </c>
      <c r="X18" s="98">
        <f>1/INDEX(GUL_1!$A:$J,MATCH('2022'!$A18,GUL_1!$A:$A,0),MATCH('2022'!$A$1,GUL_1!$3:$3,0))</f>
        <v>1.3260840737302746E-2</v>
      </c>
      <c r="Y18" s="57" t="e">
        <f>INDEX(GUL_2!$A:$J,MATCH('2022'!$A18,GUL_2!$A:$A,0),MATCH('2022'!$A$1,GUL_2!$3:$3,0))</f>
        <v>#N/A</v>
      </c>
      <c r="Z18" s="57">
        <f>INDEX(GUL_3!$A:$J,MATCH('2022'!$A18,GUL_3!$A:$A,0),MATCH('2022'!$A$1,GUL_3!$3:$3,0))/(B18/1000)</f>
        <v>0.39197286037984785</v>
      </c>
      <c r="AA18" s="101">
        <f>INDEX(GUL_4!$A:$J,MATCH('2022'!$A18,GUL_4!$A:$A,0),MATCH('2022'!$A$1,GUL_4!$3:$3,0))/B18/C18*10^6</f>
        <v>0.34847756182284573</v>
      </c>
      <c r="AB18" s="73">
        <f>INDEX(GUL_5!$A:$J,MATCH('2022'!$A18,GUL_5!$A:$A,0),MATCH('2022'!$A$1,GUL_5!$3:$3,0))</f>
        <v>3.2162433509931143E-2</v>
      </c>
      <c r="AC18" s="49" t="e">
        <f>INDEX(GUL_6!$A:$J,MATCH('2022'!$A18,GUL_6!$A:$A,0),MATCH('2022'!$A$1,GUL_6!$3:$3,0))</f>
        <v>#N/A</v>
      </c>
      <c r="AD18" s="49" t="e">
        <f>INDEX(GUL_7!$A:$J,MATCH('2022'!$A18,GUL_7!$A:$A,0),MATCH('2022'!$A$1,GUL_7!$3:$3,0))</f>
        <v>#N/A</v>
      </c>
      <c r="AE18" s="103">
        <f>INDEX(GUL_8!$A:$J,MATCH('2022'!$A18,GUL_8!$A:$A,0),MATCH('2022'!$A$1,GUL_8!$3:$3,0))/(B18/1000)</f>
        <v>1.3791637680031683</v>
      </c>
      <c r="AF18" s="41">
        <f>INDEX(DES_1!$A:$J,MATCH('2022'!$A18,DES_1!$A:$A,0),MATCH('2022'!$A$1,DES_1!$3:$3,0))/(B18/1000)</f>
        <v>8.9427882219994911E-2</v>
      </c>
      <c r="AG18" s="100">
        <f>INDEX(DES_2!$A:$J,MATCH('2022'!$A18,DES_2!$A:$A,0),MATCH('2022'!$A$1,DES_2!$3:$3,0))/(B18/1000)</f>
        <v>0.46746392978633705</v>
      </c>
      <c r="AH18" s="57">
        <f>1/INDEX(DES_3!$A:$J,MATCH('2022'!$A18,DES_3!$A:$A,0),MATCH('2022'!$A$1,DES_3!$3:$3,0))</f>
        <v>1.0822510822510822E-2</v>
      </c>
      <c r="AI18" s="80" t="e">
        <f>INDEX(DES_4!$A:$J,MATCH('2022'!$A18,DES_4!$A:$A,0),MATCH('2022'!$A$1,DES_4!$3:$3,0))</f>
        <v>#N/A</v>
      </c>
      <c r="AJ18" s="110" t="e">
        <f>INDEX(DES_5!$A:$J,MATCH('2022'!$A18,DES_5!$A:$A,0),MATCH('2022'!$A$1,DES_5!$3:$3,0))</f>
        <v>#N/A</v>
      </c>
      <c r="AK18" s="57">
        <v>71</v>
      </c>
    </row>
    <row r="19" spans="1:37" x14ac:dyDescent="0.3">
      <c r="A19" s="29" t="s">
        <v>18</v>
      </c>
      <c r="B19" s="33">
        <f>INDEX(Population!$A:$J,MATCH('2022'!$A19,Population!$A:$A,0),MATCH('2022'!$A$1,Population!$3:$3,0))</f>
        <v>47873</v>
      </c>
      <c r="C19" s="14">
        <f>INDEX(Income!$A:$J,MATCH('2022'!$A19,Income!$A:$A,0),MATCH('2022'!$A$1,Income!$3:$3,0))</f>
        <v>113097</v>
      </c>
      <c r="D19" s="34">
        <f>INDEX(Livable_wage!$A:$J,MATCH('2022'!$A19,Livable_wage!$A:$A,0),MATCH('2022'!$A$1,Livable_wage!$3:$3,0))</f>
        <v>31736</v>
      </c>
      <c r="E19" s="41">
        <f>INDEX(AVA_1!$A:$J,MATCH('2022'!$A19,AVA_1!$A:$A,0),MATCH('2022'!$A$1,AVA_1!$3:$3,0))</f>
        <v>0.41</v>
      </c>
      <c r="F19" s="15">
        <f>INDEX(AVA_2!$A:$J,MATCH('2022'!$A19,AVA_2!$A:$A,0),MATCH('2022'!$A$1,AVA_2!$3:$3,0))</f>
        <v>8.6255433191451021E-3</v>
      </c>
      <c r="G19" s="15">
        <f>INDEX(AVA_3!$A:$J,MATCH('2022'!$A19,AVA_3!$A:$A,0),MATCH('2022'!$A$1,AVA_3!$3:$3,0))</f>
        <v>2.5752859317310041E-3</v>
      </c>
      <c r="H19" s="87">
        <f>INDEX(AVA_4!$A:$J,MATCH('2022'!$A19,AVA_4!$A:$A,0),MATCH('2022'!$A$1,AVA_4!$3:$3,0))/(B19/1000)</f>
        <v>1.0653186556096339</v>
      </c>
      <c r="I19" s="89">
        <f>INDEX(AVA_5!$A:$J,MATCH('2022'!$A19,AVA_5!$A:$A,0),MATCH('2022'!$A$1,AVA_5!$3:$3,0))/(B19/1000)</f>
        <v>3.8226139995404509</v>
      </c>
      <c r="J19" s="93">
        <f>INDEX(IRA_1!$A:$J,MATCH('2022'!$A19,IRA_1!$A:$A,0),MATCH('2022'!$A$1,IRA_1!$3:$3,0))/(B19/1000)</f>
        <v>0.1879974098134648</v>
      </c>
      <c r="K19" s="88">
        <f>INDEX(IRA_2!$A:$J,MATCH('2022'!$A19,IRA_2!$A:$A,0),MATCH('2022'!$A$1,IRA_2!$3:$3,0))/(B19/1000)</f>
        <v>0.5013264261692395</v>
      </c>
      <c r="L19" s="15">
        <f>INDEX(IRA_3!$A:$J,MATCH('2022'!$A19,IRA_3!$A:$A,0),MATCH('2022'!$A$1,IRA_3!$3:$3,0))</f>
        <v>0.47347740667976423</v>
      </c>
      <c r="M19" s="96">
        <f>INDEX(IRA_4!$A:$J,MATCH('2022'!$A19,IRA_4!$A:$A,0),MATCH('2022'!$A$1,IRA_4!$3:$3,0))/(B19/1000)</f>
        <v>4.6790466442462355</v>
      </c>
      <c r="N19" s="61">
        <f>INDEX(INV_1!$A:$J,MATCH('2022'!$A19,INV_1!$A:$A,0),MATCH('2022'!$A$1,INV_1!$3:$3,0))</f>
        <v>5.7211613540407796E-2</v>
      </c>
      <c r="O19" s="80">
        <f>INDEX(INV_2!$A:$J,MATCH('2022'!$A19,INV_2!$A:$A,0),MATCH('2022'!$A$1,INV_2!$3:$3,0))/B19*10^6/C19</f>
        <v>6.3983923131001935E-3</v>
      </c>
      <c r="P19" s="87">
        <f>INDEX(INV_3!$A:$J,MATCH('2022'!$A19,INV_3!$A:$A,0),MATCH('2022'!$A$1,INV_3!$3:$3,0))/B19*10^6/C19</f>
        <v>2.8459857839000335</v>
      </c>
      <c r="Q19" s="87">
        <f>INDEX(INV_4!$A:$J,MATCH('2022'!$A19,INV_4!$A:$A,0),MATCH('2022'!$A$1,INV_4!$3:$3,0))/B19*10^3/C19</f>
        <v>0.13379387533704701</v>
      </c>
      <c r="R19" s="34">
        <f>INDEX(INV_5!$A:$J,MATCH('2022'!$A19,INV_5!$A:$A,0),MATCH('2022'!$A$1,INV_5!$3:$3,0))</f>
        <v>5.3800000000000001E-2</v>
      </c>
      <c r="S19" s="77">
        <f>INDEX(LUJ_1!$A:$J,MATCH('2022'!$A19,LUJ_1!$A:$A,0),MATCH('2022'!$A$1,LUJ_1!$3:$3,0))</f>
        <v>0.50591016548463352</v>
      </c>
      <c r="T19" s="73">
        <f>INDEX(LUJ_2!$A:$J,MATCH('2022'!$A19,LUJ_2!$A:$A,0),MATCH('2022'!$A$1,LUJ_2!$3:$3,0))</f>
        <v>0.374</v>
      </c>
      <c r="U19" s="73">
        <f>INDEX(LUJ_3!$A:$J,MATCH('2022'!$A19,LUJ_3!$A:$A,0),MATCH('2022'!$A$1,LUJ_3!$3:$3,0))</f>
        <v>0.5807086614173228</v>
      </c>
      <c r="V19" s="14">
        <f>INDEX(LUJ_4!$A:$J,MATCH('2022'!$A19,LUJ_4!$A:$A,0),MATCH('2022'!$A$1,LUJ_4!$3:$3,0))</f>
        <v>4</v>
      </c>
      <c r="W19" s="34">
        <f>INDEX(LUJ_5!$A:$J,MATCH('2022'!$A19,LUJ_5!$A:$A,0),MATCH('2022'!$A$1,LUJ_5!$3:$3,0))</f>
        <v>58.4</v>
      </c>
      <c r="X19" s="98">
        <f>1/INDEX(GUL_1!$A:$J,MATCH('2022'!$A19,GUL_1!$A:$A,0),MATCH('2022'!$A$1,GUL_1!$3:$3,0))</f>
        <v>1.5105740181268881E-2</v>
      </c>
      <c r="Y19" s="57" t="e">
        <f>INDEX(GUL_2!$A:$J,MATCH('2022'!$A19,GUL_2!$A:$A,0),MATCH('2022'!$A$1,GUL_2!$3:$3,0))</f>
        <v>#N/A</v>
      </c>
      <c r="Z19" s="57">
        <f>INDEX(GUL_3!$A:$J,MATCH('2022'!$A19,GUL_3!$A:$A,0),MATCH('2022'!$A$1,GUL_3!$3:$3,0))/(B19/1000)</f>
        <v>0.60576943162116437</v>
      </c>
      <c r="AA19" s="101">
        <f>INDEX(GUL_4!$A:$J,MATCH('2022'!$A19,GUL_4!$A:$A,0),MATCH('2022'!$A$1,GUL_4!$3:$3,0))/B19/C19*10^6</f>
        <v>0.41702400166201875</v>
      </c>
      <c r="AB19" s="73">
        <f>INDEX(GUL_5!$A:$J,MATCH('2022'!$A19,GUL_5!$A:$A,0),MATCH('2022'!$A$1,GUL_5!$3:$3,0))</f>
        <v>5.5047615965874638E-2</v>
      </c>
      <c r="AC19" s="49" t="e">
        <f>INDEX(GUL_6!$A:$J,MATCH('2022'!$A19,GUL_6!$A:$A,0),MATCH('2022'!$A$1,GUL_6!$3:$3,0))</f>
        <v>#N/A</v>
      </c>
      <c r="AD19" s="49" t="e">
        <f>INDEX(GUL_7!$A:$J,MATCH('2022'!$A19,GUL_7!$A:$A,0),MATCH('2022'!$A$1,GUL_7!$3:$3,0))</f>
        <v>#N/A</v>
      </c>
      <c r="AE19" s="103">
        <f>INDEX(GUL_8!$A:$J,MATCH('2022'!$A19,GUL_8!$A:$A,0),MATCH('2022'!$A$1,GUL_8!$3:$3,0))/(B19/1000)</f>
        <v>4.4074948300712302</v>
      </c>
      <c r="AF19" s="41">
        <f>INDEX(DES_1!$A:$J,MATCH('2022'!$A19,DES_1!$A:$A,0),MATCH('2022'!$A$1,DES_1!$3:$3,0))/(B19/1000)</f>
        <v>0.25066321308461975</v>
      </c>
      <c r="AG19" s="100">
        <f>INDEX(DES_2!$A:$J,MATCH('2022'!$A19,DES_2!$A:$A,0),MATCH('2022'!$A$1,DES_2!$3:$3,0))/(B19/1000)</f>
        <v>0.27155181417500474</v>
      </c>
      <c r="AH19" s="57">
        <f>1/INDEX(DES_3!$A:$J,MATCH('2022'!$A19,DES_3!$A:$A,0),MATCH('2022'!$A$1,DES_3!$3:$3,0))</f>
        <v>7.8247261345852897E-3</v>
      </c>
      <c r="AI19" s="80" t="e">
        <f>INDEX(DES_4!$A:$J,MATCH('2022'!$A19,DES_4!$A:$A,0),MATCH('2022'!$A$1,DES_4!$3:$3,0))</f>
        <v>#N/A</v>
      </c>
      <c r="AJ19" s="110" t="e">
        <f>INDEX(DES_5!$A:$J,MATCH('2022'!$A19,DES_5!$A:$A,0),MATCH('2022'!$A$1,DES_5!$3:$3,0))</f>
        <v>#N/A</v>
      </c>
      <c r="AK19" s="57">
        <v>68</v>
      </c>
    </row>
    <row r="20" spans="1:37" x14ac:dyDescent="0.3">
      <c r="A20" s="29" t="s">
        <v>19</v>
      </c>
      <c r="B20" s="33">
        <f>INDEX(Population!$A:$J,MATCH('2022'!$A20,Population!$A:$A,0),MATCH('2022'!$A$1,Population!$3:$3,0))</f>
        <v>3839456</v>
      </c>
      <c r="C20" s="14">
        <f>INDEX(Income!$A:$J,MATCH('2022'!$A20,Income!$A:$A,0),MATCH('2022'!$A$1,Income!$3:$3,0))</f>
        <v>58818</v>
      </c>
      <c r="D20" s="34">
        <f>INDEX(Livable_wage!$A:$J,MATCH('2022'!$A20,Livable_wage!$A:$A,0),MATCH('2022'!$A$1,Livable_wage!$3:$3,0))</f>
        <v>16817.943767815024</v>
      </c>
      <c r="E20" s="41">
        <f>INDEX(AVA_1!$A:$J,MATCH('2022'!$A20,AVA_1!$A:$A,0),MATCH('2022'!$A$1,AVA_1!$3:$3,0))</f>
        <v>0.42599999999999999</v>
      </c>
      <c r="F20" s="15">
        <f>INDEX(AVA_2!$A:$J,MATCH('2022'!$A20,AVA_2!$A:$A,0),MATCH('2022'!$A$1,AVA_2!$3:$3,0))</f>
        <v>1.0838788843515516E-2</v>
      </c>
      <c r="G20" s="15">
        <f>INDEX(AVA_3!$A:$J,MATCH('2022'!$A20,AVA_3!$A:$A,0),MATCH('2022'!$A$1,AVA_3!$3:$3,0))</f>
        <v>0.17433473218092815</v>
      </c>
      <c r="H20" s="87">
        <f>INDEX(AVA_4!$A:$J,MATCH('2022'!$A20,AVA_4!$A:$A,0),MATCH('2022'!$A$1,AVA_4!$3:$3,0))/(B20/1000)</f>
        <v>0.67613745280581417</v>
      </c>
      <c r="I20" s="89">
        <f>INDEX(AVA_5!$A:$J,MATCH('2022'!$A20,AVA_5!$A:$A,0),MATCH('2022'!$A$1,AVA_5!$3:$3,0))/(B20/1000)</f>
        <v>3.6346294891776334</v>
      </c>
      <c r="J20" s="93">
        <f>INDEX(IRA_1!$A:$J,MATCH('2022'!$A20,IRA_1!$A:$A,0),MATCH('2022'!$A$1,IRA_1!$3:$3,0))/(B20/1000)</f>
        <v>2.3180367218689314E-2</v>
      </c>
      <c r="K20" s="88">
        <f>INDEX(IRA_2!$A:$J,MATCH('2022'!$A20,IRA_2!$A:$A,0),MATCH('2022'!$A$1,IRA_2!$3:$3,0))/(B20/1000)</f>
        <v>7.7615162147970956E-2</v>
      </c>
      <c r="L20" s="15">
        <f>INDEX(IRA_3!$A:$J,MATCH('2022'!$A20,IRA_3!$A:$A,0),MATCH('2022'!$A$1,IRA_3!$3:$3,0))</f>
        <v>0.38727866257790089</v>
      </c>
      <c r="M20" s="96">
        <f>INDEX(IRA_4!$A:$J,MATCH('2022'!$A20,IRA_4!$A:$A,0),MATCH('2022'!$A$1,IRA_4!$3:$3,0))/(B20/1000)</f>
        <v>1.3772784477801021</v>
      </c>
      <c r="N20" s="61">
        <f>INDEX(INV_1!$A:$J,MATCH('2022'!$A20,INV_1!$A:$A,0),MATCH('2022'!$A$1,INV_1!$3:$3,0))</f>
        <v>7.4460357026695748E-2</v>
      </c>
      <c r="O20" s="80">
        <f>INDEX(INV_2!$A:$J,MATCH('2022'!$A20,INV_2!$A:$A,0),MATCH('2022'!$A$1,INV_2!$3:$3,0))/B20*10^6/C20</f>
        <v>0.37209941860134926</v>
      </c>
      <c r="P20" s="87">
        <f>INDEX(INV_3!$A:$J,MATCH('2022'!$A20,INV_3!$A:$A,0),MATCH('2022'!$A$1,INV_3!$3:$3,0))/B20*10^6/C20</f>
        <v>5.2026770699471685</v>
      </c>
      <c r="Q20" s="87">
        <f>INDEX(INV_4!$A:$J,MATCH('2022'!$A20,INV_4!$A:$A,0),MATCH('2022'!$A$1,INV_4!$3:$3,0))/B20*10^3/C20</f>
        <v>0.23229169157310886</v>
      </c>
      <c r="R20" s="34">
        <f>INDEX(INV_5!$A:$J,MATCH('2022'!$A20,INV_5!$A:$A,0),MATCH('2022'!$A$1,INV_5!$3:$3,0))</f>
        <v>0.15690000000000001</v>
      </c>
      <c r="S20" s="77">
        <f>INDEX(LUJ_1!$A:$J,MATCH('2022'!$A20,LUJ_1!$A:$A,0),MATCH('2022'!$A$1,LUJ_1!$3:$3,0))</f>
        <v>0.6636667003741531</v>
      </c>
      <c r="T20" s="73">
        <f>INDEX(LUJ_2!$A:$J,MATCH('2022'!$A20,LUJ_2!$A:$A,0),MATCH('2022'!$A$1,LUJ_2!$3:$3,0))</f>
        <v>0.20300000000000001</v>
      </c>
      <c r="U20" s="73">
        <f>INDEX(LUJ_3!$A:$J,MATCH('2022'!$A20,LUJ_3!$A:$A,0),MATCH('2022'!$A$1,LUJ_3!$3:$3,0))</f>
        <v>0.40746525783852072</v>
      </c>
      <c r="V20" s="14">
        <f>INDEX(LUJ_4!$A:$J,MATCH('2022'!$A20,LUJ_4!$A:$A,0),MATCH('2022'!$A$1,LUJ_4!$3:$3,0))</f>
        <v>109</v>
      </c>
      <c r="W20" s="34">
        <f>INDEX(LUJ_5!$A:$J,MATCH('2022'!$A20,LUJ_5!$A:$A,0),MATCH('2022'!$A$1,LUJ_5!$3:$3,0))</f>
        <v>0</v>
      </c>
      <c r="X20" s="98">
        <f>1/INDEX(GUL_1!$A:$J,MATCH('2022'!$A20,GUL_1!$A:$A,0),MATCH('2022'!$A$1,GUL_1!$3:$3,0))</f>
        <v>1.3406622871698618E-2</v>
      </c>
      <c r="Y20" s="57" t="e">
        <f>INDEX(GUL_2!$A:$J,MATCH('2022'!$A20,GUL_2!$A:$A,0),MATCH('2022'!$A$1,GUL_2!$3:$3,0))</f>
        <v>#N/A</v>
      </c>
      <c r="Z20" s="57">
        <f>INDEX(GUL_3!$A:$J,MATCH('2022'!$A20,GUL_3!$A:$A,0),MATCH('2022'!$A$1,GUL_3!$3:$3,0))/(B20/1000)</f>
        <v>0.43834334864105745</v>
      </c>
      <c r="AA20" s="101">
        <f>INDEX(GUL_4!$A:$J,MATCH('2022'!$A20,GUL_4!$A:$A,0),MATCH('2022'!$A$1,GUL_4!$3:$3,0))/B20/C20*10^6</f>
        <v>0.43040857045066205</v>
      </c>
      <c r="AB20" s="73">
        <f>INDEX(GUL_5!$A:$J,MATCH('2022'!$A20,GUL_5!$A:$A,0),MATCH('2022'!$A$1,GUL_5!$3:$3,0))</f>
        <v>2.8584132942481265E-2</v>
      </c>
      <c r="AC20" s="49" t="e">
        <f>INDEX(GUL_6!$A:$J,MATCH('2022'!$A20,GUL_6!$A:$A,0),MATCH('2022'!$A$1,GUL_6!$3:$3,0))</f>
        <v>#N/A</v>
      </c>
      <c r="AD20" s="49" t="e">
        <f>INDEX(GUL_7!$A:$J,MATCH('2022'!$A20,GUL_7!$A:$A,0),MATCH('2022'!$A$1,GUL_7!$3:$3,0))</f>
        <v>#N/A</v>
      </c>
      <c r="AE20" s="103">
        <f>INDEX(GUL_8!$A:$J,MATCH('2022'!$A20,GUL_8!$A:$A,0),MATCH('2022'!$A$1,GUL_8!$3:$3,0))/(B20/1000)</f>
        <v>0.89804388955101966</v>
      </c>
      <c r="AF20" s="41">
        <f>INDEX(DES_1!$A:$J,MATCH('2022'!$A20,DES_1!$A:$A,0),MATCH('2022'!$A$1,DES_1!$3:$3,0))/(B20/1000)</f>
        <v>0.1104323112440929</v>
      </c>
      <c r="AG20" s="100">
        <f>INDEX(DES_2!$A:$J,MATCH('2022'!$A20,DES_2!$A:$A,0),MATCH('2022'!$A$1,DES_2!$3:$3,0))/(B20/1000)</f>
        <v>0.26800671761832923</v>
      </c>
      <c r="AH20" s="57">
        <f>1/INDEX(DES_3!$A:$J,MATCH('2022'!$A20,DES_3!$A:$A,0),MATCH('2022'!$A$1,DES_3!$3:$3,0))</f>
        <v>8.658008658008658E-3</v>
      </c>
      <c r="AI20" s="80" t="e">
        <f>INDEX(DES_4!$A:$J,MATCH('2022'!$A20,DES_4!$A:$A,0),MATCH('2022'!$A$1,DES_4!$3:$3,0))</f>
        <v>#N/A</v>
      </c>
      <c r="AJ20" s="110" t="e">
        <f>INDEX(DES_5!$A:$J,MATCH('2022'!$A20,DES_5!$A:$A,0),MATCH('2022'!$A$1,DES_5!$3:$3,0))</f>
        <v>#N/A</v>
      </c>
      <c r="AK20" s="57">
        <v>20</v>
      </c>
    </row>
    <row r="21" spans="1:37" x14ac:dyDescent="0.3">
      <c r="A21" s="29" t="s">
        <v>20</v>
      </c>
      <c r="B21" s="33">
        <f>INDEX(Population!$A:$J,MATCH('2022'!$A21,Population!$A:$A,0),MATCH('2022'!$A$1,Population!$3:$3,0))</f>
        <v>1333872</v>
      </c>
      <c r="C21" s="14">
        <f>INDEX(Income!$A:$J,MATCH('2022'!$A21,Income!$A:$A,0),MATCH('2022'!$A$1,Income!$3:$3,0))</f>
        <v>32296</v>
      </c>
      <c r="D21" s="34">
        <f>INDEX(Livable_wage!$A:$J,MATCH('2022'!$A21,Livable_wage!$A:$A,0),MATCH('2022'!$A$1,Livable_wage!$3:$3,0))</f>
        <v>13501</v>
      </c>
      <c r="E21" s="41">
        <f>INDEX(AVA_1!$A:$J,MATCH('2022'!$A21,AVA_1!$A:$A,0),MATCH('2022'!$A$1,AVA_1!$3:$3,0))</f>
        <v>0.32500000000000001</v>
      </c>
      <c r="F21" s="15">
        <f>INDEX(AVA_2!$A:$J,MATCH('2022'!$A21,AVA_2!$A:$A,0),MATCH('2022'!$A$1,AVA_2!$3:$3,0))</f>
        <v>8.8950296952179462E-3</v>
      </c>
      <c r="G21" s="15">
        <f>INDEX(AVA_3!$A:$J,MATCH('2022'!$A21,AVA_3!$A:$A,0),MATCH('2022'!$A$1,AVA_3!$3:$3,0))</f>
        <v>2.17086090481655E-2</v>
      </c>
      <c r="H21" s="87">
        <f>INDEX(AVA_4!$A:$J,MATCH('2022'!$A21,AVA_4!$A:$A,0),MATCH('2022'!$A$1,AVA_4!$3:$3,0))/(B21/1000)</f>
        <v>0.61175285184785344</v>
      </c>
      <c r="I21" s="89">
        <f>INDEX(AVA_5!$A:$J,MATCH('2022'!$A21,AVA_5!$A:$A,0),MATCH('2022'!$A$1,AVA_5!$3:$3,0))/(B21/1000)</f>
        <v>3.9441565607494571</v>
      </c>
      <c r="J21" s="93">
        <f>INDEX(IRA_1!$A:$J,MATCH('2022'!$A21,IRA_1!$A:$A,0),MATCH('2022'!$A$1,IRA_1!$3:$3,0))/(B21/1000)</f>
        <v>4.0483644607578535E-2</v>
      </c>
      <c r="K21" s="88">
        <f>INDEX(IRA_2!$A:$J,MATCH('2022'!$A21,IRA_2!$A:$A,0),MATCH('2022'!$A$1,IRA_2!$3:$3,0))/(B21/1000)</f>
        <v>0.12594911655691099</v>
      </c>
      <c r="L21" s="15">
        <f>INDEX(IRA_3!$A:$J,MATCH('2022'!$A21,IRA_3!$A:$A,0),MATCH('2022'!$A$1,IRA_3!$3:$3,0))</f>
        <v>0.39912536443148683</v>
      </c>
      <c r="M21" s="96">
        <f>INDEX(IRA_4!$A:$J,MATCH('2022'!$A21,IRA_4!$A:$A,0),MATCH('2022'!$A$1,IRA_4!$3:$3,0))/(B21/1000)</f>
        <v>3.5513152686314728</v>
      </c>
      <c r="N21" s="61">
        <f>INDEX(INV_1!$A:$J,MATCH('2022'!$A21,INV_1!$A:$A,0),MATCH('2022'!$A$1,INV_1!$3:$3,0))</f>
        <v>7.2414049694502686E-2</v>
      </c>
      <c r="O21" s="80">
        <f>INDEX(INV_2!$A:$J,MATCH('2022'!$A21,INV_2!$A:$A,0),MATCH('2022'!$A$1,INV_2!$3:$3,0))/B21*10^6/C21</f>
        <v>0.37533655768690916</v>
      </c>
      <c r="P21" s="87">
        <f>INDEX(INV_3!$A:$J,MATCH('2022'!$A21,INV_3!$A:$A,0),MATCH('2022'!$A$1,INV_3!$3:$3,0))/B21*10^6/C21</f>
        <v>4.2641461232124449</v>
      </c>
      <c r="Q21" s="87">
        <f>INDEX(INV_4!$A:$J,MATCH('2022'!$A21,INV_4!$A:$A,0),MATCH('2022'!$A$1,INV_4!$3:$3,0))/B21*10^3/C21</f>
        <v>0.25209488004324576</v>
      </c>
      <c r="R21" s="34">
        <f>INDEX(INV_5!$A:$J,MATCH('2022'!$A21,INV_5!$A:$A,0),MATCH('2022'!$A$1,INV_5!$3:$3,0))</f>
        <v>8.0600000000000005E-2</v>
      </c>
      <c r="S21" s="77">
        <f>INDEX(LUJ_1!$A:$J,MATCH('2022'!$A21,LUJ_1!$A:$A,0),MATCH('2022'!$A$1,LUJ_1!$3:$3,0))</f>
        <v>0.65929602888086647</v>
      </c>
      <c r="T21" s="73">
        <f>INDEX(LUJ_2!$A:$J,MATCH('2022'!$A21,LUJ_2!$A:$A,0),MATCH('2022'!$A$1,LUJ_2!$3:$3,0))</f>
        <v>0.2</v>
      </c>
      <c r="U21" s="73">
        <f>INDEX(LUJ_3!$A:$J,MATCH('2022'!$A21,LUJ_3!$A:$A,0),MATCH('2022'!$A$1,LUJ_3!$3:$3,0))</f>
        <v>0.45134858313417547</v>
      </c>
      <c r="V21" s="14">
        <f>INDEX(LUJ_4!$A:$J,MATCH('2022'!$A21,LUJ_4!$A:$A,0),MATCH('2022'!$A$1,LUJ_4!$3:$3,0))</f>
        <v>18</v>
      </c>
      <c r="W21" s="34">
        <f>INDEX(LUJ_5!$A:$J,MATCH('2022'!$A21,LUJ_5!$A:$A,0),MATCH('2022'!$A$1,LUJ_5!$3:$3,0))</f>
        <v>31.2</v>
      </c>
      <c r="X21" s="98">
        <f>1/INDEX(GUL_1!$A:$J,MATCH('2022'!$A21,GUL_1!$A:$A,0),MATCH('2022'!$A$1,GUL_1!$3:$3,0))</f>
        <v>1.4124293785310734E-2</v>
      </c>
      <c r="Y21" s="57" t="e">
        <f>INDEX(GUL_2!$A:$J,MATCH('2022'!$A21,GUL_2!$A:$A,0),MATCH('2022'!$A$1,GUL_2!$3:$3,0))</f>
        <v>#N/A</v>
      </c>
      <c r="Z21" s="57">
        <f>INDEX(GUL_3!$A:$J,MATCH('2022'!$A21,GUL_3!$A:$A,0),MATCH('2022'!$A$1,GUL_3!$3:$3,0))/(B21/1000)</f>
        <v>1.1492856885818128</v>
      </c>
      <c r="AA21" s="101">
        <f>INDEX(GUL_4!$A:$J,MATCH('2022'!$A21,GUL_4!$A:$A,0),MATCH('2022'!$A$1,GUL_4!$3:$3,0))/B21/C21*10^6</f>
        <v>0.3123186306796954</v>
      </c>
      <c r="AB21" s="73">
        <f>INDEX(GUL_5!$A:$J,MATCH('2022'!$A21,GUL_5!$A:$A,0),MATCH('2022'!$A$1,GUL_5!$3:$3,0))</f>
        <v>2.935252839693199E-2</v>
      </c>
      <c r="AC21" s="49" t="e">
        <f>INDEX(GUL_6!$A:$J,MATCH('2022'!$A21,GUL_6!$A:$A,0),MATCH('2022'!$A$1,GUL_6!$3:$3,0))</f>
        <v>#N/A</v>
      </c>
      <c r="AD21" s="49" t="e">
        <f>INDEX(GUL_7!$A:$J,MATCH('2022'!$A21,GUL_7!$A:$A,0),MATCH('2022'!$A$1,GUL_7!$3:$3,0))</f>
        <v>#N/A</v>
      </c>
      <c r="AE21" s="103">
        <f>INDEX(GUL_8!$A:$J,MATCH('2022'!$A21,GUL_8!$A:$A,0),MATCH('2022'!$A$1,GUL_8!$3:$3,0))/(B21/1000)</f>
        <v>1.6178463900584164</v>
      </c>
      <c r="AF21" s="41">
        <f>INDEX(DES_1!$A:$J,MATCH('2022'!$A21,DES_1!$A:$A,0),MATCH('2022'!$A$1,DES_1!$3:$3,0))/(B21/1000)</f>
        <v>0.13044729929108639</v>
      </c>
      <c r="AG21" s="100">
        <f>INDEX(DES_2!$A:$J,MATCH('2022'!$A21,DES_2!$A:$A,0),MATCH('2022'!$A$1,DES_2!$3:$3,0))/(B21/1000)</f>
        <v>0.41308311442177359</v>
      </c>
      <c r="AH21" s="57">
        <f>1/INDEX(DES_3!$A:$J,MATCH('2022'!$A21,DES_3!$A:$A,0),MATCH('2022'!$A$1,DES_3!$3:$3,0))</f>
        <v>8.0906148867313926E-3</v>
      </c>
      <c r="AI21" s="80" t="e">
        <f>INDEX(DES_4!$A:$J,MATCH('2022'!$A21,DES_4!$A:$A,0),MATCH('2022'!$A$1,DES_4!$3:$3,0))</f>
        <v>#N/A</v>
      </c>
      <c r="AJ21" s="110" t="e">
        <f>INDEX(DES_5!$A:$J,MATCH('2022'!$A21,DES_5!$A:$A,0),MATCH('2022'!$A$1,DES_5!$3:$3,0))</f>
        <v>#N/A</v>
      </c>
      <c r="AK21" s="57">
        <v>22</v>
      </c>
    </row>
    <row r="22" spans="1:37" x14ac:dyDescent="0.3">
      <c r="A22" s="29" t="s">
        <v>21</v>
      </c>
      <c r="B22" s="33">
        <f>INDEX(Population!$A:$J,MATCH('2022'!$A22,Population!$A:$A,0),MATCH('2022'!$A$1,Population!$3:$3,0))</f>
        <v>8566996</v>
      </c>
      <c r="C22" s="14">
        <f>INDEX(Income!$A:$J,MATCH('2022'!$A22,Income!$A:$A,0),MATCH('2022'!$A$1,Income!$3:$3,0))</f>
        <v>55109</v>
      </c>
      <c r="D22" s="34">
        <f>INDEX(Livable_wage!$A:$J,MATCH('2022'!$A22,Livable_wage!$A:$A,0),MATCH('2022'!$A$1,Livable_wage!$3:$3,0))</f>
        <v>16223</v>
      </c>
      <c r="E22" s="41">
        <f>INDEX(AVA_1!$A:$J,MATCH('2022'!$A22,AVA_1!$A:$A,0),MATCH('2022'!$A$1,AVA_1!$3:$3,0))</f>
        <v>0.372</v>
      </c>
      <c r="F22" s="15">
        <f>INDEX(AVA_2!$A:$J,MATCH('2022'!$A22,AVA_2!$A:$A,0),MATCH('2022'!$A$1,AVA_2!$3:$3,0))</f>
        <v>8.9861040584125751E-3</v>
      </c>
      <c r="G22" s="15">
        <f>INDEX(AVA_3!$A:$J,MATCH('2022'!$A22,AVA_3!$A:$A,0),MATCH('2022'!$A$1,AVA_3!$3:$3,0))</f>
        <v>0.3066397934107371</v>
      </c>
      <c r="H22" s="87">
        <f>INDEX(AVA_4!$A:$J,MATCH('2022'!$A22,AVA_4!$A:$A,0),MATCH('2022'!$A$1,AVA_4!$3:$3,0))/(B22/1000)</f>
        <v>0.4432125333080581</v>
      </c>
      <c r="I22" s="89">
        <f>INDEX(AVA_5!$A:$J,MATCH('2022'!$A22,AVA_5!$A:$A,0),MATCH('2022'!$A$1,AVA_5!$3:$3,0))/(B22/1000)</f>
        <v>2.7350310423863862</v>
      </c>
      <c r="J22" s="93">
        <f>INDEX(IRA_1!$A:$J,MATCH('2022'!$A22,IRA_1!$A:$A,0),MATCH('2022'!$A$1,IRA_1!$3:$3,0))/(B22/1000)</f>
        <v>4.0154098356063206E-2</v>
      </c>
      <c r="K22" s="88">
        <f>INDEX(IRA_2!$A:$J,MATCH('2022'!$A22,IRA_2!$A:$A,0),MATCH('2022'!$A$1,IRA_2!$3:$3,0))/(B22/1000)</f>
        <v>9.0580175361351878E-2</v>
      </c>
      <c r="L22" s="15">
        <f>INDEX(IRA_3!$A:$J,MATCH('2022'!$A22,IRA_3!$A:$A,0),MATCH('2022'!$A$1,IRA_3!$3:$3,0))</f>
        <v>0.52201597237211317</v>
      </c>
      <c r="M22" s="96">
        <f>INDEX(IRA_4!$A:$J,MATCH('2022'!$A22,IRA_4!$A:$A,0),MATCH('2022'!$A$1,IRA_4!$3:$3,0))/(B22/1000)</f>
        <v>2.4398283832512591</v>
      </c>
      <c r="N22" s="61">
        <f>INDEX(INV_1!$A:$J,MATCH('2022'!$A22,INV_1!$A:$A,0),MATCH('2022'!$A$1,INV_1!$3:$3,0))</f>
        <v>7.22683686204348E-2</v>
      </c>
      <c r="O22" s="80">
        <f>INDEX(INV_2!$A:$J,MATCH('2022'!$A22,INV_2!$A:$A,0),MATCH('2022'!$A$1,INV_2!$3:$3,0))/B22*10^6/C22</f>
        <v>0.45770957162515918</v>
      </c>
      <c r="P22" s="87">
        <f>INDEX(INV_3!$A:$J,MATCH('2022'!$A22,INV_3!$A:$A,0),MATCH('2022'!$A$1,INV_3!$3:$3,0))/B22*10^6/C22</f>
        <v>4.7127566720981244</v>
      </c>
      <c r="Q22" s="87">
        <f>INDEX(INV_4!$A:$J,MATCH('2022'!$A22,INV_4!$A:$A,0),MATCH('2022'!$A$1,INV_4!$3:$3,0))/B22*10^3/C22</f>
        <v>7.4833500109499823E-2</v>
      </c>
      <c r="R22" s="34">
        <f>INDEX(INV_5!$A:$J,MATCH('2022'!$A22,INV_5!$A:$A,0),MATCH('2022'!$A$1,INV_5!$3:$3,0))</f>
        <v>0.28670000000000001</v>
      </c>
      <c r="S22" s="77">
        <f>INDEX(LUJ_1!$A:$J,MATCH('2022'!$A22,LUJ_1!$A:$A,0),MATCH('2022'!$A$1,LUJ_1!$3:$3,0))</f>
        <v>0.5800307508864414</v>
      </c>
      <c r="T22" s="73">
        <f>INDEX(LUJ_2!$A:$J,MATCH('2022'!$A22,LUJ_2!$A:$A,0),MATCH('2022'!$A$1,LUJ_2!$3:$3,0))</f>
        <v>0.21299999999999999</v>
      </c>
      <c r="U22" s="73">
        <f>INDEX(LUJ_3!$A:$J,MATCH('2022'!$A22,LUJ_3!$A:$A,0),MATCH('2022'!$A$1,LUJ_3!$3:$3,0))</f>
        <v>0.25897963631410476</v>
      </c>
      <c r="V22" s="14">
        <f>INDEX(LUJ_4!$A:$J,MATCH('2022'!$A22,LUJ_4!$A:$A,0),MATCH('2022'!$A$1,LUJ_4!$3:$3,0))</f>
        <v>159</v>
      </c>
      <c r="W22" s="34">
        <f>INDEX(LUJ_5!$A:$J,MATCH('2022'!$A22,LUJ_5!$A:$A,0),MATCH('2022'!$A$1,LUJ_5!$3:$3,0))</f>
        <v>25.2</v>
      </c>
      <c r="X22" s="98">
        <f>1/INDEX(GUL_1!$A:$J,MATCH('2022'!$A22,GUL_1!$A:$A,0),MATCH('2022'!$A$1,GUL_1!$3:$3,0))</f>
        <v>1.3553808620222282E-2</v>
      </c>
      <c r="Y22" s="57" t="e">
        <f>INDEX(GUL_2!$A:$J,MATCH('2022'!$A22,GUL_2!$A:$A,0),MATCH('2022'!$A$1,GUL_2!$3:$3,0))</f>
        <v>#N/A</v>
      </c>
      <c r="Z22" s="57">
        <f>INDEX(GUL_3!$A:$J,MATCH('2022'!$A22,GUL_3!$A:$A,0),MATCH('2022'!$A$1,GUL_3!$3:$3,0))/(B22/1000)</f>
        <v>0.70993379709760585</v>
      </c>
      <c r="AA22" s="101">
        <f>INDEX(GUL_4!$A:$J,MATCH('2022'!$A22,GUL_4!$A:$A,0),MATCH('2022'!$A$1,GUL_4!$3:$3,0))/B22/C22*10^6</f>
        <v>0.30851124141095487</v>
      </c>
      <c r="AB22" s="73">
        <f>INDEX(GUL_5!$A:$J,MATCH('2022'!$A22,GUL_5!$A:$A,0),MATCH('2022'!$A$1,GUL_5!$3:$3,0))</f>
        <v>1.8896718006294E-2</v>
      </c>
      <c r="AC22" s="49" t="e">
        <f>INDEX(GUL_6!$A:$J,MATCH('2022'!$A22,GUL_6!$A:$A,0),MATCH('2022'!$A$1,GUL_6!$3:$3,0))</f>
        <v>#N/A</v>
      </c>
      <c r="AD22" s="49" t="e">
        <f>INDEX(GUL_7!$A:$J,MATCH('2022'!$A22,GUL_7!$A:$A,0),MATCH('2022'!$A$1,GUL_7!$3:$3,0))</f>
        <v>#N/A</v>
      </c>
      <c r="AE22" s="103">
        <f>INDEX(GUL_8!$A:$J,MATCH('2022'!$A22,GUL_8!$A:$A,0),MATCH('2022'!$A$1,GUL_8!$3:$3,0))/(B22/1000)</f>
        <v>0.67211423934363934</v>
      </c>
      <c r="AF22" s="41">
        <f>INDEX(DES_1!$A:$J,MATCH('2022'!$A22,DES_1!$A:$A,0),MATCH('2022'!$A$1,DES_1!$3:$3,0))/(B22/1000)</f>
        <v>7.1670396484368626E-2</v>
      </c>
      <c r="AG22" s="100">
        <f>INDEX(DES_2!$A:$J,MATCH('2022'!$A22,DES_2!$A:$A,0),MATCH('2022'!$A$1,DES_2!$3:$3,0))/(B22/1000)</f>
        <v>0.49352188328324192</v>
      </c>
      <c r="AH22" s="57">
        <f>1/INDEX(DES_3!$A:$J,MATCH('2022'!$A22,DES_3!$A:$A,0),MATCH('2022'!$A$1,DES_3!$3:$3,0))</f>
        <v>7.8802206461780922E-3</v>
      </c>
      <c r="AI22" s="80" t="e">
        <f>INDEX(DES_4!$A:$J,MATCH('2022'!$A22,DES_4!$A:$A,0),MATCH('2022'!$A$1,DES_4!$3:$3,0))</f>
        <v>#N/A</v>
      </c>
      <c r="AJ22" s="110" t="e">
        <f>INDEX(DES_5!$A:$J,MATCH('2022'!$A22,DES_5!$A:$A,0),MATCH('2022'!$A$1,DES_5!$3:$3,0))</f>
        <v>#N/A</v>
      </c>
      <c r="AK22" s="57">
        <v>23</v>
      </c>
    </row>
    <row r="23" spans="1:37" x14ac:dyDescent="0.3">
      <c r="A23" s="29" t="s">
        <v>22</v>
      </c>
      <c r="B23" s="33">
        <f>INDEX(Population!$A:$J,MATCH('2022'!$A23,Population!$A:$A,0),MATCH('2022'!$A$1,Population!$3:$3,0))</f>
        <v>2481432</v>
      </c>
      <c r="C23" s="14">
        <f>INDEX(Income!$A:$J,MATCH('2022'!$A23,Income!$A:$A,0),MATCH('2022'!$A$1,Income!$3:$3,0))</f>
        <v>31292</v>
      </c>
      <c r="D23" s="34">
        <f>INDEX(Livable_wage!$A:$J,MATCH('2022'!$A23,Livable_wage!$A:$A,0),MATCH('2022'!$A$1,Livable_wage!$3:$3,0))</f>
        <v>11970</v>
      </c>
      <c r="E23" s="41">
        <f>INDEX(AVA_1!$A:$J,MATCH('2022'!$A23,AVA_1!$A:$A,0),MATCH('2022'!$A$1,AVA_1!$3:$3,0))</f>
        <v>0.34200000000000003</v>
      </c>
      <c r="F23" s="15">
        <f>INDEX(AVA_2!$A:$J,MATCH('2022'!$A23,AVA_2!$A:$A,0),MATCH('2022'!$A$1,AVA_2!$3:$3,0))</f>
        <v>9.435522927685366E-3</v>
      </c>
      <c r="G23" s="15">
        <f>INDEX(AVA_3!$A:$J,MATCH('2022'!$A23,AVA_3!$A:$A,0),MATCH('2022'!$A$1,AVA_3!$3:$3,0))</f>
        <v>1.3170248092527721E-2</v>
      </c>
      <c r="H23" s="87">
        <f>INDEX(AVA_4!$A:$J,MATCH('2022'!$A23,AVA_4!$A:$A,0),MATCH('2022'!$A$1,AVA_4!$3:$3,0))/(B23/1000)</f>
        <v>1.0639018115346301</v>
      </c>
      <c r="I23" s="89">
        <f>INDEX(AVA_5!$A:$J,MATCH('2022'!$A23,AVA_5!$A:$A,0),MATCH('2022'!$A$1,AVA_5!$3:$3,0))/(B23/1000)</f>
        <v>6.0021793867412052</v>
      </c>
      <c r="J23" s="93">
        <f>INDEX(IRA_1!$A:$J,MATCH('2022'!$A23,IRA_1!$A:$A,0),MATCH('2022'!$A$1,IRA_1!$3:$3,0))/(B23/1000)</f>
        <v>3.8284345490829493E-2</v>
      </c>
      <c r="K23" s="88">
        <f>INDEX(IRA_2!$A:$J,MATCH('2022'!$A23,IRA_2!$A:$A,0),MATCH('2022'!$A$1,IRA_2!$3:$3,0))/(B23/1000)</f>
        <v>9.7524332724007762E-2</v>
      </c>
      <c r="L23" s="15">
        <f>INDEX(IRA_3!$A:$J,MATCH('2022'!$A23,IRA_3!$A:$A,0),MATCH('2022'!$A$1,IRA_3!$3:$3,0))</f>
        <v>0.39821766893551325</v>
      </c>
      <c r="M23" s="96">
        <f>INDEX(IRA_4!$A:$J,MATCH('2022'!$A23,IRA_4!$A:$A,0),MATCH('2022'!$A$1,IRA_4!$3:$3,0))/(B23/1000)</f>
        <v>5.4033316246425453</v>
      </c>
      <c r="N23" s="61">
        <f>INDEX(INV_1!$A:$J,MATCH('2022'!$A23,INV_1!$A:$A,0),MATCH('2022'!$A$1,INV_1!$3:$3,0))</f>
        <v>8.4824039548516306E-2</v>
      </c>
      <c r="O23" s="80">
        <f>INDEX(INV_2!$A:$J,MATCH('2022'!$A23,INV_2!$A:$A,0),MATCH('2022'!$A$1,INV_2!$3:$3,0))/B23*10^6/C23</f>
        <v>0.49841772054770422</v>
      </c>
      <c r="P23" s="87">
        <f>INDEX(INV_3!$A:$J,MATCH('2022'!$A23,INV_3!$A:$A,0),MATCH('2022'!$A$1,INV_3!$3:$3,0))/B23*10^6/C23</f>
        <v>4.202283679936401</v>
      </c>
      <c r="Q23" s="87">
        <f>INDEX(INV_4!$A:$J,MATCH('2022'!$A23,INV_4!$A:$A,0),MATCH('2022'!$A$1,INV_4!$3:$3,0))/B23*10^3/C23</f>
        <v>0.29017702177137061</v>
      </c>
      <c r="R23" s="34">
        <f>INDEX(INV_5!$A:$J,MATCH('2022'!$A23,INV_5!$A:$A,0),MATCH('2022'!$A$1,INV_5!$3:$3,0))</f>
        <v>8.5400000000000004E-2</v>
      </c>
      <c r="S23" s="77">
        <f>INDEX(LUJ_1!$A:$J,MATCH('2022'!$A23,LUJ_1!$A:$A,0),MATCH('2022'!$A$1,LUJ_1!$3:$3,0))</f>
        <v>0.70264686894770823</v>
      </c>
      <c r="T23" s="73">
        <f>INDEX(LUJ_2!$A:$J,MATCH('2022'!$A23,LUJ_2!$A:$A,0),MATCH('2022'!$A$1,LUJ_2!$3:$3,0))</f>
        <v>0.245</v>
      </c>
      <c r="U23" s="73">
        <f>INDEX(LUJ_3!$A:$J,MATCH('2022'!$A23,LUJ_3!$A:$A,0),MATCH('2022'!$A$1,LUJ_3!$3:$3,0))</f>
        <v>0.44611614521000742</v>
      </c>
      <c r="V23" s="14">
        <f>INDEX(LUJ_4!$A:$J,MATCH('2022'!$A23,LUJ_4!$A:$A,0),MATCH('2022'!$A$1,LUJ_4!$3:$3,0))</f>
        <v>66</v>
      </c>
      <c r="W23" s="34">
        <f>INDEX(LUJ_5!$A:$J,MATCH('2022'!$A23,LUJ_5!$A:$A,0),MATCH('2022'!$A$1,LUJ_5!$3:$3,0))</f>
        <v>30.1</v>
      </c>
      <c r="X23" s="98">
        <f>1/INDEX(GUL_1!$A:$J,MATCH('2022'!$A23,GUL_1!$A:$A,0),MATCH('2022'!$A$1,GUL_1!$3:$3,0))</f>
        <v>1.365374112506827E-2</v>
      </c>
      <c r="Y23" s="57" t="e">
        <f>INDEX(GUL_2!$A:$J,MATCH('2022'!$A23,GUL_2!$A:$A,0),MATCH('2022'!$A$1,GUL_2!$3:$3,0))</f>
        <v>#N/A</v>
      </c>
      <c r="Z23" s="57">
        <f>INDEX(GUL_3!$A:$J,MATCH('2022'!$A23,GUL_3!$A:$A,0),MATCH('2022'!$A$1,GUL_3!$3:$3,0))/(B23/1000)</f>
        <v>0.69355114304965848</v>
      </c>
      <c r="AA23" s="101">
        <f>INDEX(GUL_4!$A:$J,MATCH('2022'!$A23,GUL_4!$A:$A,0),MATCH('2022'!$A$1,GUL_4!$3:$3,0))/B23/C23*10^6</f>
        <v>0.24570950477022208</v>
      </c>
      <c r="AB23" s="73">
        <f>INDEX(GUL_5!$A:$J,MATCH('2022'!$A23,GUL_5!$A:$A,0),MATCH('2022'!$A$1,GUL_5!$3:$3,0))</f>
        <v>2.4396542924309542E-2</v>
      </c>
      <c r="AC23" s="49" t="e">
        <f>INDEX(GUL_6!$A:$J,MATCH('2022'!$A23,GUL_6!$A:$A,0),MATCH('2022'!$A$1,GUL_6!$3:$3,0))</f>
        <v>#N/A</v>
      </c>
      <c r="AD23" s="49" t="e">
        <f>INDEX(GUL_7!$A:$J,MATCH('2022'!$A23,GUL_7!$A:$A,0),MATCH('2022'!$A$1,GUL_7!$3:$3,0))</f>
        <v>#N/A</v>
      </c>
      <c r="AE23" s="103">
        <f>INDEX(GUL_8!$A:$J,MATCH('2022'!$A23,GUL_8!$A:$A,0),MATCH('2022'!$A$1,GUL_8!$3:$3,0))/(B23/1000)</f>
        <v>1.7743786652223394</v>
      </c>
      <c r="AF23" s="41">
        <f>INDEX(DES_1!$A:$J,MATCH('2022'!$A23,DES_1!$A:$A,0),MATCH('2022'!$A$1,DES_1!$3:$3,0))/(B23/1000)</f>
        <v>3.7075366159540137E-2</v>
      </c>
      <c r="AG23" s="100">
        <f>INDEX(DES_2!$A:$J,MATCH('2022'!$A23,DES_2!$A:$A,0),MATCH('2022'!$A$1,DES_2!$3:$3,0))/(B23/1000)</f>
        <v>0.40017215865677563</v>
      </c>
      <c r="AH23" s="57">
        <f>1/INDEX(DES_3!$A:$J,MATCH('2022'!$A23,DES_3!$A:$A,0),MATCH('2022'!$A$1,DES_3!$3:$3,0))</f>
        <v>9.3457943925233638E-3</v>
      </c>
      <c r="AI23" s="80" t="e">
        <f>INDEX(DES_4!$A:$J,MATCH('2022'!$A23,DES_4!$A:$A,0),MATCH('2022'!$A$1,DES_4!$3:$3,0))</f>
        <v>#N/A</v>
      </c>
      <c r="AJ23" s="110" t="e">
        <f>INDEX(DES_5!$A:$J,MATCH('2022'!$A23,DES_5!$A:$A,0),MATCH('2022'!$A$1,DES_5!$3:$3,0))</f>
        <v>#N/A</v>
      </c>
      <c r="AK23" s="57">
        <v>29</v>
      </c>
    </row>
    <row r="24" spans="1:37" x14ac:dyDescent="0.3">
      <c r="A24" s="29" t="s">
        <v>23</v>
      </c>
      <c r="B24" s="33">
        <f>INDEX(Population!$A:$J,MATCH('2022'!$A24,Population!$A:$A,0),MATCH('2022'!$A$1,Population!$3:$3,0))</f>
        <v>1848579</v>
      </c>
      <c r="C24" s="14">
        <f>INDEX(Income!$A:$J,MATCH('2022'!$A24,Income!$A:$A,0),MATCH('2022'!$A$1,Income!$3:$3,0))</f>
        <v>30250</v>
      </c>
      <c r="D24" s="34">
        <f>INDEX(Livable_wage!$A:$J,MATCH('2022'!$A24,Livable_wage!$A:$A,0),MATCH('2022'!$A$1,Livable_wage!$3:$3,0))</f>
        <v>12110</v>
      </c>
      <c r="E24" s="41">
        <f>INDEX(AVA_1!$A:$J,MATCH('2022'!$A24,AVA_1!$A:$A,0),MATCH('2022'!$A$1,AVA_1!$3:$3,0))</f>
        <v>0.34799999999999998</v>
      </c>
      <c r="F24" s="15">
        <f>INDEX(AVA_2!$A:$J,MATCH('2022'!$A24,AVA_2!$A:$A,0),MATCH('2022'!$A$1,AVA_2!$3:$3,0))</f>
        <v>9.1475055422216515E-3</v>
      </c>
      <c r="G24" s="15">
        <f>INDEX(AVA_3!$A:$J,MATCH('2022'!$A24,AVA_3!$A:$A,0),MATCH('2022'!$A$1,AVA_3!$3:$3,0))</f>
        <v>7.0368331919011999E-3</v>
      </c>
      <c r="H24" s="87">
        <f>INDEX(AVA_4!$A:$J,MATCH('2022'!$A24,AVA_4!$A:$A,0),MATCH('2022'!$A$1,AVA_4!$3:$3,0))/(B24/1000)</f>
        <v>0.57287246041418838</v>
      </c>
      <c r="I24" s="89">
        <f>INDEX(AVA_5!$A:$J,MATCH('2022'!$A24,AVA_5!$A:$A,0),MATCH('2022'!$A$1,AVA_5!$3:$3,0))/(B24/1000)</f>
        <v>3.6682229972319278</v>
      </c>
      <c r="J24" s="93">
        <f>INDEX(IRA_1!$A:$J,MATCH('2022'!$A24,IRA_1!$A:$A,0),MATCH('2022'!$A$1,IRA_1!$3:$3,0))/(B24/1000)</f>
        <v>4.8686044794406948E-2</v>
      </c>
      <c r="K24" s="88">
        <f>INDEX(IRA_2!$A:$J,MATCH('2022'!$A24,IRA_2!$A:$A,0),MATCH('2022'!$A$1,IRA_2!$3:$3,0))/(B24/1000)</f>
        <v>0.12604276041218687</v>
      </c>
      <c r="L24" s="15">
        <f>INDEX(IRA_3!$A:$J,MATCH('2022'!$A24,IRA_3!$A:$A,0),MATCH('2022'!$A$1,IRA_3!$3:$3,0))</f>
        <v>0.3624513289317759</v>
      </c>
      <c r="M24" s="96">
        <f>INDEX(IRA_4!$A:$J,MATCH('2022'!$A24,IRA_4!$A:$A,0),MATCH('2022'!$A$1,IRA_4!$3:$3,0))/(B24/1000)</f>
        <v>3.2311305061888076</v>
      </c>
      <c r="N24" s="61">
        <f>INDEX(INV_1!$A:$J,MATCH('2022'!$A24,INV_1!$A:$A,0),MATCH('2022'!$A$1,INV_1!$3:$3,0))</f>
        <v>8.3137423527257101E-2</v>
      </c>
      <c r="O24" s="80">
        <f>INDEX(INV_2!$A:$J,MATCH('2022'!$A24,INV_2!$A:$A,0),MATCH('2022'!$A$1,INV_2!$3:$3,0))/B24*10^6/C24</f>
        <v>0.6201485006071229</v>
      </c>
      <c r="P24" s="87">
        <f>INDEX(INV_3!$A:$J,MATCH('2022'!$A24,INV_3!$A:$A,0),MATCH('2022'!$A$1,INV_3!$3:$3,0))/B24*10^6/C24</f>
        <v>5.8806661944433269</v>
      </c>
      <c r="Q24" s="87">
        <f>INDEX(INV_4!$A:$J,MATCH('2022'!$A24,INV_4!$A:$A,0),MATCH('2022'!$A$1,INV_4!$3:$3,0))/B24*10^3/C24</f>
        <v>0.27339984562366038</v>
      </c>
      <c r="R24" s="34">
        <f>INDEX(INV_5!$A:$J,MATCH('2022'!$A24,INV_5!$A:$A,0),MATCH('2022'!$A$1,INV_5!$3:$3,0))</f>
        <v>7.7200000000000005E-2</v>
      </c>
      <c r="S24" s="77">
        <f>INDEX(LUJ_1!$A:$J,MATCH('2022'!$A24,LUJ_1!$A:$A,0),MATCH('2022'!$A$1,LUJ_1!$3:$3,0))</f>
        <v>0.75433753943217663</v>
      </c>
      <c r="T24" s="73">
        <f>INDEX(LUJ_2!$A:$J,MATCH('2022'!$A24,LUJ_2!$A:$A,0),MATCH('2022'!$A$1,LUJ_2!$3:$3,0))</f>
        <v>0.20100000000000001</v>
      </c>
      <c r="U24" s="73">
        <f>INDEX(LUJ_3!$A:$J,MATCH('2022'!$A24,LUJ_3!$A:$A,0),MATCH('2022'!$A$1,LUJ_3!$3:$3,0))</f>
        <v>0.62155845650544927</v>
      </c>
      <c r="V24" s="14">
        <f>INDEX(LUJ_4!$A:$J,MATCH('2022'!$A24,LUJ_4!$A:$A,0),MATCH('2022'!$A$1,LUJ_4!$3:$3,0))</f>
        <v>72</v>
      </c>
      <c r="W24" s="34">
        <f>INDEX(LUJ_5!$A:$J,MATCH('2022'!$A24,LUJ_5!$A:$A,0),MATCH('2022'!$A$1,LUJ_5!$3:$3,0))</f>
        <v>81</v>
      </c>
      <c r="X24" s="98">
        <f>1/INDEX(GUL_1!$A:$J,MATCH('2022'!$A24,GUL_1!$A:$A,0),MATCH('2022'!$A$1,GUL_1!$3:$3,0))</f>
        <v>1.4037057832678272E-2</v>
      </c>
      <c r="Y24" s="57" t="e">
        <f>INDEX(GUL_2!$A:$J,MATCH('2022'!$A24,GUL_2!$A:$A,0),MATCH('2022'!$A$1,GUL_2!$3:$3,0))</f>
        <v>#N/A</v>
      </c>
      <c r="Z24" s="57">
        <f>INDEX(GUL_3!$A:$J,MATCH('2022'!$A24,GUL_3!$A:$A,0),MATCH('2022'!$A$1,GUL_3!$3:$3,0))/(B24/1000)</f>
        <v>0.76058421089929074</v>
      </c>
      <c r="AA24" s="101">
        <f>INDEX(GUL_4!$A:$J,MATCH('2022'!$A24,GUL_4!$A:$A,0),MATCH('2022'!$A$1,GUL_4!$3:$3,0))/B24/C24*10^6</f>
        <v>0.32975411325435361</v>
      </c>
      <c r="AB24" s="73">
        <f>INDEX(GUL_5!$A:$J,MATCH('2022'!$A24,GUL_5!$A:$A,0),MATCH('2022'!$A$1,GUL_5!$3:$3,0))</f>
        <v>2.6827874791970251E-2</v>
      </c>
      <c r="AC24" s="49" t="e">
        <f>INDEX(GUL_6!$A:$J,MATCH('2022'!$A24,GUL_6!$A:$A,0),MATCH('2022'!$A$1,GUL_6!$3:$3,0))</f>
        <v>#N/A</v>
      </c>
      <c r="AD24" s="49" t="e">
        <f>INDEX(GUL_7!$A:$J,MATCH('2022'!$A24,GUL_7!$A:$A,0),MATCH('2022'!$A$1,GUL_7!$3:$3,0))</f>
        <v>#N/A</v>
      </c>
      <c r="AE24" s="103">
        <f>INDEX(GUL_8!$A:$J,MATCH('2022'!$A24,GUL_8!$A:$A,0),MATCH('2022'!$A$1,GUL_8!$3:$3,0))/(B24/1000)</f>
        <v>2.2676877753128215</v>
      </c>
      <c r="AF24" s="41">
        <f>INDEX(DES_1!$A:$J,MATCH('2022'!$A24,DES_1!$A:$A,0),MATCH('2022'!$A$1,DES_1!$3:$3,0))/(B24/1000)</f>
        <v>0.19798991549725492</v>
      </c>
      <c r="AG24" s="100">
        <f>INDEX(DES_2!$A:$J,MATCH('2022'!$A24,DES_2!$A:$A,0),MATCH('2022'!$A$1,DES_2!$3:$3,0))/(B24/1000)</f>
        <v>0.57016768014783248</v>
      </c>
      <c r="AH24" s="57">
        <f>1/INDEX(DES_3!$A:$J,MATCH('2022'!$A24,DES_3!$A:$A,0),MATCH('2022'!$A$1,DES_3!$3:$3,0))</f>
        <v>8.0256821829855548E-3</v>
      </c>
      <c r="AI24" s="80" t="e">
        <f>INDEX(DES_4!$A:$J,MATCH('2022'!$A24,DES_4!$A:$A,0),MATCH('2022'!$A$1,DES_4!$3:$3,0))</f>
        <v>#N/A</v>
      </c>
      <c r="AJ24" s="110" t="e">
        <f>INDEX(DES_5!$A:$J,MATCH('2022'!$A24,DES_5!$A:$A,0),MATCH('2022'!$A$1,DES_5!$3:$3,0))</f>
        <v>#N/A</v>
      </c>
      <c r="AK24" s="57">
        <v>30</v>
      </c>
    </row>
    <row r="25" spans="1:37" x14ac:dyDescent="0.3">
      <c r="A25" s="29" t="s">
        <v>24</v>
      </c>
      <c r="B25" s="33">
        <f>INDEX(Population!$A:$J,MATCH('2022'!$A25,Population!$A:$A,0),MATCH('2022'!$A$1,Population!$3:$3,0))</f>
        <v>3153533</v>
      </c>
      <c r="C25" s="14">
        <f>INDEX(Income!$A:$J,MATCH('2022'!$A25,Income!$A:$A,0),MATCH('2022'!$A$1,Income!$3:$3,0))</f>
        <v>37052</v>
      </c>
      <c r="D25" s="34">
        <f>INDEX(Livable_wage!$A:$J,MATCH('2022'!$A25,Livable_wage!$A:$A,0),MATCH('2022'!$A$1,Livable_wage!$3:$3,0))</f>
        <v>13085</v>
      </c>
      <c r="E25" s="41">
        <f>INDEX(AVA_1!$A:$J,MATCH('2022'!$A25,AVA_1!$A:$A,0),MATCH('2022'!$A$1,AVA_1!$3:$3,0))</f>
        <v>0.36499999999999999</v>
      </c>
      <c r="F25" s="15">
        <f>INDEX(AVA_2!$A:$J,MATCH('2022'!$A25,AVA_2!$A:$A,0),MATCH('2022'!$A$1,AVA_2!$3:$3,0))</f>
        <v>1.7510270610995506E-2</v>
      </c>
      <c r="G25" s="15">
        <f>INDEX(AVA_3!$A:$J,MATCH('2022'!$A25,AVA_3!$A:$A,0),MATCH('2022'!$A$1,AVA_3!$3:$3,0))</f>
        <v>6.3870959710022199E-2</v>
      </c>
      <c r="H25" s="87">
        <f>INDEX(AVA_4!$A:$J,MATCH('2022'!$A25,AVA_4!$A:$A,0),MATCH('2022'!$A$1,AVA_4!$3:$3,0))/(B25/1000)</f>
        <v>1.1618714628957427</v>
      </c>
      <c r="I25" s="89">
        <f>INDEX(AVA_5!$A:$J,MATCH('2022'!$A25,AVA_5!$A:$A,0),MATCH('2022'!$A$1,AVA_5!$3:$3,0))/(B25/1000)</f>
        <v>5.5401354607673365</v>
      </c>
      <c r="J25" s="93">
        <f>INDEX(IRA_1!$A:$J,MATCH('2022'!$A25,IRA_1!$A:$A,0),MATCH('2022'!$A$1,IRA_1!$3:$3,0))/(B25/1000)</f>
        <v>3.2027570347289848E-2</v>
      </c>
      <c r="K25" s="88">
        <f>INDEX(IRA_2!$A:$J,MATCH('2022'!$A25,IRA_2!$A:$A,0),MATCH('2022'!$A$1,IRA_2!$3:$3,0))/(B25/1000)</f>
        <v>8.783798996236919E-2</v>
      </c>
      <c r="L25" s="15">
        <f>INDEX(IRA_3!$A:$J,MATCH('2022'!$A25,IRA_3!$A:$A,0),MATCH('2022'!$A$1,IRA_3!$3:$3,0))</f>
        <v>0.37762284196547147</v>
      </c>
      <c r="M25" s="96">
        <f>INDEX(IRA_4!$A:$J,MATCH('2022'!$A25,IRA_4!$A:$A,0),MATCH('2022'!$A$1,IRA_4!$3:$3,0))/(B25/1000)</f>
        <v>3.9600029554154026</v>
      </c>
      <c r="N25" s="61">
        <f>INDEX(INV_1!$A:$J,MATCH('2022'!$A25,INV_1!$A:$A,0),MATCH('2022'!$A$1,INV_1!$3:$3,0))</f>
        <v>5.8763450804239253E-2</v>
      </c>
      <c r="O25" s="80">
        <f>INDEX(INV_2!$A:$J,MATCH('2022'!$A25,INV_2!$A:$A,0),MATCH('2022'!$A$1,INV_2!$3:$3,0))/B25*10^6/C25</f>
        <v>0.55941572218534263</v>
      </c>
      <c r="P25" s="87">
        <f>INDEX(INV_3!$A:$J,MATCH('2022'!$A25,INV_3!$A:$A,0),MATCH('2022'!$A$1,INV_3!$3:$3,0))/B25*10^6/C25</f>
        <v>4.0604150710394435</v>
      </c>
      <c r="Q25" s="87">
        <f>INDEX(INV_4!$A:$J,MATCH('2022'!$A25,INV_4!$A:$A,0),MATCH('2022'!$A$1,INV_4!$3:$3,0))/B25*10^3/C25</f>
        <v>0.22975279252277453</v>
      </c>
      <c r="R25" s="34">
        <f>INDEX(INV_5!$A:$J,MATCH('2022'!$A25,INV_5!$A:$A,0),MATCH('2022'!$A$1,INV_5!$3:$3,0))</f>
        <v>0.1232</v>
      </c>
      <c r="S25" s="77">
        <f>INDEX(LUJ_1!$A:$J,MATCH('2022'!$A25,LUJ_1!$A:$A,0),MATCH('2022'!$A$1,LUJ_1!$3:$3,0))</f>
        <v>0.64008660401695228</v>
      </c>
      <c r="T25" s="73">
        <f>INDEX(LUJ_2!$A:$J,MATCH('2022'!$A25,LUJ_2!$A:$A,0),MATCH('2022'!$A$1,LUJ_2!$3:$3,0))</f>
        <v>0.19399999999999998</v>
      </c>
      <c r="U25" s="73">
        <f>INDEX(LUJ_3!$A:$J,MATCH('2022'!$A25,LUJ_3!$A:$A,0),MATCH('2022'!$A$1,LUJ_3!$3:$3,0))</f>
        <v>0.38731140598045655</v>
      </c>
      <c r="V25" s="14">
        <f>INDEX(LUJ_4!$A:$J,MATCH('2022'!$A25,LUJ_4!$A:$A,0),MATCH('2022'!$A$1,LUJ_4!$3:$3,0))</f>
        <v>27</v>
      </c>
      <c r="W25" s="34">
        <f>INDEX(LUJ_5!$A:$J,MATCH('2022'!$A25,LUJ_5!$A:$A,0),MATCH('2022'!$A$1,LUJ_5!$3:$3,0))</f>
        <v>69.7</v>
      </c>
      <c r="X25" s="98">
        <f>1/INDEX(GUL_1!$A:$J,MATCH('2022'!$A25,GUL_1!$A:$A,0),MATCH('2022'!$A$1,GUL_1!$3:$3,0))</f>
        <v>1.386193512614361E-2</v>
      </c>
      <c r="Y25" s="57" t="e">
        <f>INDEX(GUL_2!$A:$J,MATCH('2022'!$A25,GUL_2!$A:$A,0),MATCH('2022'!$A$1,GUL_2!$3:$3,0))</f>
        <v>#N/A</v>
      </c>
      <c r="Z25" s="57">
        <f>INDEX(GUL_3!$A:$J,MATCH('2022'!$A25,GUL_3!$A:$A,0),MATCH('2022'!$A$1,GUL_3!$3:$3,0))/(B25/1000)</f>
        <v>0.73473149004624339</v>
      </c>
      <c r="AA25" s="101">
        <f>INDEX(GUL_4!$A:$J,MATCH('2022'!$A25,GUL_4!$A:$A,0),MATCH('2022'!$A$1,GUL_4!$3:$3,0))/B25/C25*10^6</f>
        <v>0.31649786860162288</v>
      </c>
      <c r="AB25" s="73">
        <f>INDEX(GUL_5!$A:$J,MATCH('2022'!$A25,GUL_5!$A:$A,0),MATCH('2022'!$A$1,GUL_5!$3:$3,0))</f>
        <v>3.9411668350463697E-2</v>
      </c>
      <c r="AC25" s="49" t="e">
        <f>INDEX(GUL_6!$A:$J,MATCH('2022'!$A25,GUL_6!$A:$A,0),MATCH('2022'!$A$1,GUL_6!$3:$3,0))</f>
        <v>#N/A</v>
      </c>
      <c r="AD25" s="49" t="e">
        <f>INDEX(GUL_7!$A:$J,MATCH('2022'!$A25,GUL_7!$A:$A,0),MATCH('2022'!$A$1,GUL_7!$3:$3,0))</f>
        <v>#N/A</v>
      </c>
      <c r="AE25" s="103">
        <f>INDEX(GUL_8!$A:$J,MATCH('2022'!$A25,GUL_8!$A:$A,0),MATCH('2022'!$A$1,GUL_8!$3:$3,0))/(B25/1000)</f>
        <v>1.1292096832346452</v>
      </c>
      <c r="AF25" s="41">
        <f>INDEX(DES_1!$A:$J,MATCH('2022'!$A25,DES_1!$A:$A,0),MATCH('2022'!$A$1,DES_1!$3:$3,0))/(B25/1000)</f>
        <v>1.3318395589962116E-2</v>
      </c>
      <c r="AG25" s="100">
        <f>INDEX(DES_2!$A:$J,MATCH('2022'!$A25,DES_2!$A:$A,0),MATCH('2022'!$A$1,DES_2!$3:$3,0))/(B25/1000)</f>
        <v>0.42618865887878771</v>
      </c>
      <c r="AH25" s="57">
        <f>1/INDEX(DES_3!$A:$J,MATCH('2022'!$A25,DES_3!$A:$A,0),MATCH('2022'!$A$1,DES_3!$3:$3,0))</f>
        <v>8.7642418930762491E-3</v>
      </c>
      <c r="AI25" s="80" t="e">
        <f>INDEX(DES_4!$A:$J,MATCH('2022'!$A25,DES_4!$A:$A,0),MATCH('2022'!$A$1,DES_4!$3:$3,0))</f>
        <v>#N/A</v>
      </c>
      <c r="AJ25" s="110" t="e">
        <f>INDEX(DES_5!$A:$J,MATCH('2022'!$A25,DES_5!$A:$A,0),MATCH('2022'!$A$1,DES_5!$3:$3,0))</f>
        <v>#N/A</v>
      </c>
      <c r="AK25" s="57">
        <v>31</v>
      </c>
    </row>
    <row r="26" spans="1:37" x14ac:dyDescent="0.3">
      <c r="A26" s="29" t="s">
        <v>25</v>
      </c>
      <c r="B26" s="33">
        <f>INDEX(Population!$A:$J,MATCH('2022'!$A26,Population!$A:$A,0),MATCH('2022'!$A$1,Population!$3:$3,0))</f>
        <v>954164</v>
      </c>
      <c r="C26" s="14">
        <f>INDEX(Income!$A:$J,MATCH('2022'!$A26,Income!$A:$A,0),MATCH('2022'!$A$1,Income!$3:$3,0))</f>
        <v>31084</v>
      </c>
      <c r="D26" s="34">
        <f>INDEX(Livable_wage!$A:$J,MATCH('2022'!$A26,Livable_wage!$A:$A,0),MATCH('2022'!$A$1,Livable_wage!$3:$3,0))</f>
        <v>13501</v>
      </c>
      <c r="E26" s="41">
        <f>INDEX(AVA_1!$A:$J,MATCH('2022'!$A26,AVA_1!$A:$A,0),MATCH('2022'!$A$1,AVA_1!$3:$3,0))</f>
        <v>0.33500000000000002</v>
      </c>
      <c r="F26" s="15">
        <f>INDEX(AVA_2!$A:$J,MATCH('2022'!$A26,AVA_2!$A:$A,0),MATCH('2022'!$A$1,AVA_2!$3:$3,0))</f>
        <v>1.0512108985266506E-2</v>
      </c>
      <c r="G26" s="15">
        <f>INDEX(AVA_3!$A:$J,MATCH('2022'!$A26,AVA_3!$A:$A,0),MATCH('2022'!$A$1,AVA_3!$3:$3,0))</f>
        <v>5.5950872240320172E-3</v>
      </c>
      <c r="H26" s="87">
        <f>INDEX(AVA_4!$A:$J,MATCH('2022'!$A26,AVA_4!$A:$A,0),MATCH('2022'!$A$1,AVA_4!$3:$3,0))/(B26/1000)</f>
        <v>0.8195656092663316</v>
      </c>
      <c r="I26" s="89">
        <f>INDEX(AVA_5!$A:$J,MATCH('2022'!$A26,AVA_5!$A:$A,0),MATCH('2022'!$A$1,AVA_5!$3:$3,0))/(B26/1000)</f>
        <v>3.519311145673071</v>
      </c>
      <c r="J26" s="93">
        <f>INDEX(IRA_1!$A:$J,MATCH('2022'!$A26,IRA_1!$A:$A,0),MATCH('2022'!$A$1,IRA_1!$3:$3,0))/(B26/1000)</f>
        <v>3.0393098041846055E-2</v>
      </c>
      <c r="K26" s="88">
        <f>INDEX(IRA_2!$A:$J,MATCH('2022'!$A26,IRA_2!$A:$A,0),MATCH('2022'!$A$1,IRA_2!$3:$3,0))/(B26/1000)</f>
        <v>9.7467521306609767E-2</v>
      </c>
      <c r="L26" s="15">
        <f>INDEX(IRA_3!$A:$J,MATCH('2022'!$A26,IRA_3!$A:$A,0),MATCH('2022'!$A$1,IRA_3!$3:$3,0))</f>
        <v>0.4097440810182017</v>
      </c>
      <c r="M26" s="96">
        <f>INDEX(IRA_4!$A:$J,MATCH('2022'!$A26,IRA_4!$A:$A,0),MATCH('2022'!$A$1,IRA_4!$3:$3,0))/(B26/1000)</f>
        <v>4.148133863780231</v>
      </c>
      <c r="N26" s="61">
        <f>INDEX(INV_1!$A:$J,MATCH('2022'!$A26,INV_1!$A:$A,0),MATCH('2022'!$A$1,INV_1!$3:$3,0))</f>
        <v>7.6151735076229563E-2</v>
      </c>
      <c r="O26" s="80">
        <f>INDEX(INV_2!$A:$J,MATCH('2022'!$A26,INV_2!$A:$A,0),MATCH('2022'!$A$1,INV_2!$3:$3,0))/B26*10^6/C26</f>
        <v>0.47568964174524186</v>
      </c>
      <c r="P26" s="87">
        <f>INDEX(INV_3!$A:$J,MATCH('2022'!$A26,INV_3!$A:$A,0),MATCH('2022'!$A$1,INV_3!$3:$3,0))/B26*10^6/C26</f>
        <v>5.0480400515657609</v>
      </c>
      <c r="Q26" s="87">
        <f>INDEX(INV_4!$A:$J,MATCH('2022'!$A26,INV_4!$A:$A,0),MATCH('2022'!$A$1,INV_4!$3:$3,0))/B26*10^3/C26</f>
        <v>0.24738102323928354</v>
      </c>
      <c r="R26" s="34">
        <f>INDEX(INV_5!$A:$J,MATCH('2022'!$A26,INV_5!$A:$A,0),MATCH('2022'!$A$1,INV_5!$3:$3,0))</f>
        <v>9.0700000000000003E-2</v>
      </c>
      <c r="S26" s="77">
        <f>INDEX(LUJ_1!$A:$J,MATCH('2022'!$A26,LUJ_1!$A:$A,0),MATCH('2022'!$A$1,LUJ_1!$3:$3,0))</f>
        <v>0.938227241615332</v>
      </c>
      <c r="T26" s="73">
        <f>INDEX(LUJ_2!$A:$J,MATCH('2022'!$A26,LUJ_2!$A:$A,0),MATCH('2022'!$A$1,LUJ_2!$3:$3,0))</f>
        <v>0.25700000000000001</v>
      </c>
      <c r="U26" s="73">
        <f>INDEX(LUJ_3!$A:$J,MATCH('2022'!$A26,LUJ_3!$A:$A,0),MATCH('2022'!$A$1,LUJ_3!$3:$3,0))</f>
        <v>0.27427033740426415</v>
      </c>
      <c r="V26" s="14">
        <f>INDEX(LUJ_4!$A:$J,MATCH('2022'!$A26,LUJ_4!$A:$A,0),MATCH('2022'!$A$1,LUJ_4!$3:$3,0))</f>
        <v>175</v>
      </c>
      <c r="W26" s="34">
        <f>INDEX(LUJ_5!$A:$J,MATCH('2022'!$A26,LUJ_5!$A:$A,0),MATCH('2022'!$A$1,LUJ_5!$3:$3,0))</f>
        <v>23.7</v>
      </c>
      <c r="X26" s="98">
        <f>1/INDEX(GUL_1!$A:$J,MATCH('2022'!$A26,GUL_1!$A:$A,0),MATCH('2022'!$A$1,GUL_1!$3:$3,0))</f>
        <v>1.3927576601671311E-2</v>
      </c>
      <c r="Y26" s="57" t="e">
        <f>INDEX(GUL_2!$A:$J,MATCH('2022'!$A26,GUL_2!$A:$A,0),MATCH('2022'!$A$1,GUL_2!$3:$3,0))</f>
        <v>#N/A</v>
      </c>
      <c r="Z26" s="57">
        <f>INDEX(GUL_3!$A:$J,MATCH('2022'!$A26,GUL_3!$A:$A,0),MATCH('2022'!$A$1,GUL_3!$3:$3,0))/(B26/1000)</f>
        <v>0.68017657341924453</v>
      </c>
      <c r="AA26" s="101">
        <f>INDEX(GUL_4!$A:$J,MATCH('2022'!$A26,GUL_4!$A:$A,0),MATCH('2022'!$A$1,GUL_4!$3:$3,0))/B26/C26*10^6</f>
        <v>0.36505629517514215</v>
      </c>
      <c r="AB26" s="73">
        <f>INDEX(GUL_5!$A:$J,MATCH('2022'!$A26,GUL_5!$A:$A,0),MATCH('2022'!$A$1,GUL_5!$3:$3,0))</f>
        <v>2.8284840025793324E-2</v>
      </c>
      <c r="AC26" s="49" t="e">
        <f>INDEX(GUL_6!$A:$J,MATCH('2022'!$A26,GUL_6!$A:$A,0),MATCH('2022'!$A$1,GUL_6!$3:$3,0))</f>
        <v>#N/A</v>
      </c>
      <c r="AD26" s="49" t="e">
        <f>INDEX(GUL_7!$A:$J,MATCH('2022'!$A26,GUL_7!$A:$A,0),MATCH('2022'!$A$1,GUL_7!$3:$3,0))</f>
        <v>#N/A</v>
      </c>
      <c r="AE26" s="103">
        <f>INDEX(GUL_8!$A:$J,MATCH('2022'!$A26,GUL_8!$A:$A,0),MATCH('2022'!$A$1,GUL_8!$3:$3,0))/(B26/1000)</f>
        <v>1.5385195836355177</v>
      </c>
      <c r="AF26" s="41">
        <f>INDEX(DES_1!$A:$J,MATCH('2022'!$A26,DES_1!$A:$A,0),MATCH('2022'!$A$1,DES_1!$3:$3,0))/(B26/1000)</f>
        <v>1.6768605816190926E-2</v>
      </c>
      <c r="AG26" s="100">
        <f>INDEX(DES_2!$A:$J,MATCH('2022'!$A26,DES_2!$A:$A,0),MATCH('2022'!$A$1,DES_2!$3:$3,0))/(B26/1000)</f>
        <v>0.73677061804888888</v>
      </c>
      <c r="AH26" s="57">
        <f>1/INDEX(DES_3!$A:$J,MATCH('2022'!$A26,DES_3!$A:$A,0),MATCH('2022'!$A$1,DES_3!$3:$3,0))</f>
        <v>6.0938452163315053E-3</v>
      </c>
      <c r="AI26" s="80" t="e">
        <f>INDEX(DES_4!$A:$J,MATCH('2022'!$A26,DES_4!$A:$A,0),MATCH('2022'!$A$1,DES_4!$3:$3,0))</f>
        <v>#N/A</v>
      </c>
      <c r="AJ26" s="110" t="e">
        <f>INDEX(DES_5!$A:$J,MATCH('2022'!$A26,DES_5!$A:$A,0),MATCH('2022'!$A$1,DES_5!$3:$3,0))</f>
        <v>#N/A</v>
      </c>
      <c r="AK26" s="57">
        <v>33</v>
      </c>
    </row>
    <row r="27" spans="1:37" x14ac:dyDescent="0.3">
      <c r="A27" s="29" t="s">
        <v>26</v>
      </c>
      <c r="B27" s="33">
        <f>INDEX(Population!$A:$J,MATCH('2022'!$A27,Population!$A:$A,0),MATCH('2022'!$A$1,Population!$3:$3,0))</f>
        <v>498135</v>
      </c>
      <c r="C27" s="14">
        <f>INDEX(Income!$A:$J,MATCH('2022'!$A27,Income!$A:$A,0),MATCH('2022'!$A$1,Income!$3:$3,0))</f>
        <v>36340</v>
      </c>
      <c r="D27" s="34">
        <f>INDEX(Livable_wage!$A:$J,MATCH('2022'!$A27,Livable_wage!$A:$A,0),MATCH('2022'!$A$1,Livable_wage!$3:$3,0))</f>
        <v>11970</v>
      </c>
      <c r="E27" s="41">
        <f>INDEX(AVA_1!$A:$J,MATCH('2022'!$A27,AVA_1!$A:$A,0),MATCH('2022'!$A$1,AVA_1!$3:$3,0))</f>
        <v>0.40400000000000003</v>
      </c>
      <c r="F27" s="15">
        <f>INDEX(AVA_2!$A:$J,MATCH('2022'!$A27,AVA_2!$A:$A,0),MATCH('2022'!$A$1,AVA_2!$3:$3,0))</f>
        <v>7.0529620651716947E-3</v>
      </c>
      <c r="G27" s="15">
        <f>INDEX(AVA_3!$A:$J,MATCH('2022'!$A27,AVA_3!$A:$A,0),MATCH('2022'!$A$1,AVA_3!$3:$3,0))</f>
        <v>6.9411026533149926E-3</v>
      </c>
      <c r="H27" s="87">
        <f>INDEX(AVA_4!$A:$J,MATCH('2022'!$A27,AVA_4!$A:$A,0),MATCH('2022'!$A$1,AVA_4!$3:$3,0))/(B27/1000)</f>
        <v>0.47175966354502297</v>
      </c>
      <c r="I27" s="89">
        <f>INDEX(AVA_5!$A:$J,MATCH('2022'!$A27,AVA_5!$A:$A,0),MATCH('2022'!$A$1,AVA_5!$3:$3,0))/(B27/1000)</f>
        <v>2.7562809278609213</v>
      </c>
      <c r="J27" s="93">
        <f>INDEX(IRA_1!$A:$J,MATCH('2022'!$A27,IRA_1!$A:$A,0),MATCH('2022'!$A$1,IRA_1!$3:$3,0))/(B27/1000)</f>
        <v>3.2119806879661136E-2</v>
      </c>
      <c r="K27" s="88">
        <f>INDEX(IRA_2!$A:$J,MATCH('2022'!$A27,IRA_2!$A:$A,0),MATCH('2022'!$A$1,IRA_2!$3:$3,0))/(B27/1000)</f>
        <v>7.8292029269174016E-2</v>
      </c>
      <c r="L27" s="15">
        <f>INDEX(IRA_3!$A:$J,MATCH('2022'!$A27,IRA_3!$A:$A,0),MATCH('2022'!$A$1,IRA_3!$3:$3,0))</f>
        <v>0.55169561621174523</v>
      </c>
      <c r="M27" s="96">
        <f>INDEX(IRA_4!$A:$J,MATCH('2022'!$A27,IRA_4!$A:$A,0),MATCH('2022'!$A$1,IRA_4!$3:$3,0))/(B27/1000)</f>
        <v>3.4589017033535088</v>
      </c>
      <c r="N27" s="61">
        <f>INDEX(INV_1!$A:$J,MATCH('2022'!$A27,INV_1!$A:$A,0),MATCH('2022'!$A$1,INV_1!$3:$3,0))</f>
        <v>7.8870194637625526E-2</v>
      </c>
      <c r="O27" s="80">
        <f>INDEX(INV_2!$A:$J,MATCH('2022'!$A27,INV_2!$A:$A,0),MATCH('2022'!$A$1,INV_2!$3:$3,0))/B27*10^6/C27</f>
        <v>0.4185055897241387</v>
      </c>
      <c r="P27" s="87">
        <f>INDEX(INV_3!$A:$J,MATCH('2022'!$A27,INV_3!$A:$A,0),MATCH('2022'!$A$1,INV_3!$3:$3,0))/B27*10^6/C27</f>
        <v>3.6849059540241402</v>
      </c>
      <c r="Q27" s="87">
        <f>INDEX(INV_4!$A:$J,MATCH('2022'!$A27,INV_4!$A:$A,0),MATCH('2022'!$A$1,INV_4!$3:$3,0))/B27*10^3/C27</f>
        <v>0.16842727059328103</v>
      </c>
      <c r="R27" s="34">
        <f>INDEX(INV_5!$A:$J,MATCH('2022'!$A27,INV_5!$A:$A,0),MATCH('2022'!$A$1,INV_5!$3:$3,0))</f>
        <v>0.20230000000000001</v>
      </c>
      <c r="S27" s="77">
        <f>INDEX(LUJ_1!$A:$J,MATCH('2022'!$A27,LUJ_1!$A:$A,0),MATCH('2022'!$A$1,LUJ_1!$3:$3,0))</f>
        <v>0.77865168539325846</v>
      </c>
      <c r="T27" s="73">
        <f>INDEX(LUJ_2!$A:$J,MATCH('2022'!$A27,LUJ_2!$A:$A,0),MATCH('2022'!$A$1,LUJ_2!$3:$3,0))</f>
        <v>0.192</v>
      </c>
      <c r="U27" s="73">
        <f>INDEX(LUJ_3!$A:$J,MATCH('2022'!$A27,LUJ_3!$A:$A,0),MATCH('2022'!$A$1,LUJ_3!$3:$3,0))</f>
        <v>0.23438223044886627</v>
      </c>
      <c r="V27" s="14">
        <f>INDEX(LUJ_4!$A:$J,MATCH('2022'!$A27,LUJ_4!$A:$A,0),MATCH('2022'!$A$1,LUJ_4!$3:$3,0))</f>
        <v>8</v>
      </c>
      <c r="W27" s="34">
        <f>INDEX(LUJ_5!$A:$J,MATCH('2022'!$A27,LUJ_5!$A:$A,0),MATCH('2022'!$A$1,LUJ_5!$3:$3,0))</f>
        <v>15.3</v>
      </c>
      <c r="X27" s="98">
        <f>1/INDEX(GUL_1!$A:$J,MATCH('2022'!$A27,GUL_1!$A:$A,0),MATCH('2022'!$A$1,GUL_1!$3:$3,0))</f>
        <v>1.3586956521739132E-2</v>
      </c>
      <c r="Y27" s="57" t="e">
        <f>INDEX(GUL_2!$A:$J,MATCH('2022'!$A27,GUL_2!$A:$A,0),MATCH('2022'!$A$1,GUL_2!$3:$3,0))</f>
        <v>#N/A</v>
      </c>
      <c r="Z27" s="57">
        <f>INDEX(GUL_3!$A:$J,MATCH('2022'!$A27,GUL_3!$A:$A,0),MATCH('2022'!$A$1,GUL_3!$3:$3,0))/(B27/1000)</f>
        <v>0.56811908418400636</v>
      </c>
      <c r="AA27" s="101">
        <f>INDEX(GUL_4!$A:$J,MATCH('2022'!$A27,GUL_4!$A:$A,0),MATCH('2022'!$A$1,GUL_4!$3:$3,0))/B27/C27*10^6</f>
        <v>0.21797264169595848</v>
      </c>
      <c r="AB27" s="73">
        <f>INDEX(GUL_5!$A:$J,MATCH('2022'!$A27,GUL_5!$A:$A,0),MATCH('2022'!$A$1,GUL_5!$3:$3,0))</f>
        <v>2.6769353851492352E-2</v>
      </c>
      <c r="AC27" s="49" t="e">
        <f>INDEX(GUL_6!$A:$J,MATCH('2022'!$A27,GUL_6!$A:$A,0),MATCH('2022'!$A$1,GUL_6!$3:$3,0))</f>
        <v>#N/A</v>
      </c>
      <c r="AD27" s="49" t="e">
        <f>INDEX(GUL_7!$A:$J,MATCH('2022'!$A27,GUL_7!$A:$A,0),MATCH('2022'!$A$1,GUL_7!$3:$3,0))</f>
        <v>#N/A</v>
      </c>
      <c r="AE27" s="103">
        <f>INDEX(GUL_8!$A:$J,MATCH('2022'!$A27,GUL_8!$A:$A,0),MATCH('2022'!$A$1,GUL_8!$3:$3,0))/(B27/1000)</f>
        <v>0.95556425466991879</v>
      </c>
      <c r="AF27" s="41">
        <f>INDEX(DES_1!$A:$J,MATCH('2022'!$A27,DES_1!$A:$A,0),MATCH('2022'!$A$1,DES_1!$3:$3,0))/(B27/1000)</f>
        <v>0.15658405853834803</v>
      </c>
      <c r="AG27" s="100">
        <f>INDEX(DES_2!$A:$J,MATCH('2022'!$A27,DES_2!$A:$A,0),MATCH('2022'!$A$1,DES_2!$3:$3,0))/(B27/1000)</f>
        <v>0.40149758599576418</v>
      </c>
      <c r="AH27" s="57">
        <f>1/INDEX(DES_3!$A:$J,MATCH('2022'!$A27,DES_3!$A:$A,0),MATCH('2022'!$A$1,DES_3!$3:$3,0))</f>
        <v>6.6401062416998674E-3</v>
      </c>
      <c r="AI27" s="80" t="e">
        <f>INDEX(DES_4!$A:$J,MATCH('2022'!$A27,DES_4!$A:$A,0),MATCH('2022'!$A$1,DES_4!$3:$3,0))</f>
        <v>#N/A</v>
      </c>
      <c r="AJ27" s="110" t="e">
        <f>INDEX(DES_5!$A:$J,MATCH('2022'!$A27,DES_5!$A:$A,0),MATCH('2022'!$A$1,DES_5!$3:$3,0))</f>
        <v>#N/A</v>
      </c>
      <c r="AK27" s="57">
        <v>37</v>
      </c>
    </row>
    <row r="28" spans="1:37" x14ac:dyDescent="0.3">
      <c r="A28" s="29" t="s">
        <v>27</v>
      </c>
      <c r="B28" s="33">
        <f>INDEX(Population!$A:$J,MATCH('2022'!$A28,Population!$A:$A,0),MATCH('2022'!$A$1,Population!$3:$3,0))</f>
        <v>265458</v>
      </c>
      <c r="C28" s="14">
        <f>INDEX(Income!$A:$J,MATCH('2022'!$A28,Income!$A:$A,0),MATCH('2022'!$A$1,Income!$3:$3,0))</f>
        <v>23533</v>
      </c>
      <c r="D28" s="34">
        <f>INDEX(Livable_wage!$A:$J,MATCH('2022'!$A28,Livable_wage!$A:$A,0),MATCH('2022'!$A$1,Livable_wage!$3:$3,0))</f>
        <v>12945</v>
      </c>
      <c r="E28" s="41">
        <f>INDEX(AVA_1!$A:$J,MATCH('2022'!$A28,AVA_1!$A:$A,0),MATCH('2022'!$A$1,AVA_1!$3:$3,0))</f>
        <v>0.313</v>
      </c>
      <c r="F28" s="15">
        <f>INDEX(AVA_2!$A:$J,MATCH('2022'!$A28,AVA_2!$A:$A,0),MATCH('2022'!$A$1,AVA_2!$3:$3,0))</f>
        <v>7.023926829884535E-3</v>
      </c>
      <c r="G28" s="15">
        <f>INDEX(AVA_3!$A:$J,MATCH('2022'!$A28,AVA_3!$A:$A,0),MATCH('2022'!$A$1,AVA_3!$3:$3,0))</f>
        <v>4.3914474436045504E-3</v>
      </c>
      <c r="H28" s="87">
        <f>INDEX(AVA_4!$A:$J,MATCH('2022'!$A28,AVA_4!$A:$A,0),MATCH('2022'!$A$1,AVA_4!$3:$3,0))/(B28/1000)</f>
        <v>0.8212221895742452</v>
      </c>
      <c r="I28" s="89">
        <f>INDEX(AVA_5!$A:$J,MATCH('2022'!$A28,AVA_5!$A:$A,0),MATCH('2022'!$A$1,AVA_5!$3:$3,0))/(B28/1000)</f>
        <v>2.1095615878971437</v>
      </c>
      <c r="J28" s="93">
        <f>INDEX(IRA_1!$A:$J,MATCH('2022'!$A28,IRA_1!$A:$A,0),MATCH('2022'!$A$1,IRA_1!$3:$3,0))/(B28/1000)</f>
        <v>7.1574411017938794E-2</v>
      </c>
      <c r="K28" s="88">
        <f>INDEX(IRA_2!$A:$J,MATCH('2022'!$A28,IRA_2!$A:$A,0),MATCH('2022'!$A$1,IRA_2!$3:$3,0))/(B28/1000)</f>
        <v>0.1506829705640817</v>
      </c>
      <c r="L28" s="15">
        <f>INDEX(IRA_3!$A:$J,MATCH('2022'!$A28,IRA_3!$A:$A,0),MATCH('2022'!$A$1,IRA_3!$3:$3,0))</f>
        <v>0.34797490017113519</v>
      </c>
      <c r="M28" s="96">
        <f>INDEX(IRA_4!$A:$J,MATCH('2022'!$A28,IRA_4!$A:$A,0),MATCH('2022'!$A$1,IRA_4!$3:$3,0))/(B28/1000)</f>
        <v>2.1886701474432866</v>
      </c>
      <c r="N28" s="61">
        <f>INDEX(INV_1!$A:$J,MATCH('2022'!$A28,INV_1!$A:$A,0),MATCH('2022'!$A$1,INV_1!$3:$3,0))</f>
        <v>0.10163257441203807</v>
      </c>
      <c r="O28" s="80">
        <f>INDEX(INV_2!$A:$J,MATCH('2022'!$A28,INV_2!$A:$A,0),MATCH('2022'!$A$1,INV_2!$3:$3,0))/B28*10^6/C28</f>
        <v>0.31377363762626115</v>
      </c>
      <c r="P28" s="87">
        <f>INDEX(INV_3!$A:$J,MATCH('2022'!$A28,INV_3!$A:$A,0),MATCH('2022'!$A$1,INV_3!$3:$3,0))/B28*10^6/C28</f>
        <v>8.7480066909834058</v>
      </c>
      <c r="Q28" s="87">
        <f>INDEX(INV_4!$A:$J,MATCH('2022'!$A28,INV_4!$A:$A,0),MATCH('2022'!$A$1,INV_4!$3:$3,0))/B28*10^3/C28</f>
        <v>0.24500309540554713</v>
      </c>
      <c r="R28" s="34">
        <f>INDEX(INV_5!$A:$J,MATCH('2022'!$A28,INV_5!$A:$A,0),MATCH('2022'!$A$1,INV_5!$3:$3,0))</f>
        <v>6.7500000000000004E-2</v>
      </c>
      <c r="S28" s="77">
        <f>INDEX(LUJ_1!$A:$J,MATCH('2022'!$A28,LUJ_1!$A:$A,0),MATCH('2022'!$A$1,LUJ_1!$3:$3,0))</f>
        <v>1.0102115244347192</v>
      </c>
      <c r="T28" s="73">
        <f>INDEX(LUJ_2!$A:$J,MATCH('2022'!$A28,LUJ_2!$A:$A,0),MATCH('2022'!$A$1,LUJ_2!$3:$3,0))</f>
        <v>0.214</v>
      </c>
      <c r="U28" s="73">
        <f>INDEX(LUJ_3!$A:$J,MATCH('2022'!$A28,LUJ_3!$A:$A,0),MATCH('2022'!$A$1,LUJ_3!$3:$3,0))</f>
        <v>0.17888198757763976</v>
      </c>
      <c r="V28" s="14">
        <f>INDEX(LUJ_4!$A:$J,MATCH('2022'!$A28,LUJ_4!$A:$A,0),MATCH('2022'!$A$1,LUJ_4!$3:$3,0))</f>
        <v>6</v>
      </c>
      <c r="W28" s="34">
        <f>INDEX(LUJ_5!$A:$J,MATCH('2022'!$A28,LUJ_5!$A:$A,0),MATCH('2022'!$A$1,LUJ_5!$3:$3,0))</f>
        <v>4.5</v>
      </c>
      <c r="X28" s="98">
        <f>1/INDEX(GUL_1!$A:$J,MATCH('2022'!$A28,GUL_1!$A:$A,0),MATCH('2022'!$A$1,GUL_1!$3:$3,0))</f>
        <v>1.3607293509320996E-2</v>
      </c>
      <c r="Y28" s="57" t="e">
        <f>INDEX(GUL_2!$A:$J,MATCH('2022'!$A28,GUL_2!$A:$A,0),MATCH('2022'!$A$1,GUL_2!$3:$3,0))</f>
        <v>#N/A</v>
      </c>
      <c r="Z28" s="57">
        <f>INDEX(GUL_3!$A:$J,MATCH('2022'!$A28,GUL_3!$A:$A,0),MATCH('2022'!$A$1,GUL_3!$3:$3,0))/(B28/1000)</f>
        <v>0.47088428301275526</v>
      </c>
      <c r="AA28" s="101">
        <f>INDEX(GUL_4!$A:$J,MATCH('2022'!$A28,GUL_4!$A:$A,0),MATCH('2022'!$A$1,GUL_4!$3:$3,0))/B28/C28*10^6</f>
        <v>0.18992886345193696</v>
      </c>
      <c r="AB28" s="73">
        <f>INDEX(GUL_5!$A:$J,MATCH('2022'!$A28,GUL_5!$A:$A,0),MATCH('2022'!$A$1,GUL_5!$3:$3,0))</f>
        <v>1.6790957957033018E-2</v>
      </c>
      <c r="AC28" s="49" t="e">
        <f>INDEX(GUL_6!$A:$J,MATCH('2022'!$A28,GUL_6!$A:$A,0),MATCH('2022'!$A$1,GUL_6!$3:$3,0))</f>
        <v>#N/A</v>
      </c>
      <c r="AD28" s="49" t="e">
        <f>INDEX(GUL_7!$A:$J,MATCH('2022'!$A28,GUL_7!$A:$A,0),MATCH('2022'!$A$1,GUL_7!$3:$3,0))</f>
        <v>#N/A</v>
      </c>
      <c r="AE28" s="103">
        <f>INDEX(GUL_8!$A:$J,MATCH('2022'!$A28,GUL_8!$A:$A,0),MATCH('2022'!$A$1,GUL_8!$3:$3,0))/(B28/1000)</f>
        <v>2.1736018503868784</v>
      </c>
      <c r="AF28" s="41">
        <f>INDEX(DES_1!$A:$J,MATCH('2022'!$A28,DES_1!$A:$A,0),MATCH('2022'!$A$1,DES_1!$3:$3,0))/(B28/1000)</f>
        <v>0.17328541614869394</v>
      </c>
      <c r="AG28" s="100">
        <f>INDEX(DES_2!$A:$J,MATCH('2022'!$A28,DES_2!$A:$A,0),MATCH('2022'!$A$1,DES_2!$3:$3,0))/(B28/1000)</f>
        <v>0.71951118444349005</v>
      </c>
      <c r="AH28" s="57">
        <f>1/INDEX(DES_3!$A:$J,MATCH('2022'!$A28,DES_3!$A:$A,0),MATCH('2022'!$A$1,DES_3!$3:$3,0))</f>
        <v>9.1157702825888781E-3</v>
      </c>
      <c r="AI28" s="80" t="e">
        <f>INDEX(DES_4!$A:$J,MATCH('2022'!$A28,DES_4!$A:$A,0),MATCH('2022'!$A$1,DES_4!$3:$3,0))</f>
        <v>#N/A</v>
      </c>
      <c r="AJ28" s="110" t="e">
        <f>INDEX(DES_5!$A:$J,MATCH('2022'!$A28,DES_5!$A:$A,0),MATCH('2022'!$A$1,DES_5!$3:$3,0))</f>
        <v>#N/A</v>
      </c>
      <c r="AK28" s="57">
        <v>38</v>
      </c>
    </row>
    <row r="29" spans="1:37" x14ac:dyDescent="0.3">
      <c r="A29" s="29" t="s">
        <v>28</v>
      </c>
      <c r="B29" s="33">
        <f>INDEX(Population!$A:$J,MATCH('2022'!$A29,Population!$A:$A,0),MATCH('2022'!$A$1,Population!$3:$3,0))</f>
        <v>5825693</v>
      </c>
      <c r="C29" s="14">
        <f>INDEX(Income!$A:$J,MATCH('2022'!$A29,Income!$A:$A,0),MATCH('2022'!$A$1,Income!$3:$3,0))</f>
        <v>48279</v>
      </c>
      <c r="D29" s="34">
        <f>INDEX(Livable_wage!$A:$J,MATCH('2022'!$A29,Livable_wage!$A:$A,0),MATCH('2022'!$A$1,Livable_wage!$3:$3,0))</f>
        <v>13363</v>
      </c>
      <c r="E29" s="41">
        <f>INDEX(AVA_1!$A:$J,MATCH('2022'!$A29,AVA_1!$A:$A,0),MATCH('2022'!$A$1,AVA_1!$3:$3,0))</f>
        <v>0.40799999999999997</v>
      </c>
      <c r="F29" s="15">
        <f>INDEX(AVA_2!$A:$J,MATCH('2022'!$A29,AVA_2!$A:$A,0),MATCH('2022'!$A$1,AVA_2!$3:$3,0))</f>
        <v>1.206968516036612E-2</v>
      </c>
      <c r="G29" s="15">
        <f>INDEX(AVA_3!$A:$J,MATCH('2022'!$A29,AVA_3!$A:$A,0),MATCH('2022'!$A$1,AVA_3!$3:$3,0))</f>
        <v>2.2218050243156789E-2</v>
      </c>
      <c r="H29" s="87">
        <f>INDEX(AVA_4!$A:$J,MATCH('2022'!$A29,AVA_4!$A:$A,0),MATCH('2022'!$A$1,AVA_4!$3:$3,0))/(B29/1000)</f>
        <v>0.77758989359720809</v>
      </c>
      <c r="I29" s="89">
        <f>INDEX(AVA_5!$A:$J,MATCH('2022'!$A29,AVA_5!$A:$A,0),MATCH('2022'!$A$1,AVA_5!$3:$3,0))/(B29/1000)</f>
        <v>4.9077423063659547</v>
      </c>
      <c r="J29" s="93">
        <f>INDEX(IRA_1!$A:$J,MATCH('2022'!$A29,IRA_1!$A:$A,0),MATCH('2022'!$A$1,IRA_1!$3:$3,0))/(B29/1000)</f>
        <v>3.5532253416031362E-2</v>
      </c>
      <c r="K29" s="88">
        <f>INDEX(IRA_2!$A:$J,MATCH('2022'!$A29,IRA_2!$A:$A,0),MATCH('2022'!$A$1,IRA_2!$3:$3,0))/(B29/1000)</f>
        <v>8.8916460239150938E-2</v>
      </c>
      <c r="L29" s="15">
        <f>INDEX(IRA_3!$A:$J,MATCH('2022'!$A29,IRA_3!$A:$A,0),MATCH('2022'!$A$1,IRA_3!$3:$3,0))</f>
        <v>0.4595663486556808</v>
      </c>
      <c r="M29" s="96">
        <f>INDEX(IRA_4!$A:$J,MATCH('2022'!$A29,IRA_4!$A:$A,0),MATCH('2022'!$A$1,IRA_4!$3:$3,0))/(B29/1000)</f>
        <v>5.5773622125299083</v>
      </c>
      <c r="N29" s="61">
        <f>INDEX(INV_1!$A:$J,MATCH('2022'!$A29,INV_1!$A:$A,0),MATCH('2022'!$A$1,INV_1!$3:$3,0))</f>
        <v>7.0290499610196094E-2</v>
      </c>
      <c r="O29" s="80">
        <f>INDEX(INV_2!$A:$J,MATCH('2022'!$A29,INV_2!$A:$A,0),MATCH('2022'!$A$1,INV_2!$3:$3,0))/B29*10^6/C29</f>
        <v>0.55465975273982127</v>
      </c>
      <c r="P29" s="87">
        <f>INDEX(INV_3!$A:$J,MATCH('2022'!$A29,INV_3!$A:$A,0),MATCH('2022'!$A$1,INV_3!$3:$3,0))/B29*10^6/C29</f>
        <v>3.6321729629248711</v>
      </c>
      <c r="Q29" s="87">
        <f>INDEX(INV_4!$A:$J,MATCH('2022'!$A29,INV_4!$A:$A,0),MATCH('2022'!$A$1,INV_4!$3:$3,0))/B29*10^3/C29</f>
        <v>0.25271378270910572</v>
      </c>
      <c r="R29" s="34">
        <f>INDEX(INV_5!$A:$J,MATCH('2022'!$A29,INV_5!$A:$A,0),MATCH('2022'!$A$1,INV_5!$3:$3,0))</f>
        <v>0.33</v>
      </c>
      <c r="S29" s="77">
        <f>INDEX(LUJ_1!$A:$J,MATCH('2022'!$A29,LUJ_1!$A:$A,0),MATCH('2022'!$A$1,LUJ_1!$3:$3,0))</f>
        <v>0.62484427458350045</v>
      </c>
      <c r="T29" s="73">
        <f>INDEX(LUJ_2!$A:$J,MATCH('2022'!$A29,LUJ_2!$A:$A,0),MATCH('2022'!$A$1,LUJ_2!$3:$3,0))</f>
        <v>0.20100000000000001</v>
      </c>
      <c r="U29" s="73">
        <f>INDEX(LUJ_3!$A:$J,MATCH('2022'!$A29,LUJ_3!$A:$A,0),MATCH('2022'!$A$1,LUJ_3!$3:$3,0))</f>
        <v>0.27749139870934147</v>
      </c>
      <c r="V29" s="14">
        <f>INDEX(LUJ_4!$A:$J,MATCH('2022'!$A29,LUJ_4!$A:$A,0),MATCH('2022'!$A$1,LUJ_4!$3:$3,0))</f>
        <v>71</v>
      </c>
      <c r="W29" s="34">
        <f>INDEX(LUJ_5!$A:$J,MATCH('2022'!$A29,LUJ_5!$A:$A,0),MATCH('2022'!$A$1,LUJ_5!$3:$3,0))</f>
        <v>31</v>
      </c>
      <c r="X29" s="98">
        <f>1/INDEX(GUL_1!$A:$J,MATCH('2022'!$A29,GUL_1!$A:$A,0),MATCH('2022'!$A$1,GUL_1!$3:$3,0))</f>
        <v>1.3713658804168952E-2</v>
      </c>
      <c r="Y29" s="57" t="e">
        <f>INDEX(GUL_2!$A:$J,MATCH('2022'!$A29,GUL_2!$A:$A,0),MATCH('2022'!$A$1,GUL_2!$3:$3,0))</f>
        <v>#N/A</v>
      </c>
      <c r="Z29" s="57">
        <f>INDEX(GUL_3!$A:$J,MATCH('2022'!$A29,GUL_3!$A:$A,0),MATCH('2022'!$A$1,GUL_3!$3:$3,0))/(B29/1000)</f>
        <v>0.65811912848823306</v>
      </c>
      <c r="AA29" s="101">
        <f>INDEX(GUL_4!$A:$J,MATCH('2022'!$A29,GUL_4!$A:$A,0),MATCH('2022'!$A$1,GUL_4!$3:$3,0))/B29/C29*10^6</f>
        <v>0.38284652492781901</v>
      </c>
      <c r="AB29" s="73">
        <f>INDEX(GUL_5!$A:$J,MATCH('2022'!$A29,GUL_5!$A:$A,0),MATCH('2022'!$A$1,GUL_5!$3:$3,0))</f>
        <v>2.2897182153687048E-2</v>
      </c>
      <c r="AC29" s="49" t="e">
        <f>INDEX(GUL_6!$A:$J,MATCH('2022'!$A29,GUL_6!$A:$A,0),MATCH('2022'!$A$1,GUL_6!$3:$3,0))</f>
        <v>#N/A</v>
      </c>
      <c r="AD29" s="49" t="e">
        <f>INDEX(GUL_7!$A:$J,MATCH('2022'!$A29,GUL_7!$A:$A,0),MATCH('2022'!$A$1,GUL_7!$3:$3,0))</f>
        <v>#N/A</v>
      </c>
      <c r="AE29" s="103">
        <f>INDEX(GUL_8!$A:$J,MATCH('2022'!$A29,GUL_8!$A:$A,0),MATCH('2022'!$A$1,GUL_8!$3:$3,0))/(B29/1000)</f>
        <v>0.82702607226299085</v>
      </c>
      <c r="AF29" s="41">
        <f>INDEX(DES_1!$A:$J,MATCH('2022'!$A29,DES_1!$A:$A,0),MATCH('2022'!$A$1,DES_1!$3:$3,0))/(B29/1000)</f>
        <v>7.0549546637627483E-2</v>
      </c>
      <c r="AG29" s="100">
        <f>INDEX(DES_2!$A:$J,MATCH('2022'!$A29,DES_2!$A:$A,0),MATCH('2022'!$A$1,DES_2!$3:$3,0))/(B29/1000)</f>
        <v>0.63511757313679251</v>
      </c>
      <c r="AH29" s="57">
        <f>1/INDEX(DES_3!$A:$J,MATCH('2022'!$A29,DES_3!$A:$A,0),MATCH('2022'!$A$1,DES_3!$3:$3,0))</f>
        <v>8.8731144631765749E-3</v>
      </c>
      <c r="AI29" s="80" t="e">
        <f>INDEX(DES_4!$A:$J,MATCH('2022'!$A29,DES_4!$A:$A,0),MATCH('2022'!$A$1,DES_4!$3:$3,0))</f>
        <v>#N/A</v>
      </c>
      <c r="AJ29" s="110" t="e">
        <f>INDEX(DES_5!$A:$J,MATCH('2022'!$A29,DES_5!$A:$A,0),MATCH('2022'!$A$1,DES_5!$3:$3,0))</f>
        <v>#N/A</v>
      </c>
      <c r="AK29" s="57">
        <v>39</v>
      </c>
    </row>
    <row r="30" spans="1:37" x14ac:dyDescent="0.3">
      <c r="A30" s="29" t="s">
        <v>29</v>
      </c>
      <c r="B30" s="33">
        <f>INDEX(Population!$A:$J,MATCH('2022'!$A30,Population!$A:$A,0),MATCH('2022'!$A$1,Population!$3:$3,0))</f>
        <v>4178435</v>
      </c>
      <c r="C30" s="14">
        <f>INDEX(Income!$A:$J,MATCH('2022'!$A30,Income!$A:$A,0),MATCH('2022'!$A$1,Income!$3:$3,0))</f>
        <v>40008</v>
      </c>
      <c r="D30" s="34">
        <f>INDEX(Livable_wage!$A:$J,MATCH('2022'!$A30,Livable_wage!$A:$A,0),MATCH('2022'!$A$1,Livable_wage!$3:$3,0))</f>
        <v>13085</v>
      </c>
      <c r="E30" s="41">
        <f>INDEX(AVA_1!$A:$J,MATCH('2022'!$A30,AVA_1!$A:$A,0),MATCH('2022'!$A$1,AVA_1!$3:$3,0))</f>
        <v>0.38600000000000001</v>
      </c>
      <c r="F30" s="15">
        <f>INDEX(AVA_2!$A:$J,MATCH('2022'!$A30,AVA_2!$A:$A,0),MATCH('2022'!$A$1,AVA_2!$3:$3,0))</f>
        <v>9.5659269488208073E-3</v>
      </c>
      <c r="G30" s="15">
        <f>INDEX(AVA_3!$A:$J,MATCH('2022'!$A30,AVA_3!$A:$A,0),MATCH('2022'!$A$1,AVA_3!$3:$3,0))</f>
        <v>7.9302612637474498E-2</v>
      </c>
      <c r="H30" s="87">
        <f>INDEX(AVA_4!$A:$J,MATCH('2022'!$A30,AVA_4!$A:$A,0),MATCH('2022'!$A$1,AVA_4!$3:$3,0))/(B30/1000)</f>
        <v>0.83978810248334601</v>
      </c>
      <c r="I30" s="89">
        <f>INDEX(AVA_5!$A:$J,MATCH('2022'!$A30,AVA_5!$A:$A,0),MATCH('2022'!$A$1,AVA_5!$3:$3,0))/(B30/1000)</f>
        <v>6.1305249453443684</v>
      </c>
      <c r="J30" s="93">
        <f>INDEX(IRA_1!$A:$J,MATCH('2022'!$A30,IRA_1!$A:$A,0),MATCH('2022'!$A$1,IRA_1!$3:$3,0))/(B30/1000)</f>
        <v>2.7522266111594411E-2</v>
      </c>
      <c r="K30" s="88">
        <f>INDEX(IRA_2!$A:$J,MATCH('2022'!$A30,IRA_2!$A:$A,0),MATCH('2022'!$A$1,IRA_2!$3:$3,0))/(B30/1000)</f>
        <v>8.2566798334783226E-2</v>
      </c>
      <c r="L30" s="15">
        <f>INDEX(IRA_3!$A:$J,MATCH('2022'!$A30,IRA_3!$A:$A,0),MATCH('2022'!$A$1,IRA_3!$3:$3,0))</f>
        <v>0.40753240401076063</v>
      </c>
      <c r="M30" s="96">
        <f>INDEX(IRA_4!$A:$J,MATCH('2022'!$A30,IRA_4!$A:$A,0),MATCH('2022'!$A$1,IRA_4!$3:$3,0))/(B30/1000)</f>
        <v>5.6095164816492291</v>
      </c>
      <c r="N30" s="61">
        <f>INDEX(INV_1!$A:$J,MATCH('2022'!$A30,INV_1!$A:$A,0),MATCH('2022'!$A$1,INV_1!$3:$3,0))</f>
        <v>7.7164536262932196E-2</v>
      </c>
      <c r="O30" s="80">
        <f>INDEX(INV_2!$A:$J,MATCH('2022'!$A30,INV_2!$A:$A,0),MATCH('2022'!$A$1,INV_2!$3:$3,0))/B30*10^6/C30</f>
        <v>0.63645351311281662</v>
      </c>
      <c r="P30" s="87">
        <f>INDEX(INV_3!$A:$J,MATCH('2022'!$A30,INV_3!$A:$A,0),MATCH('2022'!$A$1,INV_3!$3:$3,0))/B30*10^6/C30</f>
        <v>3.7866535061312248</v>
      </c>
      <c r="Q30" s="87">
        <f>INDEX(INV_4!$A:$J,MATCH('2022'!$A30,INV_4!$A:$A,0),MATCH('2022'!$A$1,INV_4!$3:$3,0))/B30*10^3/C30</f>
        <v>0.2141297511629689</v>
      </c>
      <c r="R30" s="34">
        <f>INDEX(INV_5!$A:$J,MATCH('2022'!$A30,INV_5!$A:$A,0),MATCH('2022'!$A$1,INV_5!$3:$3,0))</f>
        <v>0.1439</v>
      </c>
      <c r="S30" s="77">
        <f>INDEX(LUJ_1!$A:$J,MATCH('2022'!$A30,LUJ_1!$A:$A,0),MATCH('2022'!$A$1,LUJ_1!$3:$3,0))</f>
        <v>0.68375836191381711</v>
      </c>
      <c r="T30" s="73">
        <f>INDEX(LUJ_2!$A:$J,MATCH('2022'!$A30,LUJ_2!$A:$A,0),MATCH('2022'!$A$1,LUJ_2!$3:$3,0))</f>
        <v>0.221</v>
      </c>
      <c r="U30" s="73">
        <f>INDEX(LUJ_3!$A:$J,MATCH('2022'!$A30,LUJ_3!$A:$A,0),MATCH('2022'!$A$1,LUJ_3!$3:$3,0))</f>
        <v>0.29422019755813239</v>
      </c>
      <c r="V30" s="14">
        <f>INDEX(LUJ_4!$A:$J,MATCH('2022'!$A30,LUJ_4!$A:$A,0),MATCH('2022'!$A$1,LUJ_4!$3:$3,0))</f>
        <v>55</v>
      </c>
      <c r="W30" s="34">
        <f>INDEX(LUJ_5!$A:$J,MATCH('2022'!$A30,LUJ_5!$A:$A,0),MATCH('2022'!$A$1,LUJ_5!$3:$3,0))</f>
        <v>29</v>
      </c>
      <c r="X30" s="98">
        <f>1/INDEX(GUL_1!$A:$J,MATCH('2022'!$A30,GUL_1!$A:$A,0),MATCH('2022'!$A$1,GUL_1!$3:$3,0))</f>
        <v>1.3888888888888888E-2</v>
      </c>
      <c r="Y30" s="57" t="e">
        <f>INDEX(GUL_2!$A:$J,MATCH('2022'!$A30,GUL_2!$A:$A,0),MATCH('2022'!$A$1,GUL_2!$3:$3,0))</f>
        <v>#N/A</v>
      </c>
      <c r="Z30" s="57">
        <f>INDEX(GUL_3!$A:$J,MATCH('2022'!$A30,GUL_3!$A:$A,0),MATCH('2022'!$A$1,GUL_3!$3:$3,0))/(B30/1000)</f>
        <v>0.78091438540984837</v>
      </c>
      <c r="AA30" s="101">
        <f>INDEX(GUL_4!$A:$J,MATCH('2022'!$A30,GUL_4!$A:$A,0),MATCH('2022'!$A$1,GUL_4!$3:$3,0))/B30/C30*10^6</f>
        <v>0.30812487308027769</v>
      </c>
      <c r="AB30" s="73">
        <f>INDEX(GUL_5!$A:$J,MATCH('2022'!$A30,GUL_5!$A:$A,0),MATCH('2022'!$A$1,GUL_5!$3:$3,0))</f>
        <v>3.3292359981676949E-2</v>
      </c>
      <c r="AC30" s="49" t="e">
        <f>INDEX(GUL_6!$A:$J,MATCH('2022'!$A30,GUL_6!$A:$A,0),MATCH('2022'!$A$1,GUL_6!$3:$3,0))</f>
        <v>#N/A</v>
      </c>
      <c r="AD30" s="49" t="e">
        <f>INDEX(GUL_7!$A:$J,MATCH('2022'!$A30,GUL_7!$A:$A,0),MATCH('2022'!$A$1,GUL_7!$3:$3,0))</f>
        <v>#N/A</v>
      </c>
      <c r="AE30" s="103">
        <f>INDEX(GUL_8!$A:$J,MATCH('2022'!$A30,GUL_8!$A:$A,0),MATCH('2022'!$A$1,GUL_8!$3:$3,0))/(B30/1000)</f>
        <v>0.87688333072071234</v>
      </c>
      <c r="AF30" s="41">
        <f>INDEX(DES_1!$A:$J,MATCH('2022'!$A30,DES_1!$A:$A,0),MATCH('2022'!$A$1,DES_1!$3:$3,0))/(B30/1000)</f>
        <v>3.972779282195367E-2</v>
      </c>
      <c r="AG30" s="100">
        <f>INDEX(DES_2!$A:$J,MATCH('2022'!$A30,DES_2!$A:$A,0),MATCH('2022'!$A$1,DES_2!$3:$3,0))/(B30/1000)</f>
        <v>0.63708062947012456</v>
      </c>
      <c r="AH30" s="57">
        <f>1/INDEX(DES_3!$A:$J,MATCH('2022'!$A30,DES_3!$A:$A,0),MATCH('2022'!$A$1,DES_3!$3:$3,0))</f>
        <v>7.3152889539136803E-3</v>
      </c>
      <c r="AI30" s="80" t="e">
        <f>INDEX(DES_4!$A:$J,MATCH('2022'!$A30,DES_4!$A:$A,0),MATCH('2022'!$A$1,DES_4!$3:$3,0))</f>
        <v>#N/A</v>
      </c>
      <c r="AJ30" s="110" t="e">
        <f>INDEX(DES_5!$A:$J,MATCH('2022'!$A30,DES_5!$A:$A,0),MATCH('2022'!$A$1,DES_5!$3:$3,0))</f>
        <v>#N/A</v>
      </c>
      <c r="AK30" s="57">
        <v>40</v>
      </c>
    </row>
    <row r="31" spans="1:37" x14ac:dyDescent="0.3">
      <c r="A31" s="29" t="s">
        <v>30</v>
      </c>
      <c r="B31" s="33">
        <f>INDEX(Population!$A:$J,MATCH('2022'!$A31,Population!$A:$A,0),MATCH('2022'!$A$1,Population!$3:$3,0))</f>
        <v>661969</v>
      </c>
      <c r="C31" s="14">
        <f>INDEX(Income!$A:$J,MATCH('2022'!$A31,Income!$A:$A,0),MATCH('2022'!$A$1,Income!$3:$3,0))</f>
        <v>62390</v>
      </c>
      <c r="D31" s="34">
        <f>INDEX(Livable_wage!$A:$J,MATCH('2022'!$A31,Livable_wage!$A:$A,0),MATCH('2022'!$A$1,Livable_wage!$3:$3,0))</f>
        <v>22250</v>
      </c>
      <c r="E31" s="41">
        <f>INDEX(AVA_1!$A:$J,MATCH('2022'!$A31,AVA_1!$A:$A,0),MATCH('2022'!$A$1,AVA_1!$3:$3,0))</f>
        <v>0.32300000000000001</v>
      </c>
      <c r="F31" s="15">
        <f>INDEX(AVA_2!$A:$J,MATCH('2022'!$A31,AVA_2!$A:$A,0),MATCH('2022'!$A$1,AVA_2!$3:$3,0))</f>
        <v>9.7204640150797324E-3</v>
      </c>
      <c r="G31" s="15">
        <f>INDEX(AVA_3!$A:$J,MATCH('2022'!$A31,AVA_3!$A:$A,0),MATCH('2022'!$A$1,AVA_3!$3:$3,0))</f>
        <v>1.7472975513850443E-2</v>
      </c>
      <c r="H31" s="87">
        <f>INDEX(AVA_4!$A:$J,MATCH('2022'!$A31,AVA_4!$A:$A,0),MATCH('2022'!$A$1,AVA_4!$3:$3,0))/(B31/1000)</f>
        <v>0.53930017870927482</v>
      </c>
      <c r="I31" s="89">
        <f>INDEX(AVA_5!$A:$J,MATCH('2022'!$A31,AVA_5!$A:$A,0),MATCH('2022'!$A$1,AVA_5!$3:$3,0))/(B31/1000)</f>
        <v>5.9579829266929414</v>
      </c>
      <c r="J31" s="93">
        <f>INDEX(IRA_1!$A:$J,MATCH('2022'!$A31,IRA_1!$A:$A,0),MATCH('2022'!$A$1,IRA_1!$3:$3,0))/(B31/1000)</f>
        <v>5.4383211298414273E-2</v>
      </c>
      <c r="K31" s="88">
        <f>INDEX(IRA_2!$A:$J,MATCH('2022'!$A31,IRA_2!$A:$A,0),MATCH('2022'!$A$1,IRA_2!$3:$3,0))/(B31/1000)</f>
        <v>0.22357542422681423</v>
      </c>
      <c r="L31" s="15">
        <f>INDEX(IRA_3!$A:$J,MATCH('2022'!$A31,IRA_3!$A:$A,0),MATCH('2022'!$A$1,IRA_3!$3:$3,0))</f>
        <v>0.34508594094314671</v>
      </c>
      <c r="M31" s="96">
        <f>INDEX(IRA_4!$A:$J,MATCH('2022'!$A31,IRA_4!$A:$A,0),MATCH('2022'!$A$1,IRA_4!$3:$3,0))/(B31/1000)</f>
        <v>4.1603156643286914</v>
      </c>
      <c r="N31" s="61">
        <f>INDEX(INV_1!$A:$J,MATCH('2022'!$A31,INV_1!$A:$A,0),MATCH('2022'!$A$1,INV_1!$3:$3,0))</f>
        <v>6.8142797283640213E-2</v>
      </c>
      <c r="O31" s="80">
        <f>INDEX(INV_2!$A:$J,MATCH('2022'!$A31,INV_2!$A:$A,0),MATCH('2022'!$A$1,INV_2!$3:$3,0))/B31*10^6/C31</f>
        <v>0.42022598839892727</v>
      </c>
      <c r="P31" s="87">
        <f>INDEX(INV_3!$A:$J,MATCH('2022'!$A31,INV_3!$A:$A,0),MATCH('2022'!$A$1,INV_3!$3:$3,0))/B31*10^6/C31</f>
        <v>4.0036807616189813</v>
      </c>
      <c r="Q31" s="87">
        <f>INDEX(INV_4!$A:$J,MATCH('2022'!$A31,INV_4!$A:$A,0),MATCH('2022'!$A$1,INV_4!$3:$3,0))/B31*10^3/C31</f>
        <v>0.19970216201552882</v>
      </c>
      <c r="R31" s="34">
        <f>INDEX(INV_5!$A:$J,MATCH('2022'!$A31,INV_5!$A:$A,0),MATCH('2022'!$A$1,INV_5!$3:$3,0))</f>
        <v>6.88E-2</v>
      </c>
      <c r="S31" s="77">
        <f>INDEX(LUJ_1!$A:$J,MATCH('2022'!$A31,LUJ_1!$A:$A,0),MATCH('2022'!$A$1,LUJ_1!$3:$3,0))</f>
        <v>0.68532360984503193</v>
      </c>
      <c r="T31" s="73">
        <f>INDEX(LUJ_2!$A:$J,MATCH('2022'!$A31,LUJ_2!$A:$A,0),MATCH('2022'!$A$1,LUJ_2!$3:$3,0))</f>
        <v>0.20399999999999999</v>
      </c>
      <c r="U31" s="73">
        <f>INDEX(LUJ_3!$A:$J,MATCH('2022'!$A31,LUJ_3!$A:$A,0),MATCH('2022'!$A$1,LUJ_3!$3:$3,0))</f>
        <v>0.52850389518413599</v>
      </c>
      <c r="V31" s="14">
        <f>INDEX(LUJ_4!$A:$J,MATCH('2022'!$A31,LUJ_4!$A:$A,0),MATCH('2022'!$A$1,LUJ_4!$3:$3,0))</f>
        <v>11</v>
      </c>
      <c r="W31" s="34">
        <f>INDEX(LUJ_5!$A:$J,MATCH('2022'!$A31,LUJ_5!$A:$A,0),MATCH('2022'!$A$1,LUJ_5!$3:$3,0))</f>
        <v>46.8</v>
      </c>
      <c r="X31" s="98">
        <f>1/INDEX(GUL_1!$A:$J,MATCH('2022'!$A31,GUL_1!$A:$A,0),MATCH('2022'!$A$1,GUL_1!$3:$3,0))</f>
        <v>1.4253135689851768E-2</v>
      </c>
      <c r="Y31" s="57" t="e">
        <f>INDEX(GUL_2!$A:$J,MATCH('2022'!$A31,GUL_2!$A:$A,0),MATCH('2022'!$A$1,GUL_2!$3:$3,0))</f>
        <v>#N/A</v>
      </c>
      <c r="Z31" s="57">
        <f>INDEX(GUL_3!$A:$J,MATCH('2022'!$A31,GUL_3!$A:$A,0),MATCH('2022'!$A$1,GUL_3!$3:$3,0))/(B31/1000)</f>
        <v>0.84293977512542118</v>
      </c>
      <c r="AA31" s="101">
        <f>INDEX(GUL_4!$A:$J,MATCH('2022'!$A31,GUL_4!$A:$A,0),MATCH('2022'!$A$1,GUL_4!$3:$3,0))/B31/C31*10^6</f>
        <v>0.68166155865874367</v>
      </c>
      <c r="AB31" s="73">
        <f>INDEX(GUL_5!$A:$J,MATCH('2022'!$A31,GUL_5!$A:$A,0),MATCH('2022'!$A$1,GUL_5!$3:$3,0))</f>
        <v>3.7952298268776136E-2</v>
      </c>
      <c r="AC31" s="49" t="e">
        <f>INDEX(GUL_6!$A:$J,MATCH('2022'!$A31,GUL_6!$A:$A,0),MATCH('2022'!$A$1,GUL_6!$3:$3,0))</f>
        <v>#N/A</v>
      </c>
      <c r="AD31" s="49" t="e">
        <f>INDEX(GUL_7!$A:$J,MATCH('2022'!$A31,GUL_7!$A:$A,0),MATCH('2022'!$A$1,GUL_7!$3:$3,0))</f>
        <v>#N/A</v>
      </c>
      <c r="AE31" s="103">
        <f>INDEX(GUL_8!$A:$J,MATCH('2022'!$A31,GUL_8!$A:$A,0),MATCH('2022'!$A$1,GUL_8!$3:$3,0))/(B31/1000)</f>
        <v>1.7115605111417602</v>
      </c>
      <c r="AF31" s="41">
        <f>INDEX(DES_1!$A:$J,MATCH('2022'!$A31,DES_1!$A:$A,0),MATCH('2022'!$A$1,DES_1!$3:$3,0))/(B31/1000)</f>
        <v>5.7404500814992841E-2</v>
      </c>
      <c r="AG31" s="100">
        <f>INDEX(DES_2!$A:$J,MATCH('2022'!$A31,DES_2!$A:$A,0),MATCH('2022'!$A$1,DES_2!$3:$3,0))/(B31/1000)</f>
        <v>0.61785370614031765</v>
      </c>
      <c r="AH31" s="57">
        <f>1/INDEX(DES_3!$A:$J,MATCH('2022'!$A31,DES_3!$A:$A,0),MATCH('2022'!$A$1,DES_3!$3:$3,0))</f>
        <v>6.7658998646820019E-3</v>
      </c>
      <c r="AI31" s="80" t="e">
        <f>INDEX(DES_4!$A:$J,MATCH('2022'!$A31,DES_4!$A:$A,0),MATCH('2022'!$A$1,DES_4!$3:$3,0))</f>
        <v>#N/A</v>
      </c>
      <c r="AJ31" s="110" t="e">
        <f>INDEX(DES_5!$A:$J,MATCH('2022'!$A31,DES_5!$A:$A,0),MATCH('2022'!$A$1,DES_5!$3:$3,0))</f>
        <v>#N/A</v>
      </c>
      <c r="AK31" s="57">
        <v>43</v>
      </c>
    </row>
    <row r="32" spans="1:37" x14ac:dyDescent="0.3">
      <c r="A32" s="29" t="s">
        <v>31</v>
      </c>
      <c r="B32" s="33">
        <f>INDEX(Population!$A:$J,MATCH('2022'!$A32,Population!$A:$A,0),MATCH('2022'!$A$1,Population!$3:$3,0))</f>
        <v>592342</v>
      </c>
      <c r="C32" s="14">
        <f>INDEX(Income!$A:$J,MATCH('2022'!$A32,Income!$A:$A,0),MATCH('2022'!$A$1,Income!$3:$3,0))</f>
        <v>33081</v>
      </c>
      <c r="D32" s="34">
        <f>INDEX(Livable_wage!$A:$J,MATCH('2022'!$A32,Livable_wage!$A:$A,0),MATCH('2022'!$A$1,Livable_wage!$3:$3,0))</f>
        <v>13780</v>
      </c>
      <c r="E32" s="41">
        <f>INDEX(AVA_1!$A:$J,MATCH('2022'!$A32,AVA_1!$A:$A,0),MATCH('2022'!$A$1,AVA_1!$3:$3,0))</f>
        <v>0.34399999999999997</v>
      </c>
      <c r="F32" s="15">
        <f>INDEX(AVA_2!$A:$J,MATCH('2022'!$A32,AVA_2!$A:$A,0),MATCH('2022'!$A$1,AVA_2!$3:$3,0))</f>
        <v>7.5508878787200213E-3</v>
      </c>
      <c r="G32" s="15">
        <f>INDEX(AVA_3!$A:$J,MATCH('2022'!$A32,AVA_3!$A:$A,0),MATCH('2022'!$A$1,AVA_3!$3:$3,0))</f>
        <v>8.8937073887655552E-3</v>
      </c>
      <c r="H32" s="87">
        <f>INDEX(AVA_4!$A:$J,MATCH('2022'!$A32,AVA_4!$A:$A,0),MATCH('2022'!$A$1,AVA_4!$3:$3,0))/(B32/1000)</f>
        <v>0.47607632077414735</v>
      </c>
      <c r="I32" s="89">
        <f>INDEX(AVA_5!$A:$J,MATCH('2022'!$A32,AVA_5!$A:$A,0),MATCH('2022'!$A$1,AVA_5!$3:$3,0))/(B32/1000)</f>
        <v>5.0764592076874511</v>
      </c>
      <c r="J32" s="93">
        <f>INDEX(IRA_1!$A:$J,MATCH('2022'!$A32,IRA_1!$A:$A,0),MATCH('2022'!$A$1,IRA_1!$3:$3,0))/(B32/1000)</f>
        <v>4.0517133682906159E-2</v>
      </c>
      <c r="K32" s="88">
        <f>INDEX(IRA_2!$A:$J,MATCH('2022'!$A32,IRA_2!$A:$A,0),MATCH('2022'!$A$1,IRA_2!$3:$3,0))/(B32/1000)</f>
        <v>0.12999247056599059</v>
      </c>
      <c r="L32" s="15">
        <f>INDEX(IRA_3!$A:$J,MATCH('2022'!$A32,IRA_3!$A:$A,0),MATCH('2022'!$A$1,IRA_3!$3:$3,0))</f>
        <v>0.38734650293646555</v>
      </c>
      <c r="M32" s="96">
        <f>INDEX(IRA_4!$A:$J,MATCH('2022'!$A32,IRA_4!$A:$A,0),MATCH('2022'!$A$1,IRA_4!$3:$3,0))/(B32/1000)</f>
        <v>3.2160474860806763</v>
      </c>
      <c r="N32" s="61">
        <f>INDEX(INV_1!$A:$J,MATCH('2022'!$A32,INV_1!$A:$A,0),MATCH('2022'!$A$1,INV_1!$3:$3,0))</f>
        <v>6.1840037912228245E-2</v>
      </c>
      <c r="O32" s="80">
        <f>INDEX(INV_2!$A:$J,MATCH('2022'!$A32,INV_2!$A:$A,0),MATCH('2022'!$A$1,INV_2!$3:$3,0))/B32*10^6/C32</f>
        <v>0.39190790865860964</v>
      </c>
      <c r="P32" s="87">
        <f>INDEX(INV_3!$A:$J,MATCH('2022'!$A32,INV_3!$A:$A,0),MATCH('2022'!$A$1,INV_3!$3:$3,0))/B32*10^6/C32</f>
        <v>4.1489103151942555</v>
      </c>
      <c r="Q32" s="87">
        <f>INDEX(INV_4!$A:$J,MATCH('2022'!$A32,INV_4!$A:$A,0),MATCH('2022'!$A$1,INV_4!$3:$3,0))/B32*10^3/C32</f>
        <v>0.21901574417344943</v>
      </c>
      <c r="R32" s="34">
        <f>INDEX(INV_5!$A:$J,MATCH('2022'!$A32,INV_5!$A:$A,0),MATCH('2022'!$A$1,INV_5!$3:$3,0))</f>
        <v>6.3899999999999998E-2</v>
      </c>
      <c r="S32" s="77">
        <f>INDEX(LUJ_1!$A:$J,MATCH('2022'!$A32,LUJ_1!$A:$A,0),MATCH('2022'!$A$1,LUJ_1!$3:$3,0))</f>
        <v>0.6379051298561923</v>
      </c>
      <c r="T32" s="73">
        <f>INDEX(LUJ_2!$A:$J,MATCH('2022'!$A32,LUJ_2!$A:$A,0),MATCH('2022'!$A$1,LUJ_2!$3:$3,0))</f>
        <v>0.26600000000000001</v>
      </c>
      <c r="U32" s="73">
        <f>INDEX(LUJ_3!$A:$J,MATCH('2022'!$A32,LUJ_3!$A:$A,0),MATCH('2022'!$A$1,LUJ_3!$3:$3,0))</f>
        <v>0.68674698795180722</v>
      </c>
      <c r="V32" s="14">
        <f>INDEX(LUJ_4!$A:$J,MATCH('2022'!$A32,LUJ_4!$A:$A,0),MATCH('2022'!$A$1,LUJ_4!$3:$3,0))</f>
        <v>14</v>
      </c>
      <c r="W32" s="34">
        <f>INDEX(LUJ_5!$A:$J,MATCH('2022'!$A32,LUJ_5!$A:$A,0),MATCH('2022'!$A$1,LUJ_5!$3:$3,0))</f>
        <v>21.6</v>
      </c>
      <c r="X32" s="98">
        <f>1/INDEX(GUL_1!$A:$J,MATCH('2022'!$A32,GUL_1!$A:$A,0),MATCH('2022'!$A$1,GUL_1!$3:$3,0))</f>
        <v>1.45032632342277E-2</v>
      </c>
      <c r="Y32" s="57" t="e">
        <f>INDEX(GUL_2!$A:$J,MATCH('2022'!$A32,GUL_2!$A:$A,0),MATCH('2022'!$A$1,GUL_2!$3:$3,0))</f>
        <v>#N/A</v>
      </c>
      <c r="Z32" s="57">
        <f>INDEX(GUL_3!$A:$J,MATCH('2022'!$A32,GUL_3!$A:$A,0),MATCH('2022'!$A$1,GUL_3!$3:$3,0))/(B32/1000)</f>
        <v>1.012928342072654</v>
      </c>
      <c r="AA32" s="101">
        <f>INDEX(GUL_4!$A:$J,MATCH('2022'!$A32,GUL_4!$A:$A,0),MATCH('2022'!$A$1,GUL_4!$3:$3,0))/B32/C32*10^6</f>
        <v>0.38983855162629016</v>
      </c>
      <c r="AB32" s="73">
        <f>INDEX(GUL_5!$A:$J,MATCH('2022'!$A32,GUL_5!$A:$A,0),MATCH('2022'!$A$1,GUL_5!$3:$3,0))</f>
        <v>3.9548811636826185E-2</v>
      </c>
      <c r="AC32" s="49" t="e">
        <f>INDEX(GUL_6!$A:$J,MATCH('2022'!$A32,GUL_6!$A:$A,0),MATCH('2022'!$A$1,GUL_6!$3:$3,0))</f>
        <v>#N/A</v>
      </c>
      <c r="AD32" s="49" t="e">
        <f>INDEX(GUL_7!$A:$J,MATCH('2022'!$A32,GUL_7!$A:$A,0),MATCH('2022'!$A$1,GUL_7!$3:$3,0))</f>
        <v>#N/A</v>
      </c>
      <c r="AE32" s="103">
        <f>INDEX(GUL_8!$A:$J,MATCH('2022'!$A32,GUL_8!$A:$A,0),MATCH('2022'!$A$1,GUL_8!$3:$3,0))/(B32/1000)</f>
        <v>2.0224802563383992</v>
      </c>
      <c r="AF32" s="41">
        <f>INDEX(DES_1!$A:$J,MATCH('2022'!$A32,DES_1!$A:$A,0),MATCH('2022'!$A$1,DES_1!$3:$3,0))/(B32/1000)</f>
        <v>0.17219781815235119</v>
      </c>
      <c r="AG32" s="100">
        <f>INDEX(DES_2!$A:$J,MATCH('2022'!$A32,DES_2!$A:$A,0),MATCH('2022'!$A$1,DES_2!$3:$3,0))/(B32/1000)</f>
        <v>0.22790887696634715</v>
      </c>
      <c r="AH32" s="57">
        <f>1/INDEX(DES_3!$A:$J,MATCH('2022'!$A32,DES_3!$A:$A,0),MATCH('2022'!$A$1,DES_3!$3:$3,0))</f>
        <v>9.0991810737033659E-3</v>
      </c>
      <c r="AI32" s="80" t="e">
        <f>INDEX(DES_4!$A:$J,MATCH('2022'!$A32,DES_4!$A:$A,0),MATCH('2022'!$A$1,DES_4!$3:$3,0))</f>
        <v>#N/A</v>
      </c>
      <c r="AJ32" s="110" t="e">
        <f>INDEX(DES_5!$A:$J,MATCH('2022'!$A32,DES_5!$A:$A,0),MATCH('2022'!$A$1,DES_5!$3:$3,0))</f>
        <v>#N/A</v>
      </c>
      <c r="AK32" s="57">
        <v>44</v>
      </c>
    </row>
    <row r="33" spans="1:37" x14ac:dyDescent="0.3">
      <c r="A33" s="29" t="s">
        <v>32</v>
      </c>
      <c r="B33" s="33">
        <f>INDEX(Population!$A:$J,MATCH('2022'!$A33,Population!$A:$A,0),MATCH('2022'!$A$1,Population!$3:$3,0))</f>
        <v>5603980</v>
      </c>
      <c r="C33" s="14">
        <f>INDEX(Income!$A:$J,MATCH('2022'!$A33,Income!$A:$A,0),MATCH('2022'!$A$1,Income!$3:$3,0))</f>
        <v>63492</v>
      </c>
      <c r="D33" s="34">
        <f>INDEX(Livable_wage!$A:$J,MATCH('2022'!$A33,Livable_wage!$A:$A,0),MATCH('2022'!$A$1,Livable_wage!$3:$3,0))</f>
        <v>14476</v>
      </c>
      <c r="E33" s="41">
        <f>INDEX(AVA_1!$A:$J,MATCH('2022'!$A33,AVA_1!$A:$A,0),MATCH('2022'!$A$1,AVA_1!$3:$3,0))</f>
        <v>0.40200000000000002</v>
      </c>
      <c r="F33" s="15">
        <f>INDEX(AVA_2!$A:$J,MATCH('2022'!$A33,AVA_2!$A:$A,0),MATCH('2022'!$A$1,AVA_2!$3:$3,0))</f>
        <v>2.0235938163623634E-2</v>
      </c>
      <c r="G33" s="15">
        <f>INDEX(AVA_3!$A:$J,MATCH('2022'!$A33,AVA_3!$A:$A,0),MATCH('2022'!$A$1,AVA_3!$3:$3,0))</f>
        <v>8.7067425721114991E-2</v>
      </c>
      <c r="H33" s="87">
        <f>INDEX(AVA_4!$A:$J,MATCH('2022'!$A33,AVA_4!$A:$A,0),MATCH('2022'!$A$1,AVA_4!$3:$3,0))/(B33/1000)</f>
        <v>0.5422931559356029</v>
      </c>
      <c r="I33" s="89">
        <f>INDEX(AVA_5!$A:$J,MATCH('2022'!$A33,AVA_5!$A:$A,0),MATCH('2022'!$A$1,AVA_5!$3:$3,0))/(B33/1000)</f>
        <v>4.1716779860028055</v>
      </c>
      <c r="J33" s="93">
        <f>INDEX(IRA_1!$A:$J,MATCH('2022'!$A33,IRA_1!$A:$A,0),MATCH('2022'!$A$1,IRA_1!$3:$3,0))/(B33/1000)</f>
        <v>2.3911577129111811E-2</v>
      </c>
      <c r="K33" s="88">
        <f>INDEX(IRA_2!$A:$J,MATCH('2022'!$A33,IRA_2!$A:$A,0),MATCH('2022'!$A$1,IRA_2!$3:$3,0))/(B33/1000)</f>
        <v>5.5853161503074608E-2</v>
      </c>
      <c r="L33" s="15">
        <f>INDEX(IRA_3!$A:$J,MATCH('2022'!$A33,IRA_3!$A:$A,0),MATCH('2022'!$A$1,IRA_3!$3:$3,0))</f>
        <v>0.58216437939940247</v>
      </c>
      <c r="M33" s="96">
        <f>INDEX(IRA_4!$A:$J,MATCH('2022'!$A33,IRA_4!$A:$A,0),MATCH('2022'!$A$1,IRA_4!$3:$3,0))/(B33/1000)</f>
        <v>4.1295650591186979</v>
      </c>
      <c r="N33" s="61">
        <f>INDEX(INV_1!$A:$J,MATCH('2022'!$A33,INV_1!$A:$A,0),MATCH('2022'!$A$1,INV_1!$3:$3,0))</f>
        <v>6.7504922042365703E-2</v>
      </c>
      <c r="O33" s="80">
        <f>INDEX(INV_2!$A:$J,MATCH('2022'!$A33,INV_2!$A:$A,0),MATCH('2022'!$A$1,INV_2!$3:$3,0))/B33*10^6/C33</f>
        <v>0.60158576804552566</v>
      </c>
      <c r="P33" s="87">
        <f>INDEX(INV_3!$A:$J,MATCH('2022'!$A33,INV_3!$A:$A,0),MATCH('2022'!$A$1,INV_3!$3:$3,0))/B33*10^6/C33</f>
        <v>4.2785559507603486</v>
      </c>
      <c r="Q33" s="87">
        <f>INDEX(INV_4!$A:$J,MATCH('2022'!$A33,INV_4!$A:$A,0),MATCH('2022'!$A$1,INV_4!$3:$3,0))/B33*10^3/C33</f>
        <v>0.27623647875236929</v>
      </c>
      <c r="R33" s="34">
        <f>INDEX(INV_5!$A:$J,MATCH('2022'!$A33,INV_5!$A:$A,0),MATCH('2022'!$A$1,INV_5!$3:$3,0))</f>
        <v>0.3256</v>
      </c>
      <c r="S33" s="77">
        <f>INDEX(LUJ_1!$A:$J,MATCH('2022'!$A33,LUJ_1!$A:$A,0),MATCH('2022'!$A$1,LUJ_1!$3:$3,0))</f>
        <v>0.46265599449178069</v>
      </c>
      <c r="T33" s="73">
        <f>INDEX(LUJ_2!$A:$J,MATCH('2022'!$A33,LUJ_2!$A:$A,0),MATCH('2022'!$A$1,LUJ_2!$3:$3,0))</f>
        <v>0.191</v>
      </c>
      <c r="U33" s="73">
        <f>INDEX(LUJ_3!$A:$J,MATCH('2022'!$A33,LUJ_3!$A:$A,0),MATCH('2022'!$A$1,LUJ_3!$3:$3,0))</f>
        <v>0.3114776850328132</v>
      </c>
      <c r="V33" s="14">
        <f>INDEX(LUJ_4!$A:$J,MATCH('2022'!$A33,LUJ_4!$A:$A,0),MATCH('2022'!$A$1,LUJ_4!$3:$3,0))</f>
        <v>56</v>
      </c>
      <c r="W33" s="34">
        <f>INDEX(LUJ_5!$A:$J,MATCH('2022'!$A33,LUJ_5!$A:$A,0),MATCH('2022'!$A$1,LUJ_5!$3:$3,0))</f>
        <v>34.6</v>
      </c>
      <c r="X33" s="98">
        <f>1/INDEX(GUL_1!$A:$J,MATCH('2022'!$A33,GUL_1!$A:$A,0),MATCH('2022'!$A$1,GUL_1!$3:$3,0))</f>
        <v>1.3197835554968985E-2</v>
      </c>
      <c r="Y33" s="57" t="e">
        <f>INDEX(GUL_2!$A:$J,MATCH('2022'!$A33,GUL_2!$A:$A,0),MATCH('2022'!$A$1,GUL_2!$3:$3,0))</f>
        <v>#N/A</v>
      </c>
      <c r="Z33" s="57">
        <f>INDEX(GUL_3!$A:$J,MATCH('2022'!$A33,GUL_3!$A:$A,0),MATCH('2022'!$A$1,GUL_3!$3:$3,0))/(B33/1000)</f>
        <v>0.46092241585444632</v>
      </c>
      <c r="AA33" s="101">
        <f>INDEX(GUL_4!$A:$J,MATCH('2022'!$A33,GUL_4!$A:$A,0),MATCH('2022'!$A$1,GUL_4!$3:$3,0))/B33/C33*10^6</f>
        <v>0.44369416984950949</v>
      </c>
      <c r="AB33" s="73">
        <f>INDEX(GUL_5!$A:$J,MATCH('2022'!$A33,GUL_5!$A:$A,0),MATCH('2022'!$A$1,GUL_5!$3:$3,0))</f>
        <v>2.379354308991509E-2</v>
      </c>
      <c r="AC33" s="49" t="e">
        <f>INDEX(GUL_6!$A:$J,MATCH('2022'!$A33,GUL_6!$A:$A,0),MATCH('2022'!$A$1,GUL_6!$3:$3,0))</f>
        <v>#N/A</v>
      </c>
      <c r="AD33" s="49" t="e">
        <f>INDEX(GUL_7!$A:$J,MATCH('2022'!$A33,GUL_7!$A:$A,0),MATCH('2022'!$A$1,GUL_7!$3:$3,0))</f>
        <v>#N/A</v>
      </c>
      <c r="AE33" s="103">
        <f>INDEX(GUL_8!$A:$J,MATCH('2022'!$A33,GUL_8!$A:$A,0),MATCH('2022'!$A$1,GUL_8!$3:$3,0))/(B33/1000)</f>
        <v>0.37526900524270251</v>
      </c>
      <c r="AF33" s="41">
        <f>INDEX(DES_1!$A:$J,MATCH('2022'!$A33,DES_1!$A:$A,0),MATCH('2022'!$A$1,DES_1!$3:$3,0))/(B33/1000)</f>
        <v>5.924360900645613E-2</v>
      </c>
      <c r="AG33" s="100">
        <f>INDEX(DES_2!$A:$J,MATCH('2022'!$A33,DES_2!$A:$A,0),MATCH('2022'!$A$1,DES_2!$3:$3,0))/(B33/1000)</f>
        <v>0.39596857947387398</v>
      </c>
      <c r="AH33" s="57">
        <f>1/INDEX(DES_3!$A:$J,MATCH('2022'!$A33,DES_3!$A:$A,0),MATCH('2022'!$A$1,DES_3!$3:$3,0))</f>
        <v>7.6452599388379195E-3</v>
      </c>
      <c r="AI33" s="80" t="e">
        <f>INDEX(DES_4!$A:$J,MATCH('2022'!$A33,DES_4!$A:$A,0),MATCH('2022'!$A$1,DES_4!$3:$3,0))</f>
        <v>#N/A</v>
      </c>
      <c r="AJ33" s="110" t="e">
        <f>INDEX(DES_5!$A:$J,MATCH('2022'!$A33,DES_5!$A:$A,0),MATCH('2022'!$A$1,DES_5!$3:$3,0))</f>
        <v>#N/A</v>
      </c>
      <c r="AK33" s="57">
        <v>45</v>
      </c>
    </row>
    <row r="34" spans="1:37" x14ac:dyDescent="0.3">
      <c r="A34" s="29" t="s">
        <v>33</v>
      </c>
      <c r="B34" s="33">
        <f>INDEX(Population!$A:$J,MATCH('2022'!$A34,Population!$A:$A,0),MATCH('2022'!$A$1,Population!$3:$3,0))</f>
        <v>2014894</v>
      </c>
      <c r="C34" s="14">
        <f>INDEX(Income!$A:$J,MATCH('2022'!$A34,Income!$A:$A,0),MATCH('2022'!$A$1,Income!$3:$3,0))</f>
        <v>38952</v>
      </c>
      <c r="D34" s="34">
        <f>INDEX(Livable_wage!$A:$J,MATCH('2022'!$A34,Livable_wage!$A:$A,0),MATCH('2022'!$A$1,Livable_wage!$3:$3,0))</f>
        <v>14059</v>
      </c>
      <c r="E34" s="41">
        <f>INDEX(AVA_1!$A:$J,MATCH('2022'!$A34,AVA_1!$A:$A,0),MATCH('2022'!$A$1,AVA_1!$3:$3,0))</f>
        <v>0.34499999999999997</v>
      </c>
      <c r="F34" s="15">
        <f>INDEX(AVA_2!$A:$J,MATCH('2022'!$A34,AVA_2!$A:$A,0),MATCH('2022'!$A$1,AVA_2!$3:$3,0))</f>
        <v>5.8927900631784097E-3</v>
      </c>
      <c r="G34" s="15">
        <f>INDEX(AVA_3!$A:$J,MATCH('2022'!$A34,AVA_3!$A:$A,0),MATCH('2022'!$A$1,AVA_3!$3:$3,0))</f>
        <v>1.0355447415519279E-2</v>
      </c>
      <c r="H34" s="87">
        <f>INDEX(AVA_4!$A:$J,MATCH('2022'!$A34,AVA_4!$A:$A,0),MATCH('2022'!$A$1,AVA_4!$3:$3,0))/(B34/1000)</f>
        <v>0.36925019380672136</v>
      </c>
      <c r="I34" s="89">
        <f>INDEX(AVA_5!$A:$J,MATCH('2022'!$A34,AVA_5!$A:$A,0),MATCH('2022'!$A$1,AVA_5!$3:$3,0))/(B34/1000)</f>
        <v>6.3139797924853616</v>
      </c>
      <c r="J34" s="93">
        <f>INDEX(IRA_1!$A:$J,MATCH('2022'!$A34,IRA_1!$A:$A,0),MATCH('2022'!$A$1,IRA_1!$3:$3,0))/(B34/1000)</f>
        <v>4.9134098369442762E-2</v>
      </c>
      <c r="K34" s="88">
        <f>INDEX(IRA_2!$A:$J,MATCH('2022'!$A34,IRA_2!$A:$A,0),MATCH('2022'!$A$1,IRA_2!$3:$3,0))/(B34/1000)</f>
        <v>0.11315731745689847</v>
      </c>
      <c r="L34" s="15">
        <f>INDEX(IRA_3!$A:$J,MATCH('2022'!$A34,IRA_3!$A:$A,0),MATCH('2022'!$A$1,IRA_3!$3:$3,0))</f>
        <v>0.49254087599952256</v>
      </c>
      <c r="M34" s="96">
        <f>INDEX(IRA_4!$A:$J,MATCH('2022'!$A34,IRA_4!$A:$A,0),MATCH('2022'!$A$1,IRA_4!$3:$3,0))/(B34/1000)</f>
        <v>5.0394710590234526</v>
      </c>
      <c r="N34" s="61">
        <f>INDEX(INV_1!$A:$J,MATCH('2022'!$A34,INV_1!$A:$A,0),MATCH('2022'!$A$1,INV_1!$3:$3,0))</f>
        <v>7.006531219866885E-2</v>
      </c>
      <c r="O34" s="80">
        <f>INDEX(INV_2!$A:$J,MATCH('2022'!$A34,INV_2!$A:$A,0),MATCH('2022'!$A$1,INV_2!$3:$3,0))/B34*10^6/C34</f>
        <v>0.46824138794323122</v>
      </c>
      <c r="P34" s="87">
        <f>INDEX(INV_3!$A:$J,MATCH('2022'!$A34,INV_3!$A:$A,0),MATCH('2022'!$A$1,INV_3!$3:$3,0))/B34*10^6/C34</f>
        <v>5.5870897999308946</v>
      </c>
      <c r="Q34" s="87">
        <f>INDEX(INV_4!$A:$J,MATCH('2022'!$A34,INV_4!$A:$A,0),MATCH('2022'!$A$1,INV_4!$3:$3,0))/B34*10^3/C34</f>
        <v>4.2204134899618606E-2</v>
      </c>
      <c r="R34" s="34">
        <f>INDEX(INV_5!$A:$J,MATCH('2022'!$A34,INV_5!$A:$A,0),MATCH('2022'!$A$1,INV_5!$3:$3,0))</f>
        <v>0.1258</v>
      </c>
      <c r="S34" s="77">
        <f>INDEX(LUJ_1!$A:$J,MATCH('2022'!$A34,LUJ_1!$A:$A,0),MATCH('2022'!$A$1,LUJ_1!$3:$3,0))</f>
        <v>0.67267656141049903</v>
      </c>
      <c r="T34" s="73">
        <f>INDEX(LUJ_2!$A:$J,MATCH('2022'!$A34,LUJ_2!$A:$A,0),MATCH('2022'!$A$1,LUJ_2!$3:$3,0))</f>
        <v>0.23100000000000001</v>
      </c>
      <c r="U34" s="73">
        <f>INDEX(LUJ_3!$A:$J,MATCH('2022'!$A34,LUJ_3!$A:$A,0),MATCH('2022'!$A$1,LUJ_3!$3:$3,0))</f>
        <v>0.42016898169877198</v>
      </c>
      <c r="V34" s="14">
        <f>INDEX(LUJ_4!$A:$J,MATCH('2022'!$A34,LUJ_4!$A:$A,0),MATCH('2022'!$A$1,LUJ_4!$3:$3,0))</f>
        <v>20</v>
      </c>
      <c r="W34" s="34">
        <f>INDEX(LUJ_5!$A:$J,MATCH('2022'!$A34,LUJ_5!$A:$A,0),MATCH('2022'!$A$1,LUJ_5!$3:$3,0))</f>
        <v>25.1</v>
      </c>
      <c r="X34" s="98">
        <f>1/INDEX(GUL_1!$A:$J,MATCH('2022'!$A34,GUL_1!$A:$A,0),MATCH('2022'!$A$1,GUL_1!$3:$3,0))</f>
        <v>1.3636983499249966E-2</v>
      </c>
      <c r="Y34" s="57" t="e">
        <f>INDEX(GUL_2!$A:$J,MATCH('2022'!$A34,GUL_2!$A:$A,0),MATCH('2022'!$A$1,GUL_2!$3:$3,0))</f>
        <v>#N/A</v>
      </c>
      <c r="Z34" s="57">
        <f>INDEX(GUL_3!$A:$J,MATCH('2022'!$A34,GUL_3!$A:$A,0),MATCH('2022'!$A$1,GUL_3!$3:$3,0))/(B34/1000)</f>
        <v>0.95935567826396828</v>
      </c>
      <c r="AA34" s="101">
        <f>INDEX(GUL_4!$A:$J,MATCH('2022'!$A34,GUL_4!$A:$A,0),MATCH('2022'!$A$1,GUL_4!$3:$3,0))/B34/C34*10^6</f>
        <v>0.26468388473371929</v>
      </c>
      <c r="AB34" s="73">
        <f>INDEX(GUL_5!$A:$J,MATCH('2022'!$A34,GUL_5!$A:$A,0),MATCH('2022'!$A$1,GUL_5!$3:$3,0))</f>
        <v>4.5440853476910209E-2</v>
      </c>
      <c r="AC34" s="49" t="e">
        <f>INDEX(GUL_6!$A:$J,MATCH('2022'!$A34,GUL_6!$A:$A,0),MATCH('2022'!$A$1,GUL_6!$3:$3,0))</f>
        <v>#N/A</v>
      </c>
      <c r="AD34" s="49" t="e">
        <f>INDEX(GUL_7!$A:$J,MATCH('2022'!$A34,GUL_7!$A:$A,0),MATCH('2022'!$A$1,GUL_7!$3:$3,0))</f>
        <v>#N/A</v>
      </c>
      <c r="AE34" s="103">
        <f>INDEX(GUL_8!$A:$J,MATCH('2022'!$A34,GUL_8!$A:$A,0),MATCH('2022'!$A$1,GUL_8!$3:$3,0))/(B34/1000)</f>
        <v>1.2397674517865456</v>
      </c>
      <c r="AF34" s="41">
        <f>INDEX(DES_1!$A:$J,MATCH('2022'!$A34,DES_1!$A:$A,0),MATCH('2022'!$A$1,DES_1!$3:$3,0))/(B34/1000)</f>
        <v>0.10372754100215693</v>
      </c>
      <c r="AG34" s="100">
        <f>INDEX(DES_2!$A:$J,MATCH('2022'!$A34,DES_2!$A:$A,0),MATCH('2022'!$A$1,DES_2!$3:$3,0))/(B34/1000)</f>
        <v>0.33947195237069544</v>
      </c>
      <c r="AH34" s="57">
        <f>1/INDEX(DES_3!$A:$J,MATCH('2022'!$A34,DES_3!$A:$A,0),MATCH('2022'!$A$1,DES_3!$3:$3,0))</f>
        <v>7.8431372549019607E-3</v>
      </c>
      <c r="AI34" s="80" t="e">
        <f>INDEX(DES_4!$A:$J,MATCH('2022'!$A34,DES_4!$A:$A,0),MATCH('2022'!$A$1,DES_4!$3:$3,0))</f>
        <v>#N/A</v>
      </c>
      <c r="AJ34" s="110" t="e">
        <f>INDEX(DES_5!$A:$J,MATCH('2022'!$A34,DES_5!$A:$A,0),MATCH('2022'!$A$1,DES_5!$3:$3,0))</f>
        <v>#N/A</v>
      </c>
      <c r="AK34" s="57">
        <v>46</v>
      </c>
    </row>
    <row r="35" spans="1:37" x14ac:dyDescent="0.3">
      <c r="A35" s="29" t="s">
        <v>34</v>
      </c>
      <c r="B35" s="33">
        <f>INDEX(Population!$A:$J,MATCH('2022'!$A35,Population!$A:$A,0),MATCH('2022'!$A$1,Population!$3:$3,0))</f>
        <v>776407</v>
      </c>
      <c r="C35" s="14">
        <f>INDEX(Income!$A:$J,MATCH('2022'!$A35,Income!$A:$A,0),MATCH('2022'!$A$1,Income!$3:$3,0))</f>
        <v>25497</v>
      </c>
      <c r="D35" s="34">
        <f>INDEX(Livable_wage!$A:$J,MATCH('2022'!$A35,Livable_wage!$A:$A,0),MATCH('2022'!$A$1,Livable_wage!$3:$3,0))</f>
        <v>11832</v>
      </c>
      <c r="E35" s="41">
        <f>INDEX(AVA_1!$A:$J,MATCH('2022'!$A35,AVA_1!$A:$A,0),MATCH('2022'!$A$1,AVA_1!$3:$3,0))</f>
        <v>0.34599999999999997</v>
      </c>
      <c r="F35" s="15">
        <f>INDEX(AVA_2!$A:$J,MATCH('2022'!$A35,AVA_2!$A:$A,0),MATCH('2022'!$A$1,AVA_2!$3:$3,0))</f>
        <v>9.9981923952318103E-3</v>
      </c>
      <c r="G35" s="15">
        <f>INDEX(AVA_3!$A:$J,MATCH('2022'!$A35,AVA_3!$A:$A,0),MATCH('2022'!$A$1,AVA_3!$3:$3,0))</f>
        <v>4.0583767156805818E-2</v>
      </c>
      <c r="H35" s="87">
        <f>INDEX(AVA_4!$A:$J,MATCH('2022'!$A35,AVA_4!$A:$A,0),MATCH('2022'!$A$1,AVA_4!$3:$3,0))/(B35/1000)</f>
        <v>1.0638750037029547</v>
      </c>
      <c r="I35" s="89">
        <f>INDEX(AVA_5!$A:$J,MATCH('2022'!$A35,AVA_5!$A:$A,0),MATCH('2022'!$A$1,AVA_5!$3:$3,0))/(B35/1000)</f>
        <v>2.5618007050425873</v>
      </c>
      <c r="J35" s="93">
        <f>INDEX(IRA_1!$A:$J,MATCH('2022'!$A35,IRA_1!$A:$A,0),MATCH('2022'!$A$1,IRA_1!$3:$3,0))/(B35/1000)</f>
        <v>1.9319763989763102E-2</v>
      </c>
      <c r="K35" s="88">
        <f>INDEX(IRA_2!$A:$J,MATCH('2022'!$A35,IRA_2!$A:$A,0),MATCH('2022'!$A$1,IRA_2!$3:$3,0))/(B35/1000)</f>
        <v>9.0158898618894465E-2</v>
      </c>
      <c r="L35" s="15">
        <f>INDEX(IRA_3!$A:$J,MATCH('2022'!$A35,IRA_3!$A:$A,0),MATCH('2022'!$A$1,IRA_3!$3:$3,0))</f>
        <v>0.38920308483290489</v>
      </c>
      <c r="M35" s="96">
        <f>INDEX(IRA_4!$A:$J,MATCH('2022'!$A35,IRA_4!$A:$A,0),MATCH('2022'!$A$1,IRA_4!$3:$3,0))/(B35/1000)</f>
        <v>2.7614382662701389</v>
      </c>
      <c r="N35" s="61">
        <f>INDEX(INV_1!$A:$J,MATCH('2022'!$A35,INV_1!$A:$A,0),MATCH('2022'!$A$1,INV_1!$3:$3,0))</f>
        <v>8.1554618420958083E-2</v>
      </c>
      <c r="O35" s="80">
        <f>INDEX(INV_2!$A:$J,MATCH('2022'!$A35,INV_2!$A:$A,0),MATCH('2022'!$A$1,INV_2!$3:$3,0))/B35*10^6/C35</f>
        <v>0.44673800495600174</v>
      </c>
      <c r="P35" s="87">
        <f>INDEX(INV_3!$A:$J,MATCH('2022'!$A35,INV_3!$A:$A,0),MATCH('2022'!$A$1,INV_3!$3:$3,0))/B35*10^6/C35</f>
        <v>4.9037057158156205</v>
      </c>
      <c r="Q35" s="87">
        <f>INDEX(INV_4!$A:$J,MATCH('2022'!$A35,INV_4!$A:$A,0),MATCH('2022'!$A$1,INV_4!$3:$3,0))/B35*10^3/C35</f>
        <v>0.23674786993845814</v>
      </c>
      <c r="R35" s="34">
        <f>INDEX(INV_5!$A:$J,MATCH('2022'!$A35,INV_5!$A:$A,0),MATCH('2022'!$A$1,INV_5!$3:$3,0))</f>
        <v>4.2799999999999998E-2</v>
      </c>
      <c r="S35" s="77">
        <f>INDEX(LUJ_1!$A:$J,MATCH('2022'!$A35,LUJ_1!$A:$A,0),MATCH('2022'!$A$1,LUJ_1!$3:$3,0))</f>
        <v>0.62741116751269033</v>
      </c>
      <c r="T35" s="73">
        <f>INDEX(LUJ_2!$A:$J,MATCH('2022'!$A35,LUJ_2!$A:$A,0),MATCH('2022'!$A$1,LUJ_2!$3:$3,0))</f>
        <v>0.16200000000000001</v>
      </c>
      <c r="U35" s="73">
        <f>INDEX(LUJ_3!$A:$J,MATCH('2022'!$A35,LUJ_3!$A:$A,0),MATCH('2022'!$A$1,LUJ_3!$3:$3,0))</f>
        <v>0.42722602739726029</v>
      </c>
      <c r="V35" s="14">
        <f>INDEX(LUJ_4!$A:$J,MATCH('2022'!$A35,LUJ_4!$A:$A,0),MATCH('2022'!$A$1,LUJ_4!$3:$3,0))</f>
        <v>8</v>
      </c>
      <c r="W35" s="34">
        <f>INDEX(LUJ_5!$A:$J,MATCH('2022'!$A35,LUJ_5!$A:$A,0),MATCH('2022'!$A$1,LUJ_5!$3:$3,0))</f>
        <v>19.2</v>
      </c>
      <c r="X35" s="98">
        <f>1/INDEX(GUL_1!$A:$J,MATCH('2022'!$A35,GUL_1!$A:$A,0),MATCH('2022'!$A$1,GUL_1!$3:$3,0))</f>
        <v>1.3668671405139421E-2</v>
      </c>
      <c r="Y35" s="57" t="e">
        <f>INDEX(GUL_2!$A:$J,MATCH('2022'!$A35,GUL_2!$A:$A,0),MATCH('2022'!$A$1,GUL_2!$3:$3,0))</f>
        <v>#N/A</v>
      </c>
      <c r="Z35" s="57">
        <f>INDEX(GUL_3!$A:$J,MATCH('2022'!$A35,GUL_3!$A:$A,0),MATCH('2022'!$A$1,GUL_3!$3:$3,0))/(B35/1000)</f>
        <v>0.73543901587698202</v>
      </c>
      <c r="AA35" s="101">
        <f>INDEX(GUL_4!$A:$J,MATCH('2022'!$A35,GUL_4!$A:$A,0),MATCH('2022'!$A$1,GUL_4!$3:$3,0))/B35/C35*10^6</f>
        <v>0.28023268288611941</v>
      </c>
      <c r="AB35" s="73">
        <f>INDEX(GUL_5!$A:$J,MATCH('2022'!$A35,GUL_5!$A:$A,0),MATCH('2022'!$A$1,GUL_5!$3:$3,0))</f>
        <v>3.5860118576967026E-2</v>
      </c>
      <c r="AC35" s="49" t="e">
        <f>INDEX(GUL_6!$A:$J,MATCH('2022'!$A35,GUL_6!$A:$A,0),MATCH('2022'!$A$1,GUL_6!$3:$3,0))</f>
        <v>#N/A</v>
      </c>
      <c r="AD35" s="49" t="e">
        <f>INDEX(GUL_7!$A:$J,MATCH('2022'!$A35,GUL_7!$A:$A,0),MATCH('2022'!$A$1,GUL_7!$3:$3,0))</f>
        <v>#N/A</v>
      </c>
      <c r="AE35" s="103">
        <f>INDEX(GUL_8!$A:$J,MATCH('2022'!$A35,GUL_8!$A:$A,0),MATCH('2022'!$A$1,GUL_8!$3:$3,0))/(B35/1000)</f>
        <v>1.6859714041733265</v>
      </c>
      <c r="AF35" s="41">
        <f>INDEX(DES_1!$A:$J,MATCH('2022'!$A35,DES_1!$A:$A,0),MATCH('2022'!$A$1,DES_1!$3:$3,0))/(B35/1000)</f>
        <v>0.14296625352424694</v>
      </c>
      <c r="AG35" s="100">
        <f>INDEX(DES_2!$A:$J,MATCH('2022'!$A35,DES_2!$A:$A,0),MATCH('2022'!$A$1,DES_2!$3:$3,0))/(B35/1000)</f>
        <v>0.23956507347306244</v>
      </c>
      <c r="AH35" s="57">
        <f>1/INDEX(DES_3!$A:$J,MATCH('2022'!$A35,DES_3!$A:$A,0),MATCH('2022'!$A$1,DES_3!$3:$3,0))</f>
        <v>7.2780203784570596E-3</v>
      </c>
      <c r="AI35" s="80" t="e">
        <f>INDEX(DES_4!$A:$J,MATCH('2022'!$A35,DES_4!$A:$A,0),MATCH('2022'!$A$1,DES_4!$3:$3,0))</f>
        <v>#N/A</v>
      </c>
      <c r="AJ35" s="110" t="e">
        <f>INDEX(DES_5!$A:$J,MATCH('2022'!$A35,DES_5!$A:$A,0),MATCH('2022'!$A$1,DES_5!$3:$3,0))</f>
        <v>#N/A</v>
      </c>
      <c r="AK35" s="57">
        <v>48</v>
      </c>
    </row>
    <row r="36" spans="1:37" x14ac:dyDescent="0.3">
      <c r="A36" s="29" t="s">
        <v>35</v>
      </c>
      <c r="B36" s="33">
        <f>INDEX(Population!$A:$J,MATCH('2022'!$A36,Population!$A:$A,0),MATCH('2022'!$A$1,Population!$3:$3,0))</f>
        <v>4000854</v>
      </c>
      <c r="C36" s="14">
        <f>INDEX(Income!$A:$J,MATCH('2022'!$A36,Income!$A:$A,0),MATCH('2022'!$A$1,Income!$3:$3,0))</f>
        <v>44925</v>
      </c>
      <c r="D36" s="34">
        <f>INDEX(Livable_wage!$A:$J,MATCH('2022'!$A36,Livable_wage!$A:$A,0),MATCH('2022'!$A$1,Livable_wage!$3:$3,0))</f>
        <v>11832</v>
      </c>
      <c r="E36" s="41">
        <f>INDEX(AVA_1!$A:$J,MATCH('2022'!$A36,AVA_1!$A:$A,0),MATCH('2022'!$A$1,AVA_1!$3:$3,0))</f>
        <v>0.379</v>
      </c>
      <c r="F36" s="15">
        <f>INDEX(AVA_2!$A:$J,MATCH('2022'!$A36,AVA_2!$A:$A,0),MATCH('2022'!$A$1,AVA_2!$3:$3,0))</f>
        <v>1.4575485990267777E-2</v>
      </c>
      <c r="G36" s="15">
        <f>INDEX(AVA_3!$A:$J,MATCH('2022'!$A36,AVA_3!$A:$A,0),MATCH('2022'!$A$1,AVA_3!$3:$3,0))</f>
        <v>0.13406700082882081</v>
      </c>
      <c r="H36" s="87">
        <f>INDEX(AVA_4!$A:$J,MATCH('2022'!$A36,AVA_4!$A:$A,0),MATCH('2022'!$A$1,AVA_4!$3:$3,0))/(B36/1000)</f>
        <v>0.64911141471295886</v>
      </c>
      <c r="I36" s="89">
        <f>INDEX(AVA_5!$A:$J,MATCH('2022'!$A36,AVA_5!$A:$A,0),MATCH('2022'!$A$1,AVA_5!$3:$3,0))/(B36/1000)</f>
        <v>4.6062665620889947</v>
      </c>
      <c r="J36" s="93">
        <f>INDEX(IRA_1!$A:$J,MATCH('2022'!$A36,IRA_1!$A:$A,0),MATCH('2022'!$A$1,IRA_1!$3:$3,0))/(B36/1000)</f>
        <v>5.0489220551412278E-2</v>
      </c>
      <c r="K36" s="88">
        <f>INDEX(IRA_2!$A:$J,MATCH('2022'!$A36,IRA_2!$A:$A,0),MATCH('2022'!$A$1,IRA_2!$3:$3,0))/(B36/1000)</f>
        <v>9.3230095374637514E-2</v>
      </c>
      <c r="L36" s="15">
        <f>INDEX(IRA_3!$A:$J,MATCH('2022'!$A36,IRA_3!$A:$A,0),MATCH('2022'!$A$1,IRA_3!$3:$3,0))</f>
        <v>0.36583554376657823</v>
      </c>
      <c r="M36" s="96">
        <f>INDEX(IRA_4!$A:$J,MATCH('2022'!$A36,IRA_4!$A:$A,0),MATCH('2022'!$A$1,IRA_4!$3:$3,0))/(B36/1000)</f>
        <v>4.0183920732923522</v>
      </c>
      <c r="N36" s="61">
        <f>INDEX(INV_1!$A:$J,MATCH('2022'!$A36,INV_1!$A:$A,0),MATCH('2022'!$A$1,INV_1!$3:$3,0))</f>
        <v>8.0785729914885446E-2</v>
      </c>
      <c r="O36" s="80">
        <f>INDEX(INV_2!$A:$J,MATCH('2022'!$A36,INV_2!$A:$A,0),MATCH('2022'!$A$1,INV_2!$3:$3,0))/B36*10^6/C36</f>
        <v>0.48401832490583313</v>
      </c>
      <c r="P36" s="87">
        <f>INDEX(INV_3!$A:$J,MATCH('2022'!$A36,INV_3!$A:$A,0),MATCH('2022'!$A$1,INV_3!$3:$3,0))/B36*10^6/C36</f>
        <v>4.3129133610552888</v>
      </c>
      <c r="Q36" s="87">
        <f>INDEX(INV_4!$A:$J,MATCH('2022'!$A36,INV_4!$A:$A,0),MATCH('2022'!$A$1,INV_4!$3:$3,0))/B36*10^3/C36</f>
        <v>0.16781512244520327</v>
      </c>
      <c r="R36" s="34">
        <f>INDEX(INV_5!$A:$J,MATCH('2022'!$A36,INV_5!$A:$A,0),MATCH('2022'!$A$1,INV_5!$3:$3,0))</f>
        <v>0.15790000000000001</v>
      </c>
      <c r="S36" s="77">
        <f>INDEX(LUJ_1!$A:$J,MATCH('2022'!$A36,LUJ_1!$A:$A,0),MATCH('2022'!$A$1,LUJ_1!$3:$3,0))</f>
        <v>0.53109733868027709</v>
      </c>
      <c r="T36" s="73">
        <f>INDEX(LUJ_2!$A:$J,MATCH('2022'!$A36,LUJ_2!$A:$A,0),MATCH('2022'!$A$1,LUJ_2!$3:$3,0))</f>
        <v>0.158</v>
      </c>
      <c r="U36" s="73">
        <f>INDEX(LUJ_3!$A:$J,MATCH('2022'!$A36,LUJ_3!$A:$A,0),MATCH('2022'!$A$1,LUJ_3!$3:$3,0))</f>
        <v>0.40163062743707906</v>
      </c>
      <c r="V36" s="14">
        <f>INDEX(LUJ_4!$A:$J,MATCH('2022'!$A36,LUJ_4!$A:$A,0),MATCH('2022'!$A$1,LUJ_4!$3:$3,0))</f>
        <v>68</v>
      </c>
      <c r="W36" s="34">
        <f>INDEX(LUJ_5!$A:$J,MATCH('2022'!$A36,LUJ_5!$A:$A,0),MATCH('2022'!$A$1,LUJ_5!$3:$3,0))</f>
        <v>22.4</v>
      </c>
      <c r="X36" s="98">
        <f>1/INDEX(GUL_1!$A:$J,MATCH('2022'!$A36,GUL_1!$A:$A,0),MATCH('2022'!$A$1,GUL_1!$3:$3,0))</f>
        <v>1.3347570742124932E-2</v>
      </c>
      <c r="Y36" s="57" t="e">
        <f>INDEX(GUL_2!$A:$J,MATCH('2022'!$A36,GUL_2!$A:$A,0),MATCH('2022'!$A$1,GUL_2!$3:$3,0))</f>
        <v>#N/A</v>
      </c>
      <c r="Z36" s="57">
        <f>INDEX(GUL_3!$A:$J,MATCH('2022'!$A36,GUL_3!$A:$A,0),MATCH('2022'!$A$1,GUL_3!$3:$3,0))/(B36/1000)</f>
        <v>0.62436669771003894</v>
      </c>
      <c r="AA36" s="101">
        <f>INDEX(GUL_4!$A:$J,MATCH('2022'!$A36,GUL_4!$A:$A,0),MATCH('2022'!$A$1,GUL_4!$3:$3,0))/B36/C36*10^6</f>
        <v>0.30445525478529589</v>
      </c>
      <c r="AB36" s="73">
        <f>INDEX(GUL_5!$A:$J,MATCH('2022'!$A36,GUL_5!$A:$A,0),MATCH('2022'!$A$1,GUL_5!$3:$3,0))</f>
        <v>2.9186415507898425E-2</v>
      </c>
      <c r="AC36" s="49" t="e">
        <f>INDEX(GUL_6!$A:$J,MATCH('2022'!$A36,GUL_6!$A:$A,0),MATCH('2022'!$A$1,GUL_6!$3:$3,0))</f>
        <v>#N/A</v>
      </c>
      <c r="AD36" s="49" t="e">
        <f>INDEX(GUL_7!$A:$J,MATCH('2022'!$A36,GUL_7!$A:$A,0),MATCH('2022'!$A$1,GUL_7!$3:$3,0))</f>
        <v>#N/A</v>
      </c>
      <c r="AE36" s="103">
        <f>INDEX(GUL_8!$A:$J,MATCH('2022'!$A36,GUL_8!$A:$A,0),MATCH('2022'!$A$1,GUL_8!$3:$3,0))/(B36/1000)</f>
        <v>1.5844117280960515</v>
      </c>
      <c r="AF36" s="41">
        <f>INDEX(DES_1!$A:$J,MATCH('2022'!$A36,DES_1!$A:$A,0),MATCH('2022'!$A$1,DES_1!$3:$3,0))/(B36/1000)</f>
        <v>4.0241408459293943E-2</v>
      </c>
      <c r="AG36" s="100">
        <f>INDEX(DES_2!$A:$J,MATCH('2022'!$A36,DES_2!$A:$A,0),MATCH('2022'!$A$1,DES_2!$3:$3,0))/(B36/1000)</f>
        <v>0.45390309168992421</v>
      </c>
      <c r="AH36" s="57">
        <f>1/INDEX(DES_3!$A:$J,MATCH('2022'!$A36,DES_3!$A:$A,0),MATCH('2022'!$A$1,DES_3!$3:$3,0))</f>
        <v>8.2576383154417832E-3</v>
      </c>
      <c r="AI36" s="80" t="e">
        <f>INDEX(DES_4!$A:$J,MATCH('2022'!$A36,DES_4!$A:$A,0),MATCH('2022'!$A$1,DES_4!$3:$3,0))</f>
        <v>#N/A</v>
      </c>
      <c r="AJ36" s="110" t="e">
        <f>INDEX(DES_5!$A:$J,MATCH('2022'!$A36,DES_5!$A:$A,0),MATCH('2022'!$A$1,DES_5!$3:$3,0))</f>
        <v>#N/A</v>
      </c>
      <c r="AK36" s="57">
        <v>50</v>
      </c>
    </row>
    <row r="37" spans="1:37" x14ac:dyDescent="0.3">
      <c r="A37" s="29" t="s">
        <v>36</v>
      </c>
      <c r="B37" s="33">
        <f>INDEX(Population!$A:$J,MATCH('2022'!$A37,Population!$A:$A,0),MATCH('2022'!$A$1,Population!$3:$3,0))</f>
        <v>1143644</v>
      </c>
      <c r="C37" s="14">
        <f>INDEX(Income!$A:$J,MATCH('2022'!$A37,Income!$A:$A,0),MATCH('2022'!$A$1,Income!$3:$3,0))</f>
        <v>32141</v>
      </c>
      <c r="D37" s="34">
        <f>INDEX(Livable_wage!$A:$J,MATCH('2022'!$A37,Livable_wage!$A:$A,0),MATCH('2022'!$A$1,Livable_wage!$3:$3,0))</f>
        <v>12388</v>
      </c>
      <c r="E37" s="41">
        <f>INDEX(AVA_1!$A:$J,MATCH('2022'!$A37,AVA_1!$A:$A,0),MATCH('2022'!$A$1,AVA_1!$3:$3,0))</f>
        <v>0.32200000000000001</v>
      </c>
      <c r="F37" s="15">
        <f>INDEX(AVA_2!$A:$J,MATCH('2022'!$A37,AVA_2!$A:$A,0),MATCH('2022'!$A$1,AVA_2!$3:$3,0))</f>
        <v>9.2110013804821075E-3</v>
      </c>
      <c r="G37" s="15">
        <f>INDEX(AVA_3!$A:$J,MATCH('2022'!$A37,AVA_3!$A:$A,0),MATCH('2022'!$A$1,AVA_3!$3:$3,0))</f>
        <v>3.2736973683031453E-3</v>
      </c>
      <c r="H37" s="87">
        <f>INDEX(AVA_4!$A:$J,MATCH('2022'!$A37,AVA_4!$A:$A,0),MATCH('2022'!$A$1,AVA_4!$3:$3,0))/(B37/1000)</f>
        <v>0.81843650646529864</v>
      </c>
      <c r="I37" s="89">
        <f>INDEX(AVA_5!$A:$J,MATCH('2022'!$A37,AVA_5!$A:$A,0),MATCH('2022'!$A$1,AVA_5!$3:$3,0))/(B37/1000)</f>
        <v>5.3198372920244408</v>
      </c>
      <c r="J37" s="93">
        <f>INDEX(IRA_1!$A:$J,MATCH('2022'!$A37,IRA_1!$A:$A,0),MATCH('2022'!$A$1,IRA_1!$3:$3,0))/(B37/1000)</f>
        <v>5.4212674573556108E-2</v>
      </c>
      <c r="K37" s="88">
        <f>INDEX(IRA_2!$A:$J,MATCH('2022'!$A37,IRA_2!$A:$A,0),MATCH('2022'!$A$1,IRA_2!$3:$3,0))/(B37/1000)</f>
        <v>0.12591330868696901</v>
      </c>
      <c r="L37" s="15">
        <f>INDEX(IRA_3!$A:$J,MATCH('2022'!$A37,IRA_3!$A:$A,0),MATCH('2022'!$A$1,IRA_3!$3:$3,0))</f>
        <v>0.2952952952952953</v>
      </c>
      <c r="M37" s="96">
        <f>INDEX(IRA_4!$A:$J,MATCH('2022'!$A37,IRA_4!$A:$A,0),MATCH('2022'!$A$1,IRA_4!$3:$3,0))/(B37/1000)</f>
        <v>4.2189702389904546</v>
      </c>
      <c r="N37" s="61">
        <f>INDEX(INV_1!$A:$J,MATCH('2022'!$A37,INV_1!$A:$A,0),MATCH('2022'!$A$1,INV_1!$3:$3,0))</f>
        <v>7.6692789973001121E-2</v>
      </c>
      <c r="O37" s="80">
        <f>INDEX(INV_2!$A:$J,MATCH('2022'!$A37,INV_2!$A:$A,0),MATCH('2022'!$A$1,INV_2!$3:$3,0))/B37*10^6/C37</f>
        <v>0.56882383429646999</v>
      </c>
      <c r="P37" s="87">
        <f>INDEX(INV_3!$A:$J,MATCH('2022'!$A37,INV_3!$A:$A,0),MATCH('2022'!$A$1,INV_3!$3:$3,0))/B37*10^6/C37</f>
        <v>4.8647824226963294</v>
      </c>
      <c r="Q37" s="87">
        <f>INDEX(INV_4!$A:$J,MATCH('2022'!$A37,INV_4!$A:$A,0),MATCH('2022'!$A$1,INV_4!$3:$3,0))/B37*10^3/C37</f>
        <v>0.24165235310377578</v>
      </c>
      <c r="R37" s="34">
        <f>INDEX(INV_5!$A:$J,MATCH('2022'!$A37,INV_5!$A:$A,0),MATCH('2022'!$A$1,INV_5!$3:$3,0))</f>
        <v>4.3700000000000003E-2</v>
      </c>
      <c r="S37" s="77">
        <f>INDEX(LUJ_1!$A:$J,MATCH('2022'!$A37,LUJ_1!$A:$A,0),MATCH('2022'!$A$1,LUJ_1!$3:$3,0))</f>
        <v>0.67696591963930508</v>
      </c>
      <c r="T37" s="73">
        <f>INDEX(LUJ_2!$A:$J,MATCH('2022'!$A37,LUJ_2!$A:$A,0),MATCH('2022'!$A$1,LUJ_2!$3:$3,0))</f>
        <v>0.247</v>
      </c>
      <c r="U37" s="73">
        <f>INDEX(LUJ_3!$A:$J,MATCH('2022'!$A37,LUJ_3!$A:$A,0),MATCH('2022'!$A$1,LUJ_3!$3:$3,0))</f>
        <v>0.55462466487935658</v>
      </c>
      <c r="V37" s="14">
        <f>INDEX(LUJ_4!$A:$J,MATCH('2022'!$A37,LUJ_4!$A:$A,0),MATCH('2022'!$A$1,LUJ_4!$3:$3,0))</f>
        <v>38</v>
      </c>
      <c r="W37" s="34">
        <f>INDEX(LUJ_5!$A:$J,MATCH('2022'!$A37,LUJ_5!$A:$A,0),MATCH('2022'!$A$1,LUJ_5!$3:$3,0))</f>
        <v>15.1</v>
      </c>
      <c r="X37" s="98">
        <f>1/INDEX(GUL_1!$A:$J,MATCH('2022'!$A37,GUL_1!$A:$A,0),MATCH('2022'!$A$1,GUL_1!$3:$3,0))</f>
        <v>1.4023278642546627E-2</v>
      </c>
      <c r="Y37" s="57" t="e">
        <f>INDEX(GUL_2!$A:$J,MATCH('2022'!$A37,GUL_2!$A:$A,0),MATCH('2022'!$A$1,GUL_2!$3:$3,0))</f>
        <v>#N/A</v>
      </c>
      <c r="Z37" s="57">
        <f>INDEX(GUL_3!$A:$J,MATCH('2022'!$A37,GUL_3!$A:$A,0),MATCH('2022'!$A$1,GUL_3!$3:$3,0))/(B37/1000)</f>
        <v>0.87439797699284039</v>
      </c>
      <c r="AA37" s="101">
        <f>INDEX(GUL_4!$A:$J,MATCH('2022'!$A37,GUL_4!$A:$A,0),MATCH('2022'!$A$1,GUL_4!$3:$3,0))/B37/C37*10^6</f>
        <v>0.37875706901115153</v>
      </c>
      <c r="AB37" s="73">
        <f>INDEX(GUL_5!$A:$J,MATCH('2022'!$A37,GUL_5!$A:$A,0),MATCH('2022'!$A$1,GUL_5!$3:$3,0))</f>
        <v>3.1880157555603632E-2</v>
      </c>
      <c r="AC37" s="49" t="e">
        <f>INDEX(GUL_6!$A:$J,MATCH('2022'!$A37,GUL_6!$A:$A,0),MATCH('2022'!$A$1,GUL_6!$3:$3,0))</f>
        <v>#N/A</v>
      </c>
      <c r="AD37" s="49" t="e">
        <f>INDEX(GUL_7!$A:$J,MATCH('2022'!$A37,GUL_7!$A:$A,0),MATCH('2022'!$A$1,GUL_7!$3:$3,0))</f>
        <v>#N/A</v>
      </c>
      <c r="AE37" s="103">
        <f>INDEX(GUL_8!$A:$J,MATCH('2022'!$A37,GUL_8!$A:$A,0),MATCH('2022'!$A$1,GUL_8!$3:$3,0))/(B37/1000)</f>
        <v>2.656421054104249</v>
      </c>
      <c r="AF37" s="41">
        <f>INDEX(DES_1!$A:$J,MATCH('2022'!$A37,DES_1!$A:$A,0),MATCH('2022'!$A$1,DES_1!$3:$3,0))/(B37/1000)</f>
        <v>0.21422750436324589</v>
      </c>
      <c r="AG37" s="100">
        <f>INDEX(DES_2!$A:$J,MATCH('2022'!$A37,DES_2!$A:$A,0),MATCH('2022'!$A$1,DES_2!$3:$3,0))/(B37/1000)</f>
        <v>0.31216007778644406</v>
      </c>
      <c r="AH37" s="57">
        <f>1/INDEX(DES_3!$A:$J,MATCH('2022'!$A37,DES_3!$A:$A,0),MATCH('2022'!$A$1,DES_3!$3:$3,0))</f>
        <v>7.6219512195121958E-3</v>
      </c>
      <c r="AI37" s="80" t="e">
        <f>INDEX(DES_4!$A:$J,MATCH('2022'!$A37,DES_4!$A:$A,0),MATCH('2022'!$A$1,DES_4!$3:$3,0))</f>
        <v>#N/A</v>
      </c>
      <c r="AJ37" s="110" t="e">
        <f>INDEX(DES_5!$A:$J,MATCH('2022'!$A37,DES_5!$A:$A,0),MATCH('2022'!$A$1,DES_5!$3:$3,0))</f>
        <v>#N/A</v>
      </c>
      <c r="AK37" s="57">
        <v>52</v>
      </c>
    </row>
    <row r="38" spans="1:37" x14ac:dyDescent="0.3">
      <c r="A38" s="29" t="s">
        <v>37</v>
      </c>
      <c r="B38" s="33">
        <f>INDEX(Population!$A:$J,MATCH('2022'!$A38,Population!$A:$A,0),MATCH('2022'!$A$1,Population!$3:$3,0))</f>
        <v>574948</v>
      </c>
      <c r="C38" s="14">
        <f>INDEX(Income!$A:$J,MATCH('2022'!$A38,Income!$A:$A,0),MATCH('2022'!$A$1,Income!$3:$3,0))</f>
        <v>34422</v>
      </c>
      <c r="D38" s="34">
        <f>INDEX(Livable_wage!$A:$J,MATCH('2022'!$A38,Livable_wage!$A:$A,0),MATCH('2022'!$A$1,Livable_wage!$3:$3,0))</f>
        <v>12860</v>
      </c>
      <c r="E38" s="41">
        <f>INDEX(AVA_1!$A:$J,MATCH('2022'!$A38,AVA_1!$A:$A,0),MATCH('2022'!$A$1,AVA_1!$3:$3,0))</f>
        <v>0.32</v>
      </c>
      <c r="F38" s="15">
        <f>INDEX(AVA_2!$A:$J,MATCH('2022'!$A38,AVA_2!$A:$A,0),MATCH('2022'!$A$1,AVA_2!$3:$3,0))</f>
        <v>1.1781777895613969E-2</v>
      </c>
      <c r="G38" s="15">
        <f>INDEX(AVA_3!$A:$J,MATCH('2022'!$A38,AVA_3!$A:$A,0),MATCH('2022'!$A$1,AVA_3!$3:$3,0))</f>
        <v>1.2642100795478761E-2</v>
      </c>
      <c r="H38" s="87">
        <f>INDEX(AVA_4!$A:$J,MATCH('2022'!$A38,AVA_4!$A:$A,0),MATCH('2022'!$A$1,AVA_4!$3:$3,0))/(B38/1000)</f>
        <v>0.70615081711737415</v>
      </c>
      <c r="I38" s="89">
        <f>INDEX(AVA_5!$A:$J,MATCH('2022'!$A38,AVA_5!$A:$A,0),MATCH('2022'!$A$1,AVA_5!$3:$3,0))/(B38/1000)</f>
        <v>4.0247118000236544</v>
      </c>
      <c r="J38" s="93">
        <f>INDEX(IRA_1!$A:$J,MATCH('2022'!$A38,IRA_1!$A:$A,0),MATCH('2022'!$A$1,IRA_1!$3:$3,0))/(B38/1000)</f>
        <v>6.2614358168043019E-2</v>
      </c>
      <c r="K38" s="88">
        <f>INDEX(IRA_2!$A:$J,MATCH('2022'!$A38,IRA_2!$A:$A,0),MATCH('2022'!$A$1,IRA_2!$3:$3,0))/(B38/1000)</f>
        <v>9.5660824978954617E-2</v>
      </c>
      <c r="L38" s="15">
        <f>INDEX(IRA_3!$A:$J,MATCH('2022'!$A38,IRA_3!$A:$A,0),MATCH('2022'!$A$1,IRA_3!$3:$3,0))</f>
        <v>0.35125758889852554</v>
      </c>
      <c r="M38" s="96">
        <f>INDEX(IRA_4!$A:$J,MATCH('2022'!$A38,IRA_4!$A:$A,0),MATCH('2022'!$A$1,IRA_4!$3:$3,0))/(B38/1000)</f>
        <v>3.1220214697677009</v>
      </c>
      <c r="N38" s="61">
        <f>INDEX(INV_1!$A:$J,MATCH('2022'!$A38,INV_1!$A:$A,0),MATCH('2022'!$A$1,INV_1!$3:$3,0))</f>
        <v>7.3125886927248196E-2</v>
      </c>
      <c r="O38" s="80">
        <f>INDEX(INV_2!$A:$J,MATCH('2022'!$A38,INV_2!$A:$A,0),MATCH('2022'!$A$1,INV_2!$3:$3,0))/B38*10^6/C38</f>
        <v>0.59684906734779053</v>
      </c>
      <c r="P38" s="87">
        <f>INDEX(INV_3!$A:$J,MATCH('2022'!$A38,INV_3!$A:$A,0),MATCH('2022'!$A$1,INV_3!$3:$3,0))/B38*10^6/C38</f>
        <v>4.0715764636802909</v>
      </c>
      <c r="Q38" s="87">
        <f>INDEX(INV_4!$A:$J,MATCH('2022'!$A38,INV_4!$A:$A,0),MATCH('2022'!$A$1,INV_4!$3:$3,0))/B38*10^3/C38</f>
        <v>0.27375910317537938</v>
      </c>
      <c r="R38" s="34">
        <f>INDEX(INV_5!$A:$J,MATCH('2022'!$A38,INV_5!$A:$A,0),MATCH('2022'!$A$1,INV_5!$3:$3,0))</f>
        <v>0.1429</v>
      </c>
      <c r="S38" s="77">
        <f>INDEX(LUJ_1!$A:$J,MATCH('2022'!$A38,LUJ_1!$A:$A,0),MATCH('2022'!$A$1,LUJ_1!$3:$3,0))</f>
        <v>0.69751315160210425</v>
      </c>
      <c r="T38" s="73">
        <f>INDEX(LUJ_2!$A:$J,MATCH('2022'!$A38,LUJ_2!$A:$A,0),MATCH('2022'!$A$1,LUJ_2!$3:$3,0))</f>
        <v>0.20800000000000002</v>
      </c>
      <c r="U38" s="73">
        <f>INDEX(LUJ_3!$A:$J,MATCH('2022'!$A38,LUJ_3!$A:$A,0),MATCH('2022'!$A$1,LUJ_3!$3:$3,0))</f>
        <v>0.50343868582542883</v>
      </c>
      <c r="V38" s="14">
        <f>INDEX(LUJ_4!$A:$J,MATCH('2022'!$A38,LUJ_4!$A:$A,0),MATCH('2022'!$A$1,LUJ_4!$3:$3,0))</f>
        <v>19</v>
      </c>
      <c r="W38" s="34">
        <f>INDEX(LUJ_5!$A:$J,MATCH('2022'!$A38,LUJ_5!$A:$A,0),MATCH('2022'!$A$1,LUJ_5!$3:$3,0))</f>
        <v>32.200000000000003</v>
      </c>
      <c r="X38" s="98">
        <f>1/INDEX(GUL_1!$A:$J,MATCH('2022'!$A38,GUL_1!$A:$A,0),MATCH('2022'!$A$1,GUL_1!$3:$3,0))</f>
        <v>1.4306151645207437E-2</v>
      </c>
      <c r="Y38" s="57" t="e">
        <f>INDEX(GUL_2!$A:$J,MATCH('2022'!$A38,GUL_2!$A:$A,0),MATCH('2022'!$A$1,GUL_2!$3:$3,0))</f>
        <v>#N/A</v>
      </c>
      <c r="Z38" s="57">
        <f>INDEX(GUL_3!$A:$J,MATCH('2022'!$A38,GUL_3!$A:$A,0),MATCH('2022'!$A$1,GUL_3!$3:$3,0))/(B38/1000)</f>
        <v>0.95834753751643631</v>
      </c>
      <c r="AA38" s="101">
        <f>INDEX(GUL_4!$A:$J,MATCH('2022'!$A38,GUL_4!$A:$A,0),MATCH('2022'!$A$1,GUL_4!$3:$3,0))/B38/C38*10^6</f>
        <v>0.27885043825202016</v>
      </c>
      <c r="AB38" s="73">
        <f>INDEX(GUL_5!$A:$J,MATCH('2022'!$A38,GUL_5!$A:$A,0),MATCH('2022'!$A$1,GUL_5!$3:$3,0))</f>
        <v>3.6772719656476667E-2</v>
      </c>
      <c r="AC38" s="49" t="e">
        <f>INDEX(GUL_6!$A:$J,MATCH('2022'!$A38,GUL_6!$A:$A,0),MATCH('2022'!$A$1,GUL_6!$3:$3,0))</f>
        <v>#N/A</v>
      </c>
      <c r="AD38" s="49" t="e">
        <f>INDEX(GUL_7!$A:$J,MATCH('2022'!$A38,GUL_7!$A:$A,0),MATCH('2022'!$A$1,GUL_7!$3:$3,0))</f>
        <v>#N/A</v>
      </c>
      <c r="AE38" s="103">
        <f>INDEX(GUL_8!$A:$J,MATCH('2022'!$A38,GUL_8!$A:$A,0),MATCH('2022'!$A$1,GUL_8!$3:$3,0))/(B38/1000)</f>
        <v>2.1688917954319349</v>
      </c>
      <c r="AF38" s="41">
        <f>INDEX(DES_1!$A:$J,MATCH('2022'!$A38,DES_1!$A:$A,0),MATCH('2022'!$A$1,DES_1!$3:$3,0))/(B38/1000)</f>
        <v>0.14783945678565713</v>
      </c>
      <c r="AG38" s="100">
        <f>INDEX(DES_2!$A:$J,MATCH('2022'!$A38,DES_2!$A:$A,0),MATCH('2022'!$A$1,DES_2!$3:$3,0))/(B38/1000)</f>
        <v>0.40003617718471934</v>
      </c>
      <c r="AH38" s="57">
        <f>1/INDEX(DES_3!$A:$J,MATCH('2022'!$A38,DES_3!$A:$A,0),MATCH('2022'!$A$1,DES_3!$3:$3,0))</f>
        <v>8.0710250201775618E-3</v>
      </c>
      <c r="AI38" s="80" t="e">
        <f>INDEX(DES_4!$A:$J,MATCH('2022'!$A38,DES_4!$A:$A,0),MATCH('2022'!$A$1,DES_4!$3:$3,0))</f>
        <v>#N/A</v>
      </c>
      <c r="AJ38" s="110" t="e">
        <f>INDEX(DES_5!$A:$J,MATCH('2022'!$A38,DES_5!$A:$A,0),MATCH('2022'!$A$1,DES_5!$3:$3,0))</f>
        <v>#N/A</v>
      </c>
      <c r="AK38" s="57">
        <v>53</v>
      </c>
    </row>
    <row r="39" spans="1:37" x14ac:dyDescent="0.3">
      <c r="A39" s="29" t="s">
        <v>38</v>
      </c>
      <c r="B39" s="33">
        <f>INDEX(Population!$A:$J,MATCH('2022'!$A39,Population!$A:$A,0),MATCH('2022'!$A$1,Population!$3:$3,0))</f>
        <v>1218611</v>
      </c>
      <c r="C39" s="14">
        <f>INDEX(Income!$A:$J,MATCH('2022'!$A39,Income!$A:$A,0),MATCH('2022'!$A$1,Income!$3:$3,0))</f>
        <v>35184</v>
      </c>
      <c r="D39" s="34">
        <f>INDEX(Livable_wage!$A:$J,MATCH('2022'!$A39,Livable_wage!$A:$A,0),MATCH('2022'!$A$1,Livable_wage!$3:$3,0))</f>
        <v>13363</v>
      </c>
      <c r="E39" s="41">
        <f>INDEX(AVA_1!$A:$J,MATCH('2022'!$A39,AVA_1!$A:$A,0),MATCH('2022'!$A$1,AVA_1!$3:$3,0))</f>
        <v>0.32900000000000001</v>
      </c>
      <c r="F39" s="15">
        <f>INDEX(AVA_2!$A:$J,MATCH('2022'!$A39,AVA_2!$A:$A,0),MATCH('2022'!$A$1,AVA_2!$3:$3,0))</f>
        <v>9.9470680052298425E-3</v>
      </c>
      <c r="G39" s="15">
        <f>INDEX(AVA_3!$A:$J,MATCH('2022'!$A39,AVA_3!$A:$A,0),MATCH('2022'!$A$1,AVA_3!$3:$3,0))</f>
        <v>1.9699470223393335E-2</v>
      </c>
      <c r="H39" s="87">
        <f>INDEX(AVA_4!$A:$J,MATCH('2022'!$A39,AVA_4!$A:$A,0),MATCH('2022'!$A$1,AVA_4!$3:$3,0))/(B39/1000)</f>
        <v>1.5279691386340677</v>
      </c>
      <c r="I39" s="89">
        <f>INDEX(AVA_5!$A:$J,MATCH('2022'!$A39,AVA_5!$A:$A,0),MATCH('2022'!$A$1,AVA_5!$3:$3,0))/(B39/1000)</f>
        <v>6.9316623598506819</v>
      </c>
      <c r="J39" s="93">
        <f>INDEX(IRA_1!$A:$J,MATCH('2022'!$A39,IRA_1!$A:$A,0),MATCH('2022'!$A$1,IRA_1!$3:$3,0))/(B39/1000)</f>
        <v>6.5648512938090986E-2</v>
      </c>
      <c r="K39" s="88">
        <f>INDEX(IRA_2!$A:$J,MATCH('2022'!$A39,IRA_2!$A:$A,0),MATCH('2022'!$A$1,IRA_2!$3:$3,0))/(B39/1000)</f>
        <v>0.12062914252374218</v>
      </c>
      <c r="L39" s="15">
        <f>INDEX(IRA_3!$A:$J,MATCH('2022'!$A39,IRA_3!$A:$A,0),MATCH('2022'!$A$1,IRA_3!$3:$3,0))</f>
        <v>0.40709876543209877</v>
      </c>
      <c r="M39" s="96">
        <f>INDEX(IRA_4!$A:$J,MATCH('2022'!$A39,IRA_4!$A:$A,0),MATCH('2022'!$A$1,IRA_4!$3:$3,0))/(B39/1000)</f>
        <v>5.7475273077298654</v>
      </c>
      <c r="N39" s="61">
        <f>INDEX(INV_1!$A:$J,MATCH('2022'!$A39,INV_1!$A:$A,0),MATCH('2022'!$A$1,INV_1!$3:$3,0))</f>
        <v>7.1461650931180051E-2</v>
      </c>
      <c r="O39" s="80">
        <f>INDEX(INV_2!$A:$J,MATCH('2022'!$A39,INV_2!$A:$A,0),MATCH('2022'!$A$1,INV_2!$3:$3,0))/B39*10^6/C39</f>
        <v>0.27776644077370455</v>
      </c>
      <c r="P39" s="87">
        <f>INDEX(INV_3!$A:$J,MATCH('2022'!$A39,INV_3!$A:$A,0),MATCH('2022'!$A$1,INV_3!$3:$3,0))/B39*10^6/C39</f>
        <v>4.6569133986054565</v>
      </c>
      <c r="Q39" s="87">
        <f>INDEX(INV_4!$A:$J,MATCH('2022'!$A39,INV_4!$A:$A,0),MATCH('2022'!$A$1,INV_4!$3:$3,0))/B39*10^3/C39</f>
        <v>0.22175635350101516</v>
      </c>
      <c r="R39" s="34">
        <f>INDEX(INV_5!$A:$J,MATCH('2022'!$A39,INV_5!$A:$A,0),MATCH('2022'!$A$1,INV_5!$3:$3,0))</f>
        <v>6.2600000000000003E-2</v>
      </c>
      <c r="S39" s="77">
        <f>INDEX(LUJ_1!$A:$J,MATCH('2022'!$A39,LUJ_1!$A:$A,0),MATCH('2022'!$A$1,LUJ_1!$3:$3,0))</f>
        <v>0.63716713881019826</v>
      </c>
      <c r="T39" s="73">
        <f>INDEX(LUJ_2!$A:$J,MATCH('2022'!$A39,LUJ_2!$A:$A,0),MATCH('2022'!$A$1,LUJ_2!$3:$3,0))</f>
        <v>0.221</v>
      </c>
      <c r="U39" s="73">
        <f>INDEX(LUJ_3!$A:$J,MATCH('2022'!$A39,LUJ_3!$A:$A,0),MATCH('2022'!$A$1,LUJ_3!$3:$3,0))</f>
        <v>0.36651583710407237</v>
      </c>
      <c r="V39" s="14">
        <f>INDEX(LUJ_4!$A:$J,MATCH('2022'!$A39,LUJ_4!$A:$A,0),MATCH('2022'!$A$1,LUJ_4!$3:$3,0))</f>
        <v>39</v>
      </c>
      <c r="W39" s="34">
        <f>INDEX(LUJ_5!$A:$J,MATCH('2022'!$A39,LUJ_5!$A:$A,0),MATCH('2022'!$A$1,LUJ_5!$3:$3,0))</f>
        <v>41.4</v>
      </c>
      <c r="X39" s="98">
        <f>1/INDEX(GUL_1!$A:$J,MATCH('2022'!$A39,GUL_1!$A:$A,0),MATCH('2022'!$A$1,GUL_1!$3:$3,0))</f>
        <v>1.4297969688304261E-2</v>
      </c>
      <c r="Y39" s="57" t="e">
        <f>INDEX(GUL_2!$A:$J,MATCH('2022'!$A39,GUL_2!$A:$A,0),MATCH('2022'!$A$1,GUL_2!$3:$3,0))</f>
        <v>#N/A</v>
      </c>
      <c r="Z39" s="57">
        <f>INDEX(GUL_3!$A:$J,MATCH('2022'!$A39,GUL_3!$A:$A,0),MATCH('2022'!$A$1,GUL_3!$3:$3,0))/(B39/1000)</f>
        <v>0.95846828889612834</v>
      </c>
      <c r="AA39" s="101">
        <f>INDEX(GUL_4!$A:$J,MATCH('2022'!$A39,GUL_4!$A:$A,0),MATCH('2022'!$A$1,GUL_4!$3:$3,0))/B39/C39*10^6</f>
        <v>0.3137982218969661</v>
      </c>
      <c r="AB39" s="73">
        <f>INDEX(GUL_5!$A:$J,MATCH('2022'!$A39,GUL_5!$A:$A,0),MATCH('2022'!$A$1,GUL_5!$3:$3,0))</f>
        <v>5.1336221784995119E-2</v>
      </c>
      <c r="AC39" s="49" t="e">
        <f>INDEX(GUL_6!$A:$J,MATCH('2022'!$A39,GUL_6!$A:$A,0),MATCH('2022'!$A$1,GUL_6!$3:$3,0))</f>
        <v>#N/A</v>
      </c>
      <c r="AD39" s="49" t="e">
        <f>INDEX(GUL_7!$A:$J,MATCH('2022'!$A39,GUL_7!$A:$A,0),MATCH('2022'!$A$1,GUL_7!$3:$3,0))</f>
        <v>#N/A</v>
      </c>
      <c r="AE39" s="103">
        <f>INDEX(GUL_8!$A:$J,MATCH('2022'!$A39,GUL_8!$A:$A,0),MATCH('2022'!$A$1,GUL_8!$3:$3,0))/(B39/1000)</f>
        <v>1.8397995750899998</v>
      </c>
      <c r="AF39" s="41">
        <f>INDEX(DES_1!$A:$J,MATCH('2022'!$A39,DES_1!$A:$A,0),MATCH('2022'!$A$1,DES_1!$3:$3,0))/(B39/1000)</f>
        <v>0.16658310158040587</v>
      </c>
      <c r="AG39" s="100">
        <f>INDEX(DES_2!$A:$J,MATCH('2022'!$A39,DES_2!$A:$A,0),MATCH('2022'!$A$1,DES_2!$3:$3,0))/(B39/1000)</f>
        <v>0.26915890304617301</v>
      </c>
      <c r="AH39" s="57">
        <f>1/INDEX(DES_3!$A:$J,MATCH('2022'!$A39,DES_3!$A:$A,0),MATCH('2022'!$A$1,DES_3!$3:$3,0))</f>
        <v>8.9365504915102766E-3</v>
      </c>
      <c r="AI39" s="80" t="e">
        <f>INDEX(DES_4!$A:$J,MATCH('2022'!$A39,DES_4!$A:$A,0),MATCH('2022'!$A$1,DES_4!$3:$3,0))</f>
        <v>#N/A</v>
      </c>
      <c r="AJ39" s="110" t="e">
        <f>INDEX(DES_5!$A:$J,MATCH('2022'!$A39,DES_5!$A:$A,0),MATCH('2022'!$A$1,DES_5!$3:$3,0))</f>
        <v>#N/A</v>
      </c>
      <c r="AK39" s="57">
        <v>54</v>
      </c>
    </row>
    <row r="40" spans="1:37" x14ac:dyDescent="0.3">
      <c r="A40" s="29" t="s">
        <v>39</v>
      </c>
      <c r="B40" s="33">
        <f>INDEX(Population!$A:$J,MATCH('2022'!$A40,Population!$A:$A,0),MATCH('2022'!$A$1,Population!$3:$3,0))</f>
        <v>1489080</v>
      </c>
      <c r="C40" s="14">
        <f>INDEX(Income!$A:$J,MATCH('2022'!$A40,Income!$A:$A,0),MATCH('2022'!$A$1,Income!$3:$3,0))</f>
        <v>34193</v>
      </c>
      <c r="D40" s="34">
        <f>INDEX(Livable_wage!$A:$J,MATCH('2022'!$A40,Livable_wage!$A:$A,0),MATCH('2022'!$A$1,Livable_wage!$3:$3,0))</f>
        <v>13641</v>
      </c>
      <c r="E40" s="41">
        <f>INDEX(AVA_1!$A:$J,MATCH('2022'!$A40,AVA_1!$A:$A,0),MATCH('2022'!$A$1,AVA_1!$3:$3,0))</f>
        <v>0.34399999999999997</v>
      </c>
      <c r="F40" s="15">
        <f>INDEX(AVA_2!$A:$J,MATCH('2022'!$A40,AVA_2!$A:$A,0),MATCH('2022'!$A$1,AVA_2!$3:$3,0))</f>
        <v>1.0169075467256341E-2</v>
      </c>
      <c r="G40" s="15">
        <f>INDEX(AVA_3!$A:$J,MATCH('2022'!$A40,AVA_3!$A:$A,0),MATCH('2022'!$A$1,AVA_3!$3:$3,0))</f>
        <v>2.1796107428519361E-2</v>
      </c>
      <c r="H40" s="87">
        <f>INDEX(AVA_4!$A:$J,MATCH('2022'!$A40,AVA_4!$A:$A,0),MATCH('2022'!$A$1,AVA_4!$3:$3,0))/(B40/1000)</f>
        <v>0.62186047761033658</v>
      </c>
      <c r="I40" s="89">
        <f>INDEX(AVA_5!$A:$J,MATCH('2022'!$A40,AVA_5!$A:$A,0),MATCH('2022'!$A$1,AVA_5!$3:$3,0))/(B40/1000)</f>
        <v>3.9635211002766813</v>
      </c>
      <c r="J40" s="93">
        <f>INDEX(IRA_1!$A:$J,MATCH('2022'!$A40,IRA_1!$A:$A,0),MATCH('2022'!$A$1,IRA_1!$3:$3,0))/(B40/1000)</f>
        <v>3.6935557525451961E-2</v>
      </c>
      <c r="K40" s="88">
        <f>INDEX(IRA_2!$A:$J,MATCH('2022'!$A40,IRA_2!$A:$A,0),MATCH('2022'!$A$1,IRA_2!$3:$3,0))/(B40/1000)</f>
        <v>0.10274800547989363</v>
      </c>
      <c r="L40" s="15">
        <f>INDEX(IRA_3!$A:$J,MATCH('2022'!$A40,IRA_3!$A:$A,0),MATCH('2022'!$A$1,IRA_3!$3:$3,0))</f>
        <v>0.40840790140131689</v>
      </c>
      <c r="M40" s="96">
        <f>INDEX(IRA_4!$A:$J,MATCH('2022'!$A40,IRA_4!$A:$A,0),MATCH('2022'!$A$1,IRA_4!$3:$3,0))/(B40/1000)</f>
        <v>2.7956859268810272</v>
      </c>
      <c r="N40" s="61">
        <f>INDEX(INV_1!$A:$J,MATCH('2022'!$A40,INV_1!$A:$A,0),MATCH('2022'!$A$1,INV_1!$3:$3,0))</f>
        <v>6.9930102801829347E-2</v>
      </c>
      <c r="O40" s="80">
        <f>INDEX(INV_2!$A:$J,MATCH('2022'!$A40,INV_2!$A:$A,0),MATCH('2022'!$A$1,INV_2!$3:$3,0))/B40*10^6/C40</f>
        <v>0.35206660502003129</v>
      </c>
      <c r="P40" s="87">
        <f>INDEX(INV_3!$A:$J,MATCH('2022'!$A40,INV_3!$A:$A,0),MATCH('2022'!$A$1,INV_3!$3:$3,0))/B40*10^6/C40</f>
        <v>4.7407193603879945</v>
      </c>
      <c r="Q40" s="87">
        <f>INDEX(INV_4!$A:$J,MATCH('2022'!$A40,INV_4!$A:$A,0),MATCH('2022'!$A$1,INV_4!$3:$3,0))/B40*10^3/C40</f>
        <v>0.23862114186972286</v>
      </c>
      <c r="R40" s="34">
        <f>INDEX(INV_5!$A:$J,MATCH('2022'!$A40,INV_5!$A:$A,0),MATCH('2022'!$A$1,INV_5!$3:$3,0))</f>
        <v>6.9500000000000006E-2</v>
      </c>
      <c r="S40" s="77">
        <f>INDEX(LUJ_1!$A:$J,MATCH('2022'!$A40,LUJ_1!$A:$A,0),MATCH('2022'!$A$1,LUJ_1!$3:$3,0))</f>
        <v>0.59315441462465968</v>
      </c>
      <c r="T40" s="73">
        <f>INDEX(LUJ_2!$A:$J,MATCH('2022'!$A40,LUJ_2!$A:$A,0),MATCH('2022'!$A$1,LUJ_2!$3:$3,0))</f>
        <v>0.21199999999999999</v>
      </c>
      <c r="U40" s="73">
        <f>INDEX(LUJ_3!$A:$J,MATCH('2022'!$A40,LUJ_3!$A:$A,0),MATCH('2022'!$A$1,LUJ_3!$3:$3,0))</f>
        <v>0.39667683247449786</v>
      </c>
      <c r="V40" s="14">
        <f>INDEX(LUJ_4!$A:$J,MATCH('2022'!$A40,LUJ_4!$A:$A,0),MATCH('2022'!$A$1,LUJ_4!$3:$3,0))</f>
        <v>14</v>
      </c>
      <c r="W40" s="34">
        <f>INDEX(LUJ_5!$A:$J,MATCH('2022'!$A40,LUJ_5!$A:$A,0),MATCH('2022'!$A$1,LUJ_5!$3:$3,0))</f>
        <v>43.1</v>
      </c>
      <c r="X40" s="98">
        <f>1/INDEX(GUL_1!$A:$J,MATCH('2022'!$A40,GUL_1!$A:$A,0),MATCH('2022'!$A$1,GUL_1!$3:$3,0))</f>
        <v>1.3915947676036738E-2</v>
      </c>
      <c r="Y40" s="57" t="e">
        <f>INDEX(GUL_2!$A:$J,MATCH('2022'!$A40,GUL_2!$A:$A,0),MATCH('2022'!$A$1,GUL_2!$3:$3,0))</f>
        <v>#N/A</v>
      </c>
      <c r="Z40" s="57">
        <f>INDEX(GUL_3!$A:$J,MATCH('2022'!$A40,GUL_3!$A:$A,0),MATCH('2022'!$A$1,GUL_3!$3:$3,0))/(B40/1000)</f>
        <v>1.0180782765197303</v>
      </c>
      <c r="AA40" s="101">
        <f>INDEX(GUL_4!$A:$J,MATCH('2022'!$A40,GUL_4!$A:$A,0),MATCH('2022'!$A$1,GUL_4!$3:$3,0))/B40/C40*10^6</f>
        <v>0.24554290186102826</v>
      </c>
      <c r="AB40" s="73">
        <f>INDEX(GUL_5!$A:$J,MATCH('2022'!$A40,GUL_5!$A:$A,0),MATCH('2022'!$A$1,GUL_5!$3:$3,0))</f>
        <v>2.8704207425547669E-2</v>
      </c>
      <c r="AC40" s="49" t="e">
        <f>INDEX(GUL_6!$A:$J,MATCH('2022'!$A40,GUL_6!$A:$A,0),MATCH('2022'!$A$1,GUL_6!$3:$3,0))</f>
        <v>#N/A</v>
      </c>
      <c r="AD40" s="49" t="e">
        <f>INDEX(GUL_7!$A:$J,MATCH('2022'!$A40,GUL_7!$A:$A,0),MATCH('2022'!$A$1,GUL_7!$3:$3,0))</f>
        <v>#N/A</v>
      </c>
      <c r="AE40" s="103">
        <f>INDEX(GUL_8!$A:$J,MATCH('2022'!$A40,GUL_8!$A:$A,0),MATCH('2022'!$A$1,GUL_8!$3:$3,0))/(B40/1000)</f>
        <v>1.0388964998522578</v>
      </c>
      <c r="AF40" s="41">
        <f>INDEX(DES_1!$A:$J,MATCH('2022'!$A40,DES_1!$A:$A,0),MATCH('2022'!$A$1,DES_1!$3:$3,0))/(B40/1000)</f>
        <v>8.8645338061084697E-2</v>
      </c>
      <c r="AG40" s="100">
        <f>INDEX(DES_2!$A:$J,MATCH('2022'!$A40,DES_2!$A:$A,0),MATCH('2022'!$A$1,DES_2!$3:$3,0))/(B40/1000)</f>
        <v>0.22698578988368659</v>
      </c>
      <c r="AH40" s="57">
        <f>1/INDEX(DES_3!$A:$J,MATCH('2022'!$A40,DES_3!$A:$A,0),MATCH('2022'!$A$1,DES_3!$3:$3,0))</f>
        <v>6.1462814996926865E-3</v>
      </c>
      <c r="AI40" s="80" t="e">
        <f>INDEX(DES_4!$A:$J,MATCH('2022'!$A40,DES_4!$A:$A,0),MATCH('2022'!$A$1,DES_4!$3:$3,0))</f>
        <v>#N/A</v>
      </c>
      <c r="AJ40" s="110" t="e">
        <f>INDEX(DES_5!$A:$J,MATCH('2022'!$A40,DES_5!$A:$A,0),MATCH('2022'!$A$1,DES_5!$3:$3,0))</f>
        <v>#N/A</v>
      </c>
      <c r="AK40" s="57">
        <v>65</v>
      </c>
    </row>
    <row r="41" spans="1:37" x14ac:dyDescent="0.3">
      <c r="A41" s="29" t="s">
        <v>40</v>
      </c>
      <c r="B41" s="33">
        <f>INDEX(Population!$A:$J,MATCH('2022'!$A41,Population!$A:$A,0),MATCH('2022'!$A$1,Population!$3:$3,0))</f>
        <v>1072053</v>
      </c>
      <c r="C41" s="14">
        <f>INDEX(Income!$A:$J,MATCH('2022'!$A41,Income!$A:$A,0),MATCH('2022'!$A$1,Income!$3:$3,0))</f>
        <v>34982</v>
      </c>
      <c r="D41" s="34">
        <f>INDEX(Livable_wage!$A:$J,MATCH('2022'!$A41,Livable_wage!$A:$A,0),MATCH('2022'!$A$1,Livable_wage!$3:$3,0))</f>
        <v>13363</v>
      </c>
      <c r="E41" s="41">
        <f>INDEX(AVA_1!$A:$J,MATCH('2022'!$A41,AVA_1!$A:$A,0),MATCH('2022'!$A$1,AVA_1!$3:$3,0))</f>
        <v>0.33</v>
      </c>
      <c r="F41" s="15">
        <f>INDEX(AVA_2!$A:$J,MATCH('2022'!$A41,AVA_2!$A:$A,0),MATCH('2022'!$A$1,AVA_2!$3:$3,0))</f>
        <v>9.5843276936776484E-3</v>
      </c>
      <c r="G41" s="15">
        <f>INDEX(AVA_3!$A:$J,MATCH('2022'!$A41,AVA_3!$A:$A,0),MATCH('2022'!$A$1,AVA_3!$3:$3,0))</f>
        <v>2.4275593023286531E-2</v>
      </c>
      <c r="H41" s="87">
        <f>INDEX(AVA_4!$A:$J,MATCH('2022'!$A41,AVA_4!$A:$A,0),MATCH('2022'!$A$1,AVA_4!$3:$3,0))/(B41/1000)</f>
        <v>0.62123794252709519</v>
      </c>
      <c r="I41" s="89">
        <f>INDEX(AVA_5!$A:$J,MATCH('2022'!$A41,AVA_5!$A:$A,0),MATCH('2022'!$A$1,AVA_5!$3:$3,0))/(B41/1000)</f>
        <v>4.9111377888966308</v>
      </c>
      <c r="J41" s="93">
        <f>INDEX(IRA_1!$A:$J,MATCH('2022'!$A41,IRA_1!$A:$A,0),MATCH('2022'!$A$1,IRA_1!$3:$3,0))/(B41/1000)</f>
        <v>4.2908326360730296E-2</v>
      </c>
      <c r="K41" s="88">
        <f>INDEX(IRA_2!$A:$J,MATCH('2022'!$A41,IRA_2!$A:$A,0),MATCH('2022'!$A$1,IRA_2!$3:$3,0))/(B41/1000)</f>
        <v>0.12126266145423779</v>
      </c>
      <c r="L41" s="15">
        <f>INDEX(IRA_3!$A:$J,MATCH('2022'!$A41,IRA_3!$A:$A,0),MATCH('2022'!$A$1,IRA_3!$3:$3,0))</f>
        <v>0.42850905915738924</v>
      </c>
      <c r="M41" s="96">
        <f>INDEX(IRA_4!$A:$J,MATCH('2022'!$A41,IRA_4!$A:$A,0),MATCH('2022'!$A$1,IRA_4!$3:$3,0))/(B41/1000)</f>
        <v>4.4410117783355858</v>
      </c>
      <c r="N41" s="61">
        <f>INDEX(INV_1!$A:$J,MATCH('2022'!$A41,INV_1!$A:$A,0),MATCH('2022'!$A$1,INV_1!$3:$3,0))</f>
        <v>8.4432388515715981E-2</v>
      </c>
      <c r="O41" s="80">
        <f>INDEX(INV_2!$A:$J,MATCH('2022'!$A41,INV_2!$A:$A,0),MATCH('2022'!$A$1,INV_2!$3:$3,0))/B41*10^6/C41</f>
        <v>0.55058766523125136</v>
      </c>
      <c r="P41" s="87">
        <f>INDEX(INV_3!$A:$J,MATCH('2022'!$A41,INV_3!$A:$A,0),MATCH('2022'!$A$1,INV_3!$3:$3,0))/B41*10^6/C41</f>
        <v>5.1864728737016348</v>
      </c>
      <c r="Q41" s="87">
        <f>INDEX(INV_4!$A:$J,MATCH('2022'!$A41,INV_4!$A:$A,0),MATCH('2022'!$A$1,INV_4!$3:$3,0))/B41*10^3/C41</f>
        <v>0.23060176293553947</v>
      </c>
      <c r="R41" s="34">
        <f>INDEX(INV_5!$A:$J,MATCH('2022'!$A41,INV_5!$A:$A,0),MATCH('2022'!$A$1,INV_5!$3:$3,0))</f>
        <v>8.5099999999999995E-2</v>
      </c>
      <c r="S41" s="77">
        <f>INDEX(LUJ_1!$A:$J,MATCH('2022'!$A41,LUJ_1!$A:$A,0),MATCH('2022'!$A$1,LUJ_1!$3:$3,0))</f>
        <v>0.77612586605080836</v>
      </c>
      <c r="T41" s="73">
        <f>INDEX(LUJ_2!$A:$J,MATCH('2022'!$A41,LUJ_2!$A:$A,0),MATCH('2022'!$A$1,LUJ_2!$3:$3,0))</f>
        <v>0.20699999999999999</v>
      </c>
      <c r="U41" s="73">
        <f>INDEX(LUJ_3!$A:$J,MATCH('2022'!$A41,LUJ_3!$A:$A,0),MATCH('2022'!$A$1,LUJ_3!$3:$3,0))</f>
        <v>0.35713480860492064</v>
      </c>
      <c r="V41" s="14">
        <f>INDEX(LUJ_4!$A:$J,MATCH('2022'!$A41,LUJ_4!$A:$A,0),MATCH('2022'!$A$1,LUJ_4!$3:$3,0))</f>
        <v>28</v>
      </c>
      <c r="W41" s="34">
        <f>INDEX(LUJ_5!$A:$J,MATCH('2022'!$A41,LUJ_5!$A:$A,0),MATCH('2022'!$A$1,LUJ_5!$3:$3,0))</f>
        <v>24.6</v>
      </c>
      <c r="X41" s="98">
        <f>1/INDEX(GUL_1!$A:$J,MATCH('2022'!$A41,GUL_1!$A:$A,0),MATCH('2022'!$A$1,GUL_1!$3:$3,0))</f>
        <v>1.379690949227373E-2</v>
      </c>
      <c r="Y41" s="57" t="e">
        <f>INDEX(GUL_2!$A:$J,MATCH('2022'!$A41,GUL_2!$A:$A,0),MATCH('2022'!$A$1,GUL_2!$3:$3,0))</f>
        <v>#N/A</v>
      </c>
      <c r="Z41" s="57">
        <f>INDEX(GUL_3!$A:$J,MATCH('2022'!$A41,GUL_3!$A:$A,0),MATCH('2022'!$A$1,GUL_3!$3:$3,0))/(B41/1000)</f>
        <v>0.77048429508615701</v>
      </c>
      <c r="AA41" s="101">
        <f>INDEX(GUL_4!$A:$J,MATCH('2022'!$A41,GUL_4!$A:$A,0),MATCH('2022'!$A$1,GUL_4!$3:$3,0))/B41/C41*10^6</f>
        <v>0.35986851839402656</v>
      </c>
      <c r="AB41" s="73">
        <f>INDEX(GUL_5!$A:$J,MATCH('2022'!$A41,GUL_5!$A:$A,0),MATCH('2022'!$A$1,GUL_5!$3:$3,0))</f>
        <v>2.6737757564001829E-2</v>
      </c>
      <c r="AC41" s="49" t="e">
        <f>INDEX(GUL_6!$A:$J,MATCH('2022'!$A41,GUL_6!$A:$A,0),MATCH('2022'!$A$1,GUL_6!$3:$3,0))</f>
        <v>#N/A</v>
      </c>
      <c r="AD41" s="49" t="e">
        <f>INDEX(GUL_7!$A:$J,MATCH('2022'!$A41,GUL_7!$A:$A,0),MATCH('2022'!$A$1,GUL_7!$3:$3,0))</f>
        <v>#N/A</v>
      </c>
      <c r="AE41" s="103">
        <f>INDEX(GUL_8!$A:$J,MATCH('2022'!$A41,GUL_8!$A:$A,0),MATCH('2022'!$A$1,GUL_8!$3:$3,0))/(B41/1000)</f>
        <v>1.3301581171826391</v>
      </c>
      <c r="AF41" s="41">
        <f>INDEX(DES_1!$A:$J,MATCH('2022'!$A41,DES_1!$A:$A,0),MATCH('2022'!$A$1,DES_1!$3:$3,0))/(B41/1000)</f>
        <v>9.9808498273872642E-2</v>
      </c>
      <c r="AG41" s="100">
        <f>INDEX(DES_2!$A:$J,MATCH('2022'!$A41,DES_2!$A:$A,0),MATCH('2022'!$A$1,DES_2!$3:$3,0))/(B41/1000)</f>
        <v>0.31341734037402996</v>
      </c>
      <c r="AH41" s="57">
        <f>1/INDEX(DES_3!$A:$J,MATCH('2022'!$A41,DES_3!$A:$A,0),MATCH('2022'!$A$1,DES_3!$3:$3,0))</f>
        <v>8.3194675540765387E-3</v>
      </c>
      <c r="AI41" s="80" t="e">
        <f>INDEX(DES_4!$A:$J,MATCH('2022'!$A41,DES_4!$A:$A,0),MATCH('2022'!$A$1,DES_4!$3:$3,0))</f>
        <v>#N/A</v>
      </c>
      <c r="AJ41" s="110" t="e">
        <f>INDEX(DES_5!$A:$J,MATCH('2022'!$A41,DES_5!$A:$A,0),MATCH('2022'!$A$1,DES_5!$3:$3,0))</f>
        <v>#N/A</v>
      </c>
      <c r="AK41" s="57">
        <v>64</v>
      </c>
    </row>
    <row r="42" spans="1:37" x14ac:dyDescent="0.3">
      <c r="A42" s="29" t="s">
        <v>41</v>
      </c>
      <c r="B42" s="33">
        <f>INDEX(Population!$A:$J,MATCH('2022'!$A42,Population!$A:$A,0),MATCH('2022'!$A$1,Population!$3:$3,0))</f>
        <v>1186333</v>
      </c>
      <c r="C42" s="14">
        <f>INDEX(Income!$A:$J,MATCH('2022'!$A42,Income!$A:$A,0),MATCH('2022'!$A$1,Income!$3:$3,0))</f>
        <v>31001</v>
      </c>
      <c r="D42" s="34">
        <f>INDEX(Livable_wage!$A:$J,MATCH('2022'!$A42,Livable_wage!$A:$A,0),MATCH('2022'!$A$1,Livable_wage!$3:$3,0))</f>
        <v>12388</v>
      </c>
      <c r="E42" s="41">
        <f>INDEX(AVA_1!$A:$J,MATCH('2022'!$A42,AVA_1!$A:$A,0),MATCH('2022'!$A$1,AVA_1!$3:$3,0))</f>
        <v>0.34200000000000003</v>
      </c>
      <c r="F42" s="15">
        <f>INDEX(AVA_2!$A:$J,MATCH('2022'!$A42,AVA_2!$A:$A,0),MATCH('2022'!$A$1,AVA_2!$3:$3,0))</f>
        <v>1.2844101021725569E-2</v>
      </c>
      <c r="G42" s="15">
        <f>INDEX(AVA_3!$A:$J,MATCH('2022'!$A42,AVA_3!$A:$A,0),MATCH('2022'!$A$1,AVA_3!$3:$3,0))</f>
        <v>8.5093768525184091E-2</v>
      </c>
      <c r="H42" s="87">
        <f>INDEX(AVA_4!$A:$J,MATCH('2022'!$A42,AVA_4!$A:$A,0),MATCH('2022'!$A$1,AVA_4!$3:$3,0))/(B42/1000)</f>
        <v>0.65158770766724006</v>
      </c>
      <c r="I42" s="89">
        <f>INDEX(AVA_5!$A:$J,MATCH('2022'!$A42,AVA_5!$A:$A,0),MATCH('2022'!$A$1,AVA_5!$3:$3,0))/(B42/1000)</f>
        <v>3.0809224728638585</v>
      </c>
      <c r="J42" s="93">
        <f>INDEX(IRA_1!$A:$J,MATCH('2022'!$A42,IRA_1!$A:$A,0),MATCH('2022'!$A$1,IRA_1!$3:$3,0))/(B42/1000)</f>
        <v>6.6591757963404871E-2</v>
      </c>
      <c r="K42" s="88">
        <f>INDEX(IRA_2!$A:$J,MATCH('2022'!$A42,IRA_2!$A:$A,0),MATCH('2022'!$A$1,IRA_2!$3:$3,0))/(B42/1000)</f>
        <v>0.10620963928340524</v>
      </c>
      <c r="L42" s="15">
        <f>INDEX(IRA_3!$A:$J,MATCH('2022'!$A42,IRA_3!$A:$A,0),MATCH('2022'!$A$1,IRA_3!$3:$3,0))</f>
        <v>0.37382075471698117</v>
      </c>
      <c r="M42" s="96">
        <f>INDEX(IRA_4!$A:$J,MATCH('2022'!$A42,IRA_4!$A:$A,0),MATCH('2022'!$A$1,IRA_4!$3:$3,0))/(B42/1000)</f>
        <v>1.7507731808859737</v>
      </c>
      <c r="N42" s="61">
        <f>INDEX(INV_1!$A:$J,MATCH('2022'!$A42,INV_1!$A:$A,0),MATCH('2022'!$A$1,INV_1!$3:$3,0))</f>
        <v>6.6247096284719309E-2</v>
      </c>
      <c r="O42" s="80">
        <f>INDEX(INV_2!$A:$J,MATCH('2022'!$A42,INV_2!$A:$A,0),MATCH('2022'!$A$1,INV_2!$3:$3,0))/B42*10^6/C42</f>
        <v>0.47538633185534585</v>
      </c>
      <c r="P42" s="87">
        <f>INDEX(INV_3!$A:$J,MATCH('2022'!$A42,INV_3!$A:$A,0),MATCH('2022'!$A$1,INV_3!$3:$3,0))/B42*10^6/C42</f>
        <v>4.7057564021800156</v>
      </c>
      <c r="Q42" s="87">
        <f>INDEX(INV_4!$A:$J,MATCH('2022'!$A42,INV_4!$A:$A,0),MATCH('2022'!$A$1,INV_4!$3:$3,0))/B42*10^3/C42</f>
        <v>0.24133016783809513</v>
      </c>
      <c r="R42" s="34">
        <f>INDEX(INV_5!$A:$J,MATCH('2022'!$A42,INV_5!$A:$A,0),MATCH('2022'!$A$1,INV_5!$3:$3,0))</f>
        <v>7.0400000000000004E-2</v>
      </c>
      <c r="S42" s="77">
        <f>INDEX(LUJ_1!$A:$J,MATCH('2022'!$A42,LUJ_1!$A:$A,0),MATCH('2022'!$A$1,LUJ_1!$3:$3,0))</f>
        <v>0.67546870874042775</v>
      </c>
      <c r="T42" s="73">
        <f>INDEX(LUJ_2!$A:$J,MATCH('2022'!$A42,LUJ_2!$A:$A,0),MATCH('2022'!$A$1,LUJ_2!$3:$3,0))</f>
        <v>0.17300000000000001</v>
      </c>
      <c r="U42" s="73">
        <f>INDEX(LUJ_3!$A:$J,MATCH('2022'!$A42,LUJ_3!$A:$A,0),MATCH('2022'!$A$1,LUJ_3!$3:$3,0))</f>
        <v>0.38454726588443655</v>
      </c>
      <c r="V42" s="14">
        <f>INDEX(LUJ_4!$A:$J,MATCH('2022'!$A42,LUJ_4!$A:$A,0),MATCH('2022'!$A$1,LUJ_4!$3:$3,0))</f>
        <v>21</v>
      </c>
      <c r="W42" s="34">
        <f>INDEX(LUJ_5!$A:$J,MATCH('2022'!$A42,LUJ_5!$A:$A,0),MATCH('2022'!$A$1,LUJ_5!$3:$3,0))</f>
        <v>52.8</v>
      </c>
      <c r="X42" s="98">
        <f>1/INDEX(GUL_1!$A:$J,MATCH('2022'!$A42,GUL_1!$A:$A,0),MATCH('2022'!$A$1,GUL_1!$3:$3,0))</f>
        <v>1.4017381553125876E-2</v>
      </c>
      <c r="Y42" s="57" t="e">
        <f>INDEX(GUL_2!$A:$J,MATCH('2022'!$A42,GUL_2!$A:$A,0),MATCH('2022'!$A$1,GUL_2!$3:$3,0))</f>
        <v>#N/A</v>
      </c>
      <c r="Z42" s="57">
        <f>INDEX(GUL_3!$A:$J,MATCH('2022'!$A42,GUL_3!$A:$A,0),MATCH('2022'!$A$1,GUL_3!$3:$3,0))/(B42/1000)</f>
        <v>0.76201201517617734</v>
      </c>
      <c r="AA42" s="101">
        <f>INDEX(GUL_4!$A:$J,MATCH('2022'!$A42,GUL_4!$A:$A,0),MATCH('2022'!$A$1,GUL_4!$3:$3,0))/B42/C42*10^6</f>
        <v>0.25382333304511817</v>
      </c>
      <c r="AB42" s="73">
        <f>INDEX(GUL_5!$A:$J,MATCH('2022'!$A42,GUL_5!$A:$A,0),MATCH('2022'!$A$1,GUL_5!$3:$3,0))</f>
        <v>2.2797888409770307E-2</v>
      </c>
      <c r="AC42" s="49" t="e">
        <f>INDEX(GUL_6!$A:$J,MATCH('2022'!$A42,GUL_6!$A:$A,0),MATCH('2022'!$A$1,GUL_6!$3:$3,0))</f>
        <v>#N/A</v>
      </c>
      <c r="AD42" s="49" t="e">
        <f>INDEX(GUL_7!$A:$J,MATCH('2022'!$A42,GUL_7!$A:$A,0),MATCH('2022'!$A$1,GUL_7!$3:$3,0))</f>
        <v>#N/A</v>
      </c>
      <c r="AE42" s="103">
        <f>INDEX(GUL_8!$A:$J,MATCH('2022'!$A42,GUL_8!$A:$A,0),MATCH('2022'!$A$1,GUL_8!$3:$3,0))/(B42/1000)</f>
        <v>1.6765950201166113</v>
      </c>
      <c r="AF42" s="41">
        <f>INDEX(DES_1!$A:$J,MATCH('2022'!$A42,DES_1!$A:$A,0),MATCH('2022'!$A$1,DES_1!$3:$3,0))/(B42/1000)</f>
        <v>5.9005355157447356E-2</v>
      </c>
      <c r="AG42" s="100">
        <f>INDEX(DES_2!$A:$J,MATCH('2022'!$A42,DES_2!$A:$A,0),MATCH('2022'!$A$1,DES_2!$3:$3,0))/(B42/1000)</f>
        <v>0.35571799823489691</v>
      </c>
      <c r="AH42" s="57">
        <f>1/INDEX(DES_3!$A:$J,MATCH('2022'!$A42,DES_3!$A:$A,0),MATCH('2022'!$A$1,DES_3!$3:$3,0))</f>
        <v>8.3402835696413675E-3</v>
      </c>
      <c r="AI42" s="80" t="e">
        <f>INDEX(DES_4!$A:$J,MATCH('2022'!$A42,DES_4!$A:$A,0),MATCH('2022'!$A$1,DES_4!$3:$3,0))</f>
        <v>#N/A</v>
      </c>
      <c r="AJ42" s="110" t="e">
        <f>INDEX(DES_5!$A:$J,MATCH('2022'!$A42,DES_5!$A:$A,0),MATCH('2022'!$A$1,DES_5!$3:$3,0))</f>
        <v>#N/A</v>
      </c>
      <c r="AK42" s="57">
        <v>63</v>
      </c>
    </row>
    <row r="43" spans="1:37" x14ac:dyDescent="0.3">
      <c r="A43" s="29" t="s">
        <v>42</v>
      </c>
      <c r="B43" s="33">
        <f>INDEX(Population!$A:$J,MATCH('2022'!$A43,Population!$A:$A,0),MATCH('2022'!$A$1,Population!$3:$3,0))</f>
        <v>674336</v>
      </c>
      <c r="C43" s="14">
        <f>INDEX(Income!$A:$J,MATCH('2022'!$A43,Income!$A:$A,0),MATCH('2022'!$A$1,Income!$3:$3,0))</f>
        <v>25497</v>
      </c>
      <c r="D43" s="34">
        <f>INDEX(Livable_wage!$A:$J,MATCH('2022'!$A43,Livable_wage!$A:$A,0),MATCH('2022'!$A$1,Livable_wage!$3:$3,0))</f>
        <v>12250</v>
      </c>
      <c r="E43" s="41">
        <f>INDEX(AVA_1!$A:$J,MATCH('2022'!$A43,AVA_1!$A:$A,0),MATCH('2022'!$A$1,AVA_1!$3:$3,0))</f>
        <v>0.33600000000000002</v>
      </c>
      <c r="F43" s="15">
        <f>INDEX(AVA_2!$A:$J,MATCH('2022'!$A43,AVA_2!$A:$A,0),MATCH('2022'!$A$1,AVA_2!$3:$3,0))</f>
        <v>9.1748769877569459E-3</v>
      </c>
      <c r="G43" s="15">
        <f>INDEX(AVA_3!$A:$J,MATCH('2022'!$A43,AVA_3!$A:$A,0),MATCH('2022'!$A$1,AVA_3!$3:$3,0))</f>
        <v>5.8490595017023708E-3</v>
      </c>
      <c r="H43" s="87">
        <f>INDEX(AVA_4!$A:$J,MATCH('2022'!$A43,AVA_4!$A:$A,0),MATCH('2022'!$A$1,AVA_4!$3:$3,0))/(B43/1000)</f>
        <v>0.57686375931286482</v>
      </c>
      <c r="I43" s="89">
        <f>INDEX(AVA_5!$A:$J,MATCH('2022'!$A43,AVA_5!$A:$A,0),MATCH('2022'!$A$1,AVA_5!$3:$3,0))/(B43/1000)</f>
        <v>3.6687941916196078</v>
      </c>
      <c r="J43" s="93">
        <f>INDEX(IRA_1!$A:$J,MATCH('2022'!$A43,IRA_1!$A:$A,0),MATCH('2022'!$A$1,IRA_1!$3:$3,0))/(B43/1000)</f>
        <v>6.2283490722725765E-2</v>
      </c>
      <c r="K43" s="88">
        <f>INDEX(IRA_2!$A:$J,MATCH('2022'!$A43,IRA_2!$A:$A,0),MATCH('2022'!$A$1,IRA_2!$3:$3,0))/(B43/1000)</f>
        <v>0.13939638399848148</v>
      </c>
      <c r="L43" s="15">
        <f>INDEX(IRA_3!$A:$J,MATCH('2022'!$A43,IRA_3!$A:$A,0),MATCH('2022'!$A$1,IRA_3!$3:$3,0))</f>
        <v>0.43083387201034262</v>
      </c>
      <c r="M43" s="96">
        <f>INDEX(IRA_4!$A:$J,MATCH('2022'!$A43,IRA_4!$A:$A,0),MATCH('2022'!$A$1,IRA_4!$3:$3,0))/(B43/1000)</f>
        <v>3.7651853082143028</v>
      </c>
      <c r="N43" s="61">
        <f>INDEX(INV_1!$A:$J,MATCH('2022'!$A43,INV_1!$A:$A,0),MATCH('2022'!$A$1,INV_1!$3:$3,0))</f>
        <v>8.5741970417691868E-2</v>
      </c>
      <c r="O43" s="80">
        <f>INDEX(INV_2!$A:$J,MATCH('2022'!$A43,INV_2!$A:$A,0),MATCH('2022'!$A$1,INV_2!$3:$3,0))/B43*10^6/C43</f>
        <v>0.4804454667586347</v>
      </c>
      <c r="P43" s="87">
        <f>INDEX(INV_3!$A:$J,MATCH('2022'!$A43,INV_3!$A:$A,0),MATCH('2022'!$A$1,INV_3!$3:$3,0))/B43*10^6/C43</f>
        <v>5.1604250340045299</v>
      </c>
      <c r="Q43" s="87">
        <f>INDEX(INV_4!$A:$J,MATCH('2022'!$A43,INV_4!$A:$A,0),MATCH('2022'!$A$1,INV_4!$3:$3,0))/B43*10^3/C43</f>
        <v>0.26501903488315837</v>
      </c>
      <c r="R43" s="34">
        <f>INDEX(INV_5!$A:$J,MATCH('2022'!$A43,INV_5!$A:$A,0),MATCH('2022'!$A$1,INV_5!$3:$3,0))</f>
        <v>7.2800000000000004E-2</v>
      </c>
      <c r="S43" s="77">
        <f>INDEX(LUJ_1!$A:$J,MATCH('2022'!$A43,LUJ_1!$A:$A,0),MATCH('2022'!$A$1,LUJ_1!$3:$3,0))</f>
        <v>0.74558699915942839</v>
      </c>
      <c r="T43" s="73">
        <f>INDEX(LUJ_2!$A:$J,MATCH('2022'!$A43,LUJ_2!$A:$A,0),MATCH('2022'!$A$1,LUJ_2!$3:$3,0))</f>
        <v>0.25700000000000001</v>
      </c>
      <c r="U43" s="73">
        <f>INDEX(LUJ_3!$A:$J,MATCH('2022'!$A43,LUJ_3!$A:$A,0),MATCH('2022'!$A$1,LUJ_3!$3:$3,0))</f>
        <v>0.59257956743449969</v>
      </c>
      <c r="V43" s="14">
        <f>INDEX(LUJ_4!$A:$J,MATCH('2022'!$A43,LUJ_4!$A:$A,0),MATCH('2022'!$A$1,LUJ_4!$3:$3,0))</f>
        <v>8</v>
      </c>
      <c r="W43" s="34">
        <f>INDEX(LUJ_5!$A:$J,MATCH('2022'!$A43,LUJ_5!$A:$A,0),MATCH('2022'!$A$1,LUJ_5!$3:$3,0))</f>
        <v>31.3</v>
      </c>
      <c r="X43" s="98">
        <f>1/INDEX(GUL_1!$A:$J,MATCH('2022'!$A43,GUL_1!$A:$A,0),MATCH('2022'!$A$1,GUL_1!$3:$3,0))</f>
        <v>1.3908205841446452E-2</v>
      </c>
      <c r="Y43" s="57" t="e">
        <f>INDEX(GUL_2!$A:$J,MATCH('2022'!$A43,GUL_2!$A:$A,0),MATCH('2022'!$A$1,GUL_2!$3:$3,0))</f>
        <v>#N/A</v>
      </c>
      <c r="Z43" s="57">
        <f>INDEX(GUL_3!$A:$J,MATCH('2022'!$A43,GUL_3!$A:$A,0),MATCH('2022'!$A$1,GUL_3!$3:$3,0))/(B43/1000)</f>
        <v>1.1181369524984577</v>
      </c>
      <c r="AA43" s="101">
        <f>INDEX(GUL_4!$A:$J,MATCH('2022'!$A43,GUL_4!$A:$A,0),MATCH('2022'!$A$1,GUL_4!$3:$3,0))/B43/C43*10^6</f>
        <v>0.43840231921382222</v>
      </c>
      <c r="AB43" s="73">
        <f>INDEX(GUL_5!$A:$J,MATCH('2022'!$A43,GUL_5!$A:$A,0),MATCH('2022'!$A$1,GUL_5!$3:$3,0))</f>
        <v>2.4958715737737024E-2</v>
      </c>
      <c r="AC43" s="49" t="e">
        <f>INDEX(GUL_6!$A:$J,MATCH('2022'!$A43,GUL_6!$A:$A,0),MATCH('2022'!$A$1,GUL_6!$3:$3,0))</f>
        <v>#N/A</v>
      </c>
      <c r="AD43" s="49" t="e">
        <f>INDEX(GUL_7!$A:$J,MATCH('2022'!$A43,GUL_7!$A:$A,0),MATCH('2022'!$A$1,GUL_7!$3:$3,0))</f>
        <v>#N/A</v>
      </c>
      <c r="AE43" s="103">
        <f>INDEX(GUL_8!$A:$J,MATCH('2022'!$A43,GUL_8!$A:$A,0),MATCH('2022'!$A$1,GUL_8!$3:$3,0))/(B43/1000)</f>
        <v>1.7068642338537465</v>
      </c>
      <c r="AF43" s="41">
        <f>INDEX(DES_1!$A:$J,MATCH('2022'!$A43,DES_1!$A:$A,0),MATCH('2022'!$A$1,DES_1!$3:$3,0))/(B43/1000)</f>
        <v>0.1290158022113605</v>
      </c>
      <c r="AG43" s="100">
        <f>INDEX(DES_2!$A:$J,MATCH('2022'!$A43,DES_2!$A:$A,0),MATCH('2022'!$A$1,DES_2!$3:$3,0))/(B43/1000)</f>
        <v>0.16905518910454134</v>
      </c>
      <c r="AH43" s="57">
        <f>1/INDEX(DES_3!$A:$J,MATCH('2022'!$A43,DES_3!$A:$A,0),MATCH('2022'!$A$1,DES_3!$3:$3,0))</f>
        <v>7.6745970836531079E-3</v>
      </c>
      <c r="AI43" s="80" t="e">
        <f>INDEX(DES_4!$A:$J,MATCH('2022'!$A43,DES_4!$A:$A,0),MATCH('2022'!$A$1,DES_4!$3:$3,0))</f>
        <v>#N/A</v>
      </c>
      <c r="AJ43" s="110" t="e">
        <f>INDEX(DES_5!$A:$J,MATCH('2022'!$A43,DES_5!$A:$A,0),MATCH('2022'!$A$1,DES_5!$3:$3,0))</f>
        <v>#N/A</v>
      </c>
      <c r="AK43" s="57">
        <v>60</v>
      </c>
    </row>
    <row r="44" spans="1:37" x14ac:dyDescent="0.3">
      <c r="A44" s="29" t="s">
        <v>43</v>
      </c>
      <c r="B44" s="33">
        <f>INDEX(Population!$A:$J,MATCH('2022'!$A44,Population!$A:$A,0),MATCH('2022'!$A$1,Population!$3:$3,0))</f>
        <v>879971</v>
      </c>
      <c r="C44" s="14">
        <f>INDEX(Income!$A:$J,MATCH('2022'!$A44,Income!$A:$A,0),MATCH('2022'!$A$1,Income!$3:$3,0))</f>
        <v>35049</v>
      </c>
      <c r="D44" s="34">
        <f>INDEX(Livable_wage!$A:$J,MATCH('2022'!$A44,Livable_wage!$A:$A,0),MATCH('2022'!$A$1,Livable_wage!$3:$3,0))</f>
        <v>13363</v>
      </c>
      <c r="E44" s="41">
        <f>INDEX(AVA_1!$A:$J,MATCH('2022'!$A44,AVA_1!$A:$A,0),MATCH('2022'!$A$1,AVA_1!$3:$3,0))</f>
        <v>0.36499999999999999</v>
      </c>
      <c r="F44" s="15">
        <f>INDEX(AVA_2!$A:$J,MATCH('2022'!$A44,AVA_2!$A:$A,0),MATCH('2022'!$A$1,AVA_2!$3:$3,0))</f>
        <v>7.9107823460475811E-3</v>
      </c>
      <c r="G44" s="15">
        <f>INDEX(AVA_3!$A:$J,MATCH('2022'!$A44,AVA_3!$A:$A,0),MATCH('2022'!$A$1,AVA_3!$3:$3,0))</f>
        <v>2.1657731034928188E-2</v>
      </c>
      <c r="H44" s="87">
        <f>INDEX(AVA_4!$A:$J,MATCH('2022'!$A44,AVA_4!$A:$A,0),MATCH('2022'!$A$1,AVA_4!$3:$3,0))/(B44/1000)</f>
        <v>0.72047828848905249</v>
      </c>
      <c r="I44" s="89">
        <f>INDEX(AVA_5!$A:$J,MATCH('2022'!$A44,AVA_5!$A:$A,0),MATCH('2022'!$A$1,AVA_5!$3:$3,0))/(B44/1000)</f>
        <v>5.6104121613098616</v>
      </c>
      <c r="J44" s="93">
        <f>INDEX(IRA_1!$A:$J,MATCH('2022'!$A44,IRA_1!$A:$A,0),MATCH('2022'!$A$1,IRA_1!$3:$3,0))/(B44/1000)</f>
        <v>5.6820054297243884E-2</v>
      </c>
      <c r="K44" s="88">
        <f>INDEX(IRA_2!$A:$J,MATCH('2022'!$A44,IRA_2!$A:$A,0),MATCH('2022'!$A$1,IRA_2!$3:$3,0))/(B44/1000)</f>
        <v>0.12045851511015704</v>
      </c>
      <c r="L44" s="15">
        <f>INDEX(IRA_3!$A:$J,MATCH('2022'!$A44,IRA_3!$A:$A,0),MATCH('2022'!$A$1,IRA_3!$3:$3,0))</f>
        <v>0.39825374198146823</v>
      </c>
      <c r="M44" s="96">
        <f>INDEX(IRA_4!$A:$J,MATCH('2022'!$A44,IRA_4!$A:$A,0),MATCH('2022'!$A$1,IRA_4!$3:$3,0))/(B44/1000)</f>
        <v>4.9547087347196666</v>
      </c>
      <c r="N44" s="61">
        <f>INDEX(INV_1!$A:$J,MATCH('2022'!$A44,INV_1!$A:$A,0),MATCH('2022'!$A$1,INV_1!$3:$3,0))</f>
        <v>7.7469702438676083E-2</v>
      </c>
      <c r="O44" s="80">
        <f>INDEX(INV_2!$A:$J,MATCH('2022'!$A44,INV_2!$A:$A,0),MATCH('2022'!$A$1,INV_2!$3:$3,0))/B44*10^6/C44</f>
        <v>0.32971632459580108</v>
      </c>
      <c r="P44" s="87">
        <f>INDEX(INV_3!$A:$J,MATCH('2022'!$A44,INV_3!$A:$A,0),MATCH('2022'!$A$1,INV_3!$3:$3,0))/B44*10^6/C44</f>
        <v>4.1971196831120015</v>
      </c>
      <c r="Q44" s="87">
        <f>INDEX(INV_4!$A:$J,MATCH('2022'!$A44,INV_4!$A:$A,0),MATCH('2022'!$A$1,INV_4!$3:$3,0))/B44*10^3/C44</f>
        <v>0.22718045421424463</v>
      </c>
      <c r="R44" s="34">
        <f>INDEX(INV_5!$A:$J,MATCH('2022'!$A44,INV_5!$A:$A,0),MATCH('2022'!$A$1,INV_5!$3:$3,0))</f>
        <v>5.3499999999999999E-2</v>
      </c>
      <c r="S44" s="77">
        <f>INDEX(LUJ_1!$A:$J,MATCH('2022'!$A44,LUJ_1!$A:$A,0),MATCH('2022'!$A$1,LUJ_1!$3:$3,0))</f>
        <v>0.67933180478218147</v>
      </c>
      <c r="T44" s="73">
        <f>INDEX(LUJ_2!$A:$J,MATCH('2022'!$A44,LUJ_2!$A:$A,0),MATCH('2022'!$A$1,LUJ_2!$3:$3,0))</f>
        <v>0.23499999999999999</v>
      </c>
      <c r="U44" s="73">
        <f>INDEX(LUJ_3!$A:$J,MATCH('2022'!$A44,LUJ_3!$A:$A,0),MATCH('2022'!$A$1,LUJ_3!$3:$3,0))</f>
        <v>0.55871559633027523</v>
      </c>
      <c r="V44" s="14">
        <f>INDEX(LUJ_4!$A:$J,MATCH('2022'!$A44,LUJ_4!$A:$A,0),MATCH('2022'!$A$1,LUJ_4!$3:$3,0))</f>
        <v>17</v>
      </c>
      <c r="W44" s="34">
        <f>INDEX(LUJ_5!$A:$J,MATCH('2022'!$A44,LUJ_5!$A:$A,0),MATCH('2022'!$A$1,LUJ_5!$3:$3,0))</f>
        <v>25.3</v>
      </c>
      <c r="X44" s="98">
        <f>1/INDEX(GUL_1!$A:$J,MATCH('2022'!$A44,GUL_1!$A:$A,0),MATCH('2022'!$A$1,GUL_1!$3:$3,0))</f>
        <v>1.4214641080312724E-2</v>
      </c>
      <c r="Y44" s="57" t="e">
        <f>INDEX(GUL_2!$A:$J,MATCH('2022'!$A44,GUL_2!$A:$A,0),MATCH('2022'!$A$1,GUL_2!$3:$3,0))</f>
        <v>#N/A</v>
      </c>
      <c r="Z44" s="57">
        <f>INDEX(GUL_3!$A:$J,MATCH('2022'!$A44,GUL_3!$A:$A,0),MATCH('2022'!$A$1,GUL_3!$3:$3,0))/(B44/1000)</f>
        <v>0.81707238079436706</v>
      </c>
      <c r="AA44" s="101">
        <f>INDEX(GUL_4!$A:$J,MATCH('2022'!$A44,GUL_4!$A:$A,0),MATCH('2022'!$A$1,GUL_4!$3:$3,0))/B44/C44*10^6</f>
        <v>0.25147765878333378</v>
      </c>
      <c r="AB44" s="73">
        <f>INDEX(GUL_5!$A:$J,MATCH('2022'!$A44,GUL_5!$A:$A,0),MATCH('2022'!$A$1,GUL_5!$3:$3,0))</f>
        <v>1.4433630977573155E-2</v>
      </c>
      <c r="AC44" s="49" t="e">
        <f>INDEX(GUL_6!$A:$J,MATCH('2022'!$A44,GUL_6!$A:$A,0),MATCH('2022'!$A$1,GUL_6!$3:$3,0))</f>
        <v>#N/A</v>
      </c>
      <c r="AD44" s="49" t="e">
        <f>INDEX(GUL_7!$A:$J,MATCH('2022'!$A44,GUL_7!$A:$A,0),MATCH('2022'!$A$1,GUL_7!$3:$3,0))</f>
        <v>#N/A</v>
      </c>
      <c r="AE44" s="103">
        <f>INDEX(GUL_8!$A:$J,MATCH('2022'!$A44,GUL_8!$A:$A,0),MATCH('2022'!$A$1,GUL_8!$3:$3,0))/(B44/1000)</f>
        <v>1.9489278623954653</v>
      </c>
      <c r="AF44" s="41">
        <f>INDEX(DES_1!$A:$J,MATCH('2022'!$A44,DES_1!$A:$A,0),MATCH('2022'!$A$1,DES_1!$3:$3,0))/(B44/1000)</f>
        <v>5.0001647781574621E-2</v>
      </c>
      <c r="AG44" s="100">
        <f>INDEX(DES_2!$A:$J,MATCH('2022'!$A44,DES_2!$A:$A,0),MATCH('2022'!$A$1,DES_2!$3:$3,0))/(B44/1000)</f>
        <v>0.53638131256598232</v>
      </c>
      <c r="AH44" s="57">
        <f>1/INDEX(DES_3!$A:$J,MATCH('2022'!$A44,DES_3!$A:$A,0),MATCH('2022'!$A$1,DES_3!$3:$3,0))</f>
        <v>7.6161462300076152E-3</v>
      </c>
      <c r="AI44" s="80" t="e">
        <f>INDEX(DES_4!$A:$J,MATCH('2022'!$A44,DES_4!$A:$A,0),MATCH('2022'!$A$1,DES_4!$3:$3,0))</f>
        <v>#N/A</v>
      </c>
      <c r="AJ44" s="110" t="e">
        <f>INDEX(DES_5!$A:$J,MATCH('2022'!$A44,DES_5!$A:$A,0),MATCH('2022'!$A$1,DES_5!$3:$3,0))</f>
        <v>#N/A</v>
      </c>
      <c r="AK44" s="57">
        <v>58</v>
      </c>
    </row>
    <row r="45" spans="1:37" x14ac:dyDescent="0.3">
      <c r="A45" s="29" t="s">
        <v>44</v>
      </c>
      <c r="B45" s="33">
        <f>INDEX(Population!$A:$J,MATCH('2022'!$A45,Population!$A:$A,0),MATCH('2022'!$A$1,Population!$3:$3,0))</f>
        <v>2516751</v>
      </c>
      <c r="C45" s="14">
        <f>INDEX(Income!$A:$J,MATCH('2022'!$A45,Income!$A:$A,0),MATCH('2022'!$A$1,Income!$3:$3,0))</f>
        <v>37246</v>
      </c>
      <c r="D45" s="34">
        <f>INDEX(Livable_wage!$A:$J,MATCH('2022'!$A45,Livable_wage!$A:$A,0),MATCH('2022'!$A$1,Livable_wage!$3:$3,0))</f>
        <v>12806</v>
      </c>
      <c r="E45" s="41">
        <f>INDEX(AVA_1!$A:$J,MATCH('2022'!$A45,AVA_1!$A:$A,0),MATCH('2022'!$A$1,AVA_1!$3:$3,0))</f>
        <v>0.36699999999999999</v>
      </c>
      <c r="F45" s="15">
        <f>INDEX(AVA_2!$A:$J,MATCH('2022'!$A45,AVA_2!$A:$A,0),MATCH('2022'!$A$1,AVA_2!$3:$3,0))</f>
        <v>1.1047918092073112E-2</v>
      </c>
      <c r="G45" s="15">
        <f>INDEX(AVA_3!$A:$J,MATCH('2022'!$A45,AVA_3!$A:$A,0),MATCH('2022'!$A$1,AVA_3!$3:$3,0))</f>
        <v>3.4003122385146509E-2</v>
      </c>
      <c r="H45" s="87">
        <f>INDEX(AVA_4!$A:$J,MATCH('2022'!$A45,AVA_4!$A:$A,0),MATCH('2022'!$A$1,AVA_4!$3:$3,0))/(B45/1000)</f>
        <v>0.73586938080088171</v>
      </c>
      <c r="I45" s="89">
        <f>INDEX(AVA_5!$A:$J,MATCH('2022'!$A45,AVA_5!$A:$A,0),MATCH('2022'!$A$1,AVA_5!$3:$3,0))/(B45/1000)</f>
        <v>5.7896073151455978</v>
      </c>
      <c r="J45" s="93">
        <f>INDEX(IRA_1!$A:$J,MATCH('2022'!$A45,IRA_1!$A:$A,0),MATCH('2022'!$A$1,IRA_1!$3:$3,0))/(B45/1000)</f>
        <v>7.1520782151273596E-2</v>
      </c>
      <c r="K45" s="88">
        <f>INDEX(IRA_2!$A:$J,MATCH('2022'!$A45,IRA_2!$A:$A,0),MATCH('2022'!$A$1,IRA_2!$3:$3,0))/(B45/1000)</f>
        <v>0.18237799448574768</v>
      </c>
      <c r="L45" s="15">
        <f>INDEX(IRA_3!$A:$J,MATCH('2022'!$A45,IRA_3!$A:$A,0),MATCH('2022'!$A$1,IRA_3!$3:$3,0))</f>
        <v>0.35558089616313393</v>
      </c>
      <c r="M45" s="96">
        <f>INDEX(IRA_4!$A:$J,MATCH('2022'!$A45,IRA_4!$A:$A,0),MATCH('2022'!$A$1,IRA_4!$3:$3,0))/(B45/1000)</f>
        <v>3.6964324241849904</v>
      </c>
      <c r="N45" s="61">
        <f>INDEX(INV_1!$A:$J,MATCH('2022'!$A45,INV_1!$A:$A,0),MATCH('2022'!$A$1,INV_1!$3:$3,0))</f>
        <v>6.4557829115953674E-2</v>
      </c>
      <c r="O45" s="80">
        <f>INDEX(INV_2!$A:$J,MATCH('2022'!$A45,INV_2!$A:$A,0),MATCH('2022'!$A$1,INV_2!$3:$3,0))/B45*10^6/C45</f>
        <v>0.39431463527832139</v>
      </c>
      <c r="P45" s="87">
        <f>INDEX(INV_3!$A:$J,MATCH('2022'!$A45,INV_3!$A:$A,0),MATCH('2022'!$A$1,INV_3!$3:$3,0))/B45*10^6/C45</f>
        <v>4.8446905444060793</v>
      </c>
      <c r="Q45" s="87">
        <f>INDEX(INV_4!$A:$J,MATCH('2022'!$A45,INV_4!$A:$A,0),MATCH('2022'!$A$1,INV_4!$3:$3,0))/B45*10^3/C45</f>
        <v>0.22309595548804959</v>
      </c>
      <c r="R45" s="34">
        <f>INDEX(INV_5!$A:$J,MATCH('2022'!$A45,INV_5!$A:$A,0),MATCH('2022'!$A$1,INV_5!$3:$3,0))</f>
        <v>6.9500000000000006E-2</v>
      </c>
      <c r="S45" s="77">
        <f>INDEX(LUJ_1!$A:$J,MATCH('2022'!$A45,LUJ_1!$A:$A,0),MATCH('2022'!$A$1,LUJ_1!$3:$3,0))</f>
        <v>0.64341381001689468</v>
      </c>
      <c r="T45" s="73">
        <f>INDEX(LUJ_2!$A:$J,MATCH('2022'!$A45,LUJ_2!$A:$A,0),MATCH('2022'!$A$1,LUJ_2!$3:$3,0))</f>
        <v>0.29399999999999998</v>
      </c>
      <c r="U45" s="73">
        <f>INDEX(LUJ_3!$A:$J,MATCH('2022'!$A45,LUJ_3!$A:$A,0),MATCH('2022'!$A$1,LUJ_3!$3:$3,0))</f>
        <v>0.53770703377070339</v>
      </c>
      <c r="V45" s="14">
        <f>INDEX(LUJ_4!$A:$J,MATCH('2022'!$A45,LUJ_4!$A:$A,0),MATCH('2022'!$A$1,LUJ_4!$3:$3,0))</f>
        <v>115</v>
      </c>
      <c r="W45" s="34">
        <f>INDEX(LUJ_5!$A:$J,MATCH('2022'!$A45,LUJ_5!$A:$A,0),MATCH('2022'!$A$1,LUJ_5!$3:$3,0))</f>
        <v>63.5</v>
      </c>
      <c r="X45" s="98">
        <f>1/INDEX(GUL_1!$A:$J,MATCH('2022'!$A45,GUL_1!$A:$A,0),MATCH('2022'!$A$1,GUL_1!$3:$3,0))</f>
        <v>1.4104372355430182E-2</v>
      </c>
      <c r="Y45" s="57" t="e">
        <f>INDEX(GUL_2!$A:$J,MATCH('2022'!$A45,GUL_2!$A:$A,0),MATCH('2022'!$A$1,GUL_2!$3:$3,0))</f>
        <v>#N/A</v>
      </c>
      <c r="Z45" s="57">
        <f>INDEX(GUL_3!$A:$J,MATCH('2022'!$A45,GUL_3!$A:$A,0),MATCH('2022'!$A$1,GUL_3!$3:$3,0))/(B45/1000)</f>
        <v>0.78553659062815506</v>
      </c>
      <c r="AA45" s="101">
        <f>INDEX(GUL_4!$A:$J,MATCH('2022'!$A45,GUL_4!$A:$A,0),MATCH('2022'!$A$1,GUL_4!$3:$3,0))/B45/C45*10^6</f>
        <v>0.32229082593816721</v>
      </c>
      <c r="AB45" s="73">
        <f>INDEX(GUL_5!$A:$J,MATCH('2022'!$A45,GUL_5!$A:$A,0),MATCH('2022'!$A$1,GUL_5!$3:$3,0))</f>
        <v>3.7052905439894972E-2</v>
      </c>
      <c r="AC45" s="49" t="e">
        <f>INDEX(GUL_6!$A:$J,MATCH('2022'!$A45,GUL_6!$A:$A,0),MATCH('2022'!$A$1,GUL_6!$3:$3,0))</f>
        <v>#N/A</v>
      </c>
      <c r="AD45" s="49" t="e">
        <f>INDEX(GUL_7!$A:$J,MATCH('2022'!$A45,GUL_7!$A:$A,0),MATCH('2022'!$A$1,GUL_7!$3:$3,0))</f>
        <v>#N/A</v>
      </c>
      <c r="AE45" s="103">
        <f>INDEX(GUL_8!$A:$J,MATCH('2022'!$A45,GUL_8!$A:$A,0),MATCH('2022'!$A$1,GUL_8!$3:$3,0))/(B45/1000)</f>
        <v>2.2358191175845366</v>
      </c>
      <c r="AF45" s="41">
        <f>INDEX(DES_1!$A:$J,MATCH('2022'!$A45,DES_1!$A:$A,0),MATCH('2022'!$A$1,DES_1!$3:$3,0))/(B45/1000)</f>
        <v>0.24197864627847568</v>
      </c>
      <c r="AG45" s="100">
        <f>INDEX(DES_2!$A:$J,MATCH('2022'!$A45,DES_2!$A:$A,0),MATCH('2022'!$A$1,DES_2!$3:$3,0))/(B45/1000)</f>
        <v>0.40091371772575035</v>
      </c>
      <c r="AH45" s="57">
        <f>1/INDEX(DES_3!$A:$J,MATCH('2022'!$A45,DES_3!$A:$A,0),MATCH('2022'!$A$1,DES_3!$3:$3,0))</f>
        <v>8.6805555555555559E-3</v>
      </c>
      <c r="AI45" s="80" t="e">
        <f>INDEX(DES_4!$A:$J,MATCH('2022'!$A45,DES_4!$A:$A,0),MATCH('2022'!$A$1,DES_4!$3:$3,0))</f>
        <v>#N/A</v>
      </c>
      <c r="AJ45" s="110" t="e">
        <f>INDEX(DES_5!$A:$J,MATCH('2022'!$A45,DES_5!$A:$A,0),MATCH('2022'!$A$1,DES_5!$3:$3,0))</f>
        <v>#N/A</v>
      </c>
      <c r="AK45" s="57">
        <v>56</v>
      </c>
    </row>
    <row r="46" spans="1:37" x14ac:dyDescent="0.3">
      <c r="A46" s="29" t="s">
        <v>45</v>
      </c>
      <c r="B46" s="33">
        <f>INDEX(Population!$A:$J,MATCH('2022'!$A46,Population!$A:$A,0),MATCH('2022'!$A$1,Population!$3:$3,0))</f>
        <v>919420</v>
      </c>
      <c r="C46" s="14">
        <f>INDEX(Income!$A:$J,MATCH('2022'!$A46,Income!$A:$A,0),MATCH('2022'!$A$1,Income!$3:$3,0))</f>
        <v>34255</v>
      </c>
      <c r="D46" s="34">
        <f>INDEX(Livable_wage!$A:$J,MATCH('2022'!$A46,Livable_wage!$A:$A,0),MATCH('2022'!$A$1,Livable_wage!$3:$3,0))</f>
        <v>12806</v>
      </c>
      <c r="E46" s="41">
        <f>INDEX(AVA_1!$A:$J,MATCH('2022'!$A46,AVA_1!$A:$A,0),MATCH('2022'!$A$1,AVA_1!$3:$3,0))</f>
        <v>0.33500000000000002</v>
      </c>
      <c r="F46" s="15">
        <f>INDEX(AVA_2!$A:$J,MATCH('2022'!$A46,AVA_2!$A:$A,0),MATCH('2022'!$A$1,AVA_2!$3:$3,0))</f>
        <v>1.1068586190145417E-2</v>
      </c>
      <c r="G46" s="15">
        <f>INDEX(AVA_3!$A:$J,MATCH('2022'!$A46,AVA_3!$A:$A,0),MATCH('2022'!$A$1,AVA_3!$3:$3,0))</f>
        <v>1.1255967762388153E-2</v>
      </c>
      <c r="H46" s="87">
        <f>INDEX(AVA_4!$A:$J,MATCH('2022'!$A46,AVA_4!$A:$A,0),MATCH('2022'!$A$1,AVA_4!$3:$3,0))/(B46/1000)</f>
        <v>0.57753801309521224</v>
      </c>
      <c r="I46" s="89">
        <f>INDEX(AVA_5!$A:$J,MATCH('2022'!$A46,AVA_5!$A:$A,0),MATCH('2022'!$A$1,AVA_5!$3:$3,0))/(B46/1000)</f>
        <v>4.584411911857476</v>
      </c>
      <c r="J46" s="93">
        <f>INDEX(IRA_1!$A:$J,MATCH('2022'!$A46,IRA_1!$A:$A,0),MATCH('2022'!$A$1,IRA_1!$3:$3,0))/(B46/1000)</f>
        <v>4.1330403950316508E-2</v>
      </c>
      <c r="K46" s="88">
        <f>INDEX(IRA_2!$A:$J,MATCH('2022'!$A46,IRA_2!$A:$A,0),MATCH('2022'!$A$1,IRA_2!$3:$3,0))/(B46/1000)</f>
        <v>0.12181592743251181</v>
      </c>
      <c r="L46" s="15">
        <f>INDEX(IRA_3!$A:$J,MATCH('2022'!$A46,IRA_3!$A:$A,0),MATCH('2022'!$A$1,IRA_3!$3:$3,0))</f>
        <v>0.39255657377968955</v>
      </c>
      <c r="M46" s="96">
        <f>INDEX(IRA_4!$A:$J,MATCH('2022'!$A46,IRA_4!$A:$A,0),MATCH('2022'!$A$1,IRA_4!$3:$3,0))/(B46/1000)</f>
        <v>2.6853886145613539</v>
      </c>
      <c r="N46" s="61">
        <f>INDEX(INV_1!$A:$J,MATCH('2022'!$A46,INV_1!$A:$A,0),MATCH('2022'!$A$1,INV_1!$3:$3,0))</f>
        <v>8.0553418197583715E-2</v>
      </c>
      <c r="O46" s="80">
        <f>INDEX(INV_2!$A:$J,MATCH('2022'!$A46,INV_2!$A:$A,0),MATCH('2022'!$A$1,INV_2!$3:$3,0))/B46*10^6/C46</f>
        <v>0.64430329571544498</v>
      </c>
      <c r="P46" s="87">
        <f>INDEX(INV_3!$A:$J,MATCH('2022'!$A46,INV_3!$A:$A,0),MATCH('2022'!$A$1,INV_3!$3:$3,0))/B46*10^6/C46</f>
        <v>3.518080409390115</v>
      </c>
      <c r="Q46" s="87">
        <f>INDEX(INV_4!$A:$J,MATCH('2022'!$A46,INV_4!$A:$A,0),MATCH('2022'!$A$1,INV_4!$3:$3,0))/B46*10^3/C46</f>
        <v>0.19776346660843644</v>
      </c>
      <c r="R46" s="34">
        <f>INDEX(INV_5!$A:$J,MATCH('2022'!$A46,INV_5!$A:$A,0),MATCH('2022'!$A$1,INV_5!$3:$3,0))</f>
        <v>7.0999999999999994E-2</v>
      </c>
      <c r="S46" s="77">
        <f>INDEX(LUJ_1!$A:$J,MATCH('2022'!$A46,LUJ_1!$A:$A,0),MATCH('2022'!$A$1,LUJ_1!$3:$3,0))</f>
        <v>0.71143490655685782</v>
      </c>
      <c r="T46" s="73">
        <f>INDEX(LUJ_2!$A:$J,MATCH('2022'!$A46,LUJ_2!$A:$A,0),MATCH('2022'!$A$1,LUJ_2!$3:$3,0))</f>
        <v>0.23</v>
      </c>
      <c r="U46" s="73">
        <f>INDEX(LUJ_3!$A:$J,MATCH('2022'!$A46,LUJ_3!$A:$A,0),MATCH('2022'!$A$1,LUJ_3!$3:$3,0))</f>
        <v>0.32077940962629053</v>
      </c>
      <c r="V46" s="14">
        <f>INDEX(LUJ_4!$A:$J,MATCH('2022'!$A46,LUJ_4!$A:$A,0),MATCH('2022'!$A$1,LUJ_4!$3:$3,0))</f>
        <v>14</v>
      </c>
      <c r="W46" s="34">
        <f>INDEX(LUJ_5!$A:$J,MATCH('2022'!$A46,LUJ_5!$A:$A,0),MATCH('2022'!$A$1,LUJ_5!$3:$3,0))</f>
        <v>63.3</v>
      </c>
      <c r="X46" s="98">
        <f>1/INDEX(GUL_1!$A:$J,MATCH('2022'!$A46,GUL_1!$A:$A,0),MATCH('2022'!$A$1,GUL_1!$3:$3,0))</f>
        <v>1.4170327334561431E-2</v>
      </c>
      <c r="Y46" s="57" t="e">
        <f>INDEX(GUL_2!$A:$J,MATCH('2022'!$A46,GUL_2!$A:$A,0),MATCH('2022'!$A$1,GUL_2!$3:$3,0))</f>
        <v>#N/A</v>
      </c>
      <c r="Z46" s="57">
        <f>INDEX(GUL_3!$A:$J,MATCH('2022'!$A46,GUL_3!$A:$A,0),MATCH('2022'!$A$1,GUL_3!$3:$3,0))/(B46/1000)</f>
        <v>1.038698309804007</v>
      </c>
      <c r="AA46" s="101">
        <f>INDEX(GUL_4!$A:$J,MATCH('2022'!$A46,GUL_4!$A:$A,0),MATCH('2022'!$A$1,GUL_4!$3:$3,0))/B46/C46*10^6</f>
        <v>0.24752075919388433</v>
      </c>
      <c r="AB46" s="73">
        <f>INDEX(GUL_5!$A:$J,MATCH('2022'!$A46,GUL_5!$A:$A,0),MATCH('2022'!$A$1,GUL_5!$3:$3,0))</f>
        <v>4.8845048282798641E-2</v>
      </c>
      <c r="AC46" s="49" t="e">
        <f>INDEX(GUL_6!$A:$J,MATCH('2022'!$A46,GUL_6!$A:$A,0),MATCH('2022'!$A$1,GUL_6!$3:$3,0))</f>
        <v>#N/A</v>
      </c>
      <c r="AD46" s="49" t="e">
        <f>INDEX(GUL_7!$A:$J,MATCH('2022'!$A46,GUL_7!$A:$A,0),MATCH('2022'!$A$1,GUL_7!$3:$3,0))</f>
        <v>#N/A</v>
      </c>
      <c r="AE46" s="103">
        <f>INDEX(GUL_8!$A:$J,MATCH('2022'!$A46,GUL_8!$A:$A,0),MATCH('2022'!$A$1,GUL_8!$3:$3,0))/(B46/1000)</f>
        <v>1.9838593896151924</v>
      </c>
      <c r="AF46" s="41">
        <f>INDEX(DES_1!$A:$J,MATCH('2022'!$A46,DES_1!$A:$A,0),MATCH('2022'!$A$1,DES_1!$3:$3,0))/(B46/1000)</f>
        <v>0.14465641382610778</v>
      </c>
      <c r="AG46" s="100">
        <f>INDEX(DES_2!$A:$J,MATCH('2022'!$A46,DES_2!$A:$A,0),MATCH('2022'!$A$1,DES_2!$3:$3,0))/(B46/1000)</f>
        <v>0.40133997520175763</v>
      </c>
      <c r="AH46" s="57">
        <f>1/INDEX(DES_3!$A:$J,MATCH('2022'!$A46,DES_3!$A:$A,0),MATCH('2022'!$A$1,DES_3!$3:$3,0))</f>
        <v>9.5602294455066923E-3</v>
      </c>
      <c r="AI46" s="80" t="e">
        <f>INDEX(DES_4!$A:$J,MATCH('2022'!$A46,DES_4!$A:$A,0),MATCH('2022'!$A$1,DES_4!$3:$3,0))</f>
        <v>#N/A</v>
      </c>
      <c r="AJ46" s="110" t="e">
        <f>INDEX(DES_5!$A:$J,MATCH('2022'!$A46,DES_5!$A:$A,0),MATCH('2022'!$A$1,DES_5!$3:$3,0))</f>
        <v>#N/A</v>
      </c>
      <c r="AK46" s="57">
        <v>57</v>
      </c>
    </row>
    <row r="47" spans="1:37" x14ac:dyDescent="0.3">
      <c r="A47" s="29" t="s">
        <v>46</v>
      </c>
      <c r="B47" s="33">
        <f>INDEX(Population!$A:$J,MATCH('2022'!$A47,Population!$A:$A,0),MATCH('2022'!$A$1,Population!$3:$3,0))</f>
        <v>1178543</v>
      </c>
      <c r="C47" s="14">
        <f>INDEX(Income!$A:$J,MATCH('2022'!$A47,Income!$A:$A,0),MATCH('2022'!$A$1,Income!$3:$3,0))</f>
        <v>27206</v>
      </c>
      <c r="D47" s="34">
        <f>INDEX(Livable_wage!$A:$J,MATCH('2022'!$A47,Livable_wage!$A:$A,0),MATCH('2022'!$A$1,Livable_wage!$3:$3,0))</f>
        <v>11832</v>
      </c>
      <c r="E47" s="41">
        <f>INDEX(AVA_1!$A:$J,MATCH('2022'!$A47,AVA_1!$A:$A,0),MATCH('2022'!$A$1,AVA_1!$3:$3,0))</f>
        <v>0.33600000000000002</v>
      </c>
      <c r="F47" s="15">
        <f>INDEX(AVA_2!$A:$J,MATCH('2022'!$A47,AVA_2!$A:$A,0),MATCH('2022'!$A$1,AVA_2!$3:$3,0))</f>
        <v>1.3549436085374351E-2</v>
      </c>
      <c r="G47" s="15">
        <f>INDEX(AVA_3!$A:$J,MATCH('2022'!$A47,AVA_3!$A:$A,0),MATCH('2022'!$A$1,AVA_3!$3:$3,0))</f>
        <v>1.7171126583507258E-2</v>
      </c>
      <c r="H47" s="87">
        <f>INDEX(AVA_4!$A:$J,MATCH('2022'!$A47,AVA_4!$A:$A,0),MATCH('2022'!$A$1,AVA_4!$3:$3,0))/(B47/1000)</f>
        <v>0.80014051248024054</v>
      </c>
      <c r="I47" s="89">
        <f>INDEX(AVA_5!$A:$J,MATCH('2022'!$A47,AVA_5!$A:$A,0),MATCH('2022'!$A$1,AVA_5!$3:$3,0))/(B47/1000)</f>
        <v>2.4055125693334909</v>
      </c>
      <c r="J47" s="93">
        <f>INDEX(IRA_1!$A:$J,MATCH('2022'!$A47,IRA_1!$A:$A,0),MATCH('2022'!$A$1,IRA_1!$3:$3,0))/(B47/1000)</f>
        <v>3.0546191356615755E-2</v>
      </c>
      <c r="K47" s="88">
        <f>INDEX(IRA_2!$A:$J,MATCH('2022'!$A47,IRA_2!$A:$A,0),MATCH('2022'!$A$1,IRA_2!$3:$3,0))/(B47/1000)</f>
        <v>8.9093058123462618E-2</v>
      </c>
      <c r="L47" s="15">
        <f>INDEX(IRA_3!$A:$J,MATCH('2022'!$A47,IRA_3!$A:$A,0),MATCH('2022'!$A$1,IRA_3!$3:$3,0))</f>
        <v>0.38891858186353112</v>
      </c>
      <c r="M47" s="96">
        <f>INDEX(IRA_4!$A:$J,MATCH('2022'!$A47,IRA_4!$A:$A,0),MATCH('2022'!$A$1,IRA_4!$3:$3,0))/(B47/1000)</f>
        <v>2.806007078231342</v>
      </c>
      <c r="N47" s="61">
        <f>INDEX(INV_1!$A:$J,MATCH('2022'!$A47,INV_1!$A:$A,0),MATCH('2022'!$A$1,INV_1!$3:$3,0))</f>
        <v>7.9428577274059539E-2</v>
      </c>
      <c r="O47" s="80">
        <f>INDEX(INV_2!$A:$J,MATCH('2022'!$A47,INV_2!$A:$A,0),MATCH('2022'!$A$1,INV_2!$3:$3,0))/B47*10^6/C47</f>
        <v>0.54559404192691463</v>
      </c>
      <c r="P47" s="87">
        <f>INDEX(INV_3!$A:$J,MATCH('2022'!$A47,INV_3!$A:$A,0),MATCH('2022'!$A$1,INV_3!$3:$3,0))/B47*10^6/C47</f>
        <v>5.974093699061223</v>
      </c>
      <c r="Q47" s="87">
        <f>INDEX(INV_4!$A:$J,MATCH('2022'!$A47,INV_4!$A:$A,0),MATCH('2022'!$A$1,INV_4!$3:$3,0))/B47*10^3/C47</f>
        <v>0.26180471825142754</v>
      </c>
      <c r="R47" s="34">
        <f>INDEX(INV_5!$A:$J,MATCH('2022'!$A47,INV_5!$A:$A,0),MATCH('2022'!$A$1,INV_5!$3:$3,0))</f>
        <v>7.4300000000000005E-2</v>
      </c>
      <c r="S47" s="77">
        <f>INDEX(LUJ_1!$A:$J,MATCH('2022'!$A47,LUJ_1!$A:$A,0),MATCH('2022'!$A$1,LUJ_1!$3:$3,0))</f>
        <v>0.71247187399549983</v>
      </c>
      <c r="T47" s="73">
        <f>INDEX(LUJ_2!$A:$J,MATCH('2022'!$A47,LUJ_2!$A:$A,0),MATCH('2022'!$A$1,LUJ_2!$3:$3,0))</f>
        <v>0.20600000000000002</v>
      </c>
      <c r="U47" s="73">
        <f>INDEX(LUJ_3!$A:$J,MATCH('2022'!$A47,LUJ_3!$A:$A,0),MATCH('2022'!$A$1,LUJ_3!$3:$3,0))</f>
        <v>0.51527063804052009</v>
      </c>
      <c r="V47" s="14">
        <f>INDEX(LUJ_4!$A:$J,MATCH('2022'!$A47,LUJ_4!$A:$A,0),MATCH('2022'!$A$1,LUJ_4!$3:$3,0))</f>
        <v>30</v>
      </c>
      <c r="W47" s="34">
        <f>INDEX(LUJ_5!$A:$J,MATCH('2022'!$A47,LUJ_5!$A:$A,0),MATCH('2022'!$A$1,LUJ_5!$3:$3,0))</f>
        <v>27.2</v>
      </c>
      <c r="X47" s="98">
        <f>1/INDEX(GUL_1!$A:$J,MATCH('2022'!$A47,GUL_1!$A:$A,0),MATCH('2022'!$A$1,GUL_1!$3:$3,0))</f>
        <v>1.3795006207752794E-2</v>
      </c>
      <c r="Y47" s="57" t="e">
        <f>INDEX(GUL_2!$A:$J,MATCH('2022'!$A47,GUL_2!$A:$A,0),MATCH('2022'!$A$1,GUL_2!$3:$3,0))</f>
        <v>#N/A</v>
      </c>
      <c r="Z47" s="57">
        <f>INDEX(GUL_3!$A:$J,MATCH('2022'!$A47,GUL_3!$A:$A,0),MATCH('2022'!$A$1,GUL_3!$3:$3,0))/(B47/1000)</f>
        <v>0.7509272041834707</v>
      </c>
      <c r="AA47" s="101">
        <f>INDEX(GUL_4!$A:$J,MATCH('2022'!$A47,GUL_4!$A:$A,0),MATCH('2022'!$A$1,GUL_4!$3:$3,0))/B47/C47*10^6</f>
        <v>0.42095294949083356</v>
      </c>
      <c r="AB47" s="73">
        <f>INDEX(GUL_5!$A:$J,MATCH('2022'!$A47,GUL_5!$A:$A,0),MATCH('2022'!$A$1,GUL_5!$3:$3,0))</f>
        <v>2.4272923468179778E-2</v>
      </c>
      <c r="AC47" s="49" t="e">
        <f>INDEX(GUL_6!$A:$J,MATCH('2022'!$A47,GUL_6!$A:$A,0),MATCH('2022'!$A$1,GUL_6!$3:$3,0))</f>
        <v>#N/A</v>
      </c>
      <c r="AD47" s="49" t="e">
        <f>INDEX(GUL_7!$A:$J,MATCH('2022'!$A47,GUL_7!$A:$A,0),MATCH('2022'!$A$1,GUL_7!$3:$3,0))</f>
        <v>#N/A</v>
      </c>
      <c r="AE47" s="103">
        <f>INDEX(GUL_8!$A:$J,MATCH('2022'!$A47,GUL_8!$A:$A,0),MATCH('2022'!$A$1,GUL_8!$3:$3,0))/(B47/1000)</f>
        <v>1.7088897053395593</v>
      </c>
      <c r="AF47" s="41">
        <f>INDEX(DES_1!$A:$J,MATCH('2022'!$A47,DES_1!$A:$A,0),MATCH('2022'!$A$1,DES_1!$3:$3,0))/(B47/1000)</f>
        <v>4.4970781719462088E-2</v>
      </c>
      <c r="AG47" s="100">
        <f>INDEX(DES_2!$A:$J,MATCH('2022'!$A47,DES_2!$A:$A,0),MATCH('2022'!$A$1,DES_2!$3:$3,0))/(B47/1000)</f>
        <v>0.20533828634169482</v>
      </c>
      <c r="AH47" s="57">
        <f>1/INDEX(DES_3!$A:$J,MATCH('2022'!$A47,DES_3!$A:$A,0),MATCH('2022'!$A$1,DES_3!$3:$3,0))</f>
        <v>7.2727272727272727E-3</v>
      </c>
      <c r="AI47" s="80" t="e">
        <f>INDEX(DES_4!$A:$J,MATCH('2022'!$A47,DES_4!$A:$A,0),MATCH('2022'!$A$1,DES_4!$3:$3,0))</f>
        <v>#N/A</v>
      </c>
      <c r="AJ47" s="110" t="e">
        <f>INDEX(DES_5!$A:$J,MATCH('2022'!$A47,DES_5!$A:$A,0),MATCH('2022'!$A$1,DES_5!$3:$3,0))</f>
        <v>#N/A</v>
      </c>
      <c r="AK47" s="57">
        <v>49</v>
      </c>
    </row>
    <row r="48" spans="1:37" x14ac:dyDescent="0.3">
      <c r="A48" s="29" t="s">
        <v>47</v>
      </c>
      <c r="B48" s="33">
        <f>INDEX(Population!$A:$J,MATCH('2022'!$A48,Population!$A:$A,0),MATCH('2022'!$A$1,Population!$3:$3,0))</f>
        <v>683071</v>
      </c>
      <c r="C48" s="14">
        <f>INDEX(Income!$A:$J,MATCH('2022'!$A48,Income!$A:$A,0),MATCH('2022'!$A$1,Income!$3:$3,0))</f>
        <v>29170</v>
      </c>
      <c r="D48" s="34">
        <f>INDEX(Livable_wage!$A:$J,MATCH('2022'!$A48,Livable_wage!$A:$A,0),MATCH('2022'!$A$1,Livable_wage!$3:$3,0))</f>
        <v>12528</v>
      </c>
      <c r="E48" s="41">
        <f>INDEX(AVA_1!$A:$J,MATCH('2022'!$A48,AVA_1!$A:$A,0),MATCH('2022'!$A$1,AVA_1!$3:$3,0))</f>
        <v>0.34499999999999997</v>
      </c>
      <c r="F48" s="15">
        <f>INDEX(AVA_2!$A:$J,MATCH('2022'!$A48,AVA_2!$A:$A,0),MATCH('2022'!$A$1,AVA_2!$3:$3,0))</f>
        <v>8.1679944569189328E-3</v>
      </c>
      <c r="G48" s="15">
        <f>INDEX(AVA_3!$A:$J,MATCH('2022'!$A48,AVA_3!$A:$A,0),MATCH('2022'!$A$1,AVA_3!$3:$3,0))</f>
        <v>6.9659900018889352E-3</v>
      </c>
      <c r="H48" s="87">
        <f>INDEX(AVA_4!$A:$J,MATCH('2022'!$A48,AVA_4!$A:$A,0),MATCH('2022'!$A$1,AVA_4!$3:$3,0))/(B48/1000)</f>
        <v>1.0979824937671194</v>
      </c>
      <c r="I48" s="89">
        <f>INDEX(AVA_5!$A:$J,MATCH('2022'!$A48,AVA_5!$A:$A,0),MATCH('2022'!$A$1,AVA_5!$3:$3,0))/(B48/1000)</f>
        <v>2.1213021779580745</v>
      </c>
      <c r="J48" s="93">
        <f>INDEX(IRA_1!$A:$J,MATCH('2022'!$A48,IRA_1!$A:$A,0),MATCH('2022'!$A$1,IRA_1!$3:$3,0))/(B48/1000)</f>
        <v>2.0495673216986227E-2</v>
      </c>
      <c r="K48" s="88">
        <f>INDEX(IRA_2!$A:$J,MATCH('2022'!$A48,IRA_2!$A:$A,0),MATCH('2022'!$A$1,IRA_2!$3:$3,0))/(B48/1000)</f>
        <v>8.0518716209588753E-2</v>
      </c>
      <c r="L48" s="15">
        <f>INDEX(IRA_3!$A:$J,MATCH('2022'!$A48,IRA_3!$A:$A,0),MATCH('2022'!$A$1,IRA_3!$3:$3,0))</f>
        <v>0.41115702479338845</v>
      </c>
      <c r="M48" s="96">
        <f>INDEX(IRA_4!$A:$J,MATCH('2022'!$A48,IRA_4!$A:$A,0),MATCH('2022'!$A$1,IRA_4!$3:$3,0))/(B48/1000)</f>
        <v>3.3876419874361523</v>
      </c>
      <c r="N48" s="61">
        <f>INDEX(INV_1!$A:$J,MATCH('2022'!$A48,INV_1!$A:$A,0),MATCH('2022'!$A$1,INV_1!$3:$3,0))</f>
        <v>9.9167609027344034E-2</v>
      </c>
      <c r="O48" s="80">
        <f>INDEX(INV_2!$A:$J,MATCH('2022'!$A48,INV_2!$A:$A,0),MATCH('2022'!$A$1,INV_2!$3:$3,0))/B48*10^6/C48</f>
        <v>0.34254466325788074</v>
      </c>
      <c r="P48" s="87">
        <f>INDEX(INV_3!$A:$J,MATCH('2022'!$A48,INV_3!$A:$A,0),MATCH('2022'!$A$1,INV_3!$3:$3,0))/B48*10^6/C48</f>
        <v>4.1283941014644938</v>
      </c>
      <c r="Q48" s="87">
        <f>INDEX(INV_4!$A:$J,MATCH('2022'!$A48,INV_4!$A:$A,0),MATCH('2022'!$A$1,INV_4!$3:$3,0))/B48*10^3/C48</f>
        <v>0.30741124401736736</v>
      </c>
      <c r="R48" s="34">
        <f>INDEX(INV_5!$A:$J,MATCH('2022'!$A48,INV_5!$A:$A,0),MATCH('2022'!$A$1,INV_5!$3:$3,0))</f>
        <v>0.1893</v>
      </c>
      <c r="S48" s="77">
        <f>INDEX(LUJ_1!$A:$J,MATCH('2022'!$A48,LUJ_1!$A:$A,0),MATCH('2022'!$A$1,LUJ_1!$3:$3,0))</f>
        <v>1.3810198300283285</v>
      </c>
      <c r="T48" s="73">
        <f>INDEX(LUJ_2!$A:$J,MATCH('2022'!$A48,LUJ_2!$A:$A,0),MATCH('2022'!$A$1,LUJ_2!$3:$3,0))</f>
        <v>0.32</v>
      </c>
      <c r="U48" s="73">
        <f>INDEX(LUJ_3!$A:$J,MATCH('2022'!$A48,LUJ_3!$A:$A,0),MATCH('2022'!$A$1,LUJ_3!$3:$3,0))</f>
        <v>0.23058477526658031</v>
      </c>
      <c r="V48" s="14">
        <f>INDEX(LUJ_4!$A:$J,MATCH('2022'!$A48,LUJ_4!$A:$A,0),MATCH('2022'!$A$1,LUJ_4!$3:$3,0))</f>
        <v>4</v>
      </c>
      <c r="W48" s="34">
        <f>INDEX(LUJ_5!$A:$J,MATCH('2022'!$A48,LUJ_5!$A:$A,0),MATCH('2022'!$A$1,LUJ_5!$3:$3,0))</f>
        <v>21.6</v>
      </c>
      <c r="X48" s="98">
        <f>1/INDEX(GUL_1!$A:$J,MATCH('2022'!$A48,GUL_1!$A:$A,0),MATCH('2022'!$A$1,GUL_1!$3:$3,0))</f>
        <v>1.3386880856760375E-2</v>
      </c>
      <c r="Y48" s="57" t="e">
        <f>INDEX(GUL_2!$A:$J,MATCH('2022'!$A48,GUL_2!$A:$A,0),MATCH('2022'!$A$1,GUL_2!$3:$3,0))</f>
        <v>#N/A</v>
      </c>
      <c r="Z48" s="57">
        <f>INDEX(GUL_3!$A:$J,MATCH('2022'!$A48,GUL_3!$A:$A,0),MATCH('2022'!$A$1,GUL_3!$3:$3,0))/(B48/1000)</f>
        <v>0.65146961296849082</v>
      </c>
      <c r="AA48" s="101">
        <f>INDEX(GUL_4!$A:$J,MATCH('2022'!$A48,GUL_4!$A:$A,0),MATCH('2022'!$A$1,GUL_4!$3:$3,0))/B48/C48*10^6</f>
        <v>0.30086000116836076</v>
      </c>
      <c r="AB48" s="73">
        <f>INDEX(GUL_5!$A:$J,MATCH('2022'!$A48,GUL_5!$A:$A,0),MATCH('2022'!$A$1,GUL_5!$3:$3,0))</f>
        <v>1.0384460405803682E-2</v>
      </c>
      <c r="AC48" s="49" t="e">
        <f>INDEX(GUL_6!$A:$J,MATCH('2022'!$A48,GUL_6!$A:$A,0),MATCH('2022'!$A$1,GUL_6!$3:$3,0))</f>
        <v>#N/A</v>
      </c>
      <c r="AD48" s="49" t="e">
        <f>INDEX(GUL_7!$A:$J,MATCH('2022'!$A48,GUL_7!$A:$A,0),MATCH('2022'!$A$1,GUL_7!$3:$3,0))</f>
        <v>#N/A</v>
      </c>
      <c r="AE48" s="103">
        <f>INDEX(GUL_8!$A:$J,MATCH('2022'!$A48,GUL_8!$A:$A,0),MATCH('2022'!$A$1,GUL_8!$3:$3,0))/(B48/1000)</f>
        <v>0.652933589626847</v>
      </c>
      <c r="AF48" s="41">
        <f>INDEX(DES_1!$A:$J,MATCH('2022'!$A48,DES_1!$A:$A,0),MATCH('2022'!$A$1,DES_1!$3:$3,0))/(B48/1000)</f>
        <v>2.9279533167123183E-3</v>
      </c>
      <c r="AG48" s="100">
        <f>INDEX(DES_2!$A:$J,MATCH('2022'!$A48,DES_2!$A:$A,0),MATCH('2022'!$A$1,DES_2!$3:$3,0))/(B48/1000)</f>
        <v>1.2048527898271189</v>
      </c>
      <c r="AH48" s="57">
        <f>1/INDEX(DES_3!$A:$J,MATCH('2022'!$A48,DES_3!$A:$A,0),MATCH('2022'!$A$1,DES_3!$3:$3,0))</f>
        <v>8.3612040133779261E-3</v>
      </c>
      <c r="AI48" s="80" t="e">
        <f>INDEX(DES_4!$A:$J,MATCH('2022'!$A48,DES_4!$A:$A,0),MATCH('2022'!$A$1,DES_4!$3:$3,0))</f>
        <v>#N/A</v>
      </c>
      <c r="AJ48" s="110" t="e">
        <f>INDEX(DES_5!$A:$J,MATCH('2022'!$A48,DES_5!$A:$A,0),MATCH('2022'!$A$1,DES_5!$3:$3,0))</f>
        <v>#N/A</v>
      </c>
      <c r="AK48" s="57">
        <v>35</v>
      </c>
    </row>
    <row r="49" spans="1:37" x14ac:dyDescent="0.3">
      <c r="A49" s="29" t="s">
        <v>48</v>
      </c>
      <c r="B49" s="33">
        <f>INDEX(Population!$A:$J,MATCH('2022'!$A49,Population!$A:$A,0),MATCH('2022'!$A$1,Population!$3:$3,0))</f>
        <v>1158570</v>
      </c>
      <c r="C49" s="14">
        <f>INDEX(Income!$A:$J,MATCH('2022'!$A49,Income!$A:$A,0),MATCH('2022'!$A$1,Income!$3:$3,0))</f>
        <v>35697</v>
      </c>
      <c r="D49" s="34">
        <f>INDEX(Livable_wage!$A:$J,MATCH('2022'!$A49,Livable_wage!$A:$A,0),MATCH('2022'!$A$1,Livable_wage!$3:$3,0))</f>
        <v>13127</v>
      </c>
      <c r="E49" s="41">
        <f>INDEX(AVA_1!$A:$J,MATCH('2022'!$A49,AVA_1!$A:$A,0),MATCH('2022'!$A$1,AVA_1!$3:$3,0))</f>
        <v>0.36</v>
      </c>
      <c r="F49" s="15">
        <f>INDEX(AVA_2!$A:$J,MATCH('2022'!$A49,AVA_2!$A:$A,0),MATCH('2022'!$A$1,AVA_2!$3:$3,0))</f>
        <v>8.518474082034001E-3</v>
      </c>
      <c r="G49" s="15">
        <f>INDEX(AVA_3!$A:$J,MATCH('2022'!$A49,AVA_3!$A:$A,0),MATCH('2022'!$A$1,AVA_3!$3:$3,0))</f>
        <v>1.6289028886697623E-3</v>
      </c>
      <c r="H49" s="87">
        <f>INDEX(AVA_4!$A:$J,MATCH('2022'!$A49,AVA_4!$A:$A,0),MATCH('2022'!$A$1,AVA_4!$3:$3,0))/(B49/1000)</f>
        <v>0.70259026213349218</v>
      </c>
      <c r="I49" s="89">
        <f>INDEX(AVA_5!$A:$J,MATCH('2022'!$A49,AVA_5!$A:$A,0),MATCH('2022'!$A$1,AVA_5!$3:$3,0))/(B49/1000)</f>
        <v>2.8302131075377406</v>
      </c>
      <c r="J49" s="93">
        <f>INDEX(IRA_1!$A:$J,MATCH('2022'!$A49,IRA_1!$A:$A,0),MATCH('2022'!$A$1,IRA_1!$3:$3,0))/(B49/1000)</f>
        <v>5.0061714009511725E-2</v>
      </c>
      <c r="K49" s="88">
        <f>INDEX(IRA_2!$A:$J,MATCH('2022'!$A49,IRA_2!$A:$A,0),MATCH('2022'!$A$1,IRA_2!$3:$3,0))/(B49/1000)</f>
        <v>0.10271282701951544</v>
      </c>
      <c r="L49" s="15">
        <f>INDEX(IRA_3!$A:$J,MATCH('2022'!$A49,IRA_3!$A:$A,0),MATCH('2022'!$A$1,IRA_3!$3:$3,0))</f>
        <v>0.39333333333333331</v>
      </c>
      <c r="M49" s="96">
        <f>INDEX(IRA_4!$A:$J,MATCH('2022'!$A49,IRA_4!$A:$A,0),MATCH('2022'!$A$1,IRA_4!$3:$3,0))/(B49/1000)</f>
        <v>3.2488326126172784</v>
      </c>
      <c r="N49" s="61">
        <f>INDEX(INV_1!$A:$J,MATCH('2022'!$A49,INV_1!$A:$A,0),MATCH('2022'!$A$1,INV_1!$3:$3,0))</f>
        <v>8.5261487502922312E-2</v>
      </c>
      <c r="O49" s="80">
        <f>INDEX(INV_2!$A:$J,MATCH('2022'!$A49,INV_2!$A:$A,0),MATCH('2022'!$A$1,INV_2!$3:$3,0))/B49*10^6/C49</f>
        <v>0.55981548044284146</v>
      </c>
      <c r="P49" s="87">
        <f>INDEX(INV_3!$A:$J,MATCH('2022'!$A49,INV_3!$A:$A,0),MATCH('2022'!$A$1,INV_3!$3:$3,0))/B49*10^6/C49</f>
        <v>3.5625483928106769</v>
      </c>
      <c r="Q49" s="87">
        <f>INDEX(INV_4!$A:$J,MATCH('2022'!$A49,INV_4!$A:$A,0),MATCH('2022'!$A$1,INV_4!$3:$3,0))/B49*10^3/C49</f>
        <v>0.2537885406200065</v>
      </c>
      <c r="R49" s="34">
        <f>INDEX(INV_5!$A:$J,MATCH('2022'!$A49,INV_5!$A:$A,0),MATCH('2022'!$A$1,INV_5!$3:$3,0))</f>
        <v>5.5599999999999997E-2</v>
      </c>
      <c r="S49" s="77">
        <f>INDEX(LUJ_1!$A:$J,MATCH('2022'!$A49,LUJ_1!$A:$A,0),MATCH('2022'!$A$1,LUJ_1!$3:$3,0))</f>
        <v>0.73347691479337729</v>
      </c>
      <c r="T49" s="73">
        <f>INDEX(LUJ_2!$A:$J,MATCH('2022'!$A49,LUJ_2!$A:$A,0),MATCH('2022'!$A$1,LUJ_2!$3:$3,0))</f>
        <v>0.19600000000000001</v>
      </c>
      <c r="U49" s="73">
        <f>INDEX(LUJ_3!$A:$J,MATCH('2022'!$A49,LUJ_3!$A:$A,0),MATCH('2022'!$A$1,LUJ_3!$3:$3,0))</f>
        <v>0.53927967125936671</v>
      </c>
      <c r="V49" s="14">
        <f>INDEX(LUJ_4!$A:$J,MATCH('2022'!$A49,LUJ_4!$A:$A,0),MATCH('2022'!$A$1,LUJ_4!$3:$3,0))</f>
        <v>10</v>
      </c>
      <c r="W49" s="34">
        <f>INDEX(LUJ_5!$A:$J,MATCH('2022'!$A49,LUJ_5!$A:$A,0),MATCH('2022'!$A$1,LUJ_5!$3:$3,0))</f>
        <v>20.3</v>
      </c>
      <c r="X49" s="98">
        <f>1/INDEX(GUL_1!$A:$J,MATCH('2022'!$A49,GUL_1!$A:$A,0),MATCH('2022'!$A$1,GUL_1!$3:$3,0))</f>
        <v>1.4040999719180006E-2</v>
      </c>
      <c r="Y49" s="57" t="e">
        <f>INDEX(GUL_2!$A:$J,MATCH('2022'!$A49,GUL_2!$A:$A,0),MATCH('2022'!$A$1,GUL_2!$3:$3,0))</f>
        <v>#N/A</v>
      </c>
      <c r="Z49" s="57">
        <f>INDEX(GUL_3!$A:$J,MATCH('2022'!$A49,GUL_3!$A:$A,0),MATCH('2022'!$A$1,GUL_3!$3:$3,0))/(B49/1000)</f>
        <v>0.8424178081600594</v>
      </c>
      <c r="AA49" s="101">
        <f>INDEX(GUL_4!$A:$J,MATCH('2022'!$A49,GUL_4!$A:$A,0),MATCH('2022'!$A$1,GUL_4!$3:$3,0))/B49/C49*10^6</f>
        <v>0.30883148761141349</v>
      </c>
      <c r="AB49" s="73">
        <f>INDEX(GUL_5!$A:$J,MATCH('2022'!$A49,GUL_5!$A:$A,0),MATCH('2022'!$A$1,GUL_5!$3:$3,0))</f>
        <v>2.4655084161430585E-2</v>
      </c>
      <c r="AC49" s="49" t="e">
        <f>INDEX(GUL_6!$A:$J,MATCH('2022'!$A49,GUL_6!$A:$A,0),MATCH('2022'!$A$1,GUL_6!$3:$3,0))</f>
        <v>#N/A</v>
      </c>
      <c r="AD49" s="49" t="e">
        <f>INDEX(GUL_7!$A:$J,MATCH('2022'!$A49,GUL_7!$A:$A,0),MATCH('2022'!$A$1,GUL_7!$3:$3,0))</f>
        <v>#N/A</v>
      </c>
      <c r="AE49" s="103">
        <f>INDEX(GUL_8!$A:$J,MATCH('2022'!$A49,GUL_8!$A:$A,0),MATCH('2022'!$A$1,GUL_8!$3:$3,0))/(B49/1000)</f>
        <v>1.8099899013438983</v>
      </c>
      <c r="AF49" s="41">
        <f>INDEX(DES_1!$A:$J,MATCH('2022'!$A49,DES_1!$A:$A,0),MATCH('2022'!$A$1,DES_1!$3:$3,0))/(B49/1000)</f>
        <v>0.11307042302148339</v>
      </c>
      <c r="AG49" s="100">
        <f>INDEX(DES_2!$A:$J,MATCH('2022'!$A49,DES_2!$A:$A,0),MATCH('2022'!$A$1,DES_2!$3:$3,0))/(B49/1000)</f>
        <v>0.38323105207281394</v>
      </c>
      <c r="AH49" s="57">
        <f>1/INDEX(DES_3!$A:$J,MATCH('2022'!$A49,DES_3!$A:$A,0),MATCH('2022'!$A$1,DES_3!$3:$3,0))</f>
        <v>6.4308681672025723E-3</v>
      </c>
      <c r="AI49" s="80" t="e">
        <f>INDEX(DES_4!$A:$J,MATCH('2022'!$A49,DES_4!$A:$A,0),MATCH('2022'!$A$1,DES_4!$3:$3,0))</f>
        <v>#N/A</v>
      </c>
      <c r="AJ49" s="110" t="e">
        <f>INDEX(DES_5!$A:$J,MATCH('2022'!$A49,DES_5!$A:$A,0),MATCH('2022'!$A$1,DES_5!$3:$3,0))</f>
        <v>#N/A</v>
      </c>
      <c r="AK49" s="57">
        <v>27</v>
      </c>
    </row>
    <row r="50" spans="1:37" x14ac:dyDescent="0.3">
      <c r="A50" s="29" t="s">
        <v>49</v>
      </c>
      <c r="B50" s="33">
        <f>INDEX(Population!$A:$J,MATCH('2022'!$A50,Population!$A:$A,0),MATCH('2022'!$A$1,Population!$3:$3,0))</f>
        <v>1253856</v>
      </c>
      <c r="C50" s="14">
        <f>INDEX(Income!$A:$J,MATCH('2022'!$A50,Income!$A:$A,0),MATCH('2022'!$A$1,Income!$3:$3,0))</f>
        <v>30107</v>
      </c>
      <c r="D50" s="34">
        <f>INDEX(Livable_wage!$A:$J,MATCH('2022'!$A50,Livable_wage!$A:$A,0),MATCH('2022'!$A$1,Livable_wage!$3:$3,0))</f>
        <v>11692</v>
      </c>
      <c r="E50" s="41">
        <f>INDEX(AVA_1!$A:$J,MATCH('2022'!$A50,AVA_1!$A:$A,0),MATCH('2022'!$A$1,AVA_1!$3:$3,0))</f>
        <v>0.34300000000000003</v>
      </c>
      <c r="F50" s="15">
        <f>INDEX(AVA_2!$A:$J,MATCH('2022'!$A50,AVA_2!$A:$A,0),MATCH('2022'!$A$1,AVA_2!$3:$3,0))</f>
        <v>8.5025639523288524E-3</v>
      </c>
      <c r="G50" s="15">
        <f>INDEX(AVA_3!$A:$J,MATCH('2022'!$A50,AVA_3!$A:$A,0),MATCH('2022'!$A$1,AVA_3!$3:$3,0))</f>
        <v>2.1647975694085431E-2</v>
      </c>
      <c r="H50" s="87">
        <f>INDEX(AVA_4!$A:$J,MATCH('2022'!$A50,AVA_4!$A:$A,0),MATCH('2022'!$A$1,AVA_4!$3:$3,0))/(B50/1000)</f>
        <v>0.62925886226169514</v>
      </c>
      <c r="I50" s="89">
        <f>INDEX(AVA_5!$A:$J,MATCH('2022'!$A50,AVA_5!$A:$A,0),MATCH('2022'!$A$1,AVA_5!$3:$3,0))/(B50/1000)</f>
        <v>2.9668478676977261</v>
      </c>
      <c r="J50" s="93">
        <f>INDEX(IRA_1!$A:$J,MATCH('2022'!$A50,IRA_1!$A:$A,0),MATCH('2022'!$A$1,IRA_1!$3:$3,0))/(B50/1000)</f>
        <v>3.8281907970293239E-2</v>
      </c>
      <c r="K50" s="88">
        <f>INDEX(IRA_2!$A:$J,MATCH('2022'!$A50,IRA_2!$A:$A,0),MATCH('2022'!$A$1,IRA_2!$3:$3,0))/(B50/1000)</f>
        <v>0.10687032641706863</v>
      </c>
      <c r="L50" s="15">
        <f>INDEX(IRA_3!$A:$J,MATCH('2022'!$A50,IRA_3!$A:$A,0),MATCH('2022'!$A$1,IRA_3!$3:$3,0))</f>
        <v>0.39034263408992342</v>
      </c>
      <c r="M50" s="96">
        <f>INDEX(IRA_4!$A:$J,MATCH('2022'!$A50,IRA_4!$A:$A,0),MATCH('2022'!$A$1,IRA_4!$3:$3,0))/(B50/1000)</f>
        <v>1.9635428629762908</v>
      </c>
      <c r="N50" s="61">
        <f>INDEX(INV_1!$A:$J,MATCH('2022'!$A50,INV_1!$A:$A,0),MATCH('2022'!$A$1,INV_1!$3:$3,0))</f>
        <v>7.2687801906704624E-2</v>
      </c>
      <c r="O50" s="80">
        <f>INDEX(INV_2!$A:$J,MATCH('2022'!$A50,INV_2!$A:$A,0),MATCH('2022'!$A$1,INV_2!$3:$3,0))/B50*10^6/C50</f>
        <v>0.42840833590985644</v>
      </c>
      <c r="P50" s="87">
        <f>INDEX(INV_3!$A:$J,MATCH('2022'!$A50,INV_3!$A:$A,0),MATCH('2022'!$A$1,INV_3!$3:$3,0))/B50*10^6/C50</f>
        <v>4.7607880632086745</v>
      </c>
      <c r="Q50" s="87">
        <f>INDEX(INV_4!$A:$J,MATCH('2022'!$A50,INV_4!$A:$A,0),MATCH('2022'!$A$1,INV_4!$3:$3,0))/B50*10^3/C50</f>
        <v>0.28689683072467104</v>
      </c>
      <c r="R50" s="34">
        <f>INDEX(INV_5!$A:$J,MATCH('2022'!$A50,INV_5!$A:$A,0),MATCH('2022'!$A$1,INV_5!$3:$3,0))</f>
        <v>7.3200000000000001E-2</v>
      </c>
      <c r="S50" s="77">
        <f>INDEX(LUJ_1!$A:$J,MATCH('2022'!$A50,LUJ_1!$A:$A,0),MATCH('2022'!$A$1,LUJ_1!$3:$3,0))</f>
        <v>0.69224714679260135</v>
      </c>
      <c r="T50" s="73">
        <f>INDEX(LUJ_2!$A:$J,MATCH('2022'!$A50,LUJ_2!$A:$A,0),MATCH('2022'!$A$1,LUJ_2!$3:$3,0))</f>
        <v>0.156</v>
      </c>
      <c r="U50" s="73">
        <f>INDEX(LUJ_3!$A:$J,MATCH('2022'!$A50,LUJ_3!$A:$A,0),MATCH('2022'!$A$1,LUJ_3!$3:$3,0))</f>
        <v>0.44096609767662398</v>
      </c>
      <c r="V50" s="14">
        <f>INDEX(LUJ_4!$A:$J,MATCH('2022'!$A50,LUJ_4!$A:$A,0),MATCH('2022'!$A$1,LUJ_4!$3:$3,0))</f>
        <v>39</v>
      </c>
      <c r="W50" s="34">
        <f>INDEX(LUJ_5!$A:$J,MATCH('2022'!$A50,LUJ_5!$A:$A,0),MATCH('2022'!$A$1,LUJ_5!$3:$3,0))</f>
        <v>24.4</v>
      </c>
      <c r="X50" s="98">
        <f>1/INDEX(GUL_1!$A:$J,MATCH('2022'!$A50,GUL_1!$A:$A,0),MATCH('2022'!$A$1,GUL_1!$3:$3,0))</f>
        <v>1.3875398917718886E-2</v>
      </c>
      <c r="Y50" s="57" t="e">
        <f>INDEX(GUL_2!$A:$J,MATCH('2022'!$A50,GUL_2!$A:$A,0),MATCH('2022'!$A$1,GUL_2!$3:$3,0))</f>
        <v>#N/A</v>
      </c>
      <c r="Z50" s="57">
        <f>INDEX(GUL_3!$A:$J,MATCH('2022'!$A50,GUL_3!$A:$A,0),MATCH('2022'!$A$1,GUL_3!$3:$3,0))/(B50/1000)</f>
        <v>0.66514815098384505</v>
      </c>
      <c r="AA50" s="101">
        <f>INDEX(GUL_4!$A:$J,MATCH('2022'!$A50,GUL_4!$A:$A,0),MATCH('2022'!$A$1,GUL_4!$3:$3,0))/B50/C50*10^6</f>
        <v>0.30228973729332365</v>
      </c>
      <c r="AB50" s="73">
        <f>INDEX(GUL_5!$A:$J,MATCH('2022'!$A50,GUL_5!$A:$A,0),MATCH('2022'!$A$1,GUL_5!$3:$3,0))</f>
        <v>4.0940979299989196E-2</v>
      </c>
      <c r="AC50" s="49" t="e">
        <f>INDEX(GUL_6!$A:$J,MATCH('2022'!$A50,GUL_6!$A:$A,0),MATCH('2022'!$A$1,GUL_6!$3:$3,0))</f>
        <v>#N/A</v>
      </c>
      <c r="AD50" s="49" t="e">
        <f>INDEX(GUL_7!$A:$J,MATCH('2022'!$A50,GUL_7!$A:$A,0),MATCH('2022'!$A$1,GUL_7!$3:$3,0))</f>
        <v>#N/A</v>
      </c>
      <c r="AE50" s="103">
        <f>INDEX(GUL_8!$A:$J,MATCH('2022'!$A50,GUL_8!$A:$A,0),MATCH('2022'!$A$1,GUL_8!$3:$3,0))/(B50/1000)</f>
        <v>1.8510897583135544</v>
      </c>
      <c r="AF50" s="41">
        <f>INDEX(DES_1!$A:$J,MATCH('2022'!$A50,DES_1!$A:$A,0),MATCH('2022'!$A$1,DES_1!$3:$3,0))/(B50/1000)</f>
        <v>0.16269810887374628</v>
      </c>
      <c r="AG50" s="100">
        <f>INDEX(DES_2!$A:$J,MATCH('2022'!$A50,DES_2!$A:$A,0),MATCH('2022'!$A$1,DES_2!$3:$3,0))/(B50/1000)</f>
        <v>0.47852384962866551</v>
      </c>
      <c r="AH50" s="57">
        <f>1/INDEX(DES_3!$A:$J,MATCH('2022'!$A50,DES_3!$A:$A,0),MATCH('2022'!$A$1,DES_3!$3:$3,0))</f>
        <v>6.7613252197430695E-3</v>
      </c>
      <c r="AI50" s="80" t="e">
        <f>INDEX(DES_4!$A:$J,MATCH('2022'!$A50,DES_4!$A:$A,0),MATCH('2022'!$A$1,DES_4!$3:$3,0))</f>
        <v>#N/A</v>
      </c>
      <c r="AJ50" s="110" t="e">
        <f>INDEX(DES_5!$A:$J,MATCH('2022'!$A50,DES_5!$A:$A,0),MATCH('2022'!$A$1,DES_5!$3:$3,0))</f>
        <v>#N/A</v>
      </c>
      <c r="AK50" s="57">
        <v>28</v>
      </c>
    </row>
    <row r="51" spans="1:37" x14ac:dyDescent="0.3">
      <c r="A51" s="29" t="s">
        <v>50</v>
      </c>
      <c r="B51" s="33">
        <f>INDEX(Population!$A:$J,MATCH('2022'!$A51,Population!$A:$A,0),MATCH('2022'!$A$1,Population!$3:$3,0))</f>
        <v>1525496</v>
      </c>
      <c r="C51" s="14">
        <f>INDEX(Income!$A:$J,MATCH('2022'!$A51,Income!$A:$A,0),MATCH('2022'!$A$1,Income!$3:$3,0))</f>
        <v>41009</v>
      </c>
      <c r="D51" s="34">
        <f>INDEX(Livable_wage!$A:$J,MATCH('2022'!$A51,Livable_wage!$A:$A,0),MATCH('2022'!$A$1,Livable_wage!$3:$3,0))</f>
        <v>11692</v>
      </c>
      <c r="E51" s="41">
        <f>INDEX(AVA_1!$A:$J,MATCH('2022'!$A51,AVA_1!$A:$A,0),MATCH('2022'!$A$1,AVA_1!$3:$3,0))</f>
        <v>0.36799999999999999</v>
      </c>
      <c r="F51" s="15">
        <f>INDEX(AVA_2!$A:$J,MATCH('2022'!$A51,AVA_2!$A:$A,0),MATCH('2022'!$A$1,AVA_2!$3:$3,0))</f>
        <v>7.9967567280322758E-3</v>
      </c>
      <c r="G51" s="15">
        <f>INDEX(AVA_3!$A:$J,MATCH('2022'!$A51,AVA_3!$A:$A,0),MATCH('2022'!$A$1,AVA_3!$3:$3,0))</f>
        <v>1.2839232618478512E-2</v>
      </c>
      <c r="H51" s="87">
        <f>INDEX(AVA_4!$A:$J,MATCH('2022'!$A51,AVA_4!$A:$A,0),MATCH('2022'!$A$1,AVA_4!$3:$3,0))/(B51/1000)</f>
        <v>0.35922742504732885</v>
      </c>
      <c r="I51" s="89">
        <f>INDEX(AVA_5!$A:$J,MATCH('2022'!$A51,AVA_5!$A:$A,0),MATCH('2022'!$A$1,AVA_5!$3:$3,0))/(B51/1000)</f>
        <v>3.0488444414144644</v>
      </c>
      <c r="J51" s="93">
        <f>INDEX(IRA_1!$A:$J,MATCH('2022'!$A51,IRA_1!$A:$A,0),MATCH('2022'!$A$1,IRA_1!$3:$3,0))/(B51/1000)</f>
        <v>6.6863498822678002E-2</v>
      </c>
      <c r="K51" s="88">
        <f>INDEX(IRA_2!$A:$J,MATCH('2022'!$A51,IRA_2!$A:$A,0),MATCH('2022'!$A$1,IRA_2!$3:$3,0))/(B51/1000)</f>
        <v>8.5873709272262913E-2</v>
      </c>
      <c r="L51" s="15">
        <f>INDEX(IRA_3!$A:$J,MATCH('2022'!$A51,IRA_3!$A:$A,0),MATCH('2022'!$A$1,IRA_3!$3:$3,0))</f>
        <v>0.41181336863004636</v>
      </c>
      <c r="M51" s="96">
        <f>INDEX(IRA_4!$A:$J,MATCH('2022'!$A51,IRA_4!$A:$A,0),MATCH('2022'!$A$1,IRA_4!$3:$3,0))/(B51/1000)</f>
        <v>2.494270715885194</v>
      </c>
      <c r="N51" s="61">
        <f>INDEX(INV_1!$A:$J,MATCH('2022'!$A51,INV_1!$A:$A,0),MATCH('2022'!$A$1,INV_1!$3:$3,0))</f>
        <v>7.8365926442267322E-2</v>
      </c>
      <c r="O51" s="80">
        <f>INDEX(INV_2!$A:$J,MATCH('2022'!$A51,INV_2!$A:$A,0),MATCH('2022'!$A$1,INV_2!$3:$3,0))/B51*10^6/C51</f>
        <v>0.6565882272285618</v>
      </c>
      <c r="P51" s="87">
        <f>INDEX(INV_3!$A:$J,MATCH('2022'!$A51,INV_3!$A:$A,0),MATCH('2022'!$A$1,INV_3!$3:$3,0))/B51*10^6/C51</f>
        <v>3.5132398217565552</v>
      </c>
      <c r="Q51" s="87">
        <f>INDEX(INV_4!$A:$J,MATCH('2022'!$A51,INV_4!$A:$A,0),MATCH('2022'!$A$1,INV_4!$3:$3,0))/B51*10^3/C51</f>
        <v>0.18162872344278597</v>
      </c>
      <c r="R51" s="34">
        <f>INDEX(INV_5!$A:$J,MATCH('2022'!$A51,INV_5!$A:$A,0),MATCH('2022'!$A$1,INV_5!$3:$3,0))</f>
        <v>7.1499999999999994E-2</v>
      </c>
      <c r="S51" s="77">
        <f>INDEX(LUJ_1!$A:$J,MATCH('2022'!$A51,LUJ_1!$A:$A,0),MATCH('2022'!$A$1,LUJ_1!$3:$3,0))</f>
        <v>0.58345891321691334</v>
      </c>
      <c r="T51" s="73">
        <f>INDEX(LUJ_2!$A:$J,MATCH('2022'!$A51,LUJ_2!$A:$A,0),MATCH('2022'!$A$1,LUJ_2!$3:$3,0))</f>
        <v>0.14699999999999999</v>
      </c>
      <c r="U51" s="73">
        <f>INDEX(LUJ_3!$A:$J,MATCH('2022'!$A51,LUJ_3!$A:$A,0),MATCH('2022'!$A$1,LUJ_3!$3:$3,0))</f>
        <v>0.24748104602112048</v>
      </c>
      <c r="V51" s="14">
        <f>INDEX(LUJ_4!$A:$J,MATCH('2022'!$A51,LUJ_4!$A:$A,0),MATCH('2022'!$A$1,LUJ_4!$3:$3,0))</f>
        <v>49</v>
      </c>
      <c r="W51" s="34">
        <f>INDEX(LUJ_5!$A:$J,MATCH('2022'!$A51,LUJ_5!$A:$A,0),MATCH('2022'!$A$1,LUJ_5!$3:$3,0))</f>
        <v>15.8</v>
      </c>
      <c r="X51" s="98">
        <f>1/INDEX(GUL_1!$A:$J,MATCH('2022'!$A51,GUL_1!$A:$A,0),MATCH('2022'!$A$1,GUL_1!$3:$3,0))</f>
        <v>1.3693002875530604E-2</v>
      </c>
      <c r="Y51" s="57" t="e">
        <f>INDEX(GUL_2!$A:$J,MATCH('2022'!$A51,GUL_2!$A:$A,0),MATCH('2022'!$A$1,GUL_2!$3:$3,0))</f>
        <v>#N/A</v>
      </c>
      <c r="Z51" s="57">
        <f>INDEX(GUL_3!$A:$J,MATCH('2022'!$A51,GUL_3!$A:$A,0),MATCH('2022'!$A$1,GUL_3!$3:$3,0))/(B51/1000)</f>
        <v>0.74402030552685805</v>
      </c>
      <c r="AA51" s="101">
        <f>INDEX(GUL_4!$A:$J,MATCH('2022'!$A51,GUL_4!$A:$A,0),MATCH('2022'!$A$1,GUL_4!$3:$3,0))/B51/C51*10^6</f>
        <v>0.22331215941899321</v>
      </c>
      <c r="AB51" s="73">
        <f>INDEX(GUL_5!$A:$J,MATCH('2022'!$A51,GUL_5!$A:$A,0),MATCH('2022'!$A$1,GUL_5!$3:$3,0))</f>
        <v>3.8686390502437655E-2</v>
      </c>
      <c r="AC51" s="49" t="e">
        <f>INDEX(GUL_6!$A:$J,MATCH('2022'!$A51,GUL_6!$A:$A,0),MATCH('2022'!$A$1,GUL_6!$3:$3,0))</f>
        <v>#N/A</v>
      </c>
      <c r="AD51" s="49" t="e">
        <f>INDEX(GUL_7!$A:$J,MATCH('2022'!$A51,GUL_7!$A:$A,0),MATCH('2022'!$A$1,GUL_7!$3:$3,0))</f>
        <v>#N/A</v>
      </c>
      <c r="AE51" s="103">
        <f>INDEX(GUL_8!$A:$J,MATCH('2022'!$A51,GUL_8!$A:$A,0),MATCH('2022'!$A$1,GUL_8!$3:$3,0))/(B51/1000)</f>
        <v>1.0606386381871862</v>
      </c>
      <c r="AF51" s="41">
        <f>INDEX(DES_1!$A:$J,MATCH('2022'!$A51,DES_1!$A:$A,0),MATCH('2022'!$A$1,DES_1!$3:$3,0))/(B51/1000)</f>
        <v>9.5051052247924608E-2</v>
      </c>
      <c r="AG51" s="100">
        <f>INDEX(DES_2!$A:$J,MATCH('2022'!$A51,DES_2!$A:$A,0),MATCH('2022'!$A$1,DES_2!$3:$3,0))/(B51/1000)</f>
        <v>0.38872602746909857</v>
      </c>
      <c r="AH51" s="57">
        <f>1/INDEX(DES_3!$A:$J,MATCH('2022'!$A51,DES_3!$A:$A,0),MATCH('2022'!$A$1,DES_3!$3:$3,0))</f>
        <v>7.7942322681215891E-3</v>
      </c>
      <c r="AI51" s="80" t="e">
        <f>INDEX(DES_4!$A:$J,MATCH('2022'!$A51,DES_4!$A:$A,0),MATCH('2022'!$A$1,DES_4!$3:$3,0))</f>
        <v>#N/A</v>
      </c>
      <c r="AJ51" s="110" t="e">
        <f>INDEX(DES_5!$A:$J,MATCH('2022'!$A51,DES_5!$A:$A,0),MATCH('2022'!$A$1,DES_5!$3:$3,0))</f>
        <v>#N/A</v>
      </c>
      <c r="AK51" s="57">
        <v>26</v>
      </c>
    </row>
    <row r="52" spans="1:37" x14ac:dyDescent="0.3">
      <c r="A52" s="29" t="s">
        <v>51</v>
      </c>
      <c r="B52" s="33">
        <f>INDEX(Population!$A:$J,MATCH('2022'!$A52,Population!$A:$A,0),MATCH('2022'!$A$1,Population!$3:$3,0))</f>
        <v>1132202</v>
      </c>
      <c r="C52" s="14">
        <f>INDEX(Income!$A:$J,MATCH('2022'!$A52,Income!$A:$A,0),MATCH('2022'!$A$1,Income!$3:$3,0))</f>
        <v>38918</v>
      </c>
      <c r="D52" s="34">
        <f>INDEX(Livable_wage!$A:$J,MATCH('2022'!$A52,Livable_wage!$A:$A,0),MATCH('2022'!$A$1,Livable_wage!$3:$3,0))</f>
        <v>11553</v>
      </c>
      <c r="E52" s="41">
        <f>INDEX(AVA_1!$A:$J,MATCH('2022'!$A52,AVA_1!$A:$A,0),MATCH('2022'!$A$1,AVA_1!$3:$3,0))</f>
        <v>0.36699999999999999</v>
      </c>
      <c r="F52" s="15">
        <f>INDEX(AVA_2!$A:$J,MATCH('2022'!$A52,AVA_2!$A:$A,0),MATCH('2022'!$A$1,AVA_2!$3:$3,0))</f>
        <v>9.7401172725665695E-3</v>
      </c>
      <c r="G52" s="15">
        <f>INDEX(AVA_3!$A:$J,MATCH('2022'!$A52,AVA_3!$A:$A,0),MATCH('2022'!$A$1,AVA_3!$3:$3,0))</f>
        <v>3.6950391132624782E-3</v>
      </c>
      <c r="H52" s="87">
        <f>INDEX(AVA_4!$A:$J,MATCH('2022'!$A52,AVA_4!$A:$A,0),MATCH('2022'!$A$1,AVA_4!$3:$3,0))/(B52/1000)</f>
        <v>0.79667762466415004</v>
      </c>
      <c r="I52" s="89">
        <f>INDEX(AVA_5!$A:$J,MATCH('2022'!$A52,AVA_5!$A:$A,0),MATCH('2022'!$A$1,AVA_5!$3:$3,0))/(B52/1000)</f>
        <v>4.4603348165786674</v>
      </c>
      <c r="J52" s="93">
        <f>INDEX(IRA_1!$A:$J,MATCH('2022'!$A52,IRA_1!$A:$A,0),MATCH('2022'!$A$1,IRA_1!$3:$3,0))/(B52/1000)</f>
        <v>3.8862323154348781E-2</v>
      </c>
      <c r="K52" s="88">
        <f>INDEX(IRA_2!$A:$J,MATCH('2022'!$A52,IRA_2!$A:$A,0),MATCH('2022'!$A$1,IRA_2!$3:$3,0))/(B52/1000)</f>
        <v>8.2140819394419015E-2</v>
      </c>
      <c r="L52" s="15">
        <f>INDEX(IRA_3!$A:$J,MATCH('2022'!$A52,IRA_3!$A:$A,0),MATCH('2022'!$A$1,IRA_3!$3:$3,0))</f>
        <v>0.39190539640239841</v>
      </c>
      <c r="M52" s="96">
        <f>INDEX(IRA_4!$A:$J,MATCH('2022'!$A52,IRA_4!$A:$A,0),MATCH('2022'!$A$1,IRA_4!$3:$3,0))/(B52/1000)</f>
        <v>3.7669956421203992</v>
      </c>
      <c r="N52" s="61">
        <f>INDEX(INV_1!$A:$J,MATCH('2022'!$A52,INV_1!$A:$A,0),MATCH('2022'!$A$1,INV_1!$3:$3,0))</f>
        <v>7.9870408081301664E-2</v>
      </c>
      <c r="O52" s="80">
        <f>INDEX(INV_2!$A:$J,MATCH('2022'!$A52,INV_2!$A:$A,0),MATCH('2022'!$A$1,INV_2!$3:$3,0))/B52*10^6/C52</f>
        <v>0.51082802689478424</v>
      </c>
      <c r="P52" s="87">
        <f>INDEX(INV_3!$A:$J,MATCH('2022'!$A52,INV_3!$A:$A,0),MATCH('2022'!$A$1,INV_3!$3:$3,0))/B52*10^6/C52</f>
        <v>3.5069529699228066</v>
      </c>
      <c r="Q52" s="87">
        <f>INDEX(INV_4!$A:$J,MATCH('2022'!$A52,INV_4!$A:$A,0),MATCH('2022'!$A$1,INV_4!$3:$3,0))/B52*10^3/C52</f>
        <v>0.25555587983137967</v>
      </c>
      <c r="R52" s="34">
        <f>INDEX(INV_5!$A:$J,MATCH('2022'!$A52,INV_5!$A:$A,0),MATCH('2022'!$A$1,INV_5!$3:$3,0))</f>
        <v>6.3299999999999995E-2</v>
      </c>
      <c r="S52" s="77">
        <f>INDEX(LUJ_1!$A:$J,MATCH('2022'!$A52,LUJ_1!$A:$A,0),MATCH('2022'!$A$1,LUJ_1!$3:$3,0))</f>
        <v>0.65638354700854706</v>
      </c>
      <c r="T52" s="73">
        <f>INDEX(LUJ_2!$A:$J,MATCH('2022'!$A52,LUJ_2!$A:$A,0),MATCH('2022'!$A$1,LUJ_2!$3:$3,0))</f>
        <v>0.17600000000000002</v>
      </c>
      <c r="U52" s="73">
        <f>INDEX(LUJ_3!$A:$J,MATCH('2022'!$A52,LUJ_3!$A:$A,0),MATCH('2022'!$A$1,LUJ_3!$3:$3,0))</f>
        <v>0.37694316627285163</v>
      </c>
      <c r="V52" s="14">
        <f>INDEX(LUJ_4!$A:$J,MATCH('2022'!$A52,LUJ_4!$A:$A,0),MATCH('2022'!$A$1,LUJ_4!$3:$3,0))</f>
        <v>12</v>
      </c>
      <c r="W52" s="34">
        <f>INDEX(LUJ_5!$A:$J,MATCH('2022'!$A52,LUJ_5!$A:$A,0),MATCH('2022'!$A$1,LUJ_5!$3:$3,0))</f>
        <v>23</v>
      </c>
      <c r="X52" s="98">
        <f>1/INDEX(GUL_1!$A:$J,MATCH('2022'!$A52,GUL_1!$A:$A,0),MATCH('2022'!$A$1,GUL_1!$3:$3,0))</f>
        <v>1.3865779256794232E-2</v>
      </c>
      <c r="Y52" s="57" t="e">
        <f>INDEX(GUL_2!$A:$J,MATCH('2022'!$A52,GUL_2!$A:$A,0),MATCH('2022'!$A$1,GUL_2!$3:$3,0))</f>
        <v>#N/A</v>
      </c>
      <c r="Z52" s="57">
        <f>INDEX(GUL_3!$A:$J,MATCH('2022'!$A52,GUL_3!$A:$A,0),MATCH('2022'!$A$1,GUL_3!$3:$3,0))/(B52/1000)</f>
        <v>0.59530013195525178</v>
      </c>
      <c r="AA52" s="101">
        <f>INDEX(GUL_4!$A:$J,MATCH('2022'!$A52,GUL_4!$A:$A,0),MATCH('2022'!$A$1,GUL_4!$3:$3,0))/B52/C52*10^6</f>
        <v>0.22361803845936759</v>
      </c>
      <c r="AB52" s="73">
        <f>INDEX(GUL_5!$A:$J,MATCH('2022'!$A52,GUL_5!$A:$A,0),MATCH('2022'!$A$1,GUL_5!$3:$3,0))</f>
        <v>3.0118138043324718E-2</v>
      </c>
      <c r="AC52" s="49" t="e">
        <f>INDEX(GUL_6!$A:$J,MATCH('2022'!$A52,GUL_6!$A:$A,0),MATCH('2022'!$A$1,GUL_6!$3:$3,0))</f>
        <v>#N/A</v>
      </c>
      <c r="AD52" s="49" t="e">
        <f>INDEX(GUL_7!$A:$J,MATCH('2022'!$A52,GUL_7!$A:$A,0),MATCH('2022'!$A$1,GUL_7!$3:$3,0))</f>
        <v>#N/A</v>
      </c>
      <c r="AE52" s="103">
        <f>INDEX(GUL_8!$A:$J,MATCH('2022'!$A52,GUL_8!$A:$A,0),MATCH('2022'!$A$1,GUL_8!$3:$3,0))/(B52/1000)</f>
        <v>1.3716633604250832</v>
      </c>
      <c r="AF52" s="41">
        <f>INDEX(DES_1!$A:$J,MATCH('2022'!$A52,DES_1!$A:$A,0),MATCH('2022'!$A$1,DES_1!$3:$3,0))/(B52/1000)</f>
        <v>1.943116157717439E-2</v>
      </c>
      <c r="AG52" s="100">
        <f>INDEX(DES_2!$A:$J,MATCH('2022'!$A52,DES_2!$A:$A,0),MATCH('2022'!$A$1,DES_2!$3:$3,0))/(B52/1000)</f>
        <v>0.56615338958949024</v>
      </c>
      <c r="AH52" s="57">
        <f>1/INDEX(DES_3!$A:$J,MATCH('2022'!$A52,DES_3!$A:$A,0),MATCH('2022'!$A$1,DES_3!$3:$3,0))</f>
        <v>8.5543199315654406E-3</v>
      </c>
      <c r="AI52" s="80" t="e">
        <f>INDEX(DES_4!$A:$J,MATCH('2022'!$A52,DES_4!$A:$A,0),MATCH('2022'!$A$1,DES_4!$3:$3,0))</f>
        <v>#N/A</v>
      </c>
      <c r="AJ52" s="110" t="e">
        <f>INDEX(DES_5!$A:$J,MATCH('2022'!$A52,DES_5!$A:$A,0),MATCH('2022'!$A$1,DES_5!$3:$3,0))</f>
        <v>#N/A</v>
      </c>
      <c r="AK52" s="57">
        <v>6</v>
      </c>
    </row>
    <row r="53" spans="1:37" x14ac:dyDescent="0.3">
      <c r="A53" s="29" t="s">
        <v>52</v>
      </c>
      <c r="B53" s="33">
        <f>INDEX(Population!$A:$J,MATCH('2022'!$A53,Population!$A:$A,0),MATCH('2022'!$A$1,Population!$3:$3,0))</f>
        <v>578752</v>
      </c>
      <c r="C53" s="14">
        <f>INDEX(Income!$A:$J,MATCH('2022'!$A53,Income!$A:$A,0),MATCH('2022'!$A$1,Income!$3:$3,0))</f>
        <v>33715</v>
      </c>
      <c r="D53" s="34">
        <f>INDEX(Livable_wage!$A:$J,MATCH('2022'!$A53,Livable_wage!$A:$A,0),MATCH('2022'!$A$1,Livable_wage!$3:$3,0))</f>
        <v>13641</v>
      </c>
      <c r="E53" s="41">
        <f>INDEX(AVA_1!$A:$J,MATCH('2022'!$A53,AVA_1!$A:$A,0),MATCH('2022'!$A$1,AVA_1!$3:$3,0))</f>
        <v>0.34</v>
      </c>
      <c r="F53" s="15">
        <f>INDEX(AVA_2!$A:$J,MATCH('2022'!$A53,AVA_2!$A:$A,0),MATCH('2022'!$A$1,AVA_2!$3:$3,0))</f>
        <v>1.0511497864090912E-2</v>
      </c>
      <c r="G53" s="15">
        <f>INDEX(AVA_3!$A:$J,MATCH('2022'!$A53,AVA_3!$A:$A,0),MATCH('2022'!$A$1,AVA_3!$3:$3,0))</f>
        <v>0.39649777120159846</v>
      </c>
      <c r="H53" s="87">
        <f>INDEX(AVA_4!$A:$J,MATCH('2022'!$A53,AVA_4!$A:$A,0),MATCH('2022'!$A$1,AVA_4!$3:$3,0))/(B53/1000)</f>
        <v>0.71533230122746883</v>
      </c>
      <c r="I53" s="89">
        <f>INDEX(AVA_5!$A:$J,MATCH('2022'!$A53,AVA_5!$A:$A,0),MATCH('2022'!$A$1,AVA_5!$3:$3,0))/(B53/1000)</f>
        <v>7.4055899590843755</v>
      </c>
      <c r="J53" s="93">
        <f>INDEX(IRA_1!$A:$J,MATCH('2022'!$A53,IRA_1!$A:$A,0),MATCH('2022'!$A$1,IRA_1!$3:$3,0))/(B53/1000)</f>
        <v>6.0474953002322245E-2</v>
      </c>
      <c r="K53" s="88">
        <f>INDEX(IRA_2!$A:$J,MATCH('2022'!$A53,IRA_2!$A:$A,0),MATCH('2022'!$A$1,IRA_2!$3:$3,0))/(B53/1000)</f>
        <v>0.13650060820524162</v>
      </c>
      <c r="L53" s="15">
        <f>INDEX(IRA_3!$A:$J,MATCH('2022'!$A53,IRA_3!$A:$A,0),MATCH('2022'!$A$1,IRA_3!$3:$3,0))</f>
        <v>0.43172268907563027</v>
      </c>
      <c r="M53" s="96">
        <f>INDEX(IRA_4!$A:$J,MATCH('2022'!$A53,IRA_4!$A:$A,0),MATCH('2022'!$A$1,IRA_4!$3:$3,0))/(B53/1000)</f>
        <v>5.596524936414907</v>
      </c>
      <c r="N53" s="61">
        <f>INDEX(INV_1!$A:$J,MATCH('2022'!$A53,INV_1!$A:$A,0),MATCH('2022'!$A$1,INV_1!$3:$3,0))</f>
        <v>7.1094530668738429E-2</v>
      </c>
      <c r="O53" s="80">
        <f>INDEX(INV_2!$A:$J,MATCH('2022'!$A53,INV_2!$A:$A,0),MATCH('2022'!$A$1,INV_2!$3:$3,0))/B53*10^6/C53</f>
        <v>0.52847869381952695</v>
      </c>
      <c r="P53" s="87">
        <f>INDEX(INV_3!$A:$J,MATCH('2022'!$A53,INV_3!$A:$A,0),MATCH('2022'!$A$1,INV_3!$3:$3,0))/B53*10^6/C53</f>
        <v>4.3058791773920992</v>
      </c>
      <c r="Q53" s="87">
        <f>INDEX(INV_4!$A:$J,MATCH('2022'!$A53,INV_4!$A:$A,0),MATCH('2022'!$A$1,INV_4!$3:$3,0))/B53*10^3/C53</f>
        <v>0.23037841931054967</v>
      </c>
      <c r="R53" s="34">
        <f>INDEX(INV_5!$A:$J,MATCH('2022'!$A53,INV_5!$A:$A,0),MATCH('2022'!$A$1,INV_5!$3:$3,0))</f>
        <v>4.4999999999999998E-2</v>
      </c>
      <c r="S53" s="77">
        <f>INDEX(LUJ_1!$A:$J,MATCH('2022'!$A53,LUJ_1!$A:$A,0),MATCH('2022'!$A$1,LUJ_1!$3:$3,0))</f>
        <v>0.69408129308295696</v>
      </c>
      <c r="T53" s="73">
        <f>INDEX(LUJ_2!$A:$J,MATCH('2022'!$A53,LUJ_2!$A:$A,0),MATCH('2022'!$A$1,LUJ_2!$3:$3,0))</f>
        <v>0.252</v>
      </c>
      <c r="U53" s="73">
        <f>INDEX(LUJ_3!$A:$J,MATCH('2022'!$A53,LUJ_3!$A:$A,0),MATCH('2022'!$A$1,LUJ_3!$3:$3,0))</f>
        <v>0.45862659800513794</v>
      </c>
      <c r="V53" s="14">
        <f>INDEX(LUJ_4!$A:$J,MATCH('2022'!$A53,LUJ_4!$A:$A,0),MATCH('2022'!$A$1,LUJ_4!$3:$3,0))</f>
        <v>8</v>
      </c>
      <c r="W53" s="34">
        <f>INDEX(LUJ_5!$A:$J,MATCH('2022'!$A53,LUJ_5!$A:$A,0),MATCH('2022'!$A$1,LUJ_5!$3:$3,0))</f>
        <v>47.3</v>
      </c>
      <c r="X53" s="98">
        <f>1/INDEX(GUL_1!$A:$J,MATCH('2022'!$A53,GUL_1!$A:$A,0),MATCH('2022'!$A$1,GUL_1!$3:$3,0))</f>
        <v>1.4194464158977998E-2</v>
      </c>
      <c r="Y53" s="57" t="e">
        <f>INDEX(GUL_2!$A:$J,MATCH('2022'!$A53,GUL_2!$A:$A,0),MATCH('2022'!$A$1,GUL_2!$3:$3,0))</f>
        <v>#N/A</v>
      </c>
      <c r="Z53" s="57">
        <f>INDEX(GUL_3!$A:$J,MATCH('2022'!$A53,GUL_3!$A:$A,0),MATCH('2022'!$A$1,GUL_3!$3:$3,0))/(B53/1000)</f>
        <v>1.0194349220391463</v>
      </c>
      <c r="AA53" s="101">
        <f>INDEX(GUL_4!$A:$J,MATCH('2022'!$A53,GUL_4!$A:$A,0),MATCH('2022'!$A$1,GUL_4!$3:$3,0))/B53/C53*10^6</f>
        <v>0.29182082806406068</v>
      </c>
      <c r="AB53" s="73">
        <f>INDEX(GUL_5!$A:$J,MATCH('2022'!$A53,GUL_5!$A:$A,0),MATCH('2022'!$A$1,GUL_5!$3:$3,0))</f>
        <v>1.9412362048621686E-2</v>
      </c>
      <c r="AC53" s="49" t="e">
        <f>INDEX(GUL_6!$A:$J,MATCH('2022'!$A53,GUL_6!$A:$A,0),MATCH('2022'!$A$1,GUL_6!$3:$3,0))</f>
        <v>#N/A</v>
      </c>
      <c r="AD53" s="49" t="e">
        <f>INDEX(GUL_7!$A:$J,MATCH('2022'!$A53,GUL_7!$A:$A,0),MATCH('2022'!$A$1,GUL_7!$3:$3,0))</f>
        <v>#N/A</v>
      </c>
      <c r="AE53" s="103">
        <f>INDEX(GUL_8!$A:$J,MATCH('2022'!$A53,GUL_8!$A:$A,0),MATCH('2022'!$A$1,GUL_8!$3:$3,0))/(B53/1000)</f>
        <v>2.2634910980869183</v>
      </c>
      <c r="AF53" s="41">
        <f>INDEX(DES_1!$A:$J,MATCH('2022'!$A53,DES_1!$A:$A,0),MATCH('2022'!$A$1,DES_1!$3:$3,0))/(B53/1000)</f>
        <v>0.13822846400530797</v>
      </c>
      <c r="AG53" s="100">
        <f>INDEX(DES_2!$A:$J,MATCH('2022'!$A53,DES_2!$A:$A,0),MATCH('2022'!$A$1,DES_2!$3:$3,0))/(B53/1000)</f>
        <v>0.45960964281764904</v>
      </c>
      <c r="AH53" s="57">
        <f>1/INDEX(DES_3!$A:$J,MATCH('2022'!$A53,DES_3!$A:$A,0),MATCH('2022'!$A$1,DES_3!$3:$3,0))</f>
        <v>6.6979236436704613E-3</v>
      </c>
      <c r="AI53" s="80" t="e">
        <f>INDEX(DES_4!$A:$J,MATCH('2022'!$A53,DES_4!$A:$A,0),MATCH('2022'!$A$1,DES_4!$3:$3,0))</f>
        <v>#N/A</v>
      </c>
      <c r="AJ53" s="110" t="e">
        <f>INDEX(DES_5!$A:$J,MATCH('2022'!$A53,DES_5!$A:$A,0),MATCH('2022'!$A$1,DES_5!$3:$3,0))</f>
        <v>#N/A</v>
      </c>
      <c r="AK53" s="57">
        <v>4</v>
      </c>
    </row>
    <row r="54" spans="1:37" x14ac:dyDescent="0.3">
      <c r="A54" s="29" t="s">
        <v>53</v>
      </c>
      <c r="B54" s="33">
        <f>INDEX(Population!$A:$J,MATCH('2022'!$A54,Population!$A:$A,0),MATCH('2022'!$A$1,Population!$3:$3,0))</f>
        <v>1010859</v>
      </c>
      <c r="C54" s="14">
        <f>INDEX(Income!$A:$J,MATCH('2022'!$A54,Income!$A:$A,0),MATCH('2022'!$A$1,Income!$3:$3,0))</f>
        <v>48325</v>
      </c>
      <c r="D54" s="34">
        <f>INDEX(Livable_wage!$A:$J,MATCH('2022'!$A54,Livable_wage!$A:$A,0),MATCH('2022'!$A$1,Livable_wage!$3:$3,0))</f>
        <v>16526.783095367406</v>
      </c>
      <c r="E54" s="41">
        <f>INDEX(AVA_1!$A:$J,MATCH('2022'!$A54,AVA_1!$A:$A,0),MATCH('2022'!$A$1,AVA_1!$3:$3,0))</f>
        <v>0.35499999999999998</v>
      </c>
      <c r="F54" s="15">
        <f>INDEX(AVA_2!$A:$J,MATCH('2022'!$A54,AVA_2!$A:$A,0),MATCH('2022'!$A$1,AVA_2!$3:$3,0))</f>
        <v>1.0834301191858846E-2</v>
      </c>
      <c r="G54" s="15">
        <f>INDEX(AVA_3!$A:$J,MATCH('2022'!$A54,AVA_3!$A:$A,0),MATCH('2022'!$A$1,AVA_3!$3:$3,0))</f>
        <v>4.9257898530860964E-3</v>
      </c>
      <c r="H54" s="87">
        <f>INDEX(AVA_4!$A:$J,MATCH('2022'!$A54,AVA_4!$A:$A,0),MATCH('2022'!$A$1,AVA_4!$3:$3,0))/(B54/1000)</f>
        <v>0.82800865402593238</v>
      </c>
      <c r="I54" s="89">
        <f>INDEX(AVA_5!$A:$J,MATCH('2022'!$A54,AVA_5!$A:$A,0),MATCH('2022'!$A$1,AVA_5!$3:$3,0))/(B54/1000)</f>
        <v>5.6338223233903042</v>
      </c>
      <c r="J54" s="93">
        <f>INDEX(IRA_1!$A:$J,MATCH('2022'!$A54,IRA_1!$A:$A,0),MATCH('2022'!$A$1,IRA_1!$3:$3,0))/(B54/1000)</f>
        <v>0.1117861145817567</v>
      </c>
      <c r="K54" s="88">
        <f>INDEX(IRA_2!$A:$J,MATCH('2022'!$A54,IRA_2!$A:$A,0),MATCH('2022'!$A$1,IRA_2!$3:$3,0))/(B54/1000)</f>
        <v>0.16421677009355409</v>
      </c>
      <c r="L54" s="15">
        <f>INDEX(IRA_3!$A:$J,MATCH('2022'!$A54,IRA_3!$A:$A,0),MATCH('2022'!$A$1,IRA_3!$3:$3,0))</f>
        <v>0.3212263499516641</v>
      </c>
      <c r="M54" s="96">
        <f>INDEX(IRA_4!$A:$J,MATCH('2022'!$A54,IRA_4!$A:$A,0),MATCH('2022'!$A$1,IRA_4!$3:$3,0))/(B54/1000)</f>
        <v>3.8452444900821972</v>
      </c>
      <c r="N54" s="61">
        <f>INDEX(INV_1!$A:$J,MATCH('2022'!$A54,INV_1!$A:$A,0),MATCH('2022'!$A$1,INV_1!$3:$3,0))</f>
        <v>7.1282751090852137E-2</v>
      </c>
      <c r="O54" s="80">
        <f>INDEX(INV_2!$A:$J,MATCH('2022'!$A54,INV_2!$A:$A,0),MATCH('2022'!$A$1,INV_2!$3:$3,0))/B54*10^6/C54</f>
        <v>0.61719362279924139</v>
      </c>
      <c r="P54" s="87">
        <f>INDEX(INV_3!$A:$J,MATCH('2022'!$A54,INV_3!$A:$A,0),MATCH('2022'!$A$1,INV_3!$3:$3,0))/B54*10^6/C54</f>
        <v>4.5442187363979469</v>
      </c>
      <c r="Q54" s="87">
        <f>INDEX(INV_4!$A:$J,MATCH('2022'!$A54,INV_4!$A:$A,0),MATCH('2022'!$A$1,INV_4!$3:$3,0))/B54*10^3/C54</f>
        <v>0.20944086406784773</v>
      </c>
      <c r="R54" s="34">
        <f>INDEX(INV_5!$A:$J,MATCH('2022'!$A54,INV_5!$A:$A,0),MATCH('2022'!$A$1,INV_5!$3:$3,0))</f>
        <v>3.6499999999999998E-2</v>
      </c>
      <c r="S54" s="77">
        <f>INDEX(LUJ_1!$A:$J,MATCH('2022'!$A54,LUJ_1!$A:$A,0),MATCH('2022'!$A$1,LUJ_1!$3:$3,0))</f>
        <v>0.70252123869553307</v>
      </c>
      <c r="T54" s="73">
        <f>INDEX(LUJ_2!$A:$J,MATCH('2022'!$A54,LUJ_2!$A:$A,0),MATCH('2022'!$A$1,LUJ_2!$3:$3,0))</f>
        <v>0.25800000000000001</v>
      </c>
      <c r="U54" s="73">
        <f>INDEX(LUJ_3!$A:$J,MATCH('2022'!$A54,LUJ_3!$A:$A,0),MATCH('2022'!$A$1,LUJ_3!$3:$3,0))</f>
        <v>0.56841847360039199</v>
      </c>
      <c r="V54" s="14">
        <f>INDEX(LUJ_4!$A:$J,MATCH('2022'!$A54,LUJ_4!$A:$A,0),MATCH('2022'!$A$1,LUJ_4!$3:$3,0))</f>
        <v>17</v>
      </c>
      <c r="W54" s="34">
        <f>INDEX(LUJ_5!$A:$J,MATCH('2022'!$A54,LUJ_5!$A:$A,0),MATCH('2022'!$A$1,LUJ_5!$3:$3,0))</f>
        <v>15.7</v>
      </c>
      <c r="X54" s="98">
        <f>1/INDEX(GUL_1!$A:$J,MATCH('2022'!$A54,GUL_1!$A:$A,0),MATCH('2022'!$A$1,GUL_1!$3:$3,0))</f>
        <v>1.4098406880022556E-2</v>
      </c>
      <c r="Y54" s="57" t="e">
        <f>INDEX(GUL_2!$A:$J,MATCH('2022'!$A54,GUL_2!$A:$A,0),MATCH('2022'!$A$1,GUL_2!$3:$3,0))</f>
        <v>#N/A</v>
      </c>
      <c r="Z54" s="57">
        <f>INDEX(GUL_3!$A:$J,MATCH('2022'!$A54,GUL_3!$A:$A,0),MATCH('2022'!$A$1,GUL_3!$3:$3,0))/(B54/1000)</f>
        <v>0.74688952663032127</v>
      </c>
      <c r="AA54" s="101">
        <f>INDEX(GUL_4!$A:$J,MATCH('2022'!$A54,GUL_4!$A:$A,0),MATCH('2022'!$A$1,GUL_4!$3:$3,0))/B54/C54*10^6</f>
        <v>0.41216148279357484</v>
      </c>
      <c r="AB54" s="73">
        <f>INDEX(GUL_5!$A:$J,MATCH('2022'!$A54,GUL_5!$A:$A,0),MATCH('2022'!$A$1,GUL_5!$3:$3,0))</f>
        <v>2.4942871631359238E-2</v>
      </c>
      <c r="AC54" s="49" t="e">
        <f>INDEX(GUL_6!$A:$J,MATCH('2022'!$A54,GUL_6!$A:$A,0),MATCH('2022'!$A$1,GUL_6!$3:$3,0))</f>
        <v>#N/A</v>
      </c>
      <c r="AD54" s="49" t="e">
        <f>INDEX(GUL_7!$A:$J,MATCH('2022'!$A54,GUL_7!$A:$A,0),MATCH('2022'!$A$1,GUL_7!$3:$3,0))</f>
        <v>#N/A</v>
      </c>
      <c r="AE54" s="103">
        <f>INDEX(GUL_8!$A:$J,MATCH('2022'!$A54,GUL_8!$A:$A,0),MATCH('2022'!$A$1,GUL_8!$3:$3,0))/(B54/1000)</f>
        <v>2.5532739976594163</v>
      </c>
      <c r="AF54" s="41">
        <f>INDEX(DES_1!$A:$J,MATCH('2022'!$A54,DES_1!$A:$A,0),MATCH('2022'!$A$1,DES_1!$3:$3,0))/(B54/1000)</f>
        <v>0.19587301493086573</v>
      </c>
      <c r="AG54" s="100">
        <f>INDEX(DES_2!$A:$J,MATCH('2022'!$A54,DES_2!$A:$A,0),MATCH('2022'!$A$1,DES_2!$3:$3,0))/(B54/1000)</f>
        <v>0.38086419569890556</v>
      </c>
      <c r="AH54" s="57">
        <f>1/INDEX(DES_3!$A:$J,MATCH('2022'!$A54,DES_3!$A:$A,0),MATCH('2022'!$A$1,DES_3!$3:$3,0))</f>
        <v>7.8125E-3</v>
      </c>
      <c r="AI54" s="80" t="e">
        <f>INDEX(DES_4!$A:$J,MATCH('2022'!$A54,DES_4!$A:$A,0),MATCH('2022'!$A$1,DES_4!$3:$3,0))</f>
        <v>#N/A</v>
      </c>
      <c r="AJ54" s="110" t="e">
        <f>INDEX(DES_5!$A:$J,MATCH('2022'!$A54,DES_5!$A:$A,0),MATCH('2022'!$A$1,DES_5!$3:$3,0))</f>
        <v>#N/A</v>
      </c>
      <c r="AK54" s="57">
        <v>2</v>
      </c>
    </row>
    <row r="55" spans="1:37" x14ac:dyDescent="0.3">
      <c r="A55" s="29" t="s">
        <v>54</v>
      </c>
      <c r="B55" s="33">
        <f>INDEX(Population!$A:$J,MATCH('2022'!$A55,Population!$A:$A,0),MATCH('2022'!$A$1,Population!$3:$3,0))</f>
        <v>3095367</v>
      </c>
      <c r="C55" s="14">
        <f>INDEX(Income!$A:$J,MATCH('2022'!$A55,Income!$A:$A,0),MATCH('2022'!$A$1,Income!$3:$3,0))</f>
        <v>43214</v>
      </c>
      <c r="D55" s="34">
        <f>INDEX(Livable_wage!$A:$J,MATCH('2022'!$A55,Livable_wage!$A:$A,0),MATCH('2022'!$A$1,Livable_wage!$3:$3,0))</f>
        <v>13085</v>
      </c>
      <c r="E55" s="41">
        <f>INDEX(AVA_1!$A:$J,MATCH('2022'!$A55,AVA_1!$A:$A,0),MATCH('2022'!$A$1,AVA_1!$3:$3,0))</f>
        <v>0.38400000000000001</v>
      </c>
      <c r="F55" s="15">
        <f>INDEX(AVA_2!$A:$J,MATCH('2022'!$A55,AVA_2!$A:$A,0),MATCH('2022'!$A$1,AVA_2!$3:$3,0))</f>
        <v>1.3473492547425475E-2</v>
      </c>
      <c r="G55" s="15">
        <f>INDEX(AVA_3!$A:$J,MATCH('2022'!$A55,AVA_3!$A:$A,0),MATCH('2022'!$A$1,AVA_3!$3:$3,0))</f>
        <v>3.1837722340707926E-2</v>
      </c>
      <c r="H55" s="87">
        <f>INDEX(AVA_4!$A:$J,MATCH('2022'!$A55,AVA_4!$A:$A,0),MATCH('2022'!$A$1,AVA_4!$3:$3,0))/(B55/1000)</f>
        <v>0.81799670281423809</v>
      </c>
      <c r="I55" s="89">
        <f>INDEX(AVA_5!$A:$J,MATCH('2022'!$A55,AVA_5!$A:$A,0),MATCH('2022'!$A$1,AVA_5!$3:$3,0))/(B55/1000)</f>
        <v>4.3930170477361807</v>
      </c>
      <c r="J55" s="93">
        <f>INDEX(IRA_1!$A:$J,MATCH('2022'!$A55,IRA_1!$A:$A,0),MATCH('2022'!$A$1,IRA_1!$3:$3,0))/(B55/1000)</f>
        <v>5.2013218464886393E-2</v>
      </c>
      <c r="K55" s="88">
        <f>INDEX(IRA_2!$A:$J,MATCH('2022'!$A55,IRA_2!$A:$A,0),MATCH('2022'!$A$1,IRA_2!$3:$3,0))/(B55/1000)</f>
        <v>0.10758013508575881</v>
      </c>
      <c r="L55" s="15">
        <f>INDEX(IRA_3!$A:$J,MATCH('2022'!$A55,IRA_3!$A:$A,0),MATCH('2022'!$A$1,IRA_3!$3:$3,0))</f>
        <v>0.4340698970559308</v>
      </c>
      <c r="M55" s="96">
        <f>INDEX(IRA_4!$A:$J,MATCH('2022'!$A55,IRA_4!$A:$A,0),MATCH('2022'!$A$1,IRA_4!$3:$3,0))/(B55/1000)</f>
        <v>3.7875961073436524</v>
      </c>
      <c r="N55" s="61">
        <f>INDEX(INV_1!$A:$J,MATCH('2022'!$A55,INV_1!$A:$A,0),MATCH('2022'!$A$1,INV_1!$3:$3,0))</f>
        <v>9.1256275470341222E-2</v>
      </c>
      <c r="O55" s="80">
        <f>INDEX(INV_2!$A:$J,MATCH('2022'!$A55,INV_2!$A:$A,0),MATCH('2022'!$A$1,INV_2!$3:$3,0))/B55*10^6/C55</f>
        <v>0.48656473145346568</v>
      </c>
      <c r="P55" s="87">
        <f>INDEX(INV_3!$A:$J,MATCH('2022'!$A55,INV_3!$A:$A,0),MATCH('2022'!$A$1,INV_3!$3:$3,0))/B55*10^6/C55</f>
        <v>3.4364312154011221</v>
      </c>
      <c r="Q55" s="87">
        <f>INDEX(INV_4!$A:$J,MATCH('2022'!$A55,INV_4!$A:$A,0),MATCH('2022'!$A$1,INV_4!$3:$3,0))/B55*10^3/C55</f>
        <v>0.19857522007169354</v>
      </c>
      <c r="R55" s="34">
        <f>INDEX(INV_5!$A:$J,MATCH('2022'!$A55,INV_5!$A:$A,0),MATCH('2022'!$A$1,INV_5!$3:$3,0))</f>
        <v>8.6099999999999996E-2</v>
      </c>
      <c r="S55" s="77">
        <f>INDEX(LUJ_1!$A:$J,MATCH('2022'!$A55,LUJ_1!$A:$A,0),MATCH('2022'!$A$1,LUJ_1!$3:$3,0))</f>
        <v>0.60812201740432303</v>
      </c>
      <c r="T55" s="73">
        <f>INDEX(LUJ_2!$A:$J,MATCH('2022'!$A55,LUJ_2!$A:$A,0),MATCH('2022'!$A$1,LUJ_2!$3:$3,0))</f>
        <v>0.17300000000000001</v>
      </c>
      <c r="U55" s="73">
        <f>INDEX(LUJ_3!$A:$J,MATCH('2022'!$A55,LUJ_3!$A:$A,0),MATCH('2022'!$A$1,LUJ_3!$3:$3,0))</f>
        <v>0.47078129633627097</v>
      </c>
      <c r="V55" s="14">
        <f>INDEX(LUJ_4!$A:$J,MATCH('2022'!$A55,LUJ_4!$A:$A,0),MATCH('2022'!$A$1,LUJ_4!$3:$3,0))</f>
        <v>61</v>
      </c>
      <c r="W55" s="34">
        <f>INDEX(LUJ_5!$A:$J,MATCH('2022'!$A55,LUJ_5!$A:$A,0),MATCH('2022'!$A$1,LUJ_5!$3:$3,0))</f>
        <v>54.6</v>
      </c>
      <c r="X55" s="98">
        <f>1/INDEX(GUL_1!$A:$J,MATCH('2022'!$A55,GUL_1!$A:$A,0),MATCH('2022'!$A$1,GUL_1!$3:$3,0))</f>
        <v>1.3987970345502868E-2</v>
      </c>
      <c r="Y55" s="57" t="e">
        <f>INDEX(GUL_2!$A:$J,MATCH('2022'!$A55,GUL_2!$A:$A,0),MATCH('2022'!$A$1,GUL_2!$3:$3,0))</f>
        <v>#N/A</v>
      </c>
      <c r="Z55" s="57">
        <f>INDEX(GUL_3!$A:$J,MATCH('2022'!$A55,GUL_3!$A:$A,0),MATCH('2022'!$A$1,GUL_3!$3:$3,0))/(B55/1000)</f>
        <v>0.95077578846062516</v>
      </c>
      <c r="AA55" s="101">
        <f>INDEX(GUL_4!$A:$J,MATCH('2022'!$A55,GUL_4!$A:$A,0),MATCH('2022'!$A$1,GUL_4!$3:$3,0))/B55/C55*10^6</f>
        <v>0.23970645519701184</v>
      </c>
      <c r="AB55" s="73">
        <f>INDEX(GUL_5!$A:$J,MATCH('2022'!$A55,GUL_5!$A:$A,0),MATCH('2022'!$A$1,GUL_5!$3:$3,0))</f>
        <v>3.6692081302873179E-2</v>
      </c>
      <c r="AC55" s="49" t="e">
        <f>INDEX(GUL_6!$A:$J,MATCH('2022'!$A55,GUL_6!$A:$A,0),MATCH('2022'!$A$1,GUL_6!$3:$3,0))</f>
        <v>#N/A</v>
      </c>
      <c r="AD55" s="49" t="e">
        <f>INDEX(GUL_7!$A:$J,MATCH('2022'!$A55,GUL_7!$A:$A,0),MATCH('2022'!$A$1,GUL_7!$3:$3,0))</f>
        <v>#N/A</v>
      </c>
      <c r="AE55" s="103">
        <f>INDEX(GUL_8!$A:$J,MATCH('2022'!$A55,GUL_8!$A:$A,0),MATCH('2022'!$A$1,GUL_8!$3:$3,0))/(B55/1000)</f>
        <v>1.5313208417612514</v>
      </c>
      <c r="AF55" s="41">
        <f>INDEX(DES_1!$A:$J,MATCH('2022'!$A55,DES_1!$A:$A,0),MATCH('2022'!$A$1,DES_1!$3:$3,0))/(B55/1000)</f>
        <v>8.625794614984264E-2</v>
      </c>
      <c r="AG55" s="100">
        <f>INDEX(DES_2!$A:$J,MATCH('2022'!$A55,DES_2!$A:$A,0),MATCH('2022'!$A$1,DES_2!$3:$3,0))/(B55/1000)</f>
        <v>0.38315327390903886</v>
      </c>
      <c r="AH55" s="57">
        <f>1/INDEX(DES_3!$A:$J,MATCH('2022'!$A55,DES_3!$A:$A,0),MATCH('2022'!$A$1,DES_3!$3:$3,0))</f>
        <v>7.6923076923076927E-3</v>
      </c>
      <c r="AI55" s="80" t="e">
        <f>INDEX(DES_4!$A:$J,MATCH('2022'!$A55,DES_4!$A:$A,0),MATCH('2022'!$A$1,DES_4!$3:$3,0))</f>
        <v>#N/A</v>
      </c>
      <c r="AJ55" s="110" t="e">
        <f>INDEX(DES_5!$A:$J,MATCH('2022'!$A55,DES_5!$A:$A,0),MATCH('2022'!$A$1,DES_5!$3:$3,0))</f>
        <v>#N/A</v>
      </c>
      <c r="AK55" s="57">
        <v>62</v>
      </c>
    </row>
    <row r="56" spans="1:37" x14ac:dyDescent="0.3">
      <c r="A56" s="29" t="s">
        <v>55</v>
      </c>
      <c r="B56" s="33">
        <f>INDEX(Population!$A:$J,MATCH('2022'!$A56,Population!$A:$A,0),MATCH('2022'!$A$1,Population!$3:$3,0))</f>
        <v>766959</v>
      </c>
      <c r="C56" s="14">
        <f>INDEX(Income!$A:$J,MATCH('2022'!$A56,Income!$A:$A,0),MATCH('2022'!$A$1,Income!$3:$3,0))</f>
        <v>28401</v>
      </c>
      <c r="D56" s="34">
        <f>INDEX(Livable_wage!$A:$J,MATCH('2022'!$A56,Livable_wage!$A:$A,0),MATCH('2022'!$A$1,Livable_wage!$3:$3,0))</f>
        <v>13085</v>
      </c>
      <c r="E56" s="41">
        <f>INDEX(AVA_1!$A:$J,MATCH('2022'!$A56,AVA_1!$A:$A,0),MATCH('2022'!$A$1,AVA_1!$3:$3,0))</f>
        <v>0.33700000000000002</v>
      </c>
      <c r="F56" s="15">
        <f>INDEX(AVA_2!$A:$J,MATCH('2022'!$A56,AVA_2!$A:$A,0),MATCH('2022'!$A$1,AVA_2!$3:$3,0))</f>
        <v>6.7421773352055346E-3</v>
      </c>
      <c r="G56" s="15">
        <f>INDEX(AVA_3!$A:$J,MATCH('2022'!$A56,AVA_3!$A:$A,0),MATCH('2022'!$A$1,AVA_3!$3:$3,0))</f>
        <v>2.9877467420597936E-2</v>
      </c>
      <c r="H56" s="87">
        <f>INDEX(AVA_4!$A:$J,MATCH('2022'!$A56,AVA_4!$A:$A,0),MATCH('2022'!$A$1,AVA_4!$3:$3,0))/(B56/1000)</f>
        <v>0.93746862609344184</v>
      </c>
      <c r="I56" s="89">
        <f>INDEX(AVA_5!$A:$J,MATCH('2022'!$A56,AVA_5!$A:$A,0),MATCH('2022'!$A$1,AVA_5!$3:$3,0))/(B56/1000)</f>
        <v>5.0328635559397572</v>
      </c>
      <c r="J56" s="93">
        <f>INDEX(IRA_1!$A:$J,MATCH('2022'!$A56,IRA_1!$A:$A,0),MATCH('2022'!$A$1,IRA_1!$3:$3,0))/(B56/1000)</f>
        <v>9.3877247675560244E-2</v>
      </c>
      <c r="K56" s="88">
        <f>INDEX(IRA_2!$A:$J,MATCH('2022'!$A56,IRA_2!$A:$A,0),MATCH('2022'!$A$1,IRA_2!$3:$3,0))/(B56/1000)</f>
        <v>0.1264735142295742</v>
      </c>
      <c r="L56" s="15">
        <f>INDEX(IRA_3!$A:$J,MATCH('2022'!$A56,IRA_3!$A:$A,0),MATCH('2022'!$A$1,IRA_3!$3:$3,0))</f>
        <v>0.32086614173228345</v>
      </c>
      <c r="M56" s="96">
        <f>INDEX(IRA_4!$A:$J,MATCH('2022'!$A56,IRA_4!$A:$A,0),MATCH('2022'!$A$1,IRA_4!$3:$3,0))/(B56/1000)</f>
        <v>4.2753263212244725</v>
      </c>
      <c r="N56" s="61">
        <f>INDEX(INV_1!$A:$J,MATCH('2022'!$A56,INV_1!$A:$A,0),MATCH('2022'!$A$1,INV_1!$3:$3,0))</f>
        <v>6.9287342542803096E-2</v>
      </c>
      <c r="O56" s="80">
        <f>INDEX(INV_2!$A:$J,MATCH('2022'!$A56,INV_2!$A:$A,0),MATCH('2022'!$A$1,INV_2!$3:$3,0))/B56*10^6/C56</f>
        <v>0.61033755498789444</v>
      </c>
      <c r="P56" s="87">
        <f>INDEX(INV_3!$A:$J,MATCH('2022'!$A56,INV_3!$A:$A,0),MATCH('2022'!$A$1,INV_3!$3:$3,0))/B56*10^6/C56</f>
        <v>5.457249248700748</v>
      </c>
      <c r="Q56" s="87">
        <f>INDEX(INV_4!$A:$J,MATCH('2022'!$A56,INV_4!$A:$A,0),MATCH('2022'!$A$1,INV_4!$3:$3,0))/B56*10^3/C56</f>
        <v>0.26051843384261275</v>
      </c>
      <c r="R56" s="34">
        <f>INDEX(INV_5!$A:$J,MATCH('2022'!$A56,INV_5!$A:$A,0),MATCH('2022'!$A$1,INV_5!$3:$3,0))</f>
        <v>3.3500000000000002E-2</v>
      </c>
      <c r="S56" s="77">
        <f>INDEX(LUJ_1!$A:$J,MATCH('2022'!$A56,LUJ_1!$A:$A,0),MATCH('2022'!$A$1,LUJ_1!$3:$3,0))</f>
        <v>0.79949922958397535</v>
      </c>
      <c r="T56" s="73">
        <f>INDEX(LUJ_2!$A:$J,MATCH('2022'!$A56,LUJ_2!$A:$A,0),MATCH('2022'!$A$1,LUJ_2!$3:$3,0))</f>
        <v>0.254</v>
      </c>
      <c r="U56" s="73">
        <f>INDEX(LUJ_3!$A:$J,MATCH('2022'!$A56,LUJ_3!$A:$A,0),MATCH('2022'!$A$1,LUJ_3!$3:$3,0))</f>
        <v>0.71724355934882256</v>
      </c>
      <c r="V56" s="14">
        <f>INDEX(LUJ_4!$A:$J,MATCH('2022'!$A56,LUJ_4!$A:$A,0),MATCH('2022'!$A$1,LUJ_4!$3:$3,0))</f>
        <v>29</v>
      </c>
      <c r="W56" s="34">
        <f>INDEX(LUJ_5!$A:$J,MATCH('2022'!$A56,LUJ_5!$A:$A,0),MATCH('2022'!$A$1,LUJ_5!$3:$3,0))</f>
        <v>58.7</v>
      </c>
      <c r="X56" s="98">
        <f>1/INDEX(GUL_1!$A:$J,MATCH('2022'!$A56,GUL_1!$A:$A,0),MATCH('2022'!$A$1,GUL_1!$3:$3,0))</f>
        <v>1.4310246136233544E-2</v>
      </c>
      <c r="Y56" s="57" t="e">
        <f>INDEX(GUL_2!$A:$J,MATCH('2022'!$A56,GUL_2!$A:$A,0),MATCH('2022'!$A$1,GUL_2!$3:$3,0))</f>
        <v>#N/A</v>
      </c>
      <c r="Z56" s="57">
        <f>INDEX(GUL_3!$A:$J,MATCH('2022'!$A56,GUL_3!$A:$A,0),MATCH('2022'!$A$1,GUL_3!$3:$3,0))/(B56/1000)</f>
        <v>0.80708355987738589</v>
      </c>
      <c r="AA56" s="101">
        <f>INDEX(GUL_4!$A:$J,MATCH('2022'!$A56,GUL_4!$A:$A,0),MATCH('2022'!$A$1,GUL_4!$3:$3,0))/B56/C56*10^6</f>
        <v>0.20799312599831013</v>
      </c>
      <c r="AB56" s="73">
        <f>INDEX(GUL_5!$A:$J,MATCH('2022'!$A56,GUL_5!$A:$A,0),MATCH('2022'!$A$1,GUL_5!$3:$3,0))</f>
        <v>3.2754249918169227E-2</v>
      </c>
      <c r="AC56" s="49" t="e">
        <f>INDEX(GUL_6!$A:$J,MATCH('2022'!$A56,GUL_6!$A:$A,0),MATCH('2022'!$A$1,GUL_6!$3:$3,0))</f>
        <v>#N/A</v>
      </c>
      <c r="AD56" s="49" t="e">
        <f>INDEX(GUL_7!$A:$J,MATCH('2022'!$A56,GUL_7!$A:$A,0),MATCH('2022'!$A$1,GUL_7!$3:$3,0))</f>
        <v>#N/A</v>
      </c>
      <c r="AE56" s="103">
        <f>INDEX(GUL_8!$A:$J,MATCH('2022'!$A56,GUL_8!$A:$A,0),MATCH('2022'!$A$1,GUL_8!$3:$3,0))/(B56/1000)</f>
        <v>3.2413727461311495</v>
      </c>
      <c r="AF56" s="41">
        <f>INDEX(DES_1!$A:$J,MATCH('2022'!$A56,DES_1!$A:$A,0),MATCH('2022'!$A$1,DES_1!$3:$3,0))/(B56/1000)</f>
        <v>0.26859323640507515</v>
      </c>
      <c r="AG56" s="100">
        <f>INDEX(DES_2!$A:$J,MATCH('2022'!$A56,DES_2!$A:$A,0),MATCH('2022'!$A$1,DES_2!$3:$3,0))/(B56/1000)</f>
        <v>0.49937480360749403</v>
      </c>
      <c r="AH56" s="57">
        <f>1/INDEX(DES_3!$A:$J,MATCH('2022'!$A56,DES_3!$A:$A,0),MATCH('2022'!$A$1,DES_3!$3:$3,0))</f>
        <v>8.3194675540765387E-3</v>
      </c>
      <c r="AI56" s="80" t="e">
        <f>INDEX(DES_4!$A:$J,MATCH('2022'!$A56,DES_4!$A:$A,0),MATCH('2022'!$A$1,DES_4!$3:$3,0))</f>
        <v>#N/A</v>
      </c>
      <c r="AJ56" s="110" t="e">
        <f>INDEX(DES_5!$A:$J,MATCH('2022'!$A56,DES_5!$A:$A,0),MATCH('2022'!$A$1,DES_5!$3:$3,0))</f>
        <v>#N/A</v>
      </c>
      <c r="AK56" s="57">
        <v>1</v>
      </c>
    </row>
    <row r="57" spans="1:37" x14ac:dyDescent="0.3">
      <c r="A57" s="29" t="s">
        <v>56</v>
      </c>
      <c r="B57" s="33">
        <f>INDEX(Population!$A:$J,MATCH('2022'!$A57,Population!$A:$A,0),MATCH('2022'!$A$1,Population!$3:$3,0))</f>
        <v>1072595</v>
      </c>
      <c r="C57" s="14">
        <f>INDEX(Income!$A:$J,MATCH('2022'!$A57,Income!$A:$A,0),MATCH('2022'!$A$1,Income!$3:$3,0))</f>
        <v>37600</v>
      </c>
      <c r="D57" s="34">
        <f>INDEX(Livable_wage!$A:$J,MATCH('2022'!$A57,Livable_wage!$A:$A,0),MATCH('2022'!$A$1,Livable_wage!$3:$3,0))</f>
        <v>12110</v>
      </c>
      <c r="E57" s="41">
        <f>INDEX(AVA_1!$A:$J,MATCH('2022'!$A57,AVA_1!$A:$A,0),MATCH('2022'!$A$1,AVA_1!$3:$3,0))</f>
        <v>0.35599999999999998</v>
      </c>
      <c r="F57" s="15">
        <f>INDEX(AVA_2!$A:$J,MATCH('2022'!$A57,AVA_2!$A:$A,0),MATCH('2022'!$A$1,AVA_2!$3:$3,0))</f>
        <v>7.3557033007318369E-3</v>
      </c>
      <c r="G57" s="15">
        <f>INDEX(AVA_3!$A:$J,MATCH('2022'!$A57,AVA_3!$A:$A,0),MATCH('2022'!$A$1,AVA_3!$3:$3,0))</f>
        <v>4.6717956469472651E-3</v>
      </c>
      <c r="H57" s="87">
        <f>INDEX(AVA_4!$A:$J,MATCH('2022'!$A57,AVA_4!$A:$A,0),MATCH('2022'!$A$1,AVA_4!$3:$3,0))/(B57/1000)</f>
        <v>0.83908651448123472</v>
      </c>
      <c r="I57" s="89">
        <f>INDEX(AVA_5!$A:$J,MATCH('2022'!$A57,AVA_5!$A:$A,0),MATCH('2022'!$A$1,AVA_5!$3:$3,0))/(B57/1000)</f>
        <v>4.1189824677534386</v>
      </c>
      <c r="J57" s="93">
        <f>INDEX(IRA_1!$A:$J,MATCH('2022'!$A57,IRA_1!$A:$A,0),MATCH('2022'!$A$1,IRA_1!$3:$3,0))/(B57/1000)</f>
        <v>8.2976333098699881E-2</v>
      </c>
      <c r="K57" s="88">
        <f>INDEX(IRA_2!$A:$J,MATCH('2022'!$A57,IRA_2!$A:$A,0),MATCH('2022'!$A$1,IRA_2!$3:$3,0))/(B57/1000)</f>
        <v>9.3231834942359412E-2</v>
      </c>
      <c r="L57" s="15">
        <f>INDEX(IRA_3!$A:$J,MATCH('2022'!$A57,IRA_3!$A:$A,0),MATCH('2022'!$A$1,IRA_3!$3:$3,0))</f>
        <v>0.37662557000506669</v>
      </c>
      <c r="M57" s="96">
        <f>INDEX(IRA_4!$A:$J,MATCH('2022'!$A57,IRA_4!$A:$A,0),MATCH('2022'!$A$1,IRA_4!$3:$3,0))/(B57/1000)</f>
        <v>3.7926710454551809</v>
      </c>
      <c r="N57" s="61">
        <f>INDEX(INV_1!$A:$J,MATCH('2022'!$A57,INV_1!$A:$A,0),MATCH('2022'!$A$1,INV_1!$3:$3,0))</f>
        <v>8.5197271371115768E-2</v>
      </c>
      <c r="O57" s="80">
        <f>INDEX(INV_2!$A:$J,MATCH('2022'!$A57,INV_2!$A:$A,0),MATCH('2022'!$A$1,INV_2!$3:$3,0))/B57*10^6/C57</f>
        <v>0.68505619870771106</v>
      </c>
      <c r="P57" s="87">
        <f>INDEX(INV_3!$A:$J,MATCH('2022'!$A57,INV_3!$A:$A,0),MATCH('2022'!$A$1,INV_3!$3:$3,0))/B57*10^6/C57</f>
        <v>3.736960064936965</v>
      </c>
      <c r="Q57" s="87">
        <f>INDEX(INV_4!$A:$J,MATCH('2022'!$A57,INV_4!$A:$A,0),MATCH('2022'!$A$1,INV_4!$3:$3,0))/B57*10^3/C57</f>
        <v>0.20425510590590945</v>
      </c>
      <c r="R57" s="34">
        <f>INDEX(INV_5!$A:$J,MATCH('2022'!$A57,INV_5!$A:$A,0),MATCH('2022'!$A$1,INV_5!$3:$3,0))</f>
        <v>5.0299999999999997E-2</v>
      </c>
      <c r="S57" s="77">
        <f>INDEX(LUJ_1!$A:$J,MATCH('2022'!$A57,LUJ_1!$A:$A,0),MATCH('2022'!$A$1,LUJ_1!$3:$3,0))</f>
        <v>0.66804315971759687</v>
      </c>
      <c r="T57" s="73">
        <f>INDEX(LUJ_2!$A:$J,MATCH('2022'!$A57,LUJ_2!$A:$A,0),MATCH('2022'!$A$1,LUJ_2!$3:$3,0))</f>
        <v>0.17899999999999999</v>
      </c>
      <c r="U57" s="73">
        <f>INDEX(LUJ_3!$A:$J,MATCH('2022'!$A57,LUJ_3!$A:$A,0),MATCH('2022'!$A$1,LUJ_3!$3:$3,0))</f>
        <v>0.41473895213650924</v>
      </c>
      <c r="V57" s="14">
        <f>INDEX(LUJ_4!$A:$J,MATCH('2022'!$A57,LUJ_4!$A:$A,0),MATCH('2022'!$A$1,LUJ_4!$3:$3,0))</f>
        <v>34</v>
      </c>
      <c r="W57" s="34">
        <f>INDEX(LUJ_5!$A:$J,MATCH('2022'!$A57,LUJ_5!$A:$A,0),MATCH('2022'!$A$1,LUJ_5!$3:$3,0))</f>
        <v>18.8</v>
      </c>
      <c r="X57" s="98">
        <f>1/INDEX(GUL_1!$A:$J,MATCH('2022'!$A57,GUL_1!$A:$A,0),MATCH('2022'!$A$1,GUL_1!$3:$3,0))</f>
        <v>1.3978194017332959E-2</v>
      </c>
      <c r="Y57" s="57" t="e">
        <f>INDEX(GUL_2!$A:$J,MATCH('2022'!$A57,GUL_2!$A:$A,0),MATCH('2022'!$A$1,GUL_2!$3:$3,0))</f>
        <v>#N/A</v>
      </c>
      <c r="Z57" s="57">
        <f>INDEX(GUL_3!$A:$J,MATCH('2022'!$A57,GUL_3!$A:$A,0),MATCH('2022'!$A$1,GUL_3!$3:$3,0))/(B57/1000)</f>
        <v>0.87637924845817849</v>
      </c>
      <c r="AA57" s="101">
        <f>INDEX(GUL_4!$A:$J,MATCH('2022'!$A57,GUL_4!$A:$A,0),MATCH('2022'!$A$1,GUL_4!$3:$3,0))/B57/C57*10^6</f>
        <v>0.19247142022732103</v>
      </c>
      <c r="AB57" s="73">
        <f>INDEX(GUL_5!$A:$J,MATCH('2022'!$A57,GUL_5!$A:$A,0),MATCH('2022'!$A$1,GUL_5!$3:$3,0))</f>
        <v>3.5647607885646755E-2</v>
      </c>
      <c r="AC57" s="49" t="e">
        <f>INDEX(GUL_6!$A:$J,MATCH('2022'!$A57,GUL_6!$A:$A,0),MATCH('2022'!$A$1,GUL_6!$3:$3,0))</f>
        <v>#N/A</v>
      </c>
      <c r="AD57" s="49" t="e">
        <f>INDEX(GUL_7!$A:$J,MATCH('2022'!$A57,GUL_7!$A:$A,0),MATCH('2022'!$A$1,GUL_7!$3:$3,0))</f>
        <v>#N/A</v>
      </c>
      <c r="AE57" s="103">
        <f>INDEX(GUL_8!$A:$J,MATCH('2022'!$A57,GUL_8!$A:$A,0),MATCH('2022'!$A$1,GUL_8!$3:$3,0))/(B57/1000)</f>
        <v>1.6464742050820673</v>
      </c>
      <c r="AF57" s="41">
        <f>INDEX(DES_1!$A:$J,MATCH('2022'!$A57,DES_1!$A:$A,0),MATCH('2022'!$A$1,DES_1!$3:$3,0))/(B57/1000)</f>
        <v>4.7548235820603302E-2</v>
      </c>
      <c r="AG57" s="100">
        <f>INDEX(DES_2!$A:$J,MATCH('2022'!$A57,DES_2!$A:$A,0),MATCH('2022'!$A$1,DES_2!$3:$3,0))/(B57/1000)</f>
        <v>0.40649080034868706</v>
      </c>
      <c r="AH57" s="57">
        <f>1/INDEX(DES_3!$A:$J,MATCH('2022'!$A57,DES_3!$A:$A,0),MATCH('2022'!$A$1,DES_3!$3:$3,0))</f>
        <v>7.215007215007215E-3</v>
      </c>
      <c r="AI57" s="80" t="e">
        <f>INDEX(DES_4!$A:$J,MATCH('2022'!$A57,DES_4!$A:$A,0),MATCH('2022'!$A$1,DES_4!$3:$3,0))</f>
        <v>#N/A</v>
      </c>
      <c r="AJ57" s="110" t="e">
        <f>INDEX(DES_5!$A:$J,MATCH('2022'!$A57,DES_5!$A:$A,0),MATCH('2022'!$A$1,DES_5!$3:$3,0))</f>
        <v>#N/A</v>
      </c>
      <c r="AK57" s="57">
        <v>5</v>
      </c>
    </row>
    <row r="58" spans="1:37" x14ac:dyDescent="0.3">
      <c r="A58" s="29" t="s">
        <v>57</v>
      </c>
      <c r="B58" s="33">
        <f>INDEX(Population!$A:$J,MATCH('2022'!$A58,Population!$A:$A,0),MATCH('2022'!$A$1,Population!$3:$3,0))</f>
        <v>996474</v>
      </c>
      <c r="C58" s="14">
        <f>INDEX(Income!$A:$J,MATCH('2022'!$A58,Income!$A:$A,0),MATCH('2022'!$A$1,Income!$3:$3,0))</f>
        <v>35429</v>
      </c>
      <c r="D58" s="34">
        <f>INDEX(Livable_wage!$A:$J,MATCH('2022'!$A58,Livable_wage!$A:$A,0),MATCH('2022'!$A$1,Livable_wage!$3:$3,0))</f>
        <v>16286</v>
      </c>
      <c r="E58" s="41">
        <f>INDEX(AVA_1!$A:$J,MATCH('2022'!$A58,AVA_1!$A:$A,0),MATCH('2022'!$A$1,AVA_1!$3:$3,0))</f>
        <v>0.34799999999999998</v>
      </c>
      <c r="F58" s="15">
        <f>INDEX(AVA_2!$A:$J,MATCH('2022'!$A58,AVA_2!$A:$A,0),MATCH('2022'!$A$1,AVA_2!$3:$3,0))</f>
        <v>8.2099485645736447E-3</v>
      </c>
      <c r="G58" s="15">
        <f>INDEX(AVA_3!$A:$J,MATCH('2022'!$A58,AVA_3!$A:$A,0),MATCH('2022'!$A$1,AVA_3!$3:$3,0))</f>
        <v>8.8629572790594E-3</v>
      </c>
      <c r="H58" s="87">
        <f>INDEX(AVA_4!$A:$J,MATCH('2022'!$A58,AVA_4!$A:$A,0),MATCH('2022'!$A$1,AVA_4!$3:$3,0))/(B58/1000)</f>
        <v>0.50176923833436693</v>
      </c>
      <c r="I58" s="89">
        <f>INDEX(AVA_5!$A:$J,MATCH('2022'!$A58,AVA_5!$A:$A,0),MATCH('2022'!$A$1,AVA_5!$3:$3,0))/(B58/1000)</f>
        <v>10.685217405956777</v>
      </c>
      <c r="J58" s="93">
        <f>INDEX(IRA_1!$A:$J,MATCH('2022'!$A58,IRA_1!$A:$A,0),MATCH('2022'!$A$1,IRA_1!$3:$3,0))/(B58/1000)</f>
        <v>0.15153430997697881</v>
      </c>
      <c r="K58" s="88">
        <f>INDEX(IRA_2!$A:$J,MATCH('2022'!$A58,IRA_2!$A:$A,0),MATCH('2022'!$A$1,IRA_2!$3:$3,0))/(B58/1000)</f>
        <v>0.35525262074073183</v>
      </c>
      <c r="L58" s="15">
        <f>INDEX(IRA_3!$A:$J,MATCH('2022'!$A58,IRA_3!$A:$A,0),MATCH('2022'!$A$1,IRA_3!$3:$3,0))</f>
        <v>0.3308155741390163</v>
      </c>
      <c r="M58" s="96">
        <f>INDEX(IRA_4!$A:$J,MATCH('2022'!$A58,IRA_4!$A:$A,0),MATCH('2022'!$A$1,IRA_4!$3:$3,0))/(B58/1000)</f>
        <v>6.4015719426698539</v>
      </c>
      <c r="N58" s="61">
        <f>INDEX(INV_1!$A:$J,MATCH('2022'!$A58,INV_1!$A:$A,0),MATCH('2022'!$A$1,INV_1!$3:$3,0))</f>
        <v>7.5574364360221261E-2</v>
      </c>
      <c r="O58" s="80">
        <f>INDEX(INV_2!$A:$J,MATCH('2022'!$A58,INV_2!$A:$A,0),MATCH('2022'!$A$1,INV_2!$3:$3,0))/B58*10^6/C58</f>
        <v>0.52004219204662283</v>
      </c>
      <c r="P58" s="87">
        <f>INDEX(INV_3!$A:$J,MATCH('2022'!$A58,INV_3!$A:$A,0),MATCH('2022'!$A$1,INV_3!$3:$3,0))/B58*10^6/C58</f>
        <v>5.1220995871880044</v>
      </c>
      <c r="Q58" s="87">
        <f>INDEX(INV_4!$A:$J,MATCH('2022'!$A58,INV_4!$A:$A,0),MATCH('2022'!$A$1,INV_4!$3:$3,0))/B58*10^3/C58</f>
        <v>0.30559322353236273</v>
      </c>
      <c r="R58" s="34">
        <f>INDEX(INV_5!$A:$J,MATCH('2022'!$A58,INV_5!$A:$A,0),MATCH('2022'!$A$1,INV_5!$3:$3,0))</f>
        <v>4.7500000000000001E-2</v>
      </c>
      <c r="S58" s="77">
        <f>INDEX(LUJ_1!$A:$J,MATCH('2022'!$A58,LUJ_1!$A:$A,0),MATCH('2022'!$A$1,LUJ_1!$3:$3,0))</f>
        <v>0.72894919972164229</v>
      </c>
      <c r="T58" s="73">
        <f>INDEX(LUJ_2!$A:$J,MATCH('2022'!$A58,LUJ_2!$A:$A,0),MATCH('2022'!$A$1,LUJ_2!$3:$3,0))</f>
        <v>0.34200000000000003</v>
      </c>
      <c r="U58" s="73">
        <f>INDEX(LUJ_3!$A:$J,MATCH('2022'!$A58,LUJ_3!$A:$A,0),MATCH('2022'!$A$1,LUJ_3!$3:$3,0))</f>
        <v>0.51096925013486783</v>
      </c>
      <c r="V58" s="14">
        <f>INDEX(LUJ_4!$A:$J,MATCH('2022'!$A58,LUJ_4!$A:$A,0),MATCH('2022'!$A$1,LUJ_4!$3:$3,0))</f>
        <v>44</v>
      </c>
      <c r="W58" s="34">
        <f>INDEX(LUJ_5!$A:$J,MATCH('2022'!$A58,LUJ_5!$A:$A,0),MATCH('2022'!$A$1,LUJ_5!$3:$3,0))</f>
        <v>42</v>
      </c>
      <c r="X58" s="98">
        <f>1/INDEX(GUL_1!$A:$J,MATCH('2022'!$A58,GUL_1!$A:$A,0),MATCH('2022'!$A$1,GUL_1!$3:$3,0))</f>
        <v>1.4760147601476014E-2</v>
      </c>
      <c r="Y58" s="57" t="e">
        <f>INDEX(GUL_2!$A:$J,MATCH('2022'!$A58,GUL_2!$A:$A,0),MATCH('2022'!$A$1,GUL_2!$3:$3,0))</f>
        <v>#N/A</v>
      </c>
      <c r="Z58" s="57">
        <f>INDEX(GUL_3!$A:$J,MATCH('2022'!$A58,GUL_3!$A:$A,0),MATCH('2022'!$A$1,GUL_3!$3:$3,0))/(B58/1000)</f>
        <v>0.70548754909811995</v>
      </c>
      <c r="AA58" s="101">
        <f>INDEX(GUL_4!$A:$J,MATCH('2022'!$A58,GUL_4!$A:$A,0),MATCH('2022'!$A$1,GUL_4!$3:$3,0))/B58/C58*10^6</f>
        <v>0.36393501730914768</v>
      </c>
      <c r="AB58" s="73">
        <f>INDEX(GUL_5!$A:$J,MATCH('2022'!$A58,GUL_5!$A:$A,0),MATCH('2022'!$A$1,GUL_5!$3:$3,0))</f>
        <v>3.2567951187194091E-2</v>
      </c>
      <c r="AC58" s="49" t="e">
        <f>INDEX(GUL_6!$A:$J,MATCH('2022'!$A58,GUL_6!$A:$A,0),MATCH('2022'!$A$1,GUL_6!$3:$3,0))</f>
        <v>#N/A</v>
      </c>
      <c r="AD58" s="49" t="e">
        <f>INDEX(GUL_7!$A:$J,MATCH('2022'!$A58,GUL_7!$A:$A,0),MATCH('2022'!$A$1,GUL_7!$3:$3,0))</f>
        <v>#N/A</v>
      </c>
      <c r="AE58" s="103">
        <f>INDEX(GUL_8!$A:$J,MATCH('2022'!$A58,GUL_8!$A:$A,0),MATCH('2022'!$A$1,GUL_8!$3:$3,0))/(B58/1000)</f>
        <v>4.4848134522325722</v>
      </c>
      <c r="AF58" s="41">
        <f>INDEX(DES_1!$A:$J,MATCH('2022'!$A58,DES_1!$A:$A,0),MATCH('2022'!$A$1,DES_1!$3:$3,0))/(B58/1000)</f>
        <v>0.3171181586273199</v>
      </c>
      <c r="AG58" s="100">
        <f>INDEX(DES_2!$A:$J,MATCH('2022'!$A58,DES_2!$A:$A,0),MATCH('2022'!$A$1,DES_2!$3:$3,0))/(B58/1000)</f>
        <v>1.0165844768654275</v>
      </c>
      <c r="AH58" s="57">
        <f>1/INDEX(DES_3!$A:$J,MATCH('2022'!$A58,DES_3!$A:$A,0),MATCH('2022'!$A$1,DES_3!$3:$3,0))</f>
        <v>8.1499592502037484E-3</v>
      </c>
      <c r="AI58" s="80" t="e">
        <f>INDEX(DES_4!$A:$J,MATCH('2022'!$A58,DES_4!$A:$A,0),MATCH('2022'!$A$1,DES_4!$3:$3,0))</f>
        <v>#N/A</v>
      </c>
      <c r="AJ58" s="110" t="e">
        <f>INDEX(DES_5!$A:$J,MATCH('2022'!$A58,DES_5!$A:$A,0),MATCH('2022'!$A$1,DES_5!$3:$3,0))</f>
        <v>#N/A</v>
      </c>
      <c r="AK58" s="57">
        <v>9</v>
      </c>
    </row>
    <row r="59" spans="1:37" x14ac:dyDescent="0.3">
      <c r="A59" s="29" t="s">
        <v>58</v>
      </c>
      <c r="B59" s="33">
        <f>INDEX(Population!$A:$J,MATCH('2022'!$A59,Population!$A:$A,0),MATCH('2022'!$A$1,Population!$3:$3,0))</f>
        <v>210789</v>
      </c>
      <c r="C59" s="14">
        <f>INDEX(Income!$A:$J,MATCH('2022'!$A59,Income!$A:$A,0),MATCH('2022'!$A$1,Income!$3:$3,0))</f>
        <v>27358</v>
      </c>
      <c r="D59" s="34">
        <f>INDEX(Livable_wage!$A:$J,MATCH('2022'!$A59,Livable_wage!$A:$A,0),MATCH('2022'!$A$1,Livable_wage!$3:$3,0))</f>
        <v>13085</v>
      </c>
      <c r="E59" s="41">
        <f>INDEX(AVA_1!$A:$J,MATCH('2022'!$A59,AVA_1!$A:$A,0),MATCH('2022'!$A$1,AVA_1!$3:$3,0))</f>
        <v>0.34300000000000003</v>
      </c>
      <c r="F59" s="15">
        <f>INDEX(AVA_2!$A:$J,MATCH('2022'!$A59,AVA_2!$A:$A,0),MATCH('2022'!$A$1,AVA_2!$3:$3,0))</f>
        <v>5.7071913144276024E-3</v>
      </c>
      <c r="G59" s="15">
        <f>INDEX(AVA_3!$A:$J,MATCH('2022'!$A59,AVA_3!$A:$A,0),MATCH('2022'!$A$1,AVA_3!$3:$3,0))</f>
        <v>0.29111151510072975</v>
      </c>
      <c r="H59" s="87">
        <f>INDEX(AVA_4!$A:$J,MATCH('2022'!$A59,AVA_4!$A:$A,0),MATCH('2022'!$A$1,AVA_4!$3:$3,0))/(B59/1000)</f>
        <v>1.3141103188496555</v>
      </c>
      <c r="I59" s="89">
        <f>INDEX(AVA_5!$A:$J,MATCH('2022'!$A59,AVA_5!$A:$A,0),MATCH('2022'!$A$1,AVA_5!$3:$3,0))/(B59/1000)</f>
        <v>5.4367163371902709</v>
      </c>
      <c r="J59" s="93">
        <f>INDEX(IRA_1!$A:$J,MATCH('2022'!$A59,IRA_1!$A:$A,0),MATCH('2022'!$A$1,IRA_1!$3:$3,0))/(B59/1000)</f>
        <v>9.0137530895824741E-2</v>
      </c>
      <c r="K59" s="88">
        <f>INDEX(IRA_2!$A:$J,MATCH('2022'!$A59,IRA_2!$A:$A,0),MATCH('2022'!$A$1,IRA_2!$3:$3,0))/(B59/1000)</f>
        <v>0.20399546465897178</v>
      </c>
      <c r="L59" s="15">
        <f>INDEX(IRA_3!$A:$J,MATCH('2022'!$A59,IRA_3!$A:$A,0),MATCH('2022'!$A$1,IRA_3!$3:$3,0))</f>
        <v>0.31328628413623816</v>
      </c>
      <c r="M59" s="96">
        <f>INDEX(IRA_4!$A:$J,MATCH('2022'!$A59,IRA_4!$A:$A,0),MATCH('2022'!$A$1,IRA_4!$3:$3,0))/(B59/1000)</f>
        <v>6.5231107885136321</v>
      </c>
      <c r="N59" s="61">
        <f>INDEX(INV_1!$A:$J,MATCH('2022'!$A59,INV_1!$A:$A,0),MATCH('2022'!$A$1,INV_1!$3:$3,0))</f>
        <v>9.0467948197025125E-2</v>
      </c>
      <c r="O59" s="80">
        <f>INDEX(INV_2!$A:$J,MATCH('2022'!$A59,INV_2!$A:$A,0),MATCH('2022'!$A$1,INV_2!$3:$3,0))/B59*10^6/C59</f>
        <v>0.71186349114384362</v>
      </c>
      <c r="P59" s="87">
        <f>INDEX(INV_3!$A:$J,MATCH('2022'!$A59,INV_3!$A:$A,0),MATCH('2022'!$A$1,INV_3!$3:$3,0))/B59*10^6/C59</f>
        <v>5.2918746567883224</v>
      </c>
      <c r="Q59" s="87">
        <f>INDEX(INV_4!$A:$J,MATCH('2022'!$A59,INV_4!$A:$A,0),MATCH('2022'!$A$1,INV_4!$3:$3,0))/B59*10^3/C59</f>
        <v>0.22379202145537161</v>
      </c>
      <c r="R59" s="34">
        <f>INDEX(INV_5!$A:$J,MATCH('2022'!$A59,INV_5!$A:$A,0),MATCH('2022'!$A$1,INV_5!$3:$3,0))</f>
        <v>0.15279999999999999</v>
      </c>
      <c r="S59" s="77">
        <f>INDEX(LUJ_1!$A:$J,MATCH('2022'!$A59,LUJ_1!$A:$A,0),MATCH('2022'!$A$1,LUJ_1!$3:$3,0))</f>
        <v>0.7533333333333333</v>
      </c>
      <c r="T59" s="73">
        <f>INDEX(LUJ_2!$A:$J,MATCH('2022'!$A59,LUJ_2!$A:$A,0),MATCH('2022'!$A$1,LUJ_2!$3:$3,0))</f>
        <v>0.312</v>
      </c>
      <c r="U59" s="73">
        <f>INDEX(LUJ_3!$A:$J,MATCH('2022'!$A59,LUJ_3!$A:$A,0),MATCH('2022'!$A$1,LUJ_3!$3:$3,0))</f>
        <v>0.43910372244307916</v>
      </c>
      <c r="V59" s="14">
        <f>INDEX(LUJ_4!$A:$J,MATCH('2022'!$A59,LUJ_4!$A:$A,0),MATCH('2022'!$A$1,LUJ_4!$3:$3,0))</f>
        <v>6</v>
      </c>
      <c r="W59" s="34">
        <f>INDEX(LUJ_5!$A:$J,MATCH('2022'!$A59,LUJ_5!$A:$A,0),MATCH('2022'!$A$1,LUJ_5!$3:$3,0))</f>
        <v>36.5</v>
      </c>
      <c r="X59" s="98">
        <f>1/INDEX(GUL_1!$A:$J,MATCH('2022'!$A59,GUL_1!$A:$A,0),MATCH('2022'!$A$1,GUL_1!$3:$3,0))</f>
        <v>1.4604936468526362E-2</v>
      </c>
      <c r="Y59" s="57" t="e">
        <f>INDEX(GUL_2!$A:$J,MATCH('2022'!$A59,GUL_2!$A:$A,0),MATCH('2022'!$A$1,GUL_2!$3:$3,0))</f>
        <v>#N/A</v>
      </c>
      <c r="Z59" s="57">
        <f>INDEX(GUL_3!$A:$J,MATCH('2022'!$A59,GUL_3!$A:$A,0),MATCH('2022'!$A$1,GUL_3!$3:$3,0))/(B59/1000)</f>
        <v>0.66417128028502437</v>
      </c>
      <c r="AA59" s="101">
        <f>INDEX(GUL_4!$A:$J,MATCH('2022'!$A59,GUL_4!$A:$A,0),MATCH('2022'!$A$1,GUL_4!$3:$3,0))/B59/C59*10^6</f>
        <v>0.47312310826210602</v>
      </c>
      <c r="AB59" s="73">
        <f>INDEX(GUL_5!$A:$J,MATCH('2022'!$A59,GUL_5!$A:$A,0),MATCH('2022'!$A$1,GUL_5!$3:$3,0))</f>
        <v>3.5831508418039622E-2</v>
      </c>
      <c r="AC59" s="49" t="e">
        <f>INDEX(GUL_6!$A:$J,MATCH('2022'!$A59,GUL_6!$A:$A,0),MATCH('2022'!$A$1,GUL_6!$3:$3,0))</f>
        <v>#N/A</v>
      </c>
      <c r="AD59" s="49" t="e">
        <f>INDEX(GUL_7!$A:$J,MATCH('2022'!$A59,GUL_7!$A:$A,0),MATCH('2022'!$A$1,GUL_7!$3:$3,0))</f>
        <v>#N/A</v>
      </c>
      <c r="AE59" s="103">
        <f>INDEX(GUL_8!$A:$J,MATCH('2022'!$A59,GUL_8!$A:$A,0),MATCH('2022'!$A$1,GUL_8!$3:$3,0))/(B59/1000)</f>
        <v>5.5173657069391666</v>
      </c>
      <c r="AF59" s="41">
        <f>INDEX(DES_1!$A:$J,MATCH('2022'!$A59,DES_1!$A:$A,0),MATCH('2022'!$A$1,DES_1!$3:$3,0))/(B59/1000)</f>
        <v>0.37478236530369236</v>
      </c>
      <c r="AG59" s="100">
        <f>INDEX(DES_2!$A:$J,MATCH('2022'!$A59,DES_2!$A:$A,0),MATCH('2022'!$A$1,DES_2!$3:$3,0))/(B59/1000)</f>
        <v>1.0436977261621811</v>
      </c>
      <c r="AH59" s="57">
        <f>1/INDEX(DES_3!$A:$J,MATCH('2022'!$A59,DES_3!$A:$A,0),MATCH('2022'!$A$1,DES_3!$3:$3,0))</f>
        <v>6.6934404283801874E-3</v>
      </c>
      <c r="AI59" s="80" t="e">
        <f>INDEX(DES_4!$A:$J,MATCH('2022'!$A59,DES_4!$A:$A,0),MATCH('2022'!$A$1,DES_4!$3:$3,0))</f>
        <v>#N/A</v>
      </c>
      <c r="AJ59" s="110" t="e">
        <f>INDEX(DES_5!$A:$J,MATCH('2022'!$A59,DES_5!$A:$A,0),MATCH('2022'!$A$1,DES_5!$3:$3,0))</f>
        <v>#N/A</v>
      </c>
      <c r="AK59" s="57">
        <v>77</v>
      </c>
    </row>
    <row r="60" spans="1:37" x14ac:dyDescent="0.3">
      <c r="A60" s="29" t="s">
        <v>59</v>
      </c>
      <c r="B60" s="33">
        <f>INDEX(Population!$A:$J,MATCH('2022'!$A60,Population!$A:$A,0),MATCH('2022'!$A$1,Population!$3:$3,0))</f>
        <v>1093748</v>
      </c>
      <c r="C60" s="14">
        <f>INDEX(Income!$A:$J,MATCH('2022'!$A60,Income!$A:$A,0),MATCH('2022'!$A$1,Income!$3:$3,0))</f>
        <v>33366</v>
      </c>
      <c r="D60" s="34">
        <f>INDEX(Livable_wage!$A:$J,MATCH('2022'!$A60,Livable_wage!$A:$A,0),MATCH('2022'!$A$1,Livable_wage!$3:$3,0))</f>
        <v>12388</v>
      </c>
      <c r="E60" s="41">
        <f>INDEX(AVA_1!$A:$J,MATCH('2022'!$A60,AVA_1!$A:$A,0),MATCH('2022'!$A$1,AVA_1!$3:$3,0))</f>
        <v>0.34899999999999998</v>
      </c>
      <c r="F60" s="15">
        <f>INDEX(AVA_2!$A:$J,MATCH('2022'!$A60,AVA_2!$A:$A,0),MATCH('2022'!$A$1,AVA_2!$3:$3,0))</f>
        <v>1.1473370838923663E-2</v>
      </c>
      <c r="G60" s="15">
        <f>INDEX(AVA_3!$A:$J,MATCH('2022'!$A60,AVA_3!$A:$A,0),MATCH('2022'!$A$1,AVA_3!$3:$3,0))</f>
        <v>1.0608060064367738E-2</v>
      </c>
      <c r="H60" s="87">
        <f>INDEX(AVA_4!$A:$J,MATCH('2022'!$A60,AVA_4!$A:$A,0),MATCH('2022'!$A$1,AVA_4!$3:$3,0))/(B60/1000)</f>
        <v>0.57051532894231571</v>
      </c>
      <c r="I60" s="89">
        <f>INDEX(AVA_5!$A:$J,MATCH('2022'!$A60,AVA_5!$A:$A,0),MATCH('2022'!$A$1,AVA_5!$3:$3,0))/(B60/1000)</f>
        <v>2.400918675965579</v>
      </c>
      <c r="J60" s="93">
        <f>INDEX(IRA_1!$A:$J,MATCH('2022'!$A60,IRA_1!$A:$A,0),MATCH('2022'!$A$1,IRA_1!$3:$3,0))/(B60/1000)</f>
        <v>4.5714369306275301E-2</v>
      </c>
      <c r="K60" s="88">
        <f>INDEX(IRA_2!$A:$J,MATCH('2022'!$A60,IRA_2!$A:$A,0),MATCH('2022'!$A$1,IRA_2!$3:$3,0))/(B60/1000)</f>
        <v>8.3200152137421046E-2</v>
      </c>
      <c r="L60" s="15">
        <f>INDEX(IRA_3!$A:$J,MATCH('2022'!$A60,IRA_3!$A:$A,0),MATCH('2022'!$A$1,IRA_3!$3:$3,0))</f>
        <v>0.42180293501048216</v>
      </c>
      <c r="M60" s="96">
        <f>INDEX(IRA_4!$A:$J,MATCH('2022'!$A60,IRA_4!$A:$A,0),MATCH('2022'!$A$1,IRA_4!$3:$3,0))/(B60/1000)</f>
        <v>2.3725757669956882</v>
      </c>
      <c r="N60" s="61">
        <f>INDEX(INV_1!$A:$J,MATCH('2022'!$A60,INV_1!$A:$A,0),MATCH('2022'!$A$1,INV_1!$3:$3,0))</f>
        <v>7.6106795160826357E-2</v>
      </c>
      <c r="O60" s="80">
        <f>INDEX(INV_2!$A:$J,MATCH('2022'!$A60,INV_2!$A:$A,0),MATCH('2022'!$A$1,INV_2!$3:$3,0))/B60*10^6/C60</f>
        <v>0.3727934805794475</v>
      </c>
      <c r="P60" s="87">
        <f>INDEX(INV_3!$A:$J,MATCH('2022'!$A60,INV_3!$A:$A,0),MATCH('2022'!$A$1,INV_3!$3:$3,0))/B60*10^6/C60</f>
        <v>4.6999512218499913</v>
      </c>
      <c r="Q60" s="87">
        <f>INDEX(INV_4!$A:$J,MATCH('2022'!$A60,INV_4!$A:$A,0),MATCH('2022'!$A$1,INV_4!$3:$3,0))/B60*10^3/C60</f>
        <v>0.29125638797054398</v>
      </c>
      <c r="R60" s="34">
        <f>INDEX(INV_5!$A:$J,MATCH('2022'!$A60,INV_5!$A:$A,0),MATCH('2022'!$A$1,INV_5!$3:$3,0))</f>
        <v>6.5699999999999995E-2</v>
      </c>
      <c r="S60" s="77">
        <f>INDEX(LUJ_1!$A:$J,MATCH('2022'!$A60,LUJ_1!$A:$A,0),MATCH('2022'!$A$1,LUJ_1!$3:$3,0))</f>
        <v>0.62022533663094259</v>
      </c>
      <c r="T60" s="73">
        <f>INDEX(LUJ_2!$A:$J,MATCH('2022'!$A60,LUJ_2!$A:$A,0),MATCH('2022'!$A$1,LUJ_2!$3:$3,0))</f>
        <v>0.20300000000000001</v>
      </c>
      <c r="U60" s="73">
        <f>INDEX(LUJ_3!$A:$J,MATCH('2022'!$A60,LUJ_3!$A:$A,0),MATCH('2022'!$A$1,LUJ_3!$3:$3,0))</f>
        <v>0.49906774661654463</v>
      </c>
      <c r="V60" s="14">
        <f>INDEX(LUJ_4!$A:$J,MATCH('2022'!$A60,LUJ_4!$A:$A,0),MATCH('2022'!$A$1,LUJ_4!$3:$3,0))</f>
        <v>17</v>
      </c>
      <c r="W60" s="34">
        <f>INDEX(LUJ_5!$A:$J,MATCH('2022'!$A60,LUJ_5!$A:$A,0),MATCH('2022'!$A$1,LUJ_5!$3:$3,0))</f>
        <v>19.600000000000001</v>
      </c>
      <c r="X60" s="98">
        <f>1/INDEX(GUL_1!$A:$J,MATCH('2022'!$A60,GUL_1!$A:$A,0),MATCH('2022'!$A$1,GUL_1!$3:$3,0))</f>
        <v>1.386193512614361E-2</v>
      </c>
      <c r="Y60" s="57" t="e">
        <f>INDEX(GUL_2!$A:$J,MATCH('2022'!$A60,GUL_2!$A:$A,0),MATCH('2022'!$A$1,GUL_2!$3:$3,0))</f>
        <v>#N/A</v>
      </c>
      <c r="Z60" s="57">
        <f>INDEX(GUL_3!$A:$J,MATCH('2022'!$A60,GUL_3!$A:$A,0),MATCH('2022'!$A$1,GUL_3!$3:$3,0))/(B60/1000)</f>
        <v>0.93074455907576514</v>
      </c>
      <c r="AA60" s="101">
        <f>INDEX(GUL_4!$A:$J,MATCH('2022'!$A60,GUL_4!$A:$A,0),MATCH('2022'!$A$1,GUL_4!$3:$3,0))/B60/C60*10^6</f>
        <v>0.29285337971599446</v>
      </c>
      <c r="AB60" s="73">
        <f>INDEX(GUL_5!$A:$J,MATCH('2022'!$A60,GUL_5!$A:$A,0),MATCH('2022'!$A$1,GUL_5!$3:$3,0))</f>
        <v>3.2889420670879931E-2</v>
      </c>
      <c r="AC60" s="49" t="e">
        <f>INDEX(GUL_6!$A:$J,MATCH('2022'!$A60,GUL_6!$A:$A,0),MATCH('2022'!$A$1,GUL_6!$3:$3,0))</f>
        <v>#N/A</v>
      </c>
      <c r="AD60" s="49" t="e">
        <f>INDEX(GUL_7!$A:$J,MATCH('2022'!$A60,GUL_7!$A:$A,0),MATCH('2022'!$A$1,GUL_7!$3:$3,0))</f>
        <v>#N/A</v>
      </c>
      <c r="AE60" s="103">
        <f>INDEX(GUL_8!$A:$J,MATCH('2022'!$A60,GUL_8!$A:$A,0),MATCH('2022'!$A$1,GUL_8!$3:$3,0))/(B60/1000)</f>
        <v>1.2662880297838259</v>
      </c>
      <c r="AF60" s="41">
        <f>INDEX(DES_1!$A:$J,MATCH('2022'!$A60,DES_1!$A:$A,0),MATCH('2022'!$A$1,DES_1!$3:$3,0))/(B60/1000)</f>
        <v>1.4628598178008096E-2</v>
      </c>
      <c r="AG60" s="100">
        <f>INDEX(DES_2!$A:$J,MATCH('2022'!$A60,DES_2!$A:$A,0),MATCH('2022'!$A$1,DES_2!$3:$3,0))/(B60/1000)</f>
        <v>0.58514392712032381</v>
      </c>
      <c r="AH60" s="57">
        <f>1/INDEX(DES_3!$A:$J,MATCH('2022'!$A60,DES_3!$A:$A,0),MATCH('2022'!$A$1,DES_3!$3:$3,0))</f>
        <v>8.23045267489712E-3</v>
      </c>
      <c r="AI60" s="80" t="e">
        <f>INDEX(DES_4!$A:$J,MATCH('2022'!$A60,DES_4!$A:$A,0),MATCH('2022'!$A$1,DES_4!$3:$3,0))</f>
        <v>#N/A</v>
      </c>
      <c r="AJ60" s="110" t="e">
        <f>INDEX(DES_5!$A:$J,MATCH('2022'!$A60,DES_5!$A:$A,0),MATCH('2022'!$A$1,DES_5!$3:$3,0))</f>
        <v>#N/A</v>
      </c>
      <c r="AK60" s="57">
        <v>74</v>
      </c>
    </row>
    <row r="61" spans="1:37" x14ac:dyDescent="0.3">
      <c r="A61" s="29" t="s">
        <v>60</v>
      </c>
      <c r="B61" s="33">
        <f>INDEX(Population!$A:$J,MATCH('2022'!$A61,Population!$A:$A,0),MATCH('2022'!$A$1,Population!$3:$3,0))</f>
        <v>511815</v>
      </c>
      <c r="C61" s="14">
        <f>INDEX(Income!$A:$J,MATCH('2022'!$A61,Income!$A:$A,0),MATCH('2022'!$A$1,Income!$3:$3,0))</f>
        <v>116257</v>
      </c>
      <c r="D61" s="34">
        <f>INDEX(Livable_wage!$A:$J,MATCH('2022'!$A61,Livable_wage!$A:$A,0),MATCH('2022'!$A$1,Livable_wage!$3:$3,0))</f>
        <v>19832</v>
      </c>
      <c r="E61" s="41">
        <f>INDEX(AVA_1!$A:$J,MATCH('2022'!$A61,AVA_1!$A:$A,0),MATCH('2022'!$A$1,AVA_1!$3:$3,0))</f>
        <v>0.44</v>
      </c>
      <c r="F61" s="15">
        <f>INDEX(AVA_2!$A:$J,MATCH('2022'!$A61,AVA_2!$A:$A,0),MATCH('2022'!$A$1,AVA_2!$3:$3,0))</f>
        <v>6.6264766722330254E-3</v>
      </c>
      <c r="G61" s="15">
        <f>INDEX(AVA_3!$A:$J,MATCH('2022'!$A61,AVA_3!$A:$A,0),MATCH('2022'!$A$1,AVA_3!$3:$3,0))</f>
        <v>8.1941520513413593E-2</v>
      </c>
      <c r="H61" s="87">
        <f>INDEX(AVA_4!$A:$J,MATCH('2022'!$A61,AVA_4!$A:$A,0),MATCH('2022'!$A$1,AVA_4!$3:$3,0))/(B61/1000)</f>
        <v>0.57051864443207023</v>
      </c>
      <c r="I61" s="89">
        <f>INDEX(AVA_5!$A:$J,MATCH('2022'!$A61,AVA_5!$A:$A,0),MATCH('2022'!$A$1,AVA_5!$3:$3,0))/(B61/1000)</f>
        <v>2.9815460664497913</v>
      </c>
      <c r="J61" s="93">
        <f>INDEX(IRA_1!$A:$J,MATCH('2022'!$A61,IRA_1!$A:$A,0),MATCH('2022'!$A$1,IRA_1!$3:$3,0))/(B61/1000)</f>
        <v>7.4245577015132416E-2</v>
      </c>
      <c r="K61" s="88">
        <f>INDEX(IRA_2!$A:$J,MATCH('2022'!$A61,IRA_2!$A:$A,0),MATCH('2022'!$A$1,IRA_2!$3:$3,0))/(B61/1000)</f>
        <v>0.2012445903304905</v>
      </c>
      <c r="L61" s="15">
        <f>INDEX(IRA_3!$A:$J,MATCH('2022'!$A61,IRA_3!$A:$A,0),MATCH('2022'!$A$1,IRA_3!$3:$3,0))</f>
        <v>0.42496147919876737</v>
      </c>
      <c r="M61" s="96">
        <f>INDEX(IRA_4!$A:$J,MATCH('2022'!$A61,IRA_4!$A:$A,0),MATCH('2022'!$A$1,IRA_4!$3:$3,0))/(B61/1000)</f>
        <v>2.1355372546720983</v>
      </c>
      <c r="N61" s="61">
        <f>INDEX(INV_1!$A:$J,MATCH('2022'!$A61,INV_1!$A:$A,0),MATCH('2022'!$A$1,INV_1!$3:$3,0))</f>
        <v>0.1032772214918012</v>
      </c>
      <c r="O61" s="80">
        <f>INDEX(INV_2!$A:$J,MATCH('2022'!$A61,INV_2!$A:$A,0),MATCH('2022'!$A$1,INV_2!$3:$3,0))/B61*10^6/C61</f>
        <v>0.21371753691974657</v>
      </c>
      <c r="P61" s="87">
        <f>INDEX(INV_3!$A:$J,MATCH('2022'!$A61,INV_3!$A:$A,0),MATCH('2022'!$A$1,INV_3!$3:$3,0))/B61*10^6/C61</f>
        <v>3.5652705357339447</v>
      </c>
      <c r="Q61" s="87">
        <f>INDEX(INV_4!$A:$J,MATCH('2022'!$A61,INV_4!$A:$A,0),MATCH('2022'!$A$1,INV_4!$3:$3,0))/B61*10^3/C61</f>
        <v>0.1380445169205482</v>
      </c>
      <c r="R61" s="34">
        <f>INDEX(INV_5!$A:$J,MATCH('2022'!$A61,INV_5!$A:$A,0),MATCH('2022'!$A$1,INV_5!$3:$3,0))</f>
        <v>7.5700000000000003E-2</v>
      </c>
      <c r="S61" s="77">
        <f>INDEX(LUJ_1!$A:$J,MATCH('2022'!$A61,LUJ_1!$A:$A,0),MATCH('2022'!$A$1,LUJ_1!$3:$3,0))</f>
        <v>0.64510818438381934</v>
      </c>
      <c r="T61" s="73">
        <f>INDEX(LUJ_2!$A:$J,MATCH('2022'!$A61,LUJ_2!$A:$A,0),MATCH('2022'!$A$1,LUJ_2!$3:$3,0))</f>
        <v>0.22500000000000001</v>
      </c>
      <c r="U61" s="73">
        <f>INDEX(LUJ_3!$A:$J,MATCH('2022'!$A61,LUJ_3!$A:$A,0),MATCH('2022'!$A$1,LUJ_3!$3:$3,0))</f>
        <v>0.40977276102777366</v>
      </c>
      <c r="V61" s="14">
        <f>INDEX(LUJ_4!$A:$J,MATCH('2022'!$A61,LUJ_4!$A:$A,0),MATCH('2022'!$A$1,LUJ_4!$3:$3,0))</f>
        <v>15</v>
      </c>
      <c r="W61" s="34">
        <f>INDEX(LUJ_5!$A:$J,MATCH('2022'!$A61,LUJ_5!$A:$A,0),MATCH('2022'!$A$1,LUJ_5!$3:$3,0))</f>
        <v>37.9</v>
      </c>
      <c r="X61" s="98">
        <f>1/INDEX(GUL_1!$A:$J,MATCH('2022'!$A61,GUL_1!$A:$A,0),MATCH('2022'!$A$1,GUL_1!$3:$3,0))</f>
        <v>1.3365410318096767E-2</v>
      </c>
      <c r="Y61" s="57" t="e">
        <f>INDEX(GUL_2!$A:$J,MATCH('2022'!$A61,GUL_2!$A:$A,0),MATCH('2022'!$A$1,GUL_2!$3:$3,0))</f>
        <v>#N/A</v>
      </c>
      <c r="Z61" s="57">
        <f>INDEX(GUL_3!$A:$J,MATCH('2022'!$A61,GUL_3!$A:$A,0),MATCH('2022'!$A$1,GUL_3!$3:$3,0))/(B61/1000)</f>
        <v>0.34973574436075533</v>
      </c>
      <c r="AA61" s="101">
        <f>INDEX(GUL_4!$A:$J,MATCH('2022'!$A61,GUL_4!$A:$A,0),MATCH('2022'!$A$1,GUL_4!$3:$3,0))/B61/C61*10^6</f>
        <v>0.42729584435978996</v>
      </c>
      <c r="AB61" s="73">
        <f>INDEX(GUL_5!$A:$J,MATCH('2022'!$A61,GUL_5!$A:$A,0),MATCH('2022'!$A$1,GUL_5!$3:$3,0))</f>
        <v>2.990950369602622E-2</v>
      </c>
      <c r="AC61" s="49" t="e">
        <f>INDEX(GUL_6!$A:$J,MATCH('2022'!$A61,GUL_6!$A:$A,0),MATCH('2022'!$A$1,GUL_6!$3:$3,0))</f>
        <v>#N/A</v>
      </c>
      <c r="AD61" s="49" t="e">
        <f>INDEX(GUL_7!$A:$J,MATCH('2022'!$A61,GUL_7!$A:$A,0),MATCH('2022'!$A$1,GUL_7!$3:$3,0))</f>
        <v>#N/A</v>
      </c>
      <c r="AE61" s="103">
        <f>INDEX(GUL_8!$A:$J,MATCH('2022'!$A61,GUL_8!$A:$A,0),MATCH('2022'!$A$1,GUL_8!$3:$3,0))/(B61/1000)</f>
        <v>2.4168889149399684</v>
      </c>
      <c r="AF61" s="41">
        <f>INDEX(DES_1!$A:$J,MATCH('2022'!$A61,DES_1!$A:$A,0),MATCH('2022'!$A$1,DES_1!$3:$3,0))/(B61/1000)</f>
        <v>0.12699901331535809</v>
      </c>
      <c r="AG61" s="100">
        <f>INDEX(DES_2!$A:$J,MATCH('2022'!$A61,DES_2!$A:$A,0),MATCH('2022'!$A$1,DES_2!$3:$3,0))/(B61/1000)</f>
        <v>0.56270332053574046</v>
      </c>
      <c r="AH61" s="57">
        <f>1/INDEX(DES_3!$A:$J,MATCH('2022'!$A61,DES_3!$A:$A,0),MATCH('2022'!$A$1,DES_3!$3:$3,0))</f>
        <v>6.648936170212766E-3</v>
      </c>
      <c r="AI61" s="80" t="e">
        <f>INDEX(DES_4!$A:$J,MATCH('2022'!$A61,DES_4!$A:$A,0),MATCH('2022'!$A$1,DES_4!$3:$3,0))</f>
        <v>#N/A</v>
      </c>
      <c r="AJ61" s="110" t="e">
        <f>INDEX(DES_5!$A:$J,MATCH('2022'!$A61,DES_5!$A:$A,0),MATCH('2022'!$A$1,DES_5!$3:$3,0))</f>
        <v>#N/A</v>
      </c>
      <c r="AK61" s="57">
        <v>70</v>
      </c>
    </row>
    <row r="62" spans="1:37" x14ac:dyDescent="0.3">
      <c r="A62" s="29" t="s">
        <v>61</v>
      </c>
      <c r="B62" s="33">
        <f>INDEX(Population!$A:$J,MATCH('2022'!$A62,Population!$A:$A,0),MATCH('2022'!$A$1,Population!$3:$3,0))</f>
        <v>2850935</v>
      </c>
      <c r="C62" s="14">
        <f>INDEX(Income!$A:$J,MATCH('2022'!$A62,Income!$A:$A,0),MATCH('2022'!$A$1,Income!$3:$3,0))</f>
        <v>41509</v>
      </c>
      <c r="D62" s="34">
        <f>INDEX(Livable_wage!$A:$J,MATCH('2022'!$A62,Livable_wage!$A:$A,0),MATCH('2022'!$A$1,Livable_wage!$3:$3,0))</f>
        <v>15451</v>
      </c>
      <c r="E62" s="41">
        <f>INDEX(AVA_1!$A:$J,MATCH('2022'!$A62,AVA_1!$A:$A,0),MATCH('2022'!$A$1,AVA_1!$3:$3,0))</f>
        <v>0.379</v>
      </c>
      <c r="F62" s="15">
        <f>INDEX(AVA_2!$A:$J,MATCH('2022'!$A62,AVA_2!$A:$A,0),MATCH('2022'!$A$1,AVA_2!$3:$3,0))</f>
        <v>1.249897808468544E-2</v>
      </c>
      <c r="G62" s="15">
        <f>INDEX(AVA_3!$A:$J,MATCH('2022'!$A62,AVA_3!$A:$A,0),MATCH('2022'!$A$1,AVA_3!$3:$3,0))</f>
        <v>5.8545535095738165E-3</v>
      </c>
      <c r="H62" s="87">
        <f>INDEX(AVA_4!$A:$J,MATCH('2022'!$A62,AVA_4!$A:$A,0),MATCH('2022'!$A$1,AVA_4!$3:$3,0))/(B62/1000)</f>
        <v>0.67907546120834039</v>
      </c>
      <c r="I62" s="89">
        <f>INDEX(AVA_5!$A:$J,MATCH('2022'!$A62,AVA_5!$A:$A,0),MATCH('2022'!$A$1,AVA_5!$3:$3,0))/(B62/1000)</f>
        <v>5.9520823870063682</v>
      </c>
      <c r="J62" s="93">
        <f>INDEX(IRA_1!$A:$J,MATCH('2022'!$A62,IRA_1!$A:$A,0),MATCH('2022'!$A$1,IRA_1!$3:$3,0))/(B62/1000)</f>
        <v>7.7167666046402322E-2</v>
      </c>
      <c r="K62" s="88">
        <f>INDEX(IRA_2!$A:$J,MATCH('2022'!$A62,IRA_2!$A:$A,0),MATCH('2022'!$A$1,IRA_2!$3:$3,0))/(B62/1000)</f>
        <v>0.19537449994475498</v>
      </c>
      <c r="L62" s="15">
        <f>INDEX(IRA_3!$A:$J,MATCH('2022'!$A62,IRA_3!$A:$A,0),MATCH('2022'!$A$1,IRA_3!$3:$3,0))</f>
        <v>0.33169053375488189</v>
      </c>
      <c r="M62" s="96">
        <f>INDEX(IRA_4!$A:$J,MATCH('2022'!$A62,IRA_4!$A:$A,0),MATCH('2022'!$A$1,IRA_4!$3:$3,0))/(B62/1000)</f>
        <v>5.5487059508547194</v>
      </c>
      <c r="N62" s="61">
        <f>INDEX(INV_1!$A:$J,MATCH('2022'!$A62,INV_1!$A:$A,0),MATCH('2022'!$A$1,INV_1!$3:$3,0))</f>
        <v>7.8110911192437738E-2</v>
      </c>
      <c r="O62" s="80">
        <f>INDEX(INV_2!$A:$J,MATCH('2022'!$A62,INV_2!$A:$A,0),MATCH('2022'!$A$1,INV_2!$3:$3,0))/B62*10^6/C62</f>
        <v>0.32716158719576183</v>
      </c>
      <c r="P62" s="87">
        <f>INDEX(INV_3!$A:$J,MATCH('2022'!$A62,INV_3!$A:$A,0),MATCH('2022'!$A$1,INV_3!$3:$3,0))/B62*10^6/C62</f>
        <v>4.9605431312691728</v>
      </c>
      <c r="Q62" s="87">
        <f>INDEX(INV_4!$A:$J,MATCH('2022'!$A62,INV_4!$A:$A,0),MATCH('2022'!$A$1,INV_4!$3:$3,0))/B62*10^3/C62</f>
        <v>0.21316334809163009</v>
      </c>
      <c r="R62" s="34">
        <f>INDEX(INV_5!$A:$J,MATCH('2022'!$A62,INV_5!$A:$A,0),MATCH('2022'!$A$1,INV_5!$3:$3,0))</f>
        <v>0.1168</v>
      </c>
      <c r="S62" s="77">
        <f>INDEX(LUJ_1!$A:$J,MATCH('2022'!$A62,LUJ_1!$A:$A,0),MATCH('2022'!$A$1,LUJ_1!$3:$3,0))</f>
        <v>0.68076024442846872</v>
      </c>
      <c r="T62" s="73">
        <f>INDEX(LUJ_2!$A:$J,MATCH('2022'!$A62,LUJ_2!$A:$A,0),MATCH('2022'!$A$1,LUJ_2!$3:$3,0))</f>
        <v>0.26899999999999996</v>
      </c>
      <c r="U62" s="73">
        <f>INDEX(LUJ_3!$A:$J,MATCH('2022'!$A62,LUJ_3!$A:$A,0),MATCH('2022'!$A$1,LUJ_3!$3:$3,0))</f>
        <v>0.60165701744428046</v>
      </c>
      <c r="V62" s="14">
        <f>INDEX(LUJ_4!$A:$J,MATCH('2022'!$A62,LUJ_4!$A:$A,0),MATCH('2022'!$A$1,LUJ_4!$3:$3,0))</f>
        <v>81</v>
      </c>
      <c r="W62" s="34">
        <f>INDEX(LUJ_5!$A:$J,MATCH('2022'!$A62,LUJ_5!$A:$A,0),MATCH('2022'!$A$1,LUJ_5!$3:$3,0))</f>
        <v>76</v>
      </c>
      <c r="X62" s="98">
        <f>1/INDEX(GUL_1!$A:$J,MATCH('2022'!$A62,GUL_1!$A:$A,0),MATCH('2022'!$A$1,GUL_1!$3:$3,0))</f>
        <v>1.4168319637291017E-2</v>
      </c>
      <c r="Y62" s="57" t="e">
        <f>INDEX(GUL_2!$A:$J,MATCH('2022'!$A62,GUL_2!$A:$A,0),MATCH('2022'!$A$1,GUL_2!$3:$3,0))</f>
        <v>#N/A</v>
      </c>
      <c r="Z62" s="57">
        <f>INDEX(GUL_3!$A:$J,MATCH('2022'!$A62,GUL_3!$A:$A,0),MATCH('2022'!$A$1,GUL_3!$3:$3,0))/(B62/1000)</f>
        <v>0.95091610296271223</v>
      </c>
      <c r="AA62" s="101">
        <f>INDEX(GUL_4!$A:$J,MATCH('2022'!$A62,GUL_4!$A:$A,0),MATCH('2022'!$A$1,GUL_4!$3:$3,0))/B62/C62*10^6</f>
        <v>0.35817460779582933</v>
      </c>
      <c r="AB62" s="73">
        <f>INDEX(GUL_5!$A:$J,MATCH('2022'!$A62,GUL_5!$A:$A,0),MATCH('2022'!$A$1,GUL_5!$3:$3,0))</f>
        <v>3.9174253528396971E-2</v>
      </c>
      <c r="AC62" s="49" t="e">
        <f>INDEX(GUL_6!$A:$J,MATCH('2022'!$A62,GUL_6!$A:$A,0),MATCH('2022'!$A$1,GUL_6!$3:$3,0))</f>
        <v>#N/A</v>
      </c>
      <c r="AD62" s="49" t="e">
        <f>INDEX(GUL_7!$A:$J,MATCH('2022'!$A62,GUL_7!$A:$A,0),MATCH('2022'!$A$1,GUL_7!$3:$3,0))</f>
        <v>#N/A</v>
      </c>
      <c r="AE62" s="103">
        <f>INDEX(GUL_8!$A:$J,MATCH('2022'!$A62,GUL_8!$A:$A,0),MATCH('2022'!$A$1,GUL_8!$3:$3,0))/(B62/1000)</f>
        <v>2.3416879023899178</v>
      </c>
      <c r="AF62" s="41">
        <f>INDEX(DES_1!$A:$J,MATCH('2022'!$A62,DES_1!$A:$A,0),MATCH('2022'!$A$1,DES_1!$3:$3,0))/(B62/1000)</f>
        <v>0.14521551701459345</v>
      </c>
      <c r="AG62" s="100">
        <f>INDEX(DES_2!$A:$J,MATCH('2022'!$A62,DES_2!$A:$A,0),MATCH('2022'!$A$1,DES_2!$3:$3,0))/(B62/1000)</f>
        <v>0.70468109585101024</v>
      </c>
      <c r="AH62" s="57">
        <f>1/INDEX(DES_3!$A:$J,MATCH('2022'!$A62,DES_3!$A:$A,0),MATCH('2022'!$A$1,DES_3!$3:$3,0))</f>
        <v>8.3333333333333332E-3</v>
      </c>
      <c r="AI62" s="80" t="e">
        <f>INDEX(DES_4!$A:$J,MATCH('2022'!$A62,DES_4!$A:$A,0),MATCH('2022'!$A$1,DES_4!$3:$3,0))</f>
        <v>#N/A</v>
      </c>
      <c r="AJ62" s="110" t="e">
        <f>INDEX(DES_5!$A:$J,MATCH('2022'!$A62,DES_5!$A:$A,0),MATCH('2022'!$A$1,DES_5!$3:$3,0))</f>
        <v>#N/A</v>
      </c>
      <c r="AK62" s="57">
        <v>69</v>
      </c>
    </row>
    <row r="63" spans="1:37" x14ac:dyDescent="0.3">
      <c r="A63" s="29" t="s">
        <v>62</v>
      </c>
      <c r="B63" s="33">
        <f>INDEX(Population!$A:$J,MATCH('2022'!$A63,Population!$A:$A,0),MATCH('2022'!$A$1,Population!$3:$3,0))</f>
        <v>997699</v>
      </c>
      <c r="C63" s="14">
        <f>INDEX(Income!$A:$J,MATCH('2022'!$A63,Income!$A:$A,0),MATCH('2022'!$A$1,Income!$3:$3,0))</f>
        <v>57276</v>
      </c>
      <c r="D63" s="34">
        <f>INDEX(Livable_wage!$A:$J,MATCH('2022'!$A63,Livable_wage!$A:$A,0),MATCH('2022'!$A$1,Livable_wage!$3:$3,0))</f>
        <v>21019</v>
      </c>
      <c r="E63" s="41">
        <f>INDEX(AVA_1!$A:$J,MATCH('2022'!$A63,AVA_1!$A:$A,0),MATCH('2022'!$A$1,AVA_1!$3:$3,0))</f>
        <v>0.40400000000000003</v>
      </c>
      <c r="F63" s="15">
        <f>INDEX(AVA_2!$A:$J,MATCH('2022'!$A63,AVA_2!$A:$A,0),MATCH('2022'!$A$1,AVA_2!$3:$3,0))</f>
        <v>1.0353105855349919E-2</v>
      </c>
      <c r="G63" s="15">
        <f>INDEX(AVA_3!$A:$J,MATCH('2022'!$A63,AVA_3!$A:$A,0),MATCH('2022'!$A$1,AVA_3!$3:$3,0))</f>
        <v>1.7553006481653921E-2</v>
      </c>
      <c r="H63" s="87">
        <f>INDEX(AVA_4!$A:$J,MATCH('2022'!$A63,AVA_4!$A:$A,0),MATCH('2022'!$A$1,AVA_4!$3:$3,0))/(B63/1000)</f>
        <v>0.70061210846157007</v>
      </c>
      <c r="I63" s="89">
        <f>INDEX(AVA_5!$A:$J,MATCH('2022'!$A63,AVA_5!$A:$A,0),MATCH('2022'!$A$1,AVA_5!$3:$3,0))/(B63/1000)</f>
        <v>3.3647422719677982</v>
      </c>
      <c r="J63" s="93">
        <f>INDEX(IRA_1!$A:$J,MATCH('2022'!$A63,IRA_1!$A:$A,0),MATCH('2022'!$A$1,IRA_1!$3:$3,0))/(B63/1000)</f>
        <v>0.11125600005612916</v>
      </c>
      <c r="K63" s="88">
        <f>INDEX(IRA_2!$A:$J,MATCH('2022'!$A63,IRA_2!$A:$A,0),MATCH('2022'!$A$1,IRA_2!$3:$3,0))/(B63/1000)</f>
        <v>0.28966652266866061</v>
      </c>
      <c r="L63" s="15">
        <f>INDEX(IRA_3!$A:$J,MATCH('2022'!$A63,IRA_3!$A:$A,0),MATCH('2022'!$A$1,IRA_3!$3:$3,0))</f>
        <v>0.45182584269662918</v>
      </c>
      <c r="M63" s="96">
        <f>INDEX(IRA_4!$A:$J,MATCH('2022'!$A63,IRA_4!$A:$A,0),MATCH('2022'!$A$1,IRA_4!$3:$3,0))/(B63/1000)</f>
        <v>3.9300430290097514</v>
      </c>
      <c r="N63" s="61">
        <f>INDEX(INV_1!$A:$J,MATCH('2022'!$A63,INV_1!$A:$A,0),MATCH('2022'!$A$1,INV_1!$3:$3,0))</f>
        <v>8.3214532260699331E-2</v>
      </c>
      <c r="O63" s="80">
        <f>INDEX(INV_2!$A:$J,MATCH('2022'!$A63,INV_2!$A:$A,0),MATCH('2022'!$A$1,INV_2!$3:$3,0))/B63*10^6/C63</f>
        <v>0.1391194357056362</v>
      </c>
      <c r="P63" s="87">
        <f>INDEX(INV_3!$A:$J,MATCH('2022'!$A63,INV_3!$A:$A,0),MATCH('2022'!$A$1,INV_3!$3:$3,0))/B63*10^6/C63</f>
        <v>5.3047546026565175</v>
      </c>
      <c r="Q63" s="87">
        <f>INDEX(INV_4!$A:$J,MATCH('2022'!$A63,INV_4!$A:$A,0),MATCH('2022'!$A$1,INV_4!$3:$3,0))/B63*10^3/C63</f>
        <v>0.23117546781940412</v>
      </c>
      <c r="R63" s="34">
        <f>INDEX(INV_5!$A:$J,MATCH('2022'!$A63,INV_5!$A:$A,0),MATCH('2022'!$A$1,INV_5!$3:$3,0))</f>
        <v>0.105</v>
      </c>
      <c r="S63" s="77">
        <f>INDEX(LUJ_1!$A:$J,MATCH('2022'!$A63,LUJ_1!$A:$A,0),MATCH('2022'!$A$1,LUJ_1!$3:$3,0))</f>
        <v>0.65791828213540116</v>
      </c>
      <c r="T63" s="73">
        <f>INDEX(LUJ_2!$A:$J,MATCH('2022'!$A63,LUJ_2!$A:$A,0),MATCH('2022'!$A$1,LUJ_2!$3:$3,0))</f>
        <v>0.34</v>
      </c>
      <c r="U63" s="73">
        <f>INDEX(LUJ_3!$A:$J,MATCH('2022'!$A63,LUJ_3!$A:$A,0),MATCH('2022'!$A$1,LUJ_3!$3:$3,0))</f>
        <v>0.60006792901418016</v>
      </c>
      <c r="V63" s="14">
        <f>INDEX(LUJ_4!$A:$J,MATCH('2022'!$A63,LUJ_4!$A:$A,0),MATCH('2022'!$A$1,LUJ_4!$3:$3,0))</f>
        <v>45</v>
      </c>
      <c r="W63" s="34">
        <f>INDEX(LUJ_5!$A:$J,MATCH('2022'!$A63,LUJ_5!$A:$A,0),MATCH('2022'!$A$1,LUJ_5!$3:$3,0))</f>
        <v>13.2</v>
      </c>
      <c r="X63" s="98">
        <f>1/INDEX(GUL_1!$A:$J,MATCH('2022'!$A63,GUL_1!$A:$A,0),MATCH('2022'!$A$1,GUL_1!$3:$3,0))</f>
        <v>1.3760836658868859E-2</v>
      </c>
      <c r="Y63" s="57" t="e">
        <f>INDEX(GUL_2!$A:$J,MATCH('2022'!$A63,GUL_2!$A:$A,0),MATCH('2022'!$A$1,GUL_2!$3:$3,0))</f>
        <v>#N/A</v>
      </c>
      <c r="Z63" s="57">
        <f>INDEX(GUL_3!$A:$J,MATCH('2022'!$A63,GUL_3!$A:$A,0),MATCH('2022'!$A$1,GUL_3!$3:$3,0))/(B63/1000)</f>
        <v>0.38288100920217422</v>
      </c>
      <c r="AA63" s="101">
        <f>INDEX(GUL_4!$A:$J,MATCH('2022'!$A63,GUL_4!$A:$A,0),MATCH('2022'!$A$1,GUL_4!$3:$3,0))/B63/C63*10^6</f>
        <v>0.52824758792959059</v>
      </c>
      <c r="AB63" s="73">
        <f>INDEX(GUL_5!$A:$J,MATCH('2022'!$A63,GUL_5!$A:$A,0),MATCH('2022'!$A$1,GUL_5!$3:$3,0))</f>
        <v>2.1849188268563014E-2</v>
      </c>
      <c r="AC63" s="49" t="e">
        <f>INDEX(GUL_6!$A:$J,MATCH('2022'!$A63,GUL_6!$A:$A,0),MATCH('2022'!$A$1,GUL_6!$3:$3,0))</f>
        <v>#N/A</v>
      </c>
      <c r="AD63" s="49" t="e">
        <f>INDEX(GUL_7!$A:$J,MATCH('2022'!$A63,GUL_7!$A:$A,0),MATCH('2022'!$A$1,GUL_7!$3:$3,0))</f>
        <v>#N/A</v>
      </c>
      <c r="AE63" s="103">
        <f>INDEX(GUL_8!$A:$J,MATCH('2022'!$A63,GUL_8!$A:$A,0),MATCH('2022'!$A$1,GUL_8!$3:$3,0))/(B63/1000)</f>
        <v>3.3066085061727035</v>
      </c>
      <c r="AF63" s="41">
        <f>INDEX(DES_1!$A:$J,MATCH('2022'!$A63,DES_1!$A:$A,0),MATCH('2022'!$A$1,DES_1!$3:$3,0))/(B63/1000)</f>
        <v>0.16538054062397578</v>
      </c>
      <c r="AG63" s="100">
        <f>INDEX(DES_2!$A:$J,MATCH('2022'!$A63,DES_2!$A:$A,0),MATCH('2022'!$A$1,DES_2!$3:$3,0))/(B63/1000)</f>
        <v>0.33777722539563537</v>
      </c>
      <c r="AH63" s="57">
        <f>1/INDEX(DES_3!$A:$J,MATCH('2022'!$A63,DES_3!$A:$A,0),MATCH('2022'!$A$1,DES_3!$3:$3,0))</f>
        <v>7.7881619937694704E-3</v>
      </c>
      <c r="AI63" s="80" t="e">
        <f>INDEX(DES_4!$A:$J,MATCH('2022'!$A63,DES_4!$A:$A,0),MATCH('2022'!$A$1,DES_4!$3:$3,0))</f>
        <v>#N/A</v>
      </c>
      <c r="AJ63" s="110" t="e">
        <f>INDEX(DES_5!$A:$J,MATCH('2022'!$A63,DES_5!$A:$A,0),MATCH('2022'!$A$1,DES_5!$3:$3,0))</f>
        <v>#N/A</v>
      </c>
      <c r="AK63" s="57">
        <v>67</v>
      </c>
    </row>
    <row r="64" spans="1:37" x14ac:dyDescent="0.3">
      <c r="A64" s="29" t="s">
        <v>63</v>
      </c>
      <c r="B64" s="33">
        <f>INDEX(Population!$A:$J,MATCH('2022'!$A64,Population!$A:$A,0),MATCH('2022'!$A$1,Population!$3:$3,0))</f>
        <v>3198342</v>
      </c>
      <c r="C64" s="14">
        <f>INDEX(Income!$A:$J,MATCH('2022'!$A64,Income!$A:$A,0),MATCH('2022'!$A$1,Income!$3:$3,0))</f>
        <v>33329</v>
      </c>
      <c r="D64" s="34">
        <f>INDEX(Livable_wage!$A:$J,MATCH('2022'!$A64,Livable_wage!$A:$A,0),MATCH('2022'!$A$1,Livable_wage!$3:$3,0))</f>
        <v>12667</v>
      </c>
      <c r="E64" s="41">
        <f>INDEX(AVA_1!$A:$J,MATCH('2022'!$A64,AVA_1!$A:$A,0),MATCH('2022'!$A$1,AVA_1!$3:$3,0))</f>
        <v>0.37</v>
      </c>
      <c r="F64" s="15">
        <f>INDEX(AVA_2!$A:$J,MATCH('2022'!$A64,AVA_2!$A:$A,0),MATCH('2022'!$A$1,AVA_2!$3:$3,0))</f>
        <v>4.6257274013466517E-3</v>
      </c>
      <c r="G64" s="15">
        <f>INDEX(AVA_3!$A:$J,MATCH('2022'!$A64,AVA_3!$A:$A,0),MATCH('2022'!$A$1,AVA_3!$3:$3,0))</f>
        <v>2.4054388646014571E-2</v>
      </c>
      <c r="H64" s="87">
        <f>INDEX(AVA_4!$A:$J,MATCH('2022'!$A64,AVA_4!$A:$A,0),MATCH('2022'!$A$1,AVA_4!$3:$3,0))/(B64/1000)</f>
        <v>0.67910185965103165</v>
      </c>
      <c r="I64" s="89">
        <f>INDEX(AVA_5!$A:$J,MATCH('2022'!$A64,AVA_5!$A:$A,0),MATCH('2022'!$A$1,AVA_5!$3:$3,0))/(B64/1000)</f>
        <v>0.46805501100257568</v>
      </c>
      <c r="J64" s="93">
        <f>INDEX(IRA_1!$A:$J,MATCH('2022'!$A64,IRA_1!$A:$A,0),MATCH('2022'!$A$1,IRA_1!$3:$3,0))/(B64/1000)</f>
        <v>1.5633099899885629E-2</v>
      </c>
      <c r="K64" s="88">
        <f>INDEX(IRA_2!$A:$J,MATCH('2022'!$A64,IRA_2!$A:$A,0),MATCH('2022'!$A$1,IRA_2!$3:$3,0))/(B64/1000)</f>
        <v>2.2199001857837592E-2</v>
      </c>
      <c r="L64" s="15">
        <f>INDEX(IRA_3!$A:$J,MATCH('2022'!$A64,IRA_3!$A:$A,0),MATCH('2022'!$A$1,IRA_3!$3:$3,0))</f>
        <v>0.58623523369286079</v>
      </c>
      <c r="M64" s="96">
        <f>INDEX(IRA_4!$A:$J,MATCH('2022'!$A64,IRA_4!$A:$A,0),MATCH('2022'!$A$1,IRA_4!$3:$3,0))/(B64/1000)</f>
        <v>1.2812888677946261</v>
      </c>
      <c r="N64" s="61">
        <f>INDEX(INV_1!$A:$J,MATCH('2022'!$A64,INV_1!$A:$A,0),MATCH('2022'!$A$1,INV_1!$3:$3,0))</f>
        <v>6.8713671819751507E-2</v>
      </c>
      <c r="O64" s="80">
        <f>INDEX(INV_2!$A:$J,MATCH('2022'!$A64,INV_2!$A:$A,0),MATCH('2022'!$A$1,INV_2!$3:$3,0))/B64*10^6/C64</f>
        <v>0.44465509801380482</v>
      </c>
      <c r="P64" s="87">
        <f>INDEX(INV_3!$A:$J,MATCH('2022'!$A64,INV_3!$A:$A,0),MATCH('2022'!$A$1,INV_3!$3:$3,0))/B64*10^6/C64</f>
        <v>1.1804681363989966</v>
      </c>
      <c r="Q64" s="87">
        <f>INDEX(INV_4!$A:$J,MATCH('2022'!$A64,INV_4!$A:$A,0),MATCH('2022'!$A$1,INV_4!$3:$3,0))/B64*10^3/C64</f>
        <v>0.1805308761955014</v>
      </c>
      <c r="R64" s="34">
        <f>INDEX(INV_5!$A:$J,MATCH('2022'!$A64,INV_5!$A:$A,0),MATCH('2022'!$A$1,INV_5!$3:$3,0))</f>
        <v>0.18379999999999999</v>
      </c>
      <c r="S64" s="77">
        <f>INDEX(LUJ_1!$A:$J,MATCH('2022'!$A64,LUJ_1!$A:$A,0),MATCH('2022'!$A$1,LUJ_1!$3:$3,0))</f>
        <v>1.9736676458245908</v>
      </c>
      <c r="T64" s="73">
        <f>INDEX(LUJ_2!$A:$J,MATCH('2022'!$A64,LUJ_2!$A:$A,0),MATCH('2022'!$A$1,LUJ_2!$3:$3,0))</f>
        <v>0.29299999999999998</v>
      </c>
      <c r="U64" s="73">
        <f>INDEX(LUJ_3!$A:$J,MATCH('2022'!$A64,LUJ_3!$A:$A,0),MATCH('2022'!$A$1,LUJ_3!$3:$3,0))</f>
        <v>0.12157657762403759</v>
      </c>
      <c r="V64" s="14">
        <f>INDEX(LUJ_4!$A:$J,MATCH('2022'!$A64,LUJ_4!$A:$A,0),MATCH('2022'!$A$1,LUJ_4!$3:$3,0))</f>
        <v>36</v>
      </c>
      <c r="W64" s="34">
        <f>INDEX(LUJ_5!$A:$J,MATCH('2022'!$A64,LUJ_5!$A:$A,0),MATCH('2022'!$A$1,LUJ_5!$3:$3,0))</f>
        <v>10.199999999999999</v>
      </c>
      <c r="X64" s="98">
        <f>1/INDEX(GUL_1!$A:$J,MATCH('2022'!$A64,GUL_1!$A:$A,0),MATCH('2022'!$A$1,GUL_1!$3:$3,0))</f>
        <v>1.2784454103809767E-2</v>
      </c>
      <c r="Y64" s="57" t="e">
        <f>INDEX(GUL_2!$A:$J,MATCH('2022'!$A64,GUL_2!$A:$A,0),MATCH('2022'!$A$1,GUL_2!$3:$3,0))</f>
        <v>#N/A</v>
      </c>
      <c r="Z64" s="57">
        <f>INDEX(GUL_3!$A:$J,MATCH('2022'!$A64,GUL_3!$A:$A,0),MATCH('2022'!$A$1,GUL_3!$3:$3,0))/(B64/1000)</f>
        <v>0.18540856481264353</v>
      </c>
      <c r="AA64" s="101">
        <f>INDEX(GUL_4!$A:$J,MATCH('2022'!$A64,GUL_4!$A:$A,0),MATCH('2022'!$A$1,GUL_4!$3:$3,0))/B64/C64*10^6</f>
        <v>0.9017392852864996</v>
      </c>
      <c r="AB64" s="73">
        <f>INDEX(GUL_5!$A:$J,MATCH('2022'!$A64,GUL_5!$A:$A,0),MATCH('2022'!$A$1,GUL_5!$3:$3,0))</f>
        <v>1.1760557941103467E-2</v>
      </c>
      <c r="AC64" s="49" t="e">
        <f>INDEX(GUL_6!$A:$J,MATCH('2022'!$A64,GUL_6!$A:$A,0),MATCH('2022'!$A$1,GUL_6!$3:$3,0))</f>
        <v>#N/A</v>
      </c>
      <c r="AD64" s="49" t="e">
        <f>INDEX(GUL_7!$A:$J,MATCH('2022'!$A64,GUL_7!$A:$A,0),MATCH('2022'!$A$1,GUL_7!$3:$3,0))</f>
        <v>#N/A</v>
      </c>
      <c r="AE64" s="103">
        <f>INDEX(GUL_8!$A:$J,MATCH('2022'!$A64,GUL_8!$A:$A,0),MATCH('2022'!$A$1,GUL_8!$3:$3,0))/(B64/1000)</f>
        <v>0.19510108675057264</v>
      </c>
      <c r="AF64" s="41">
        <f>INDEX(DES_1!$A:$J,MATCH('2022'!$A64,DES_1!$A:$A,0),MATCH('2022'!$A$1,DES_1!$3:$3,0))/(B64/1000)</f>
        <v>7.1912259539473888E-3</v>
      </c>
      <c r="AG64" s="100">
        <f>INDEX(DES_2!$A:$J,MATCH('2022'!$A64,DES_2!$A:$A,0),MATCH('2022'!$A$1,DES_2!$3:$3,0))/(B64/1000)</f>
        <v>0.49525660482837669</v>
      </c>
      <c r="AH64" s="57">
        <f>1/INDEX(DES_3!$A:$J,MATCH('2022'!$A64,DES_3!$A:$A,0),MATCH('2022'!$A$1,DES_3!$3:$3,0))</f>
        <v>9.1996320147194107E-3</v>
      </c>
      <c r="AI64" s="80" t="e">
        <f>INDEX(DES_4!$A:$J,MATCH('2022'!$A64,DES_4!$A:$A,0),MATCH('2022'!$A$1,DES_4!$3:$3,0))</f>
        <v>#N/A</v>
      </c>
      <c r="AJ64" s="110" t="e">
        <f>INDEX(DES_5!$A:$J,MATCH('2022'!$A64,DES_5!$A:$A,0),MATCH('2022'!$A$1,DES_5!$3:$3,0))</f>
        <v>#N/A</v>
      </c>
      <c r="AK64" s="57">
        <v>14</v>
      </c>
    </row>
    <row r="65" spans="1:37" x14ac:dyDescent="0.3">
      <c r="A65" s="29" t="s">
        <v>64</v>
      </c>
      <c r="B65" s="33">
        <f>INDEX(Population!$A:$J,MATCH('2022'!$A65,Population!$A:$A,0),MATCH('2022'!$A$1,Population!$3:$3,0))</f>
        <v>1841800</v>
      </c>
      <c r="C65" s="14">
        <f>INDEX(Income!$A:$J,MATCH('2022'!$A65,Income!$A:$A,0),MATCH('2022'!$A$1,Income!$3:$3,0))</f>
        <v>34725</v>
      </c>
      <c r="D65" s="34">
        <f>INDEX(Livable_wage!$A:$J,MATCH('2022'!$A65,Livable_wage!$A:$A,0),MATCH('2022'!$A$1,Livable_wage!$3:$3,0))</f>
        <v>12436</v>
      </c>
      <c r="E65" s="41">
        <f>INDEX(AVA_1!$A:$J,MATCH('2022'!$A65,AVA_1!$A:$A,0),MATCH('2022'!$A$1,AVA_1!$3:$3,0))</f>
        <v>0.36599999999999999</v>
      </c>
      <c r="F65" s="15">
        <f>INDEX(AVA_2!$A:$J,MATCH('2022'!$A65,AVA_2!$A:$A,0),MATCH('2022'!$A$1,AVA_2!$3:$3,0))</f>
        <v>9.4922308605711256E-3</v>
      </c>
      <c r="G65" s="15">
        <f>INDEX(AVA_3!$A:$J,MATCH('2022'!$A65,AVA_3!$A:$A,0),MATCH('2022'!$A$1,AVA_3!$3:$3,0))</f>
        <v>3.9295662516424705E-3</v>
      </c>
      <c r="H65" s="87">
        <f>INDEX(AVA_4!$A:$J,MATCH('2022'!$A65,AVA_4!$A:$A,0),MATCH('2022'!$A$1,AVA_4!$3:$3,0))/(B65/1000)</f>
        <v>0.85079813226191769</v>
      </c>
      <c r="I65" s="89">
        <f>INDEX(AVA_5!$A:$J,MATCH('2022'!$A65,AVA_5!$A:$A,0),MATCH('2022'!$A$1,AVA_5!$3:$3,0))/(B65/1000)</f>
        <v>4.3837550222608321</v>
      </c>
      <c r="J65" s="93">
        <f>INDEX(IRA_1!$A:$J,MATCH('2022'!$A65,IRA_1!$A:$A,0),MATCH('2022'!$A$1,IRA_1!$3:$3,0))/(B65/1000)</f>
        <v>4.1806928005212296E-2</v>
      </c>
      <c r="K65" s="88">
        <f>INDEX(IRA_2!$A:$J,MATCH('2022'!$A65,IRA_2!$A:$A,0),MATCH('2022'!$A$1,IRA_2!$3:$3,0))/(B65/1000)</f>
        <v>0.13682267347160387</v>
      </c>
      <c r="L65" s="15">
        <f>INDEX(IRA_3!$A:$J,MATCH('2022'!$A65,IRA_3!$A:$A,0),MATCH('2022'!$A$1,IRA_3!$3:$3,0))</f>
        <v>0.32292893600314099</v>
      </c>
      <c r="M65" s="96">
        <f>INDEX(IRA_4!$A:$J,MATCH('2022'!$A65,IRA_4!$A:$A,0),MATCH('2022'!$A$1,IRA_4!$3:$3,0))/(B65/1000)</f>
        <v>2.9889238788142034</v>
      </c>
      <c r="N65" s="61">
        <f>INDEX(INV_1!$A:$J,MATCH('2022'!$A65,INV_1!$A:$A,0),MATCH('2022'!$A$1,INV_1!$3:$3,0))</f>
        <v>6.7575982528573539E-2</v>
      </c>
      <c r="O65" s="80">
        <f>INDEX(INV_2!$A:$J,MATCH('2022'!$A65,INV_2!$A:$A,0),MATCH('2022'!$A$1,INV_2!$3:$3,0))/B65*10^6/C65</f>
        <v>0.50617864894845221</v>
      </c>
      <c r="P65" s="87">
        <f>INDEX(INV_3!$A:$J,MATCH('2022'!$A65,INV_3!$A:$A,0),MATCH('2022'!$A$1,INV_3!$3:$3,0))/B65*10^6/C65</f>
        <v>4.6969577215015104</v>
      </c>
      <c r="Q65" s="87">
        <f>INDEX(INV_4!$A:$J,MATCH('2022'!$A65,INV_4!$A:$A,0),MATCH('2022'!$A$1,INV_4!$3:$3,0))/B65*10^3/C65</f>
        <v>0.21723430149912037</v>
      </c>
      <c r="R65" s="34">
        <f>INDEX(INV_5!$A:$J,MATCH('2022'!$A65,INV_5!$A:$A,0),MATCH('2022'!$A$1,INV_5!$3:$3,0))</f>
        <v>7.3400000000000007E-2</v>
      </c>
      <c r="S65" s="77">
        <f>INDEX(LUJ_1!$A:$J,MATCH('2022'!$A65,LUJ_1!$A:$A,0),MATCH('2022'!$A$1,LUJ_1!$3:$3,0))</f>
        <v>0.60405396151475721</v>
      </c>
      <c r="T65" s="73">
        <f>INDEX(LUJ_2!$A:$J,MATCH('2022'!$A65,LUJ_2!$A:$A,0),MATCH('2022'!$A$1,LUJ_2!$3:$3,0))</f>
        <v>0.23499999999999999</v>
      </c>
      <c r="U65" s="73">
        <f>INDEX(LUJ_3!$A:$J,MATCH('2022'!$A65,LUJ_3!$A:$A,0),MATCH('2022'!$A$1,LUJ_3!$3:$3,0))</f>
        <v>0.33767846058348849</v>
      </c>
      <c r="V65" s="14">
        <f>INDEX(LUJ_4!$A:$J,MATCH('2022'!$A65,LUJ_4!$A:$A,0),MATCH('2022'!$A$1,LUJ_4!$3:$3,0))</f>
        <v>29</v>
      </c>
      <c r="W65" s="34">
        <f>INDEX(LUJ_5!$A:$J,MATCH('2022'!$A65,LUJ_5!$A:$A,0),MATCH('2022'!$A$1,LUJ_5!$3:$3,0))</f>
        <v>57.7</v>
      </c>
      <c r="X65" s="98">
        <f>1/INDEX(GUL_1!$A:$J,MATCH('2022'!$A65,GUL_1!$A:$A,0),MATCH('2022'!$A$1,GUL_1!$3:$3,0))</f>
        <v>1.3995801259622112E-2</v>
      </c>
      <c r="Y65" s="57" t="e">
        <f>INDEX(GUL_2!$A:$J,MATCH('2022'!$A65,GUL_2!$A:$A,0),MATCH('2022'!$A$1,GUL_2!$3:$3,0))</f>
        <v>#N/A</v>
      </c>
      <c r="Z65" s="57">
        <f>INDEX(GUL_3!$A:$J,MATCH('2022'!$A65,GUL_3!$A:$A,0),MATCH('2022'!$A$1,GUL_3!$3:$3,0))/(B65/1000)</f>
        <v>0.55434900640677598</v>
      </c>
      <c r="AA65" s="101">
        <f>INDEX(GUL_4!$A:$J,MATCH('2022'!$A65,GUL_4!$A:$A,0),MATCH('2022'!$A$1,GUL_4!$3:$3,0))/B65/C65*10^6</f>
        <v>0.3269188958965159</v>
      </c>
      <c r="AB65" s="73">
        <f>INDEX(GUL_5!$A:$J,MATCH('2022'!$A65,GUL_5!$A:$A,0),MATCH('2022'!$A$1,GUL_5!$3:$3,0))</f>
        <v>2.4872602349441063E-2</v>
      </c>
      <c r="AC65" s="49" t="e">
        <f>INDEX(GUL_6!$A:$J,MATCH('2022'!$A65,GUL_6!$A:$A,0),MATCH('2022'!$A$1,GUL_6!$3:$3,0))</f>
        <v>#N/A</v>
      </c>
      <c r="AD65" s="49" t="e">
        <f>INDEX(GUL_7!$A:$J,MATCH('2022'!$A65,GUL_7!$A:$A,0),MATCH('2022'!$A$1,GUL_7!$3:$3,0))</f>
        <v>#N/A</v>
      </c>
      <c r="AE65" s="103">
        <f>INDEX(GUL_8!$A:$J,MATCH('2022'!$A65,GUL_8!$A:$A,0),MATCH('2022'!$A$1,GUL_8!$3:$3,0))/(B65/1000)</f>
        <v>1.5707460093386905</v>
      </c>
      <c r="AF65" s="41">
        <f>INDEX(DES_1!$A:$J,MATCH('2022'!$A65,DES_1!$A:$A,0),MATCH('2022'!$A$1,DES_1!$3:$3,0))/(B65/1000)</f>
        <v>0.13682267347160387</v>
      </c>
      <c r="AG65" s="100">
        <f>INDEX(DES_2!$A:$J,MATCH('2022'!$A65,DES_2!$A:$A,0),MATCH('2022'!$A$1,DES_2!$3:$3,0))/(B65/1000)</f>
        <v>0.5375176457813009</v>
      </c>
      <c r="AH65" s="57">
        <f>1/INDEX(DES_3!$A:$J,MATCH('2022'!$A65,DES_3!$A:$A,0),MATCH('2022'!$A$1,DES_3!$3:$3,0))</f>
        <v>8.2781456953642391E-3</v>
      </c>
      <c r="AI65" s="80" t="e">
        <f>INDEX(DES_4!$A:$J,MATCH('2022'!$A65,DES_4!$A:$A,0),MATCH('2022'!$A$1,DES_4!$3:$3,0))</f>
        <v>#N/A</v>
      </c>
      <c r="AJ65" s="110" t="e">
        <f>INDEX(DES_5!$A:$J,MATCH('2022'!$A65,DES_5!$A:$A,0),MATCH('2022'!$A$1,DES_5!$3:$3,0))</f>
        <v>#N/A</v>
      </c>
      <c r="AK65" s="57">
        <v>21</v>
      </c>
    </row>
    <row r="66" spans="1:37" x14ac:dyDescent="0.3">
      <c r="A66" s="29" t="s">
        <v>65</v>
      </c>
      <c r="B66" s="33">
        <f>INDEX(Population!$A:$J,MATCH('2022'!$A66,Population!$A:$A,0),MATCH('2022'!$A$1,Population!$3:$3,0))</f>
        <v>730399</v>
      </c>
      <c r="C66" s="14">
        <f>INDEX(Income!$A:$J,MATCH('2022'!$A66,Income!$A:$A,0),MATCH('2022'!$A$1,Income!$3:$3,0))</f>
        <v>46610</v>
      </c>
      <c r="D66" s="34">
        <f>INDEX(Livable_wage!$A:$J,MATCH('2022'!$A66,Livable_wage!$A:$A,0),MATCH('2022'!$A$1,Livable_wage!$3:$3,0))</f>
        <v>16905</v>
      </c>
      <c r="E66" s="41">
        <f>INDEX(AVA_1!$A:$J,MATCH('2022'!$A66,AVA_1!$A:$A,0),MATCH('2022'!$A$1,AVA_1!$3:$3,0))</f>
        <v>0.35299999999999998</v>
      </c>
      <c r="F66" s="15">
        <f>INDEX(AVA_2!$A:$J,MATCH('2022'!$A66,AVA_2!$A:$A,0),MATCH('2022'!$A$1,AVA_2!$3:$3,0))</f>
        <v>1.0017576477998924E-2</v>
      </c>
      <c r="G66" s="15">
        <f>INDEX(AVA_3!$A:$J,MATCH('2022'!$A66,AVA_3!$A:$A,0),MATCH('2022'!$A$1,AVA_3!$3:$3,0))</f>
        <v>2.9559736721153137E-3</v>
      </c>
      <c r="H66" s="87">
        <f>INDEX(AVA_4!$A:$J,MATCH('2022'!$A66,AVA_4!$A:$A,0),MATCH('2022'!$A$1,AVA_4!$3:$3,0))/(B66/1000)</f>
        <v>0.55996790795168117</v>
      </c>
      <c r="I66" s="89">
        <f>INDEX(AVA_5!$A:$J,MATCH('2022'!$A66,AVA_5!$A:$A,0),MATCH('2022'!$A$1,AVA_5!$3:$3,0))/(B66/1000)</f>
        <v>5.2806753568939717</v>
      </c>
      <c r="J66" s="93">
        <f>INDEX(IRA_1!$A:$J,MATCH('2022'!$A66,IRA_1!$A:$A,0),MATCH('2022'!$A$1,IRA_1!$3:$3,0))/(B66/1000)</f>
        <v>9.5838028255788965E-2</v>
      </c>
      <c r="K66" s="88">
        <f>INDEX(IRA_2!$A:$J,MATCH('2022'!$A66,IRA_2!$A:$A,0),MATCH('2022'!$A$1,IRA_2!$3:$3,0))/(B66/1000)</f>
        <v>0.27519205256305118</v>
      </c>
      <c r="L66" s="15">
        <f>INDEX(IRA_3!$A:$J,MATCH('2022'!$A66,IRA_3!$A:$A,0),MATCH('2022'!$A$1,IRA_3!$3:$3,0))</f>
        <v>0.34041987775710869</v>
      </c>
      <c r="M66" s="96">
        <f>INDEX(IRA_4!$A:$J,MATCH('2022'!$A66,IRA_4!$A:$A,0),MATCH('2022'!$A$1,IRA_4!$3:$3,0))/(B66/1000)</f>
        <v>5.8474888382924952</v>
      </c>
      <c r="N66" s="61">
        <f>INDEX(INV_1!$A:$J,MATCH('2022'!$A66,INV_1!$A:$A,0),MATCH('2022'!$A$1,INV_1!$3:$3,0))</f>
        <v>7.297153428354175E-2</v>
      </c>
      <c r="O66" s="80">
        <f>INDEX(INV_2!$A:$J,MATCH('2022'!$A66,INV_2!$A:$A,0),MATCH('2022'!$A$1,INV_2!$3:$3,0))/B66*10^6/C66</f>
        <v>0.47038446763484998</v>
      </c>
      <c r="P66" s="87">
        <f>INDEX(INV_3!$A:$J,MATCH('2022'!$A66,INV_3!$A:$A,0),MATCH('2022'!$A$1,INV_3!$3:$3,0))/B66*10^6/C66</f>
        <v>5.0148488595241885</v>
      </c>
      <c r="Q66" s="87">
        <f>INDEX(INV_4!$A:$J,MATCH('2022'!$A66,INV_4!$A:$A,0),MATCH('2022'!$A$1,INV_4!$3:$3,0))/B66*10^3/C66</f>
        <v>0.21188374284428549</v>
      </c>
      <c r="R66" s="34">
        <f>INDEX(INV_5!$A:$J,MATCH('2022'!$A66,INV_5!$A:$A,0),MATCH('2022'!$A$1,INV_5!$3:$3,0))</f>
        <v>3.9699999999999999E-2</v>
      </c>
      <c r="S66" s="77">
        <f>INDEX(LUJ_1!$A:$J,MATCH('2022'!$A66,LUJ_1!$A:$A,0),MATCH('2022'!$A$1,LUJ_1!$3:$3,0))</f>
        <v>0.76322163907953167</v>
      </c>
      <c r="T66" s="73">
        <f>INDEX(LUJ_2!$A:$J,MATCH('2022'!$A66,LUJ_2!$A:$A,0),MATCH('2022'!$A$1,LUJ_2!$3:$3,0))</f>
        <v>0.312</v>
      </c>
      <c r="U66" s="73">
        <f>INDEX(LUJ_3!$A:$J,MATCH('2022'!$A66,LUJ_3!$A:$A,0),MATCH('2022'!$A$1,LUJ_3!$3:$3,0))</f>
        <v>0.61064162754303597</v>
      </c>
      <c r="V66" s="14">
        <f>INDEX(LUJ_4!$A:$J,MATCH('2022'!$A66,LUJ_4!$A:$A,0),MATCH('2022'!$A$1,LUJ_4!$3:$3,0))</f>
        <v>28</v>
      </c>
      <c r="W66" s="34">
        <f>INDEX(LUJ_5!$A:$J,MATCH('2022'!$A66,LUJ_5!$A:$A,0),MATCH('2022'!$A$1,LUJ_5!$3:$3,0))</f>
        <v>41.3</v>
      </c>
      <c r="X66" s="98">
        <f>1/INDEX(GUL_1!$A:$J,MATCH('2022'!$A66,GUL_1!$A:$A,0),MATCH('2022'!$A$1,GUL_1!$3:$3,0))</f>
        <v>1.4297969688304261E-2</v>
      </c>
      <c r="Y66" s="57" t="e">
        <f>INDEX(GUL_2!$A:$J,MATCH('2022'!$A66,GUL_2!$A:$A,0),MATCH('2022'!$A$1,GUL_2!$3:$3,0))</f>
        <v>#N/A</v>
      </c>
      <c r="Z66" s="57">
        <f>INDEX(GUL_3!$A:$J,MATCH('2022'!$A66,GUL_3!$A:$A,0),MATCH('2022'!$A$1,GUL_3!$3:$3,0))/(B66/1000)</f>
        <v>1.0925535221159941</v>
      </c>
      <c r="AA66" s="101">
        <f>INDEX(GUL_4!$A:$J,MATCH('2022'!$A66,GUL_4!$A:$A,0),MATCH('2022'!$A$1,GUL_4!$3:$3,0))/B66/C66*10^6</f>
        <v>0.40930390079524326</v>
      </c>
      <c r="AB66" s="73">
        <f>INDEX(GUL_5!$A:$J,MATCH('2022'!$A66,GUL_5!$A:$A,0),MATCH('2022'!$A$1,GUL_5!$3:$3,0))</f>
        <v>3.0137764926983744E-2</v>
      </c>
      <c r="AC66" s="49" t="e">
        <f>INDEX(GUL_6!$A:$J,MATCH('2022'!$A66,GUL_6!$A:$A,0),MATCH('2022'!$A$1,GUL_6!$3:$3,0))</f>
        <v>#N/A</v>
      </c>
      <c r="AD66" s="49" t="e">
        <f>INDEX(GUL_7!$A:$J,MATCH('2022'!$A66,GUL_7!$A:$A,0),MATCH('2022'!$A$1,GUL_7!$3:$3,0))</f>
        <v>#N/A</v>
      </c>
      <c r="AE66" s="103">
        <f>INDEX(GUL_8!$A:$J,MATCH('2022'!$A66,GUL_8!$A:$A,0),MATCH('2022'!$A$1,GUL_8!$3:$3,0))/(B66/1000)</f>
        <v>4.2374099635952405</v>
      </c>
      <c r="AF66" s="41">
        <f>INDEX(DES_1!$A:$J,MATCH('2022'!$A66,DES_1!$A:$A,0),MATCH('2022'!$A$1,DES_1!$3:$3,0))/(B66/1000)</f>
        <v>0.24370241470757764</v>
      </c>
      <c r="AG66" s="100">
        <f>INDEX(DES_2!$A:$J,MATCH('2022'!$A66,DES_2!$A:$A,0),MATCH('2022'!$A$1,DES_2!$3:$3,0))/(B66/1000)</f>
        <v>0.59830311925399682</v>
      </c>
      <c r="AH66" s="57">
        <f>1/INDEX(DES_3!$A:$J,MATCH('2022'!$A66,DES_3!$A:$A,0),MATCH('2022'!$A$1,DES_3!$3:$3,0))</f>
        <v>9.3023255813953487E-3</v>
      </c>
      <c r="AI66" s="80" t="e">
        <f>INDEX(DES_4!$A:$J,MATCH('2022'!$A66,DES_4!$A:$A,0),MATCH('2022'!$A$1,DES_4!$3:$3,0))</f>
        <v>#N/A</v>
      </c>
      <c r="AJ66" s="110" t="e">
        <f>INDEX(DES_5!$A:$J,MATCH('2022'!$A66,DES_5!$A:$A,0),MATCH('2022'!$A$1,DES_5!$3:$3,0))</f>
        <v>#N/A</v>
      </c>
      <c r="AK66" s="57">
        <v>25</v>
      </c>
    </row>
    <row r="67" spans="1:37" x14ac:dyDescent="0.3">
      <c r="A67" s="29" t="s">
        <v>66</v>
      </c>
      <c r="B67" s="33">
        <f>INDEX(Population!$A:$J,MATCH('2022'!$A67,Population!$A:$A,0),MATCH('2022'!$A$1,Population!$3:$3,0))</f>
        <v>1523906</v>
      </c>
      <c r="C67" s="14">
        <f>INDEX(Income!$A:$J,MATCH('2022'!$A67,Income!$A:$A,0),MATCH('2022'!$A$1,Income!$3:$3,0))</f>
        <v>30335</v>
      </c>
      <c r="D67" s="34">
        <f>INDEX(Livable_wage!$A:$J,MATCH('2022'!$A67,Livable_wage!$A:$A,0),MATCH('2022'!$A$1,Livable_wage!$3:$3,0))</f>
        <v>13363</v>
      </c>
      <c r="E67" s="41">
        <f>INDEX(AVA_1!$A:$J,MATCH('2022'!$A67,AVA_1!$A:$A,0),MATCH('2022'!$A$1,AVA_1!$3:$3,0))</f>
        <v>0.372</v>
      </c>
      <c r="F67" s="15">
        <f>INDEX(AVA_2!$A:$J,MATCH('2022'!$A67,AVA_2!$A:$A,0),MATCH('2022'!$A$1,AVA_2!$3:$3,0))</f>
        <v>7.2259545810999812E-3</v>
      </c>
      <c r="G67" s="15">
        <f>INDEX(AVA_3!$A:$J,MATCH('2022'!$A67,AVA_3!$A:$A,0),MATCH('2022'!$A$1,AVA_3!$3:$3,0))</f>
        <v>0.14813016827946351</v>
      </c>
      <c r="H67" s="87">
        <f>INDEX(AVA_4!$A:$J,MATCH('2022'!$A67,AVA_4!$A:$A,0),MATCH('2022'!$A$1,AVA_4!$3:$3,0))/(B67/1000)</f>
        <v>0.27954480131976644</v>
      </c>
      <c r="I67" s="89">
        <f>INDEX(AVA_5!$A:$J,MATCH('2022'!$A67,AVA_5!$A:$A,0),MATCH('2022'!$A$1,AVA_5!$3:$3,0))/(B67/1000)</f>
        <v>0.2178612066623532</v>
      </c>
      <c r="J67" s="93">
        <f>INDEX(IRA_1!$A:$J,MATCH('2022'!$A67,IRA_1!$A:$A,0),MATCH('2022'!$A$1,IRA_1!$3:$3,0))/(B67/1000)</f>
        <v>1.1811752168440836E-2</v>
      </c>
      <c r="K67" s="88">
        <f>INDEX(IRA_2!$A:$J,MATCH('2022'!$A67,IRA_2!$A:$A,0),MATCH('2022'!$A$1,IRA_2!$3:$3,0))/(B67/1000)</f>
        <v>1.9686253614068058E-3</v>
      </c>
      <c r="L67" s="15">
        <f>INDEX(IRA_3!$A:$J,MATCH('2022'!$A67,IRA_3!$A:$A,0),MATCH('2022'!$A$1,IRA_3!$3:$3,0))</f>
        <v>0.6873385012919897</v>
      </c>
      <c r="M67" s="96">
        <f>INDEX(IRA_4!$A:$J,MATCH('2022'!$A67,IRA_4!$A:$A,0),MATCH('2022'!$A$1,IRA_4!$3:$3,0))/(B67/1000)</f>
        <v>0.3438532297923888</v>
      </c>
      <c r="N67" s="61">
        <f>INDEX(INV_1!$A:$J,MATCH('2022'!$A67,INV_1!$A:$A,0),MATCH('2022'!$A$1,INV_1!$3:$3,0))</f>
        <v>0.11040564579467844</v>
      </c>
      <c r="O67" s="80">
        <f>INDEX(INV_2!$A:$J,MATCH('2022'!$A67,INV_2!$A:$A,0),MATCH('2022'!$A$1,INV_2!$3:$3,0))/B67*10^6/C67</f>
        <v>0.53398470641187001</v>
      </c>
      <c r="P67" s="87">
        <f>INDEX(INV_3!$A:$J,MATCH('2022'!$A67,INV_3!$A:$A,0),MATCH('2022'!$A$1,INV_3!$3:$3,0))/B67*10^6/C67</f>
        <v>1.2000816347977075</v>
      </c>
      <c r="Q67" s="87">
        <f>INDEX(INV_4!$A:$J,MATCH('2022'!$A67,INV_4!$A:$A,0),MATCH('2022'!$A$1,INV_4!$3:$3,0))/B67*10^3/C67</f>
        <v>0.197275141672447</v>
      </c>
      <c r="R67" s="34">
        <f>INDEX(INV_5!$A:$J,MATCH('2022'!$A67,INV_5!$A:$A,0),MATCH('2022'!$A$1,INV_5!$3:$3,0))</f>
        <v>0.1137</v>
      </c>
      <c r="S67" s="77">
        <f>INDEX(LUJ_1!$A:$J,MATCH('2022'!$A67,LUJ_1!$A:$A,0),MATCH('2022'!$A$1,LUJ_1!$3:$3,0))</f>
        <v>2.0660592255125283</v>
      </c>
      <c r="T67" s="73">
        <f>INDEX(LUJ_2!$A:$J,MATCH('2022'!$A67,LUJ_2!$A:$A,0),MATCH('2022'!$A$1,LUJ_2!$3:$3,0))</f>
        <v>0.247</v>
      </c>
      <c r="U67" s="73">
        <f>INDEX(LUJ_3!$A:$J,MATCH('2022'!$A67,LUJ_3!$A:$A,0),MATCH('2022'!$A$1,LUJ_3!$3:$3,0))</f>
        <v>0.12752692235027394</v>
      </c>
      <c r="V67" s="14">
        <f>INDEX(LUJ_4!$A:$J,MATCH('2022'!$A67,LUJ_4!$A:$A,0),MATCH('2022'!$A$1,LUJ_4!$3:$3,0))</f>
        <v>0.1</v>
      </c>
      <c r="W67" s="34">
        <f>INDEX(LUJ_5!$A:$J,MATCH('2022'!$A67,LUJ_5!$A:$A,0),MATCH('2022'!$A$1,LUJ_5!$3:$3,0))</f>
        <v>5.2</v>
      </c>
      <c r="X67" s="98">
        <f>1/INDEX(GUL_1!$A:$J,MATCH('2022'!$A67,GUL_1!$A:$A,0),MATCH('2022'!$A$1,GUL_1!$3:$3,0))</f>
        <v>1.3403029084573114E-2</v>
      </c>
      <c r="Y67" s="57" t="e">
        <f>INDEX(GUL_2!$A:$J,MATCH('2022'!$A67,GUL_2!$A:$A,0),MATCH('2022'!$A$1,GUL_2!$3:$3,0))</f>
        <v>#N/A</v>
      </c>
      <c r="Z67" s="57">
        <f>INDEX(GUL_3!$A:$J,MATCH('2022'!$A67,GUL_3!$A:$A,0),MATCH('2022'!$A$1,GUL_3!$3:$3,0))/(B67/1000)</f>
        <v>0.1719266148961944</v>
      </c>
      <c r="AA67" s="101">
        <f>INDEX(GUL_4!$A:$J,MATCH('2022'!$A67,GUL_4!$A:$A,0),MATCH('2022'!$A$1,GUL_4!$3:$3,0))/B67/C67*10^6</f>
        <v>0.34910246478166385</v>
      </c>
      <c r="AB67" s="73">
        <f>INDEX(GUL_5!$A:$J,MATCH('2022'!$A67,GUL_5!$A:$A,0),MATCH('2022'!$A$1,GUL_5!$3:$3,0))</f>
        <v>5.6206986761570996E-4</v>
      </c>
      <c r="AC67" s="49" t="e">
        <f>INDEX(GUL_6!$A:$J,MATCH('2022'!$A67,GUL_6!$A:$A,0),MATCH('2022'!$A$1,GUL_6!$3:$3,0))</f>
        <v>#N/A</v>
      </c>
      <c r="AD67" s="49" t="e">
        <f>INDEX(GUL_7!$A:$J,MATCH('2022'!$A67,GUL_7!$A:$A,0),MATCH('2022'!$A$1,GUL_7!$3:$3,0))</f>
        <v>#N/A</v>
      </c>
      <c r="AE67" s="103">
        <f>INDEX(GUL_8!$A:$J,MATCH('2022'!$A67,GUL_8!$A:$A,0),MATCH('2022'!$A$1,GUL_8!$3:$3,0))/(B67/1000)</f>
        <v>0.10302472724695617</v>
      </c>
      <c r="AF67" s="41">
        <f>INDEX(DES_1!$A:$J,MATCH('2022'!$A67,DES_1!$A:$A,0),MATCH('2022'!$A$1,DES_1!$3:$3,0))/(B67/1000)</f>
        <v>1.3124169076045374E-3</v>
      </c>
      <c r="AG67" s="100">
        <f>INDEX(DES_2!$A:$J,MATCH('2022'!$A67,DES_2!$A:$A,0),MATCH('2022'!$A$1,DES_2!$3:$3,0))/(B67/1000)</f>
        <v>0.21458016439334185</v>
      </c>
      <c r="AH67" s="57">
        <f>1/INDEX(DES_3!$A:$J,MATCH('2022'!$A67,DES_3!$A:$A,0),MATCH('2022'!$A$1,DES_3!$3:$3,0))</f>
        <v>8.5910652920962189E-3</v>
      </c>
      <c r="AI67" s="80" t="e">
        <f>INDEX(DES_4!$A:$J,MATCH('2022'!$A67,DES_4!$A:$A,0),MATCH('2022'!$A$1,DES_4!$3:$3,0))</f>
        <v>#N/A</v>
      </c>
      <c r="AJ67" s="110" t="e">
        <f>INDEX(DES_5!$A:$J,MATCH('2022'!$A67,DES_5!$A:$A,0),MATCH('2022'!$A$1,DES_5!$3:$3,0))</f>
        <v>#N/A</v>
      </c>
      <c r="AK67" s="57">
        <v>32</v>
      </c>
    </row>
    <row r="68" spans="1:37" x14ac:dyDescent="0.3">
      <c r="A68" s="29" t="s">
        <v>67</v>
      </c>
      <c r="B68" s="33">
        <f>INDEX(Population!$A:$J,MATCH('2022'!$A68,Population!$A:$A,0),MATCH('2022'!$A$1,Population!$3:$3,0))</f>
        <v>903802</v>
      </c>
      <c r="C68" s="14">
        <f>INDEX(Income!$A:$J,MATCH('2022'!$A68,Income!$A:$A,0),MATCH('2022'!$A$1,Income!$3:$3,0))</f>
        <v>30167</v>
      </c>
      <c r="D68" s="34">
        <f>INDEX(Livable_wage!$A:$J,MATCH('2022'!$A68,Livable_wage!$A:$A,0),MATCH('2022'!$A$1,Livable_wage!$3:$3,0))</f>
        <v>14894</v>
      </c>
      <c r="E68" s="41">
        <f>INDEX(AVA_1!$A:$J,MATCH('2022'!$A68,AVA_1!$A:$A,0),MATCH('2022'!$A$1,AVA_1!$3:$3,0))</f>
        <v>0.35499999999999998</v>
      </c>
      <c r="F68" s="15">
        <f>INDEX(AVA_2!$A:$J,MATCH('2022'!$A68,AVA_2!$A:$A,0),MATCH('2022'!$A$1,AVA_2!$3:$3,0))</f>
        <v>5.2232131541689753E-3</v>
      </c>
      <c r="G68" s="15">
        <f>INDEX(AVA_3!$A:$J,MATCH('2022'!$A68,AVA_3!$A:$A,0),MATCH('2022'!$A$1,AVA_3!$3:$3,0))</f>
        <v>8.6856405415479279E-4</v>
      </c>
      <c r="H68" s="87">
        <f>INDEX(AVA_4!$A:$J,MATCH('2022'!$A68,AVA_4!$A:$A,0),MATCH('2022'!$A$1,AVA_4!$3:$3,0))/(B68/1000)</f>
        <v>0.6937360174020416</v>
      </c>
      <c r="I68" s="89">
        <f>INDEX(AVA_5!$A:$J,MATCH('2022'!$A68,AVA_5!$A:$A,0),MATCH('2022'!$A$1,AVA_5!$3:$3,0))/(B68/1000)</f>
        <v>1.4781998712107298</v>
      </c>
      <c r="J68" s="93">
        <f>INDEX(IRA_1!$A:$J,MATCH('2022'!$A68,IRA_1!$A:$A,0),MATCH('2022'!$A$1,IRA_1!$3:$3,0))/(B68/1000)</f>
        <v>2.8767362763083063E-2</v>
      </c>
      <c r="K68" s="88">
        <f>INDEX(IRA_2!$A:$J,MATCH('2022'!$A68,IRA_2!$A:$A,0),MATCH('2022'!$A$1,IRA_2!$3:$3,0))/(B68/1000)</f>
        <v>3.2086673851131113E-2</v>
      </c>
      <c r="L68" s="15">
        <f>INDEX(IRA_3!$A:$J,MATCH('2022'!$A68,IRA_3!$A:$A,0),MATCH('2022'!$A$1,IRA_3!$3:$3,0))</f>
        <v>0.4779513091410198</v>
      </c>
      <c r="M68" s="96">
        <f>INDEX(IRA_4!$A:$J,MATCH('2022'!$A68,IRA_4!$A:$A,0),MATCH('2022'!$A$1,IRA_4!$3:$3,0))/(B68/1000)</f>
        <v>2.4872704419773357</v>
      </c>
      <c r="N68" s="61">
        <f>INDEX(INV_1!$A:$J,MATCH('2022'!$A68,INV_1!$A:$A,0),MATCH('2022'!$A$1,INV_1!$3:$3,0))</f>
        <v>0.10775060014505469</v>
      </c>
      <c r="O68" s="80">
        <f>INDEX(INV_2!$A:$J,MATCH('2022'!$A68,INV_2!$A:$A,0),MATCH('2022'!$A$1,INV_2!$3:$3,0))/B68*10^6/C68</f>
        <v>0.72633511804266782</v>
      </c>
      <c r="P68" s="87">
        <f>INDEX(INV_3!$A:$J,MATCH('2022'!$A68,INV_3!$A:$A,0),MATCH('2022'!$A$1,INV_3!$3:$3,0))/B68*10^6/C68</f>
        <v>2.6707505420877404</v>
      </c>
      <c r="Q68" s="87">
        <f>INDEX(INV_4!$A:$J,MATCH('2022'!$A68,INV_4!$A:$A,0),MATCH('2022'!$A$1,INV_4!$3:$3,0))/B68*10^3/C68</f>
        <v>0.23741683853855508</v>
      </c>
      <c r="R68" s="34">
        <f>INDEX(INV_5!$A:$J,MATCH('2022'!$A68,INV_5!$A:$A,0),MATCH('2022'!$A$1,INV_5!$3:$3,0))</f>
        <v>0.12809999999999999</v>
      </c>
      <c r="S68" s="77">
        <f>INDEX(LUJ_1!$A:$J,MATCH('2022'!$A68,LUJ_1!$A:$A,0),MATCH('2022'!$A$1,LUJ_1!$3:$3,0))</f>
        <v>0.9637596446107084</v>
      </c>
      <c r="T68" s="73">
        <f>INDEX(LUJ_2!$A:$J,MATCH('2022'!$A68,LUJ_2!$A:$A,0),MATCH('2022'!$A$1,LUJ_2!$3:$3,0))</f>
        <v>0.111</v>
      </c>
      <c r="U68" s="73">
        <f>INDEX(LUJ_3!$A:$J,MATCH('2022'!$A68,LUJ_3!$A:$A,0),MATCH('2022'!$A$1,LUJ_3!$3:$3,0))</f>
        <v>0.1245036978789693</v>
      </c>
      <c r="V68" s="14">
        <f>INDEX(LUJ_4!$A:$J,MATCH('2022'!$A68,LUJ_4!$A:$A,0),MATCH('2022'!$A$1,LUJ_4!$3:$3,0))</f>
        <v>10</v>
      </c>
      <c r="W68" s="34">
        <f>INDEX(LUJ_5!$A:$J,MATCH('2022'!$A68,LUJ_5!$A:$A,0),MATCH('2022'!$A$1,LUJ_5!$3:$3,0))</f>
        <v>20.9</v>
      </c>
      <c r="X68" s="98">
        <f>1/INDEX(GUL_1!$A:$J,MATCH('2022'!$A68,GUL_1!$A:$A,0),MATCH('2022'!$A$1,GUL_1!$3:$3,0))</f>
        <v>1.3243279035889285E-2</v>
      </c>
      <c r="Y68" s="57" t="e">
        <f>INDEX(GUL_2!$A:$J,MATCH('2022'!$A68,GUL_2!$A:$A,0),MATCH('2022'!$A$1,GUL_2!$3:$3,0))</f>
        <v>#N/A</v>
      </c>
      <c r="Z68" s="57">
        <f>INDEX(GUL_3!$A:$J,MATCH('2022'!$A68,GUL_3!$A:$A,0),MATCH('2022'!$A$1,GUL_3!$3:$3,0))/(B68/1000)</f>
        <v>0.35959203453853827</v>
      </c>
      <c r="AA68" s="101">
        <f>INDEX(GUL_4!$A:$J,MATCH('2022'!$A68,GUL_4!$A:$A,0),MATCH('2022'!$A$1,GUL_4!$3:$3,0))/B68/C68*10^6</f>
        <v>0.28382510316735637</v>
      </c>
      <c r="AB68" s="73">
        <f>INDEX(GUL_5!$A:$J,MATCH('2022'!$A68,GUL_5!$A:$A,0),MATCH('2022'!$A$1,GUL_5!$3:$3,0))</f>
        <v>1.3855222699205772E-2</v>
      </c>
      <c r="AC68" s="49" t="e">
        <f>INDEX(GUL_6!$A:$J,MATCH('2022'!$A68,GUL_6!$A:$A,0),MATCH('2022'!$A$1,GUL_6!$3:$3,0))</f>
        <v>#N/A</v>
      </c>
      <c r="AD68" s="49" t="e">
        <f>INDEX(GUL_7!$A:$J,MATCH('2022'!$A68,GUL_7!$A:$A,0),MATCH('2022'!$A$1,GUL_7!$3:$3,0))</f>
        <v>#N/A</v>
      </c>
      <c r="AE68" s="103">
        <f>INDEX(GUL_8!$A:$J,MATCH('2022'!$A68,GUL_8!$A:$A,0),MATCH('2022'!$A$1,GUL_8!$3:$3,0))/(B68/1000)</f>
        <v>0.48351298182566532</v>
      </c>
      <c r="AF68" s="41">
        <f>INDEX(DES_1!$A:$J,MATCH('2022'!$A68,DES_1!$A:$A,0),MATCH('2022'!$A$1,DES_1!$3:$3,0))/(B68/1000)</f>
        <v>1.8809429498938927E-2</v>
      </c>
      <c r="AG68" s="100">
        <f>INDEX(DES_2!$A:$J,MATCH('2022'!$A68,DES_2!$A:$A,0),MATCH('2022'!$A$1,DES_2!$3:$3,0))/(B68/1000)</f>
        <v>0.89068180862622559</v>
      </c>
      <c r="AH68" s="57">
        <f>1/INDEX(DES_3!$A:$J,MATCH('2022'!$A68,DES_3!$A:$A,0),MATCH('2022'!$A$1,DES_3!$3:$3,0))</f>
        <v>8.3402835696413675E-3</v>
      </c>
      <c r="AI68" s="80" t="e">
        <f>INDEX(DES_4!$A:$J,MATCH('2022'!$A68,DES_4!$A:$A,0),MATCH('2022'!$A$1,DES_4!$3:$3,0))</f>
        <v>#N/A</v>
      </c>
      <c r="AJ68" s="110" t="e">
        <f>INDEX(DES_5!$A:$J,MATCH('2022'!$A68,DES_5!$A:$A,0),MATCH('2022'!$A$1,DES_5!$3:$3,0))</f>
        <v>#N/A</v>
      </c>
      <c r="AK68" s="57">
        <v>36</v>
      </c>
    </row>
    <row r="69" spans="1:37" x14ac:dyDescent="0.3">
      <c r="A69" s="29" t="s">
        <v>68</v>
      </c>
      <c r="B69" s="33">
        <f>INDEX(Population!$A:$J,MATCH('2022'!$A69,Population!$A:$A,0),MATCH('2022'!$A$1,Population!$3:$3,0))</f>
        <v>2417978</v>
      </c>
      <c r="C69" s="14">
        <f>INDEX(Income!$A:$J,MATCH('2022'!$A69,Income!$A:$A,0),MATCH('2022'!$A$1,Income!$3:$3,0))</f>
        <v>28795</v>
      </c>
      <c r="D69" s="34">
        <f>INDEX(Livable_wage!$A:$J,MATCH('2022'!$A69,Livable_wage!$A:$A,0),MATCH('2022'!$A$1,Livable_wage!$3:$3,0))</f>
        <v>11692</v>
      </c>
      <c r="E69" s="41">
        <f>INDEX(AVA_1!$A:$J,MATCH('2022'!$A69,AVA_1!$A:$A,0),MATCH('2022'!$A$1,AVA_1!$3:$3,0))</f>
        <v>0.35899999999999999</v>
      </c>
      <c r="F69" s="15">
        <f>INDEX(AVA_2!$A:$J,MATCH('2022'!$A69,AVA_2!$A:$A,0),MATCH('2022'!$A$1,AVA_2!$3:$3,0))</f>
        <v>1.0800893129248739E-2</v>
      </c>
      <c r="G69" s="15">
        <f>INDEX(AVA_3!$A:$J,MATCH('2022'!$A69,AVA_3!$A:$A,0),MATCH('2022'!$A$1,AVA_3!$3:$3,0))</f>
        <v>1.5182838612387492E-2</v>
      </c>
      <c r="H69" s="87">
        <f>INDEX(AVA_4!$A:$J,MATCH('2022'!$A69,AVA_4!$A:$A,0),MATCH('2022'!$A$1,AVA_4!$3:$3,0))/(B69/1000)</f>
        <v>0.77502772978083334</v>
      </c>
      <c r="I69" s="89">
        <f>INDEX(AVA_5!$A:$J,MATCH('2022'!$A69,AVA_5!$A:$A,0),MATCH('2022'!$A$1,AVA_5!$3:$3,0))/(B69/1000)</f>
        <v>4.1745623822880109</v>
      </c>
      <c r="J69" s="93">
        <f>INDEX(IRA_1!$A:$J,MATCH('2022'!$A69,IRA_1!$A:$A,0),MATCH('2022'!$A$1,IRA_1!$3:$3,0))/(B69/1000)</f>
        <v>4.1356869251912134E-2</v>
      </c>
      <c r="K69" s="88">
        <f>INDEX(IRA_2!$A:$J,MATCH('2022'!$A69,IRA_2!$A:$A,0),MATCH('2022'!$A$1,IRA_2!$3:$3,0))/(B69/1000)</f>
        <v>7.5269502038480082E-2</v>
      </c>
      <c r="L69" s="15">
        <f>INDEX(IRA_3!$A:$J,MATCH('2022'!$A69,IRA_3!$A:$A,0),MATCH('2022'!$A$1,IRA_3!$3:$3,0))</f>
        <v>0.38055465455724946</v>
      </c>
      <c r="M69" s="96">
        <f>INDEX(IRA_4!$A:$J,MATCH('2022'!$A69,IRA_4!$A:$A,0),MATCH('2022'!$A$1,IRA_4!$3:$3,0))/(B69/1000)</f>
        <v>3.4545392886122204</v>
      </c>
      <c r="N69" s="61">
        <f>INDEX(INV_1!$A:$J,MATCH('2022'!$A69,INV_1!$A:$A,0),MATCH('2022'!$A$1,INV_1!$3:$3,0))</f>
        <v>8.2257897416609008E-2</v>
      </c>
      <c r="O69" s="80">
        <f>INDEX(INV_2!$A:$J,MATCH('2022'!$A69,INV_2!$A:$A,0),MATCH('2022'!$A$1,INV_2!$3:$3,0))/B69*10^6/C69</f>
        <v>0.64592769505543801</v>
      </c>
      <c r="P69" s="87">
        <f>INDEX(INV_3!$A:$J,MATCH('2022'!$A69,INV_3!$A:$A,0),MATCH('2022'!$A$1,INV_3!$3:$3,0))/B69*10^6/C69</f>
        <v>4.6151508481766559</v>
      </c>
      <c r="Q69" s="87">
        <f>INDEX(INV_4!$A:$J,MATCH('2022'!$A69,INV_4!$A:$A,0),MATCH('2022'!$A$1,INV_4!$3:$3,0))/B69*10^3/C69</f>
        <v>0.27005500459732623</v>
      </c>
      <c r="R69" s="34">
        <f>INDEX(INV_5!$A:$J,MATCH('2022'!$A69,INV_5!$A:$A,0),MATCH('2022'!$A$1,INV_5!$3:$3,0))</f>
        <v>7.4999999999999997E-2</v>
      </c>
      <c r="S69" s="77">
        <f>INDEX(LUJ_1!$A:$J,MATCH('2022'!$A69,LUJ_1!$A:$A,0),MATCH('2022'!$A$1,LUJ_1!$3:$3,0))</f>
        <v>0.67775199793761276</v>
      </c>
      <c r="T69" s="73">
        <f>INDEX(LUJ_2!$A:$J,MATCH('2022'!$A69,LUJ_2!$A:$A,0),MATCH('2022'!$A$1,LUJ_2!$3:$3,0))</f>
        <v>0.23499999999999999</v>
      </c>
      <c r="U69" s="73">
        <f>INDEX(LUJ_3!$A:$J,MATCH('2022'!$A69,LUJ_3!$A:$A,0),MATCH('2022'!$A$1,LUJ_3!$3:$3,0))</f>
        <v>0.51002567551045364</v>
      </c>
      <c r="V69" s="14">
        <f>INDEX(LUJ_4!$A:$J,MATCH('2022'!$A69,LUJ_4!$A:$A,0),MATCH('2022'!$A$1,LUJ_4!$3:$3,0))</f>
        <v>53</v>
      </c>
      <c r="W69" s="34">
        <f>INDEX(LUJ_5!$A:$J,MATCH('2022'!$A69,LUJ_5!$A:$A,0),MATCH('2022'!$A$1,LUJ_5!$3:$3,0))</f>
        <v>42.5</v>
      </c>
      <c r="X69" s="98">
        <f>1/INDEX(GUL_1!$A:$J,MATCH('2022'!$A69,GUL_1!$A:$A,0),MATCH('2022'!$A$1,GUL_1!$3:$3,0))</f>
        <v>1.3726835964310227E-2</v>
      </c>
      <c r="Y69" s="57" t="e">
        <f>INDEX(GUL_2!$A:$J,MATCH('2022'!$A69,GUL_2!$A:$A,0),MATCH('2022'!$A$1,GUL_2!$3:$3,0))</f>
        <v>#N/A</v>
      </c>
      <c r="Z69" s="57">
        <f>INDEX(GUL_3!$A:$J,MATCH('2022'!$A69,GUL_3!$A:$A,0),MATCH('2022'!$A$1,GUL_3!$3:$3,0))/(B69/1000)</f>
        <v>1.0517051850761256</v>
      </c>
      <c r="AA69" s="101">
        <f>INDEX(GUL_4!$A:$J,MATCH('2022'!$A69,GUL_4!$A:$A,0),MATCH('2022'!$A$1,GUL_4!$3:$3,0))/B69/C69*10^6</f>
        <v>0.2536045735579166</v>
      </c>
      <c r="AB69" s="73">
        <f>INDEX(GUL_5!$A:$J,MATCH('2022'!$A69,GUL_5!$A:$A,0),MATCH('2022'!$A$1,GUL_5!$3:$3,0))</f>
        <v>2.1387590478022564E-2</v>
      </c>
      <c r="AC69" s="49" t="e">
        <f>INDEX(GUL_6!$A:$J,MATCH('2022'!$A69,GUL_6!$A:$A,0),MATCH('2022'!$A$1,GUL_6!$3:$3,0))</f>
        <v>#N/A</v>
      </c>
      <c r="AD69" s="49" t="e">
        <f>INDEX(GUL_7!$A:$J,MATCH('2022'!$A69,GUL_7!$A:$A,0),MATCH('2022'!$A$1,GUL_7!$3:$3,0))</f>
        <v>#N/A</v>
      </c>
      <c r="AE69" s="103">
        <f>INDEX(GUL_8!$A:$J,MATCH('2022'!$A69,GUL_8!$A:$A,0),MATCH('2022'!$A$1,GUL_8!$3:$3,0))/(B69/1000)</f>
        <v>1.5244142006254813</v>
      </c>
      <c r="AF69" s="41">
        <f>INDEX(DES_1!$A:$J,MATCH('2022'!$A69,DES_1!$A:$A,0),MATCH('2022'!$A$1,DES_1!$3:$3,0))/(B69/1000)</f>
        <v>0.11000927221008627</v>
      </c>
      <c r="AG69" s="100">
        <f>INDEX(DES_2!$A:$J,MATCH('2022'!$A69,DES_2!$A:$A,0),MATCH('2022'!$A$1,DES_2!$3:$3,0))/(B69/1000)</f>
        <v>0.45203058092339959</v>
      </c>
      <c r="AH69" s="57">
        <f>1/INDEX(DES_3!$A:$J,MATCH('2022'!$A69,DES_3!$A:$A,0),MATCH('2022'!$A$1,DES_3!$3:$3,0))</f>
        <v>7.8186082877247844E-3</v>
      </c>
      <c r="AI69" s="80" t="e">
        <f>INDEX(DES_4!$A:$J,MATCH('2022'!$A69,DES_4!$A:$A,0),MATCH('2022'!$A$1,DES_4!$3:$3,0))</f>
        <v>#N/A</v>
      </c>
      <c r="AJ69" s="110" t="e">
        <f>INDEX(DES_5!$A:$J,MATCH('2022'!$A69,DES_5!$A:$A,0),MATCH('2022'!$A$1,DES_5!$3:$3,0))</f>
        <v>#N/A</v>
      </c>
      <c r="AK69" s="57">
        <v>41</v>
      </c>
    </row>
    <row r="70" spans="1:37" x14ac:dyDescent="0.3">
      <c r="A70" s="29" t="s">
        <v>69</v>
      </c>
      <c r="B70" s="33">
        <f>INDEX(Population!$A:$J,MATCH('2022'!$A70,Population!$A:$A,0),MATCH('2022'!$A$1,Population!$3:$3,0))</f>
        <v>1031661</v>
      </c>
      <c r="C70" s="14">
        <f>INDEX(Income!$A:$J,MATCH('2022'!$A70,Income!$A:$A,0),MATCH('2022'!$A$1,Income!$3:$3,0))</f>
        <v>34181</v>
      </c>
      <c r="D70" s="34">
        <f>INDEX(Livable_wage!$A:$J,MATCH('2022'!$A70,Livable_wage!$A:$A,0),MATCH('2022'!$A$1,Livable_wage!$3:$3,0))</f>
        <v>14337</v>
      </c>
      <c r="E70" s="41">
        <f>INDEX(AVA_1!$A:$J,MATCH('2022'!$A70,AVA_1!$A:$A,0),MATCH('2022'!$A$1,AVA_1!$3:$3,0))</f>
        <v>0.32500000000000001</v>
      </c>
      <c r="F70" s="15">
        <f>INDEX(AVA_2!$A:$J,MATCH('2022'!$A70,AVA_2!$A:$A,0),MATCH('2022'!$A$1,AVA_2!$3:$3,0))</f>
        <v>1.2332451764140169E-2</v>
      </c>
      <c r="G70" s="15">
        <f>INDEX(AVA_3!$A:$J,MATCH('2022'!$A70,AVA_3!$A:$A,0),MATCH('2022'!$A$1,AVA_3!$3:$3,0))</f>
        <v>0.6855458493157961</v>
      </c>
      <c r="H70" s="87">
        <f>INDEX(AVA_4!$A:$J,MATCH('2022'!$A70,AVA_4!$A:$A,0),MATCH('2022'!$A$1,AVA_4!$3:$3,0))/(B70/1000)</f>
        <v>0.53505948174836504</v>
      </c>
      <c r="I70" s="89">
        <f>INDEX(AVA_5!$A:$J,MATCH('2022'!$A70,AVA_5!$A:$A,0),MATCH('2022'!$A$1,AVA_5!$3:$3,0))/(B70/1000)</f>
        <v>5.1906585593523449</v>
      </c>
      <c r="J70" s="93">
        <f>INDEX(IRA_1!$A:$J,MATCH('2022'!$A70,IRA_1!$A:$A,0),MATCH('2022'!$A$1,IRA_1!$3:$3,0))/(B70/1000)</f>
        <v>2.9079319660237229E-2</v>
      </c>
      <c r="K70" s="88">
        <f>INDEX(IRA_2!$A:$J,MATCH('2022'!$A70,IRA_2!$A:$A,0),MATCH('2022'!$A$1,IRA_2!$3:$3,0))/(B70/1000)</f>
        <v>8.1422095048664239E-2</v>
      </c>
      <c r="L70" s="15">
        <f>INDEX(IRA_3!$A:$J,MATCH('2022'!$A70,IRA_3!$A:$A,0),MATCH('2022'!$A$1,IRA_3!$3:$3,0))</f>
        <v>0.41034265293252048</v>
      </c>
      <c r="M70" s="96">
        <f>INDEX(IRA_4!$A:$J,MATCH('2022'!$A70,IRA_4!$A:$A,0),MATCH('2022'!$A$1,IRA_4!$3:$3,0))/(B70/1000)</f>
        <v>4.1331406343750512</v>
      </c>
      <c r="N70" s="61">
        <f>INDEX(INV_1!$A:$J,MATCH('2022'!$A70,INV_1!$A:$A,0),MATCH('2022'!$A$1,INV_1!$3:$3,0))</f>
        <v>8.8675726465992047E-2</v>
      </c>
      <c r="O70" s="80">
        <f>INDEX(INV_2!$A:$J,MATCH('2022'!$A70,INV_2!$A:$A,0),MATCH('2022'!$A$1,INV_2!$3:$3,0))/B70*10^6/C70</f>
        <v>0.40240890349112657</v>
      </c>
      <c r="P70" s="87">
        <f>INDEX(INV_3!$A:$J,MATCH('2022'!$A70,INV_3!$A:$A,0),MATCH('2022'!$A$1,INV_3!$3:$3,0))/B70*10^6/C70</f>
        <v>5.0708947703548564</v>
      </c>
      <c r="Q70" s="87">
        <f>INDEX(INV_4!$A:$J,MATCH('2022'!$A70,INV_4!$A:$A,0),MATCH('2022'!$A$1,INV_4!$3:$3,0))/B70*10^3/C70</f>
        <v>0.26848262902890602</v>
      </c>
      <c r="R70" s="34">
        <f>INDEX(INV_5!$A:$J,MATCH('2022'!$A70,INV_5!$A:$A,0),MATCH('2022'!$A$1,INV_5!$3:$3,0))</f>
        <v>0.29780000000000001</v>
      </c>
      <c r="S70" s="77">
        <f>INDEX(LUJ_1!$A:$J,MATCH('2022'!$A70,LUJ_1!$A:$A,0),MATCH('2022'!$A$1,LUJ_1!$3:$3,0))</f>
        <v>0.58444238109976276</v>
      </c>
      <c r="T70" s="73">
        <f>INDEX(LUJ_2!$A:$J,MATCH('2022'!$A70,LUJ_2!$A:$A,0),MATCH('2022'!$A$1,LUJ_2!$3:$3,0))</f>
        <v>0.20199999999999999</v>
      </c>
      <c r="U70" s="73">
        <f>INDEX(LUJ_3!$A:$J,MATCH('2022'!$A70,LUJ_3!$A:$A,0),MATCH('2022'!$A$1,LUJ_3!$3:$3,0))</f>
        <v>0.40638253638253635</v>
      </c>
      <c r="V70" s="14">
        <f>INDEX(LUJ_4!$A:$J,MATCH('2022'!$A70,LUJ_4!$A:$A,0),MATCH('2022'!$A$1,LUJ_4!$3:$3,0))</f>
        <v>20</v>
      </c>
      <c r="W70" s="34">
        <f>INDEX(LUJ_5!$A:$J,MATCH('2022'!$A70,LUJ_5!$A:$A,0),MATCH('2022'!$A$1,LUJ_5!$3:$3,0))</f>
        <v>36.200000000000003</v>
      </c>
      <c r="X70" s="98">
        <f>1/INDEX(GUL_1!$A:$J,MATCH('2022'!$A70,GUL_1!$A:$A,0),MATCH('2022'!$A$1,GUL_1!$3:$3,0))</f>
        <v>1.368550704803613E-2</v>
      </c>
      <c r="Y70" s="57" t="e">
        <f>INDEX(GUL_2!$A:$J,MATCH('2022'!$A70,GUL_2!$A:$A,0),MATCH('2022'!$A$1,GUL_2!$3:$3,0))</f>
        <v>#N/A</v>
      </c>
      <c r="Z70" s="57">
        <f>INDEX(GUL_3!$A:$J,MATCH('2022'!$A70,GUL_3!$A:$A,0),MATCH('2022'!$A$1,GUL_3!$3:$3,0))/(B70/1000)</f>
        <v>0.57480121861735589</v>
      </c>
      <c r="AA70" s="101">
        <f>INDEX(GUL_4!$A:$J,MATCH('2022'!$A70,GUL_4!$A:$A,0),MATCH('2022'!$A$1,GUL_4!$3:$3,0))/B70/C70*10^6</f>
        <v>0.63859482509475662</v>
      </c>
      <c r="AB70" s="73">
        <f>INDEX(GUL_5!$A:$J,MATCH('2022'!$A70,GUL_5!$A:$A,0),MATCH('2022'!$A$1,GUL_5!$3:$3,0))</f>
        <v>3.5096544998306063E-2</v>
      </c>
      <c r="AC70" s="49" t="e">
        <f>INDEX(GUL_6!$A:$J,MATCH('2022'!$A70,GUL_6!$A:$A,0),MATCH('2022'!$A$1,GUL_6!$3:$3,0))</f>
        <v>#N/A</v>
      </c>
      <c r="AD70" s="49" t="e">
        <f>INDEX(GUL_7!$A:$J,MATCH('2022'!$A70,GUL_7!$A:$A,0),MATCH('2022'!$A$1,GUL_7!$3:$3,0))</f>
        <v>#N/A</v>
      </c>
      <c r="AE70" s="103">
        <f>INDEX(GUL_8!$A:$J,MATCH('2022'!$A70,GUL_8!$A:$A,0),MATCH('2022'!$A$1,GUL_8!$3:$3,0))/(B70/1000)</f>
        <v>1.2794900650504379</v>
      </c>
      <c r="AF70" s="41">
        <f>INDEX(DES_1!$A:$J,MATCH('2022'!$A70,DES_1!$A:$A,0),MATCH('2022'!$A$1,DES_1!$3:$3,0))/(B70/1000)</f>
        <v>0.1395807343691387</v>
      </c>
      <c r="AG70" s="100">
        <f>INDEX(DES_2!$A:$J,MATCH('2022'!$A70,DES_2!$A:$A,0),MATCH('2022'!$A$1,DES_2!$3:$3,0))/(B70/1000)</f>
        <v>0.31696458429658581</v>
      </c>
      <c r="AH70" s="57">
        <f>1/INDEX(DES_3!$A:$J,MATCH('2022'!$A70,DES_3!$A:$A,0),MATCH('2022'!$A$1,DES_3!$3:$3,0))</f>
        <v>8.5543199315654406E-3</v>
      </c>
      <c r="AI70" s="80" t="e">
        <f>INDEX(DES_4!$A:$J,MATCH('2022'!$A70,DES_4!$A:$A,0),MATCH('2022'!$A$1,DES_4!$3:$3,0))</f>
        <v>#N/A</v>
      </c>
      <c r="AJ70" s="110" t="e">
        <f>INDEX(DES_5!$A:$J,MATCH('2022'!$A70,DES_5!$A:$A,0),MATCH('2022'!$A$1,DES_5!$3:$3,0))</f>
        <v>#N/A</v>
      </c>
      <c r="AK70" s="57">
        <v>47</v>
      </c>
    </row>
    <row r="71" spans="1:37" x14ac:dyDescent="0.3">
      <c r="A71" s="29" t="s">
        <v>70</v>
      </c>
      <c r="B71" s="33">
        <f>INDEX(Population!$A:$J,MATCH('2022'!$A71,Population!$A:$A,0),MATCH('2022'!$A$1,Population!$3:$3,0))</f>
        <v>705150</v>
      </c>
      <c r="C71" s="14">
        <f>INDEX(Income!$A:$J,MATCH('2022'!$A71,Income!$A:$A,0),MATCH('2022'!$A$1,Income!$3:$3,0))</f>
        <v>34119</v>
      </c>
      <c r="D71" s="34">
        <f>INDEX(Livable_wage!$A:$J,MATCH('2022'!$A71,Livable_wage!$A:$A,0),MATCH('2022'!$A$1,Livable_wage!$3:$3,0))</f>
        <v>12945</v>
      </c>
      <c r="E71" s="41">
        <f>INDEX(AVA_1!$A:$J,MATCH('2022'!$A71,AVA_1!$A:$A,0),MATCH('2022'!$A$1,AVA_1!$3:$3,0))</f>
        <v>0.35699999999999998</v>
      </c>
      <c r="F71" s="15">
        <f>INDEX(AVA_2!$A:$J,MATCH('2022'!$A71,AVA_2!$A:$A,0),MATCH('2022'!$A$1,AVA_2!$3:$3,0))</f>
        <v>1.2067657584588377E-2</v>
      </c>
      <c r="G71" s="15">
        <f>INDEX(AVA_3!$A:$J,MATCH('2022'!$A71,AVA_3!$A:$A,0),MATCH('2022'!$A$1,AVA_3!$3:$3,0))</f>
        <v>1.8618874759858333E-2</v>
      </c>
      <c r="H71" s="87">
        <f>INDEX(AVA_4!$A:$J,MATCH('2022'!$A71,AVA_4!$A:$A,0),MATCH('2022'!$A$1,AVA_4!$3:$3,0))/(B71/1000)</f>
        <v>0.82819258313833943</v>
      </c>
      <c r="I71" s="89">
        <f>INDEX(AVA_5!$A:$J,MATCH('2022'!$A71,AVA_5!$A:$A,0),MATCH('2022'!$A$1,AVA_5!$3:$3,0))/(B71/1000)</f>
        <v>3.912642700134723</v>
      </c>
      <c r="J71" s="93">
        <f>INDEX(IRA_1!$A:$J,MATCH('2022'!$A71,IRA_1!$A:$A,0),MATCH('2022'!$A$1,IRA_1!$3:$3,0))/(B71/1000)</f>
        <v>4.2544139544777711E-2</v>
      </c>
      <c r="K71" s="88">
        <f>INDEX(IRA_2!$A:$J,MATCH('2022'!$A71,IRA_2!$A:$A,0),MATCH('2022'!$A$1,IRA_2!$3:$3,0))/(B71/1000)</f>
        <v>9.5015244983336883E-2</v>
      </c>
      <c r="L71" s="15">
        <f>INDEX(IRA_3!$A:$J,MATCH('2022'!$A71,IRA_3!$A:$A,0),MATCH('2022'!$A$1,IRA_3!$3:$3,0))</f>
        <v>0.41191222570532915</v>
      </c>
      <c r="M71" s="96">
        <f>INDEX(IRA_4!$A:$J,MATCH('2022'!$A71,IRA_4!$A:$A,0),MATCH('2022'!$A$1,IRA_4!$3:$3,0))/(B71/1000)</f>
        <v>4.194852159115082</v>
      </c>
      <c r="N71" s="61">
        <f>INDEX(INV_1!$A:$J,MATCH('2022'!$A71,INV_1!$A:$A,0),MATCH('2022'!$A$1,INV_1!$3:$3,0))</f>
        <v>8.5945031960509996E-2</v>
      </c>
      <c r="O71" s="80">
        <f>INDEX(INV_2!$A:$J,MATCH('2022'!$A71,INV_2!$A:$A,0),MATCH('2022'!$A$1,INV_2!$3:$3,0))/B71*10^6/C71</f>
        <v>0.67649466238471145</v>
      </c>
      <c r="P71" s="87">
        <f>INDEX(INV_3!$A:$J,MATCH('2022'!$A71,INV_3!$A:$A,0),MATCH('2022'!$A$1,INV_3!$3:$3,0))/B71*10^6/C71</f>
        <v>4.3118976097142738</v>
      </c>
      <c r="Q71" s="87">
        <f>INDEX(INV_4!$A:$J,MATCH('2022'!$A71,INV_4!$A:$A,0),MATCH('2022'!$A$1,INV_4!$3:$3,0))/B71*10^3/C71</f>
        <v>0.24088232697377693</v>
      </c>
      <c r="R71" s="34">
        <f>INDEX(INV_5!$A:$J,MATCH('2022'!$A71,INV_5!$A:$A,0),MATCH('2022'!$A$1,INV_5!$3:$3,0))</f>
        <v>5.0500000000000003E-2</v>
      </c>
      <c r="S71" s="77">
        <f>INDEX(LUJ_1!$A:$J,MATCH('2022'!$A71,LUJ_1!$A:$A,0),MATCH('2022'!$A$1,LUJ_1!$3:$3,0))</f>
        <v>0.68211779715075482</v>
      </c>
      <c r="T71" s="73">
        <f>INDEX(LUJ_2!$A:$J,MATCH('2022'!$A71,LUJ_2!$A:$A,0),MATCH('2022'!$A$1,LUJ_2!$3:$3,0))</f>
        <v>0.2</v>
      </c>
      <c r="U71" s="73">
        <f>INDEX(LUJ_3!$A:$J,MATCH('2022'!$A71,LUJ_3!$A:$A,0),MATCH('2022'!$A$1,LUJ_3!$3:$3,0))</f>
        <v>0.50050534699484972</v>
      </c>
      <c r="V71" s="14">
        <f>INDEX(LUJ_4!$A:$J,MATCH('2022'!$A71,LUJ_4!$A:$A,0),MATCH('2022'!$A$1,LUJ_4!$3:$3,0))</f>
        <v>12</v>
      </c>
      <c r="W71" s="34">
        <f>INDEX(LUJ_5!$A:$J,MATCH('2022'!$A71,LUJ_5!$A:$A,0),MATCH('2022'!$A$1,LUJ_5!$3:$3,0))</f>
        <v>24.5</v>
      </c>
      <c r="X71" s="98">
        <f>1/INDEX(GUL_1!$A:$J,MATCH('2022'!$A71,GUL_1!$A:$A,0),MATCH('2022'!$A$1,GUL_1!$3:$3,0))</f>
        <v>1.4138272303124557E-2</v>
      </c>
      <c r="Y71" s="57" t="e">
        <f>INDEX(GUL_2!$A:$J,MATCH('2022'!$A71,GUL_2!$A:$A,0),MATCH('2022'!$A$1,GUL_2!$3:$3,0))</f>
        <v>#N/A</v>
      </c>
      <c r="Z71" s="57">
        <f>INDEX(GUL_3!$A:$J,MATCH('2022'!$A71,GUL_3!$A:$A,0),MATCH('2022'!$A$1,GUL_3!$3:$3,0))/(B71/1000)</f>
        <v>0.89342693044033183</v>
      </c>
      <c r="AA71" s="101">
        <f>INDEX(GUL_4!$A:$J,MATCH('2022'!$A71,GUL_4!$A:$A,0),MATCH('2022'!$A$1,GUL_4!$3:$3,0))/B71/C71*10^6</f>
        <v>0.204617705252192</v>
      </c>
      <c r="AB71" s="73">
        <f>INDEX(GUL_5!$A:$J,MATCH('2022'!$A71,GUL_5!$A:$A,0),MATCH('2022'!$A$1,GUL_5!$3:$3,0))</f>
        <v>3.0760470606109397E-2</v>
      </c>
      <c r="AC71" s="49" t="e">
        <f>INDEX(GUL_6!$A:$J,MATCH('2022'!$A71,GUL_6!$A:$A,0),MATCH('2022'!$A$1,GUL_6!$3:$3,0))</f>
        <v>#N/A</v>
      </c>
      <c r="AD71" s="49" t="e">
        <f>INDEX(GUL_7!$A:$J,MATCH('2022'!$A71,GUL_7!$A:$A,0),MATCH('2022'!$A$1,GUL_7!$3:$3,0))</f>
        <v>#N/A</v>
      </c>
      <c r="AE71" s="103">
        <f>INDEX(GUL_8!$A:$J,MATCH('2022'!$A71,GUL_8!$A:$A,0),MATCH('2022'!$A$1,GUL_8!$3:$3,0))/(B71/1000)</f>
        <v>1.3486492235694534</v>
      </c>
      <c r="AF71" s="41">
        <f>INDEX(DES_1!$A:$J,MATCH('2022'!$A71,DES_1!$A:$A,0),MATCH('2022'!$A$1,DES_1!$3:$3,0))/(B71/1000)</f>
        <v>5.9561795362688789E-2</v>
      </c>
      <c r="AG71" s="100">
        <f>INDEX(DES_2!$A:$J,MATCH('2022'!$A71,DES_2!$A:$A,0),MATCH('2022'!$A$1,DES_2!$3:$3,0))/(B71/1000)</f>
        <v>0.34318939232787349</v>
      </c>
      <c r="AH71" s="57">
        <f>1/INDEX(DES_3!$A:$J,MATCH('2022'!$A71,DES_3!$A:$A,0),MATCH('2022'!$A$1,DES_3!$3:$3,0))</f>
        <v>8.0385852090032149E-3</v>
      </c>
      <c r="AI71" s="80" t="e">
        <f>INDEX(DES_4!$A:$J,MATCH('2022'!$A71,DES_4!$A:$A,0),MATCH('2022'!$A$1,DES_4!$3:$3,0))</f>
        <v>#N/A</v>
      </c>
      <c r="AJ71" s="110" t="e">
        <f>INDEX(DES_5!$A:$J,MATCH('2022'!$A71,DES_5!$A:$A,0),MATCH('2022'!$A$1,DES_5!$3:$3,0))</f>
        <v>#N/A</v>
      </c>
      <c r="AK71" s="57">
        <v>51</v>
      </c>
    </row>
    <row r="72" spans="1:37" x14ac:dyDescent="0.3">
      <c r="A72" s="29" t="s">
        <v>71</v>
      </c>
      <c r="B72" s="33">
        <f>INDEX(Population!$A:$J,MATCH('2022'!$A72,Population!$A:$A,0),MATCH('2022'!$A$1,Population!$3:$3,0))</f>
        <v>530132</v>
      </c>
      <c r="C72" s="14">
        <f>INDEX(Income!$A:$J,MATCH('2022'!$A72,Income!$A:$A,0),MATCH('2022'!$A$1,Income!$3:$3,0))</f>
        <v>44544</v>
      </c>
      <c r="D72" s="34">
        <f>INDEX(Livable_wage!$A:$J,MATCH('2022'!$A72,Livable_wage!$A:$A,0),MATCH('2022'!$A$1,Livable_wage!$3:$3,0))</f>
        <v>16614</v>
      </c>
      <c r="E72" s="41">
        <f>INDEX(AVA_1!$A:$J,MATCH('2022'!$A72,AVA_1!$A:$A,0),MATCH('2022'!$A$1,AVA_1!$3:$3,0))</f>
        <v>0.32400000000000001</v>
      </c>
      <c r="F72" s="15">
        <f>INDEX(AVA_2!$A:$J,MATCH('2022'!$A72,AVA_2!$A:$A,0),MATCH('2022'!$A$1,AVA_2!$3:$3,0))</f>
        <v>1.0126035958763787E-2</v>
      </c>
      <c r="G72" s="15">
        <f>INDEX(AVA_3!$A:$J,MATCH('2022'!$A72,AVA_3!$A:$A,0),MATCH('2022'!$A$1,AVA_3!$3:$3,0))</f>
        <v>4.4121547376609355E-3</v>
      </c>
      <c r="H72" s="87">
        <f>INDEX(AVA_4!$A:$J,MATCH('2022'!$A72,AVA_4!$A:$A,0),MATCH('2022'!$A$1,AVA_4!$3:$3,0))/(B72/1000)</f>
        <v>0.8130050628899973</v>
      </c>
      <c r="I72" s="89">
        <f>INDEX(AVA_5!$A:$J,MATCH('2022'!$A72,AVA_5!$A:$A,0),MATCH('2022'!$A$1,AVA_5!$3:$3,0))/(B72/1000)</f>
        <v>8.3752725736231746</v>
      </c>
      <c r="J72" s="93">
        <f>INDEX(IRA_1!$A:$J,MATCH('2022'!$A72,IRA_1!$A:$A,0),MATCH('2022'!$A$1,IRA_1!$3:$3,0))/(B72/1000)</f>
        <v>0.109406713799582</v>
      </c>
      <c r="K72" s="88">
        <f>INDEX(IRA_2!$A:$J,MATCH('2022'!$A72,IRA_2!$A:$A,0),MATCH('2022'!$A$1,IRA_2!$3:$3,0))/(B72/1000)</f>
        <v>0.218813427599164</v>
      </c>
      <c r="L72" s="15">
        <f>INDEX(IRA_3!$A:$J,MATCH('2022'!$A72,IRA_3!$A:$A,0),MATCH('2022'!$A$1,IRA_3!$3:$3,0))</f>
        <v>0.31630730584048561</v>
      </c>
      <c r="M72" s="96">
        <f>INDEX(IRA_4!$A:$J,MATCH('2022'!$A72,IRA_4!$A:$A,0),MATCH('2022'!$A$1,IRA_4!$3:$3,0))/(B72/1000)</f>
        <v>6.4776319859959415</v>
      </c>
      <c r="N72" s="61">
        <f>INDEX(INV_1!$A:$J,MATCH('2022'!$A72,INV_1!$A:$A,0),MATCH('2022'!$A$1,INV_1!$3:$3,0))</f>
        <v>6.11319593374966E-2</v>
      </c>
      <c r="O72" s="80">
        <f>INDEX(INV_2!$A:$J,MATCH('2022'!$A72,INV_2!$A:$A,0),MATCH('2022'!$A$1,INV_2!$3:$3,0))/B72*10^6/C72</f>
        <v>0.38279287882616742</v>
      </c>
      <c r="P72" s="87">
        <f>INDEX(INV_3!$A:$J,MATCH('2022'!$A72,INV_3!$A:$A,0),MATCH('2022'!$A$1,INV_3!$3:$3,0))/B72*10^6/C72</f>
        <v>4.8108341982231106</v>
      </c>
      <c r="Q72" s="87">
        <f>INDEX(INV_4!$A:$J,MATCH('2022'!$A72,INV_4!$A:$A,0),MATCH('2022'!$A$1,INV_4!$3:$3,0))/B72*10^3/C72</f>
        <v>0.25745513502178291</v>
      </c>
      <c r="R72" s="34">
        <f>INDEX(INV_5!$A:$J,MATCH('2022'!$A72,INV_5!$A:$A,0),MATCH('2022'!$A$1,INV_5!$3:$3,0))</f>
        <v>8.6599999999999996E-2</v>
      </c>
      <c r="S72" s="77">
        <f>INDEX(LUJ_1!$A:$J,MATCH('2022'!$A72,LUJ_1!$A:$A,0),MATCH('2022'!$A$1,LUJ_1!$3:$3,0))</f>
        <v>0.58501560874089487</v>
      </c>
      <c r="T72" s="73">
        <f>INDEX(LUJ_2!$A:$J,MATCH('2022'!$A72,LUJ_2!$A:$A,0),MATCH('2022'!$A$1,LUJ_2!$3:$3,0))</f>
        <v>0.25800000000000001</v>
      </c>
      <c r="U72" s="73">
        <f>INDEX(LUJ_3!$A:$J,MATCH('2022'!$A72,LUJ_3!$A:$A,0),MATCH('2022'!$A$1,LUJ_3!$3:$3,0))</f>
        <v>0.41802338913093329</v>
      </c>
      <c r="V72" s="14">
        <f>INDEX(LUJ_4!$A:$J,MATCH('2022'!$A72,LUJ_4!$A:$A,0),MATCH('2022'!$A$1,LUJ_4!$3:$3,0))</f>
        <v>22</v>
      </c>
      <c r="W72" s="34">
        <f>INDEX(LUJ_5!$A:$J,MATCH('2022'!$A72,LUJ_5!$A:$A,0),MATCH('2022'!$A$1,LUJ_5!$3:$3,0))</f>
        <v>33.6</v>
      </c>
      <c r="X72" s="98">
        <f>1/INDEX(GUL_1!$A:$J,MATCH('2022'!$A72,GUL_1!$A:$A,0),MATCH('2022'!$A$1,GUL_1!$3:$3,0))</f>
        <v>1.4486455164421265E-2</v>
      </c>
      <c r="Y72" s="57" t="e">
        <f>INDEX(GUL_2!$A:$J,MATCH('2022'!$A72,GUL_2!$A:$A,0),MATCH('2022'!$A$1,GUL_2!$3:$3,0))</f>
        <v>#N/A</v>
      </c>
      <c r="Z72" s="57">
        <f>INDEX(GUL_3!$A:$J,MATCH('2022'!$A72,GUL_3!$A:$A,0),MATCH('2022'!$A$1,GUL_3!$3:$3,0))/(B72/1000)</f>
        <v>0.99786468275825657</v>
      </c>
      <c r="AA72" s="101">
        <f>INDEX(GUL_4!$A:$J,MATCH('2022'!$A72,GUL_4!$A:$A,0),MATCH('2022'!$A$1,GUL_4!$3:$3,0))/B72/C72*10^6</f>
        <v>0.36328522963940191</v>
      </c>
      <c r="AB72" s="73">
        <f>INDEX(GUL_5!$A:$J,MATCH('2022'!$A72,GUL_5!$A:$A,0),MATCH('2022'!$A$1,GUL_5!$3:$3,0))</f>
        <v>4.0484467740158687E-2</v>
      </c>
      <c r="AC72" s="49" t="e">
        <f>INDEX(GUL_6!$A:$J,MATCH('2022'!$A72,GUL_6!$A:$A,0),MATCH('2022'!$A$1,GUL_6!$3:$3,0))</f>
        <v>#N/A</v>
      </c>
      <c r="AD72" s="49" t="e">
        <f>INDEX(GUL_7!$A:$J,MATCH('2022'!$A72,GUL_7!$A:$A,0),MATCH('2022'!$A$1,GUL_7!$3:$3,0))</f>
        <v>#N/A</v>
      </c>
      <c r="AE72" s="103">
        <f>INDEX(GUL_8!$A:$J,MATCH('2022'!$A72,GUL_8!$A:$A,0),MATCH('2022'!$A$1,GUL_8!$3:$3,0))/(B72/1000)</f>
        <v>3.4104713543042116</v>
      </c>
      <c r="AF72" s="41">
        <f>INDEX(DES_1!$A:$J,MATCH('2022'!$A72,DES_1!$A:$A,0),MATCH('2022'!$A$1,DES_1!$3:$3,0))/(B72/1000)</f>
        <v>9.8088777889280415E-2</v>
      </c>
      <c r="AG72" s="100">
        <f>INDEX(DES_2!$A:$J,MATCH('2022'!$A72,DES_2!$A:$A,0),MATCH('2022'!$A$1,DES_2!$3:$3,0))/(B72/1000)</f>
        <v>0.37349188503995234</v>
      </c>
      <c r="AH72" s="57">
        <f>1/INDEX(DES_3!$A:$J,MATCH('2022'!$A72,DES_3!$A:$A,0),MATCH('2022'!$A$1,DES_3!$3:$3,0))</f>
        <v>8.8731144631765749E-3</v>
      </c>
      <c r="AI72" s="80" t="e">
        <f>INDEX(DES_4!$A:$J,MATCH('2022'!$A72,DES_4!$A:$A,0),MATCH('2022'!$A$1,DES_4!$3:$3,0))</f>
        <v>#N/A</v>
      </c>
      <c r="AJ72" s="110" t="e">
        <f>INDEX(DES_5!$A:$J,MATCH('2022'!$A72,DES_5!$A:$A,0),MATCH('2022'!$A$1,DES_5!$3:$3,0))</f>
        <v>#N/A</v>
      </c>
      <c r="AK72" s="57">
        <v>83</v>
      </c>
    </row>
    <row r="73" spans="1:37" x14ac:dyDescent="0.3">
      <c r="A73" s="29" t="s">
        <v>72</v>
      </c>
      <c r="B73" s="33">
        <f>INDEX(Population!$A:$J,MATCH('2022'!$A73,Population!$A:$A,0),MATCH('2022'!$A$1,Population!$3:$3,0))</f>
        <v>2353904</v>
      </c>
      <c r="C73" s="14">
        <f>INDEX(Income!$A:$J,MATCH('2022'!$A73,Income!$A:$A,0),MATCH('2022'!$A$1,Income!$3:$3,0))</f>
        <v>34760</v>
      </c>
      <c r="D73" s="34">
        <f>INDEX(Livable_wage!$A:$J,MATCH('2022'!$A73,Livable_wage!$A:$A,0),MATCH('2022'!$A$1,Livable_wage!$3:$3,0))</f>
        <v>14754</v>
      </c>
      <c r="E73" s="41">
        <f>INDEX(AVA_1!$A:$J,MATCH('2022'!$A73,AVA_1!$A:$A,0),MATCH('2022'!$A$1,AVA_1!$3:$3,0))</f>
        <v>0.35299999999999998</v>
      </c>
      <c r="F73" s="15">
        <f>INDEX(AVA_2!$A:$J,MATCH('2022'!$A73,AVA_2!$A:$A,0),MATCH('2022'!$A$1,AVA_2!$3:$3,0))</f>
        <v>8.8774851219925264E-3</v>
      </c>
      <c r="G73" s="15">
        <f>INDEX(AVA_3!$A:$J,MATCH('2022'!$A73,AVA_3!$A:$A,0),MATCH('2022'!$A$1,AVA_3!$3:$3,0))</f>
        <v>2.5724079041146465E-2</v>
      </c>
      <c r="H73" s="87">
        <f>INDEX(AVA_4!$A:$J,MATCH('2022'!$A73,AVA_4!$A:$A,0),MATCH('2022'!$A$1,AVA_4!$3:$3,0))/(B73/1000)</f>
        <v>0.68906803336074873</v>
      </c>
      <c r="I73" s="89">
        <f>INDEX(AVA_5!$A:$J,MATCH('2022'!$A73,AVA_5!$A:$A,0),MATCH('2022'!$A$1,AVA_5!$3:$3,0))/(B73/1000)</f>
        <v>6.3354325410042209</v>
      </c>
      <c r="J73" s="93">
        <f>INDEX(IRA_1!$A:$J,MATCH('2022'!$A73,IRA_1!$A:$A,0),MATCH('2022'!$A$1,IRA_1!$3:$3,0))/(B73/1000)</f>
        <v>0.10535688796144618</v>
      </c>
      <c r="K73" s="88">
        <f>INDEX(IRA_2!$A:$J,MATCH('2022'!$A73,IRA_2!$A:$A,0),MATCH('2022'!$A$1,IRA_2!$3:$3,0))/(B73/1000)</f>
        <v>0.25786947980886221</v>
      </c>
      <c r="L73" s="15">
        <f>INDEX(IRA_3!$A:$J,MATCH('2022'!$A73,IRA_3!$A:$A,0),MATCH('2022'!$A$1,IRA_3!$3:$3,0))</f>
        <v>0.35044285561839716</v>
      </c>
      <c r="M73" s="96">
        <f>INDEX(IRA_4!$A:$J,MATCH('2022'!$A73,IRA_4!$A:$A,0),MATCH('2022'!$A$1,IRA_4!$3:$3,0))/(B73/1000)</f>
        <v>5.4653885630000207</v>
      </c>
      <c r="N73" s="61">
        <f>INDEX(INV_1!$A:$J,MATCH('2022'!$A73,INV_1!$A:$A,0),MATCH('2022'!$A$1,INV_1!$3:$3,0))</f>
        <v>9.4420270293086583E-2</v>
      </c>
      <c r="O73" s="80">
        <f>INDEX(INV_2!$A:$J,MATCH('2022'!$A73,INV_2!$A:$A,0),MATCH('2022'!$A$1,INV_2!$3:$3,0))/B73*10^6/C73</f>
        <v>0.26321017295948679</v>
      </c>
      <c r="P73" s="87">
        <f>INDEX(INV_3!$A:$J,MATCH('2022'!$A73,INV_3!$A:$A,0),MATCH('2022'!$A$1,INV_3!$3:$3,0))/B73*10^6/C73</f>
        <v>5.6311098752705702</v>
      </c>
      <c r="Q73" s="87">
        <f>INDEX(INV_4!$A:$J,MATCH('2022'!$A73,INV_4!$A:$A,0),MATCH('2022'!$A$1,INV_4!$3:$3,0))/B73*10^3/C73</f>
        <v>0.24826770826402003</v>
      </c>
      <c r="R73" s="34">
        <f>INDEX(INV_5!$A:$J,MATCH('2022'!$A73,INV_5!$A:$A,0),MATCH('2022'!$A$1,INV_5!$3:$3,0))</f>
        <v>0.12540000000000001</v>
      </c>
      <c r="S73" s="77">
        <f>INDEX(LUJ_1!$A:$J,MATCH('2022'!$A73,LUJ_1!$A:$A,0),MATCH('2022'!$A$1,LUJ_1!$3:$3,0))</f>
        <v>0.68125130999790395</v>
      </c>
      <c r="T73" s="73">
        <f>INDEX(LUJ_2!$A:$J,MATCH('2022'!$A73,LUJ_2!$A:$A,0),MATCH('2022'!$A$1,LUJ_2!$3:$3,0))</f>
        <v>0.29799999999999999</v>
      </c>
      <c r="U73" s="73">
        <f>INDEX(LUJ_3!$A:$J,MATCH('2022'!$A73,LUJ_3!$A:$A,0),MATCH('2022'!$A$1,LUJ_3!$3:$3,0))</f>
        <v>0.54752239707152617</v>
      </c>
      <c r="V73" s="14">
        <f>INDEX(LUJ_4!$A:$J,MATCH('2022'!$A73,LUJ_4!$A:$A,0),MATCH('2022'!$A$1,LUJ_4!$3:$3,0))</f>
        <v>77</v>
      </c>
      <c r="W73" s="34">
        <f>INDEX(LUJ_5!$A:$J,MATCH('2022'!$A73,LUJ_5!$A:$A,0),MATCH('2022'!$A$1,LUJ_5!$3:$3,0))</f>
        <v>80.2</v>
      </c>
      <c r="X73" s="98">
        <f>1/INDEX(GUL_1!$A:$J,MATCH('2022'!$A73,GUL_1!$A:$A,0),MATCH('2022'!$A$1,GUL_1!$3:$3,0))</f>
        <v>1.4427932477276006E-2</v>
      </c>
      <c r="Y73" s="57" t="e">
        <f>INDEX(GUL_2!$A:$J,MATCH('2022'!$A73,GUL_2!$A:$A,0),MATCH('2022'!$A$1,GUL_2!$3:$3,0))</f>
        <v>#N/A</v>
      </c>
      <c r="Z73" s="57">
        <f>INDEX(GUL_3!$A:$J,MATCH('2022'!$A73,GUL_3!$A:$A,0),MATCH('2022'!$A$1,GUL_3!$3:$3,0))/(B73/1000)</f>
        <v>0.71710655999564976</v>
      </c>
      <c r="AA73" s="101">
        <f>INDEX(GUL_4!$A:$J,MATCH('2022'!$A73,GUL_4!$A:$A,0),MATCH('2022'!$A$1,GUL_4!$3:$3,0))/B73/C73*10^6</f>
        <v>0.3409657702475512</v>
      </c>
      <c r="AB73" s="73">
        <f>INDEX(GUL_5!$A:$J,MATCH('2022'!$A73,GUL_5!$A:$A,0),MATCH('2022'!$A$1,GUL_5!$3:$3,0))</f>
        <v>2.9758077841631602E-2</v>
      </c>
      <c r="AC73" s="49" t="e">
        <f>INDEX(GUL_6!$A:$J,MATCH('2022'!$A73,GUL_6!$A:$A,0),MATCH('2022'!$A$1,GUL_6!$3:$3,0))</f>
        <v>#N/A</v>
      </c>
      <c r="AD73" s="49" t="e">
        <f>INDEX(GUL_7!$A:$J,MATCH('2022'!$A73,GUL_7!$A:$A,0),MATCH('2022'!$A$1,GUL_7!$3:$3,0))</f>
        <v>#N/A</v>
      </c>
      <c r="AE73" s="103">
        <f>INDEX(GUL_8!$A:$J,MATCH('2022'!$A73,GUL_8!$A:$A,0),MATCH('2022'!$A$1,GUL_8!$3:$3,0))/(B73/1000)</f>
        <v>2.8773475893664311</v>
      </c>
      <c r="AF73" s="41">
        <f>INDEX(DES_1!$A:$J,MATCH('2022'!$A73,DES_1!$A:$A,0),MATCH('2022'!$A$1,DES_1!$3:$3,0))/(B73/1000)</f>
        <v>0.10323275715577186</v>
      </c>
      <c r="AG73" s="100">
        <f>INDEX(DES_2!$A:$J,MATCH('2022'!$A73,DES_2!$A:$A,0),MATCH('2022'!$A$1,DES_2!$3:$3,0))/(B73/1000)</f>
        <v>0.50129487013913909</v>
      </c>
      <c r="AH73" s="57">
        <f>1/INDEX(DES_3!$A:$J,MATCH('2022'!$A73,DES_3!$A:$A,0),MATCH('2022'!$A$1,DES_3!$3:$3,0))</f>
        <v>7.0671378091872791E-3</v>
      </c>
      <c r="AI73" s="80" t="e">
        <f>INDEX(DES_4!$A:$J,MATCH('2022'!$A73,DES_4!$A:$A,0),MATCH('2022'!$A$1,DES_4!$3:$3,0))</f>
        <v>#N/A</v>
      </c>
      <c r="AJ73" s="110" t="e">
        <f>INDEX(DES_5!$A:$J,MATCH('2022'!$A73,DES_5!$A:$A,0),MATCH('2022'!$A$1,DES_5!$3:$3,0))</f>
        <v>#N/A</v>
      </c>
      <c r="AK73" s="57">
        <v>82</v>
      </c>
    </row>
    <row r="74" spans="1:37" x14ac:dyDescent="0.3">
      <c r="A74" s="29" t="s">
        <v>73</v>
      </c>
      <c r="B74" s="33">
        <f>INDEX(Population!$A:$J,MATCH('2022'!$A74,Population!$A:$A,0),MATCH('2022'!$A$1,Population!$3:$3,0))</f>
        <v>759884</v>
      </c>
      <c r="C74" s="14">
        <f>INDEX(Income!$A:$J,MATCH('2022'!$A74,Income!$A:$A,0),MATCH('2022'!$A$1,Income!$3:$3,0))</f>
        <v>44891</v>
      </c>
      <c r="D74" s="34">
        <f>INDEX(Livable_wage!$A:$J,MATCH('2022'!$A74,Livable_wage!$A:$A,0),MATCH('2022'!$A$1,Livable_wage!$3:$3,0))</f>
        <v>16174</v>
      </c>
      <c r="E74" s="41">
        <f>INDEX(AVA_1!$A:$J,MATCH('2022'!$A74,AVA_1!$A:$A,0),MATCH('2022'!$A$1,AVA_1!$3:$3,0))</f>
        <v>0.38400000000000001</v>
      </c>
      <c r="F74" s="15">
        <f>INDEX(AVA_2!$A:$J,MATCH('2022'!$A74,AVA_2!$A:$A,0),MATCH('2022'!$A$1,AVA_2!$3:$3,0))</f>
        <v>1.0832204384943218E-2</v>
      </c>
      <c r="G74" s="15">
        <f>INDEX(AVA_3!$A:$J,MATCH('2022'!$A74,AVA_3!$A:$A,0),MATCH('2022'!$A$1,AVA_3!$3:$3,0))</f>
        <v>2.1781390105119363E-3</v>
      </c>
      <c r="H74" s="87">
        <f>INDEX(AVA_4!$A:$J,MATCH('2022'!$A74,AVA_4!$A:$A,0),MATCH('2022'!$A$1,AVA_4!$3:$3,0))/(B74/1000)</f>
        <v>0.48560043375041451</v>
      </c>
      <c r="I74" s="89">
        <f>INDEX(AVA_5!$A:$J,MATCH('2022'!$A74,AVA_5!$A:$A,0),MATCH('2022'!$A$1,AVA_5!$3:$3,0))/(B74/1000)</f>
        <v>7.6853835585431458</v>
      </c>
      <c r="J74" s="93">
        <f>INDEX(IRA_1!$A:$J,MATCH('2022'!$A74,IRA_1!$A:$A,0),MATCH('2022'!$A$1,IRA_1!$3:$3,0))/(B74/1000)</f>
        <v>0.12765106253059677</v>
      </c>
      <c r="K74" s="88">
        <f>INDEX(IRA_2!$A:$J,MATCH('2022'!$A74,IRA_2!$A:$A,0),MATCH('2022'!$A$1,IRA_2!$3:$3,0))/(B74/1000)</f>
        <v>0.23951024103678983</v>
      </c>
      <c r="L74" s="15">
        <f>INDEX(IRA_3!$A:$J,MATCH('2022'!$A74,IRA_3!$A:$A,0),MATCH('2022'!$A$1,IRA_3!$3:$3,0))</f>
        <v>0.30545010845986986</v>
      </c>
      <c r="M74" s="96">
        <f>INDEX(IRA_4!$A:$J,MATCH('2022'!$A74,IRA_4!$A:$A,0),MATCH('2022'!$A$1,IRA_4!$3:$3,0))/(B74/1000)</f>
        <v>7.1958351537866303</v>
      </c>
      <c r="N74" s="61">
        <f>INDEX(INV_1!$A:$J,MATCH('2022'!$A74,INV_1!$A:$A,0),MATCH('2022'!$A$1,INV_1!$3:$3,0))</f>
        <v>6.2688891796135252E-2</v>
      </c>
      <c r="O74" s="80">
        <f>INDEX(INV_2!$A:$J,MATCH('2022'!$A74,INV_2!$A:$A,0),MATCH('2022'!$A$1,INV_2!$3:$3,0))/B74*10^6/C74</f>
        <v>0.42701213494091911</v>
      </c>
      <c r="P74" s="87">
        <f>INDEX(INV_3!$A:$J,MATCH('2022'!$A74,INV_3!$A:$A,0),MATCH('2022'!$A$1,INV_3!$3:$3,0))/B74*10^6/C74</f>
        <v>4.8767070515167426</v>
      </c>
      <c r="Q74" s="87">
        <f>INDEX(INV_4!$A:$J,MATCH('2022'!$A74,INV_4!$A:$A,0),MATCH('2022'!$A$1,INV_4!$3:$3,0))/B74*10^3/C74</f>
        <v>0.24862853465211326</v>
      </c>
      <c r="R74" s="34">
        <f>INDEX(INV_5!$A:$J,MATCH('2022'!$A74,INV_5!$A:$A,0),MATCH('2022'!$A$1,INV_5!$3:$3,0))</f>
        <v>0.1056</v>
      </c>
      <c r="S74" s="77">
        <f>INDEX(LUJ_1!$A:$J,MATCH('2022'!$A74,LUJ_1!$A:$A,0),MATCH('2022'!$A$1,LUJ_1!$3:$3,0))</f>
        <v>0.6305268731797723</v>
      </c>
      <c r="T74" s="73">
        <f>INDEX(LUJ_2!$A:$J,MATCH('2022'!$A74,LUJ_2!$A:$A,0),MATCH('2022'!$A$1,LUJ_2!$3:$3,0))</f>
        <v>0.314</v>
      </c>
      <c r="U74" s="73">
        <f>INDEX(LUJ_3!$A:$J,MATCH('2022'!$A74,LUJ_3!$A:$A,0),MATCH('2022'!$A$1,LUJ_3!$3:$3,0))</f>
        <v>0.57548256986459234</v>
      </c>
      <c r="V74" s="14">
        <f>INDEX(LUJ_4!$A:$J,MATCH('2022'!$A74,LUJ_4!$A:$A,0),MATCH('2022'!$A$1,LUJ_4!$3:$3,0))</f>
        <v>27</v>
      </c>
      <c r="W74" s="34">
        <f>INDEX(LUJ_5!$A:$J,MATCH('2022'!$A74,LUJ_5!$A:$A,0),MATCH('2022'!$A$1,LUJ_5!$3:$3,0))</f>
        <v>28</v>
      </c>
      <c r="X74" s="98">
        <f>1/INDEX(GUL_1!$A:$J,MATCH('2022'!$A74,GUL_1!$A:$A,0),MATCH('2022'!$A$1,GUL_1!$3:$3,0))</f>
        <v>1.4669209329617133E-2</v>
      </c>
      <c r="Y74" s="57" t="e">
        <f>INDEX(GUL_2!$A:$J,MATCH('2022'!$A74,GUL_2!$A:$A,0),MATCH('2022'!$A$1,GUL_2!$3:$3,0))</f>
        <v>#N/A</v>
      </c>
      <c r="Z74" s="57">
        <f>INDEX(GUL_3!$A:$J,MATCH('2022'!$A74,GUL_3!$A:$A,0),MATCH('2022'!$A$1,GUL_3!$3:$3,0))/(B74/1000)</f>
        <v>0.98172879018376491</v>
      </c>
      <c r="AA74" s="101">
        <f>INDEX(GUL_4!$A:$J,MATCH('2022'!$A74,GUL_4!$A:$A,0),MATCH('2022'!$A$1,GUL_4!$3:$3,0))/B74/C74*10^6</f>
        <v>0.40262426907466248</v>
      </c>
      <c r="AB74" s="73">
        <f>INDEX(GUL_5!$A:$J,MATCH('2022'!$A74,GUL_5!$A:$A,0),MATCH('2022'!$A$1,GUL_5!$3:$3,0))</f>
        <v>2.7203902884373937E-2</v>
      </c>
      <c r="AC74" s="49" t="e">
        <f>INDEX(GUL_6!$A:$J,MATCH('2022'!$A74,GUL_6!$A:$A,0),MATCH('2022'!$A$1,GUL_6!$3:$3,0))</f>
        <v>#N/A</v>
      </c>
      <c r="AD74" s="49" t="e">
        <f>INDEX(GUL_7!$A:$J,MATCH('2022'!$A74,GUL_7!$A:$A,0),MATCH('2022'!$A$1,GUL_7!$3:$3,0))</f>
        <v>#N/A</v>
      </c>
      <c r="AE74" s="103">
        <f>INDEX(GUL_8!$A:$J,MATCH('2022'!$A74,GUL_8!$A:$A,0),MATCH('2022'!$A$1,GUL_8!$3:$3,0))/(B74/1000)</f>
        <v>3.2281242926551945</v>
      </c>
      <c r="AF74" s="41">
        <f>INDEX(DES_1!$A:$J,MATCH('2022'!$A74,DES_1!$A:$A,0),MATCH('2022'!$A$1,DES_1!$3:$3,0))/(B74/1000)</f>
        <v>0.28688589311000101</v>
      </c>
      <c r="AG74" s="100">
        <f>INDEX(DES_2!$A:$J,MATCH('2022'!$A74,DES_2!$A:$A,0),MATCH('2022'!$A$1,DES_2!$3:$3,0))/(B74/1000)</f>
        <v>1.4620652625927115</v>
      </c>
      <c r="AH74" s="57">
        <f>1/INDEX(DES_3!$A:$J,MATCH('2022'!$A74,DES_3!$A:$A,0),MATCH('2022'!$A$1,DES_3!$3:$3,0))</f>
        <v>7.9239302694136295E-3</v>
      </c>
      <c r="AI74" s="80" t="e">
        <f>INDEX(DES_4!$A:$J,MATCH('2022'!$A74,DES_4!$A:$A,0),MATCH('2022'!$A$1,DES_4!$3:$3,0))</f>
        <v>#N/A</v>
      </c>
      <c r="AJ74" s="110" t="e">
        <f>INDEX(DES_5!$A:$J,MATCH('2022'!$A74,DES_5!$A:$A,0),MATCH('2022'!$A$1,DES_5!$3:$3,0))</f>
        <v>#N/A</v>
      </c>
      <c r="AK74" s="57">
        <v>81</v>
      </c>
    </row>
    <row r="75" spans="1:37" x14ac:dyDescent="0.3">
      <c r="A75" s="29" t="s">
        <v>74</v>
      </c>
      <c r="B75" s="33">
        <f>INDEX(Population!$A:$J,MATCH('2022'!$A75,Population!$A:$A,0),MATCH('2022'!$A$1,Population!$3:$3,0))</f>
        <v>148519</v>
      </c>
      <c r="C75" s="14">
        <f>INDEX(Income!$A:$J,MATCH('2022'!$A75,Income!$A:$A,0),MATCH('2022'!$A$1,Income!$3:$3,0))</f>
        <v>34969</v>
      </c>
      <c r="D75" s="34">
        <f>INDEX(Livable_wage!$A:$J,MATCH('2022'!$A75,Livable_wage!$A:$A,0),MATCH('2022'!$A$1,Livable_wage!$3:$3,0))</f>
        <v>18758</v>
      </c>
      <c r="E75" s="41">
        <f>INDEX(AVA_1!$A:$J,MATCH('2022'!$A75,AVA_1!$A:$A,0),MATCH('2022'!$A$1,AVA_1!$3:$3,0))</f>
        <v>0.31</v>
      </c>
      <c r="F75" s="15">
        <f>INDEX(AVA_2!$A:$J,MATCH('2022'!$A75,AVA_2!$A:$A,0),MATCH('2022'!$A$1,AVA_2!$3:$3,0))</f>
        <v>7.4893128168874064E-3</v>
      </c>
      <c r="G75" s="15">
        <f>INDEX(AVA_3!$A:$J,MATCH('2022'!$A75,AVA_3!$A:$A,0),MATCH('2022'!$A$1,AVA_3!$3:$3,0))</f>
        <v>1.4523309156427217E-2</v>
      </c>
      <c r="H75" s="87">
        <f>INDEX(AVA_4!$A:$J,MATCH('2022'!$A75,AVA_4!$A:$A,0),MATCH('2022'!$A$1,AVA_4!$3:$3,0))/(B75/1000)</f>
        <v>0.68678081592254192</v>
      </c>
      <c r="I75" s="89">
        <f>INDEX(AVA_5!$A:$J,MATCH('2022'!$A75,AVA_5!$A:$A,0),MATCH('2022'!$A$1,AVA_5!$3:$3,0))/(B75/1000)</f>
        <v>6.8408755782088484</v>
      </c>
      <c r="J75" s="93">
        <f>INDEX(IRA_1!$A:$J,MATCH('2022'!$A75,IRA_1!$A:$A,0),MATCH('2022'!$A$1,IRA_1!$3:$3,0))/(B75/1000)</f>
        <v>0.16832863135356418</v>
      </c>
      <c r="K75" s="88">
        <f>INDEX(IRA_2!$A:$J,MATCH('2022'!$A75,IRA_2!$A:$A,0),MATCH('2022'!$A$1,IRA_2!$3:$3,0))/(B75/1000)</f>
        <v>0.22892693864084729</v>
      </c>
      <c r="L75" s="15">
        <f>INDEX(IRA_3!$A:$J,MATCH('2022'!$A75,IRA_3!$A:$A,0),MATCH('2022'!$A$1,IRA_3!$3:$3,0))</f>
        <v>0.38140643623361148</v>
      </c>
      <c r="M75" s="96">
        <f>INDEX(IRA_4!$A:$J,MATCH('2022'!$A75,IRA_4!$A:$A,0),MATCH('2022'!$A$1,IRA_4!$3:$3,0))/(B75/1000)</f>
        <v>6.4436200082144373</v>
      </c>
      <c r="N75" s="61">
        <f>INDEX(INV_1!$A:$J,MATCH('2022'!$A75,INV_1!$A:$A,0),MATCH('2022'!$A$1,INV_1!$3:$3,0))</f>
        <v>8.3106767422567285E-2</v>
      </c>
      <c r="O75" s="80">
        <f>INDEX(INV_2!$A:$J,MATCH('2022'!$A75,INV_2!$A:$A,0),MATCH('2022'!$A$1,INV_2!$3:$3,0))/B75*10^6/C75</f>
        <v>0.16442078208512442</v>
      </c>
      <c r="P75" s="87">
        <f>INDEX(INV_3!$A:$J,MATCH('2022'!$A75,INV_3!$A:$A,0),MATCH('2022'!$A$1,INV_3!$3:$3,0))/B75*10^6/C75</f>
        <v>4.4974922601807918</v>
      </c>
      <c r="Q75" s="87">
        <f>INDEX(INV_4!$A:$J,MATCH('2022'!$A75,INV_4!$A:$A,0),MATCH('2022'!$A$1,INV_4!$3:$3,0))/B75*10^3/C75</f>
        <v>0.20910974350946626</v>
      </c>
      <c r="R75" s="34">
        <f>INDEX(INV_5!$A:$J,MATCH('2022'!$A75,INV_5!$A:$A,0),MATCH('2022'!$A$1,INV_5!$3:$3,0))</f>
        <v>6.4199999999999993E-2</v>
      </c>
      <c r="S75" s="77">
        <f>INDEX(LUJ_1!$A:$J,MATCH('2022'!$A75,LUJ_1!$A:$A,0),MATCH('2022'!$A$1,LUJ_1!$3:$3,0))</f>
        <v>0.77174721189591078</v>
      </c>
      <c r="T75" s="73">
        <f>INDEX(LUJ_2!$A:$J,MATCH('2022'!$A75,LUJ_2!$A:$A,0),MATCH('2022'!$A$1,LUJ_2!$3:$3,0))</f>
        <v>0.379</v>
      </c>
      <c r="U75" s="73">
        <f>INDEX(LUJ_3!$A:$J,MATCH('2022'!$A75,LUJ_3!$A:$A,0),MATCH('2022'!$A$1,LUJ_3!$3:$3,0))</f>
        <v>0.60084626234132577</v>
      </c>
      <c r="V75" s="14">
        <f>INDEX(LUJ_4!$A:$J,MATCH('2022'!$A75,LUJ_4!$A:$A,0),MATCH('2022'!$A$1,LUJ_4!$3:$3,0))</f>
        <v>11</v>
      </c>
      <c r="W75" s="34">
        <f>INDEX(LUJ_5!$A:$J,MATCH('2022'!$A75,LUJ_5!$A:$A,0),MATCH('2022'!$A$1,LUJ_5!$3:$3,0))</f>
        <v>26.7</v>
      </c>
      <c r="X75" s="98">
        <f>1/INDEX(GUL_1!$A:$J,MATCH('2022'!$A75,GUL_1!$A:$A,0),MATCH('2022'!$A$1,GUL_1!$3:$3,0))</f>
        <v>1.4771048744460856E-2</v>
      </c>
      <c r="Y75" s="57" t="e">
        <f>INDEX(GUL_2!$A:$J,MATCH('2022'!$A75,GUL_2!$A:$A,0),MATCH('2022'!$A$1,GUL_2!$3:$3,0))</f>
        <v>#N/A</v>
      </c>
      <c r="Z75" s="57">
        <f>INDEX(GUL_3!$A:$J,MATCH('2022'!$A75,GUL_3!$A:$A,0),MATCH('2022'!$A$1,GUL_3!$3:$3,0))/(B75/1000)</f>
        <v>0.84164315676782087</v>
      </c>
      <c r="AA75" s="101">
        <f>INDEX(GUL_4!$A:$J,MATCH('2022'!$A75,GUL_4!$A:$A,0),MATCH('2022'!$A$1,GUL_4!$3:$3,0))/B75/C75*10^6</f>
        <v>0.21528389079482579</v>
      </c>
      <c r="AB75" s="73">
        <f>INDEX(GUL_5!$A:$J,MATCH('2022'!$A75,GUL_5!$A:$A,0),MATCH('2022'!$A$1,GUL_5!$3:$3,0))</f>
        <v>6.0102600485141863E-2</v>
      </c>
      <c r="AC75" s="49" t="e">
        <f>INDEX(GUL_6!$A:$J,MATCH('2022'!$A75,GUL_6!$A:$A,0),MATCH('2022'!$A$1,GUL_6!$3:$3,0))</f>
        <v>#N/A</v>
      </c>
      <c r="AD75" s="49" t="e">
        <f>INDEX(GUL_7!$A:$J,MATCH('2022'!$A75,GUL_7!$A:$A,0),MATCH('2022'!$A$1,GUL_7!$3:$3,0))</f>
        <v>#N/A</v>
      </c>
      <c r="AE75" s="103">
        <f>INDEX(GUL_8!$A:$J,MATCH('2022'!$A75,GUL_8!$A:$A,0),MATCH('2022'!$A$1,GUL_8!$3:$3,0))/(B75/1000)</f>
        <v>3.4002383533419964</v>
      </c>
      <c r="AF75" s="41">
        <f>INDEX(DES_1!$A:$J,MATCH('2022'!$A75,DES_1!$A:$A,0),MATCH('2022'!$A$1,DES_1!$3:$3,0))/(B75/1000)</f>
        <v>0.31645782694470065</v>
      </c>
      <c r="AG75" s="100">
        <f>INDEX(DES_2!$A:$J,MATCH('2022'!$A75,DES_2!$A:$A,0),MATCH('2022'!$A$1,DES_2!$3:$3,0))/(B75/1000)</f>
        <v>1.9458789784472019</v>
      </c>
      <c r="AH75" s="57">
        <f>1/INDEX(DES_3!$A:$J,MATCH('2022'!$A75,DES_3!$A:$A,0),MATCH('2022'!$A$1,DES_3!$3:$3,0))</f>
        <v>9.1074681238615673E-3</v>
      </c>
      <c r="AI75" s="80" t="e">
        <f>INDEX(DES_4!$A:$J,MATCH('2022'!$A75,DES_4!$A:$A,0),MATCH('2022'!$A$1,DES_4!$3:$3,0))</f>
        <v>#N/A</v>
      </c>
      <c r="AJ75" s="110" t="e">
        <f>INDEX(DES_5!$A:$J,MATCH('2022'!$A75,DES_5!$A:$A,0),MATCH('2022'!$A$1,DES_5!$3:$3,0))</f>
        <v>#N/A</v>
      </c>
      <c r="AK75" s="57">
        <v>80</v>
      </c>
    </row>
    <row r="76" spans="1:37" x14ac:dyDescent="0.3">
      <c r="A76" s="29" t="s">
        <v>75</v>
      </c>
      <c r="B76" s="33">
        <f>INDEX(Population!$A:$J,MATCH('2022'!$A76,Population!$A:$A,0),MATCH('2022'!$A$1,Population!$3:$3,0))</f>
        <v>1288427</v>
      </c>
      <c r="C76" s="14">
        <f>INDEX(Income!$A:$J,MATCH('2022'!$A76,Income!$A:$A,0),MATCH('2022'!$A$1,Income!$3:$3,0))</f>
        <v>49523</v>
      </c>
      <c r="D76" s="34">
        <f>INDEX(Livable_wage!$A:$J,MATCH('2022'!$A76,Livable_wage!$A:$A,0),MATCH('2022'!$A$1,Livable_wage!$3:$3,0))</f>
        <v>18558</v>
      </c>
      <c r="E76" s="41">
        <f>INDEX(AVA_1!$A:$J,MATCH('2022'!$A76,AVA_1!$A:$A,0),MATCH('2022'!$A$1,AVA_1!$3:$3,0))</f>
        <v>0.35099999999999998</v>
      </c>
      <c r="F76" s="15">
        <f>INDEX(AVA_2!$A:$J,MATCH('2022'!$A76,AVA_2!$A:$A,0),MATCH('2022'!$A$1,AVA_2!$3:$3,0))</f>
        <v>1.2391664890607369E-2</v>
      </c>
      <c r="G76" s="15">
        <f>INDEX(AVA_3!$A:$J,MATCH('2022'!$A76,AVA_3!$A:$A,0),MATCH('2022'!$A$1,AVA_3!$3:$3,0))</f>
        <v>7.9079829452230865E-3</v>
      </c>
      <c r="H76" s="87">
        <f>INDEX(AVA_4!$A:$J,MATCH('2022'!$A76,AVA_4!$A:$A,0),MATCH('2022'!$A$1,AVA_4!$3:$3,0))/(B76/1000)</f>
        <v>0.45326588157497477</v>
      </c>
      <c r="I76" s="89">
        <f>INDEX(AVA_5!$A:$J,MATCH('2022'!$A76,AVA_5!$A:$A,0),MATCH('2022'!$A$1,AVA_5!$3:$3,0))/(B76/1000)</f>
        <v>6.3433939214251183</v>
      </c>
      <c r="J76" s="93">
        <f>INDEX(IRA_1!$A:$J,MATCH('2022'!$A76,IRA_1!$A:$A,0),MATCH('2022'!$A$1,IRA_1!$3:$3,0))/(B76/1000)</f>
        <v>0.10012208685474615</v>
      </c>
      <c r="K76" s="88">
        <f>INDEX(IRA_2!$A:$J,MATCH('2022'!$A76,IRA_2!$A:$A,0),MATCH('2022'!$A$1,IRA_2!$3:$3,0))/(B76/1000)</f>
        <v>0.16764628496608658</v>
      </c>
      <c r="L76" s="15">
        <f>INDEX(IRA_3!$A:$J,MATCH('2022'!$A76,IRA_3!$A:$A,0),MATCH('2022'!$A$1,IRA_3!$3:$3,0))</f>
        <v>0.31558441558441563</v>
      </c>
      <c r="M76" s="96">
        <f>INDEX(IRA_4!$A:$J,MATCH('2022'!$A76,IRA_4!$A:$A,0),MATCH('2022'!$A$1,IRA_4!$3:$3,0))/(B76/1000)</f>
        <v>6.16332939312821</v>
      </c>
      <c r="N76" s="61">
        <f>INDEX(INV_1!$A:$J,MATCH('2022'!$A76,INV_1!$A:$A,0),MATCH('2022'!$A$1,INV_1!$3:$3,0))</f>
        <v>9.3984146009116143E-2</v>
      </c>
      <c r="O76" s="80">
        <f>INDEX(INV_2!$A:$J,MATCH('2022'!$A76,INV_2!$A:$A,0),MATCH('2022'!$A$1,INV_2!$3:$3,0))/B76*10^6/C76</f>
        <v>0.27554658369908486</v>
      </c>
      <c r="P76" s="87">
        <f>INDEX(INV_3!$A:$J,MATCH('2022'!$A76,INV_3!$A:$A,0),MATCH('2022'!$A$1,INV_3!$3:$3,0))/B76*10^6/C76</f>
        <v>4.4481956784856713</v>
      </c>
      <c r="Q76" s="87">
        <f>INDEX(INV_4!$A:$J,MATCH('2022'!$A76,INV_4!$A:$A,0),MATCH('2022'!$A$1,INV_4!$3:$3,0))/B76*10^3/C76</f>
        <v>0.27558580071576982</v>
      </c>
      <c r="R76" s="34">
        <f>INDEX(INV_5!$A:$J,MATCH('2022'!$A76,INV_5!$A:$A,0),MATCH('2022'!$A$1,INV_5!$3:$3,0))</f>
        <v>0.15029999999999999</v>
      </c>
      <c r="S76" s="77">
        <f>INDEX(LUJ_1!$A:$J,MATCH('2022'!$A76,LUJ_1!$A:$A,0),MATCH('2022'!$A$1,LUJ_1!$3:$3,0))</f>
        <v>0.63452308229339383</v>
      </c>
      <c r="T76" s="73">
        <f>INDEX(LUJ_2!$A:$J,MATCH('2022'!$A76,LUJ_2!$A:$A,0),MATCH('2022'!$A$1,LUJ_2!$3:$3,0))</f>
        <v>0.3</v>
      </c>
      <c r="U76" s="73">
        <f>INDEX(LUJ_3!$A:$J,MATCH('2022'!$A76,LUJ_3!$A:$A,0),MATCH('2022'!$A$1,LUJ_3!$3:$3,0))</f>
        <v>0.58346166798164256</v>
      </c>
      <c r="V76" s="14">
        <f>INDEX(LUJ_4!$A:$J,MATCH('2022'!$A76,LUJ_4!$A:$A,0),MATCH('2022'!$A$1,LUJ_4!$3:$3,0))</f>
        <v>37</v>
      </c>
      <c r="W76" s="34">
        <f>INDEX(LUJ_5!$A:$J,MATCH('2022'!$A76,LUJ_5!$A:$A,0),MATCH('2022'!$A$1,LUJ_5!$3:$3,0))</f>
        <v>20</v>
      </c>
      <c r="X76" s="98">
        <f>1/INDEX(GUL_1!$A:$J,MATCH('2022'!$A76,GUL_1!$A:$A,0),MATCH('2022'!$A$1,GUL_1!$3:$3,0))</f>
        <v>1.4293882218410521E-2</v>
      </c>
      <c r="Y76" s="57" t="e">
        <f>INDEX(GUL_2!$A:$J,MATCH('2022'!$A76,GUL_2!$A:$A,0),MATCH('2022'!$A$1,GUL_2!$3:$3,0))</f>
        <v>#N/A</v>
      </c>
      <c r="Z76" s="57">
        <f>INDEX(GUL_3!$A:$J,MATCH('2022'!$A76,GUL_3!$A:$A,0),MATCH('2022'!$A$1,GUL_3!$3:$3,0))/(B76/1000)</f>
        <v>0.87936685586377816</v>
      </c>
      <c r="AA76" s="101">
        <f>INDEX(GUL_4!$A:$J,MATCH('2022'!$A76,GUL_4!$A:$A,0),MATCH('2022'!$A$1,GUL_4!$3:$3,0))/B76/C76*10^6</f>
        <v>0.45977080257178937</v>
      </c>
      <c r="AB76" s="73">
        <f>INDEX(GUL_5!$A:$J,MATCH('2022'!$A76,GUL_5!$A:$A,0),MATCH('2022'!$A$1,GUL_5!$3:$3,0))</f>
        <v>2.05800162670692E-2</v>
      </c>
      <c r="AC76" s="49" t="e">
        <f>INDEX(GUL_6!$A:$J,MATCH('2022'!$A76,GUL_6!$A:$A,0),MATCH('2022'!$A$1,GUL_6!$3:$3,0))</f>
        <v>#N/A</v>
      </c>
      <c r="AD76" s="49" t="e">
        <f>INDEX(GUL_7!$A:$J,MATCH('2022'!$A76,GUL_7!$A:$A,0),MATCH('2022'!$A$1,GUL_7!$3:$3,0))</f>
        <v>#N/A</v>
      </c>
      <c r="AE76" s="103">
        <f>INDEX(GUL_8!$A:$J,MATCH('2022'!$A76,GUL_8!$A:$A,0),MATCH('2022'!$A$1,GUL_8!$3:$3,0))/(B76/1000)</f>
        <v>1.9814859514741621</v>
      </c>
      <c r="AF76" s="41">
        <f>INDEX(DES_1!$A:$J,MATCH('2022'!$A76,DES_1!$A:$A,0),MATCH('2022'!$A$1,DES_1!$3:$3,0))/(B76/1000)</f>
        <v>1.3194383538997554E-2</v>
      </c>
      <c r="AG76" s="100">
        <f>INDEX(DES_2!$A:$J,MATCH('2022'!$A76,DES_2!$A:$A,0),MATCH('2022'!$A$1,DES_2!$3:$3,0))/(B76/1000)</f>
        <v>0.56813463238507111</v>
      </c>
      <c r="AH76" s="57">
        <f>1/INDEX(DES_3!$A:$J,MATCH('2022'!$A76,DES_3!$A:$A,0),MATCH('2022'!$A$1,DES_3!$3:$3,0))</f>
        <v>9.1743119266055051E-3</v>
      </c>
      <c r="AI76" s="80" t="e">
        <f>INDEX(DES_4!$A:$J,MATCH('2022'!$A76,DES_4!$A:$A,0),MATCH('2022'!$A$1,DES_4!$3:$3,0))</f>
        <v>#N/A</v>
      </c>
      <c r="AJ76" s="110" t="e">
        <f>INDEX(DES_5!$A:$J,MATCH('2022'!$A76,DES_5!$A:$A,0),MATCH('2022'!$A$1,DES_5!$3:$3,0))</f>
        <v>#N/A</v>
      </c>
      <c r="AK76" s="57">
        <v>79</v>
      </c>
    </row>
    <row r="77" spans="1:37" x14ac:dyDescent="0.3">
      <c r="A77" s="29" t="s">
        <v>76</v>
      </c>
      <c r="B77" s="33">
        <f>INDEX(Population!$A:$J,MATCH('2022'!$A77,Population!$A:$A,0),MATCH('2022'!$A$1,Population!$3:$3,0))</f>
        <v>2580125</v>
      </c>
      <c r="C77" s="14">
        <f>INDEX(Income!$A:$J,MATCH('2022'!$A77,Income!$A:$A,0),MATCH('2022'!$A$1,Income!$3:$3,0))</f>
        <v>32417</v>
      </c>
      <c r="D77" s="34">
        <f>INDEX(Livable_wage!$A:$J,MATCH('2022'!$A77,Livable_wage!$A:$A,0),MATCH('2022'!$A$1,Livable_wage!$3:$3,0))</f>
        <v>12667</v>
      </c>
      <c r="E77" s="41">
        <f>INDEX(AVA_1!$A:$J,MATCH('2022'!$A77,AVA_1!$A:$A,0),MATCH('2022'!$A$1,AVA_1!$3:$3,0))</f>
        <v>0.34200000000000003</v>
      </c>
      <c r="F77" s="15">
        <f>INDEX(AVA_2!$A:$J,MATCH('2022'!$A77,AVA_2!$A:$A,0),MATCH('2022'!$A$1,AVA_2!$3:$3,0))</f>
        <v>1.0504083825535668E-2</v>
      </c>
      <c r="G77" s="15">
        <f>INDEX(AVA_3!$A:$J,MATCH('2022'!$A77,AVA_3!$A:$A,0),MATCH('2022'!$A$1,AVA_3!$3:$3,0))</f>
        <v>9.5907081075711012E-3</v>
      </c>
      <c r="H77" s="87">
        <f>INDEX(AVA_4!$A:$J,MATCH('2022'!$A77,AVA_4!$A:$A,0),MATCH('2022'!$A$1,AVA_4!$3:$3,0))/(B77/1000)</f>
        <v>0.46276827673077853</v>
      </c>
      <c r="I77" s="89">
        <f>INDEX(AVA_5!$A:$J,MATCH('2022'!$A77,AVA_5!$A:$A,0),MATCH('2022'!$A$1,AVA_5!$3:$3,0))/(B77/1000)</f>
        <v>7.3864638341165643</v>
      </c>
      <c r="J77" s="93">
        <f>INDEX(IRA_1!$A:$J,MATCH('2022'!$A77,IRA_1!$A:$A,0),MATCH('2022'!$A$1,IRA_1!$3:$3,0))/(B77/1000)</f>
        <v>7.6352889879366309E-2</v>
      </c>
      <c r="K77" s="88">
        <f>INDEX(IRA_2!$A:$J,MATCH('2022'!$A77,IRA_2!$A:$A,0),MATCH('2022'!$A$1,IRA_2!$3:$3,0))/(B77/1000)</f>
        <v>0.22363257594108812</v>
      </c>
      <c r="L77" s="15">
        <f>INDEX(IRA_3!$A:$J,MATCH('2022'!$A77,IRA_3!$A:$A,0),MATCH('2022'!$A$1,IRA_3!$3:$3,0))</f>
        <v>0.3054612474536812</v>
      </c>
      <c r="M77" s="96">
        <f>INDEX(IRA_4!$A:$J,MATCH('2022'!$A77,IRA_4!$A:$A,0),MATCH('2022'!$A$1,IRA_4!$3:$3,0))/(B77/1000)</f>
        <v>5.551669008284482</v>
      </c>
      <c r="N77" s="61">
        <f>INDEX(INV_1!$A:$J,MATCH('2022'!$A77,INV_1!$A:$A,0),MATCH('2022'!$A$1,INV_1!$3:$3,0))</f>
        <v>8.8933590577677121E-2</v>
      </c>
      <c r="O77" s="80">
        <f>INDEX(INV_2!$A:$J,MATCH('2022'!$A77,INV_2!$A:$A,0),MATCH('2022'!$A$1,INV_2!$3:$3,0))/B77*10^6/C77</f>
        <v>0.51776197084709752</v>
      </c>
      <c r="P77" s="87">
        <f>INDEX(INV_3!$A:$J,MATCH('2022'!$A77,INV_3!$A:$A,0),MATCH('2022'!$A$1,INV_3!$3:$3,0))/B77*10^6/C77</f>
        <v>4.969828272640596</v>
      </c>
      <c r="Q77" s="87">
        <f>INDEX(INV_4!$A:$J,MATCH('2022'!$A77,INV_4!$A:$A,0),MATCH('2022'!$A$1,INV_4!$3:$3,0))/B77*10^3/C77</f>
        <v>0.28367136211885396</v>
      </c>
      <c r="R77" s="34">
        <f>INDEX(INV_5!$A:$J,MATCH('2022'!$A77,INV_5!$A:$A,0),MATCH('2022'!$A$1,INV_5!$3:$3,0))</f>
        <v>7.8100000000000003E-2</v>
      </c>
      <c r="S77" s="77">
        <f>INDEX(LUJ_1!$A:$J,MATCH('2022'!$A77,LUJ_1!$A:$A,0),MATCH('2022'!$A$1,LUJ_1!$3:$3,0))</f>
        <v>0.62039194915254237</v>
      </c>
      <c r="T77" s="73">
        <f>INDEX(LUJ_2!$A:$J,MATCH('2022'!$A77,LUJ_2!$A:$A,0),MATCH('2022'!$A$1,LUJ_2!$3:$3,0))</f>
        <v>0.27600000000000002</v>
      </c>
      <c r="U77" s="73">
        <f>INDEX(LUJ_3!$A:$J,MATCH('2022'!$A77,LUJ_3!$A:$A,0),MATCH('2022'!$A$1,LUJ_3!$3:$3,0))</f>
        <v>0.64872248924867193</v>
      </c>
      <c r="V77" s="14">
        <f>INDEX(LUJ_4!$A:$J,MATCH('2022'!$A77,LUJ_4!$A:$A,0),MATCH('2022'!$A$1,LUJ_4!$3:$3,0))</f>
        <v>60</v>
      </c>
      <c r="W77" s="34">
        <f>INDEX(LUJ_5!$A:$J,MATCH('2022'!$A77,LUJ_5!$A:$A,0),MATCH('2022'!$A$1,LUJ_5!$3:$3,0))</f>
        <v>86.7</v>
      </c>
      <c r="X77" s="98">
        <f>1/INDEX(GUL_1!$A:$J,MATCH('2022'!$A77,GUL_1!$A:$A,0),MATCH('2022'!$A$1,GUL_1!$3:$3,0))</f>
        <v>1.4359563469270534E-2</v>
      </c>
      <c r="Y77" s="57" t="e">
        <f>INDEX(GUL_2!$A:$J,MATCH('2022'!$A77,GUL_2!$A:$A,0),MATCH('2022'!$A$1,GUL_2!$3:$3,0))</f>
        <v>#N/A</v>
      </c>
      <c r="Z77" s="57">
        <f>INDEX(GUL_3!$A:$J,MATCH('2022'!$A77,GUL_3!$A:$A,0),MATCH('2022'!$A$1,GUL_3!$3:$3,0))/(B77/1000)</f>
        <v>0.92476139721912698</v>
      </c>
      <c r="AA77" s="101">
        <f>INDEX(GUL_4!$A:$J,MATCH('2022'!$A77,GUL_4!$A:$A,0),MATCH('2022'!$A$1,GUL_4!$3:$3,0))/B77/C77*10^6</f>
        <v>0.33648158259587602</v>
      </c>
      <c r="AB77" s="73">
        <f>INDEX(GUL_5!$A:$J,MATCH('2022'!$A77,GUL_5!$A:$A,0),MATCH('2022'!$A$1,GUL_5!$3:$3,0))</f>
        <v>2.3922775411991046E-2</v>
      </c>
      <c r="AC77" s="49" t="e">
        <f>INDEX(GUL_6!$A:$J,MATCH('2022'!$A77,GUL_6!$A:$A,0),MATCH('2022'!$A$1,GUL_6!$3:$3,0))</f>
        <v>#N/A</v>
      </c>
      <c r="AD77" s="49" t="e">
        <f>INDEX(GUL_7!$A:$J,MATCH('2022'!$A77,GUL_7!$A:$A,0),MATCH('2022'!$A$1,GUL_7!$3:$3,0))</f>
        <v>#N/A</v>
      </c>
      <c r="AE77" s="103">
        <f>INDEX(GUL_8!$A:$J,MATCH('2022'!$A77,GUL_8!$A:$A,0),MATCH('2022'!$A$1,GUL_8!$3:$3,0))/(B77/1000)</f>
        <v>2.8324209098396396</v>
      </c>
      <c r="AF77" s="41">
        <f>INDEX(DES_1!$A:$J,MATCH('2022'!$A77,DES_1!$A:$A,0),MATCH('2022'!$A$1,DES_1!$3:$3,0))/(B77/1000)</f>
        <v>0.16084492030424882</v>
      </c>
      <c r="AG77" s="100">
        <f>INDEX(DES_2!$A:$J,MATCH('2022'!$A77,DES_2!$A:$A,0),MATCH('2022'!$A$1,DES_2!$3:$3,0))/(B77/1000)</f>
        <v>0.60113366600455409</v>
      </c>
      <c r="AH77" s="57">
        <f>1/INDEX(DES_3!$A:$J,MATCH('2022'!$A77,DES_3!$A:$A,0),MATCH('2022'!$A$1,DES_3!$3:$3,0))</f>
        <v>8.9525514771709933E-3</v>
      </c>
      <c r="AI77" s="80" t="e">
        <f>INDEX(DES_4!$A:$J,MATCH('2022'!$A77,DES_4!$A:$A,0),MATCH('2022'!$A$1,DES_4!$3:$3,0))</f>
        <v>#N/A</v>
      </c>
      <c r="AJ77" s="110" t="e">
        <f>INDEX(DES_5!$A:$J,MATCH('2022'!$A77,DES_5!$A:$A,0),MATCH('2022'!$A$1,DES_5!$3:$3,0))</f>
        <v>#N/A</v>
      </c>
      <c r="AK77" s="57">
        <v>78</v>
      </c>
    </row>
    <row r="78" spans="1:37" x14ac:dyDescent="0.3">
      <c r="A78" s="29" t="s">
        <v>77</v>
      </c>
      <c r="B78" s="33">
        <f>INDEX(Population!$A:$J,MATCH('2022'!$A78,Population!$A:$A,0),MATCH('2022'!$A$1,Population!$3:$3,0))</f>
        <v>531611</v>
      </c>
      <c r="C78" s="14">
        <f>INDEX(Income!$A:$J,MATCH('2022'!$A78,Income!$A:$A,0),MATCH('2022'!$A$1,Income!$3:$3,0))</f>
        <v>28772</v>
      </c>
      <c r="D78" s="34">
        <f>INDEX(Livable_wage!$A:$J,MATCH('2022'!$A78,Livable_wage!$A:$A,0),MATCH('2022'!$A$1,Livable_wage!$3:$3,0))</f>
        <v>14198</v>
      </c>
      <c r="E78" s="41">
        <f>INDEX(AVA_1!$A:$J,MATCH('2022'!$A78,AVA_1!$A:$A,0),MATCH('2022'!$A$1,AVA_1!$3:$3,0))</f>
        <v>0.32</v>
      </c>
      <c r="F78" s="15">
        <f>INDEX(AVA_2!$A:$J,MATCH('2022'!$A78,AVA_2!$A:$A,0),MATCH('2022'!$A$1,AVA_2!$3:$3,0))</f>
        <v>8.9265582452144054E-3</v>
      </c>
      <c r="G78" s="15">
        <f>INDEX(AVA_3!$A:$J,MATCH('2022'!$A78,AVA_3!$A:$A,0),MATCH('2022'!$A$1,AVA_3!$3:$3,0))</f>
        <v>8.1933448190674579E-3</v>
      </c>
      <c r="H78" s="87">
        <f>INDEX(AVA_4!$A:$J,MATCH('2022'!$A78,AVA_4!$A:$A,0),MATCH('2022'!$A$1,AVA_4!$3:$3,0))/(B78/1000)</f>
        <v>0.56996563276531154</v>
      </c>
      <c r="I78" s="89">
        <f>INDEX(AVA_5!$A:$J,MATCH('2022'!$A78,AVA_5!$A:$A,0),MATCH('2022'!$A$1,AVA_5!$3:$3,0))/(B78/1000)</f>
        <v>5.6206511904381209</v>
      </c>
      <c r="J78" s="93">
        <f>INDEX(IRA_1!$A:$J,MATCH('2022'!$A78,IRA_1!$A:$A,0),MATCH('2022'!$A$1,IRA_1!$3:$3,0))/(B78/1000)</f>
        <v>6.3956539650232971E-2</v>
      </c>
      <c r="K78" s="88">
        <f>INDEX(IRA_2!$A:$J,MATCH('2022'!$A78,IRA_2!$A:$A,0),MATCH('2022'!$A$1,IRA_2!$3:$3,0))/(B78/1000)</f>
        <v>0.2520640092097417</v>
      </c>
      <c r="L78" s="15">
        <f>INDEX(IRA_3!$A:$J,MATCH('2022'!$A78,IRA_3!$A:$A,0),MATCH('2022'!$A$1,IRA_3!$3:$3,0))</f>
        <v>0.26735164604738937</v>
      </c>
      <c r="M78" s="96">
        <f>INDEX(IRA_4!$A:$J,MATCH('2022'!$A78,IRA_4!$A:$A,0),MATCH('2022'!$A$1,IRA_4!$3:$3,0))/(B78/1000)</f>
        <v>5.4193761980094468</v>
      </c>
      <c r="N78" s="61">
        <f>INDEX(INV_1!$A:$J,MATCH('2022'!$A78,INV_1!$A:$A,0),MATCH('2022'!$A$1,INV_1!$3:$3,0))</f>
        <v>8.6981016045606332E-2</v>
      </c>
      <c r="O78" s="80">
        <f>INDEX(INV_2!$A:$J,MATCH('2022'!$A78,INV_2!$A:$A,0),MATCH('2022'!$A$1,INV_2!$3:$3,0))/B78*10^6/C78</f>
        <v>0.34279485164504869</v>
      </c>
      <c r="P78" s="87">
        <f>INDEX(INV_3!$A:$J,MATCH('2022'!$A78,INV_3!$A:$A,0),MATCH('2022'!$A$1,INV_3!$3:$3,0))/B78*10^6/C78</f>
        <v>5.7691433785868798</v>
      </c>
      <c r="Q78" s="87">
        <f>INDEX(INV_4!$A:$J,MATCH('2022'!$A78,INV_4!$A:$A,0),MATCH('2022'!$A$1,INV_4!$3:$3,0))/B78*10^3/C78</f>
        <v>0.31557694813993153</v>
      </c>
      <c r="R78" s="34">
        <f>INDEX(INV_5!$A:$J,MATCH('2022'!$A78,INV_5!$A:$A,0),MATCH('2022'!$A$1,INV_5!$3:$3,0))</f>
        <v>8.2799999999999999E-2</v>
      </c>
      <c r="S78" s="77">
        <f>INDEX(LUJ_1!$A:$J,MATCH('2022'!$A78,LUJ_1!$A:$A,0),MATCH('2022'!$A$1,LUJ_1!$3:$3,0))</f>
        <v>0.70524835988753509</v>
      </c>
      <c r="T78" s="73">
        <f>INDEX(LUJ_2!$A:$J,MATCH('2022'!$A78,LUJ_2!$A:$A,0),MATCH('2022'!$A$1,LUJ_2!$3:$3,0))</f>
        <v>0.27600000000000002</v>
      </c>
      <c r="U78" s="73">
        <f>INDEX(LUJ_3!$A:$J,MATCH('2022'!$A78,LUJ_3!$A:$A,0),MATCH('2022'!$A$1,LUJ_3!$3:$3,0))</f>
        <v>0.40091798044302535</v>
      </c>
      <c r="V78" s="14">
        <f>INDEX(LUJ_4!$A:$J,MATCH('2022'!$A78,LUJ_4!$A:$A,0),MATCH('2022'!$A$1,LUJ_4!$3:$3,0))</f>
        <v>19</v>
      </c>
      <c r="W78" s="34">
        <f>INDEX(LUJ_5!$A:$J,MATCH('2022'!$A78,LUJ_5!$A:$A,0),MATCH('2022'!$A$1,LUJ_5!$3:$3,0))</f>
        <v>49.7</v>
      </c>
      <c r="X78" s="98">
        <f>1/INDEX(GUL_1!$A:$J,MATCH('2022'!$A78,GUL_1!$A:$A,0),MATCH('2022'!$A$1,GUL_1!$3:$3,0))</f>
        <v>1.4170327334561431E-2</v>
      </c>
      <c r="Y78" s="57" t="e">
        <f>INDEX(GUL_2!$A:$J,MATCH('2022'!$A78,GUL_2!$A:$A,0),MATCH('2022'!$A$1,GUL_2!$3:$3,0))</f>
        <v>#N/A</v>
      </c>
      <c r="Z78" s="57">
        <f>INDEX(GUL_3!$A:$J,MATCH('2022'!$A78,GUL_3!$A:$A,0),MATCH('2022'!$A$1,GUL_3!$3:$3,0))/(B78/1000)</f>
        <v>0.95182379597111422</v>
      </c>
      <c r="AA78" s="101">
        <f>INDEX(GUL_4!$A:$J,MATCH('2022'!$A78,GUL_4!$A:$A,0),MATCH('2022'!$A$1,GUL_4!$3:$3,0))/B78/C78*10^6</f>
        <v>0.43687914040136577</v>
      </c>
      <c r="AB78" s="73">
        <f>INDEX(GUL_5!$A:$J,MATCH('2022'!$A78,GUL_5!$A:$A,0),MATCH('2022'!$A$1,GUL_5!$3:$3,0))</f>
        <v>4.5947165645128615E-2</v>
      </c>
      <c r="AC78" s="49" t="e">
        <f>INDEX(GUL_6!$A:$J,MATCH('2022'!$A78,GUL_6!$A:$A,0),MATCH('2022'!$A$1,GUL_6!$3:$3,0))</f>
        <v>#N/A</v>
      </c>
      <c r="AD78" s="49" t="e">
        <f>INDEX(GUL_7!$A:$J,MATCH('2022'!$A78,GUL_7!$A:$A,0),MATCH('2022'!$A$1,GUL_7!$3:$3,0))</f>
        <v>#N/A</v>
      </c>
      <c r="AE78" s="103">
        <f>INDEX(GUL_8!$A:$J,MATCH('2022'!$A78,GUL_8!$A:$A,0),MATCH('2022'!$A$1,GUL_8!$3:$3,0))/(B78/1000)</f>
        <v>3.1602054885997468</v>
      </c>
      <c r="AF78" s="41">
        <f>INDEX(DES_1!$A:$J,MATCH('2022'!$A78,DES_1!$A:$A,0),MATCH('2022'!$A$1,DES_1!$3:$3,0))/(B78/1000)</f>
        <v>0.24453971042736136</v>
      </c>
      <c r="AG78" s="100">
        <f>INDEX(DES_2!$A:$J,MATCH('2022'!$A78,DES_2!$A:$A,0),MATCH('2022'!$A$1,DES_2!$3:$3,0))/(B78/1000)</f>
        <v>1.07597472588039</v>
      </c>
      <c r="AH78" s="57">
        <f>1/INDEX(DES_3!$A:$J,MATCH('2022'!$A78,DES_3!$A:$A,0),MATCH('2022'!$A$1,DES_3!$3:$3,0))</f>
        <v>7.5585789871504151E-3</v>
      </c>
      <c r="AI78" s="80" t="e">
        <f>INDEX(DES_4!$A:$J,MATCH('2022'!$A78,DES_4!$A:$A,0),MATCH('2022'!$A$1,DES_4!$3:$3,0))</f>
        <v>#N/A</v>
      </c>
      <c r="AJ78" s="110" t="e">
        <f>INDEX(DES_5!$A:$J,MATCH('2022'!$A78,DES_5!$A:$A,0),MATCH('2022'!$A$1,DES_5!$3:$3,0))</f>
        <v>#N/A</v>
      </c>
      <c r="AK78" s="57">
        <v>75</v>
      </c>
    </row>
    <row r="79" spans="1:37" x14ac:dyDescent="0.3">
      <c r="A79" s="29" t="s">
        <v>78</v>
      </c>
      <c r="B79" s="33">
        <f>INDEX(Population!$A:$J,MATCH('2022'!$A79,Population!$A:$A,0),MATCH('2022'!$A$1,Population!$3:$3,0))</f>
        <v>1200121</v>
      </c>
      <c r="C79" s="14">
        <f>INDEX(Income!$A:$J,MATCH('2022'!$A79,Income!$A:$A,0),MATCH('2022'!$A$1,Income!$3:$3,0))</f>
        <v>38032</v>
      </c>
      <c r="D79" s="34">
        <f>INDEX(Livable_wage!$A:$J,MATCH('2022'!$A79,Livable_wage!$A:$A,0),MATCH('2022'!$A$1,Livable_wage!$3:$3,0))</f>
        <v>13085</v>
      </c>
      <c r="E79" s="41">
        <f>INDEX(AVA_1!$A:$J,MATCH('2022'!$A79,AVA_1!$A:$A,0),MATCH('2022'!$A$1,AVA_1!$3:$3,0))</f>
        <v>0.35</v>
      </c>
      <c r="F79" s="15">
        <f>INDEX(AVA_2!$A:$J,MATCH('2022'!$A79,AVA_2!$A:$A,0),MATCH('2022'!$A$1,AVA_2!$3:$3,0))</f>
        <v>1.3448225019459123E-2</v>
      </c>
      <c r="G79" s="15">
        <f>INDEX(AVA_3!$A:$J,MATCH('2022'!$A79,AVA_3!$A:$A,0),MATCH('2022'!$A$1,AVA_3!$3:$3,0))</f>
        <v>6.5031820502842938E-2</v>
      </c>
      <c r="H79" s="87">
        <f>INDEX(AVA_4!$A:$J,MATCH('2022'!$A79,AVA_4!$A:$A,0),MATCH('2022'!$A$1,AVA_4!$3:$3,0))/(B79/1000)</f>
        <v>0.63660247591701169</v>
      </c>
      <c r="I79" s="89">
        <f>INDEX(AVA_5!$A:$J,MATCH('2022'!$A79,AVA_5!$A:$A,0),MATCH('2022'!$A$1,AVA_5!$3:$3,0))/(B79/1000)</f>
        <v>6.5885023260154592</v>
      </c>
      <c r="J79" s="93">
        <f>INDEX(IRA_1!$A:$J,MATCH('2022'!$A79,IRA_1!$A:$A,0),MATCH('2022'!$A$1,IRA_1!$3:$3,0))/(B79/1000)</f>
        <v>5.1661457469705137E-2</v>
      </c>
      <c r="K79" s="88">
        <f>INDEX(IRA_2!$A:$J,MATCH('2022'!$A79,IRA_2!$A:$A,0),MATCH('2022'!$A$1,IRA_2!$3:$3,0))/(B79/1000)</f>
        <v>0.12415414779009783</v>
      </c>
      <c r="L79" s="15">
        <f>INDEX(IRA_3!$A:$J,MATCH('2022'!$A79,IRA_3!$A:$A,0),MATCH('2022'!$A$1,IRA_3!$3:$3,0))</f>
        <v>0.36995180322419807</v>
      </c>
      <c r="M79" s="96">
        <f>INDEX(IRA_4!$A:$J,MATCH('2022'!$A79,IRA_4!$A:$A,0),MATCH('2022'!$A$1,IRA_4!$3:$3,0))/(B79/1000)</f>
        <v>4.3420621753973139</v>
      </c>
      <c r="N79" s="61">
        <f>INDEX(INV_1!$A:$J,MATCH('2022'!$A79,INV_1!$A:$A,0),MATCH('2022'!$A$1,INV_1!$3:$3,0))</f>
        <v>6.4951557061321469E-2</v>
      </c>
      <c r="O79" s="80">
        <f>INDEX(INV_2!$A:$J,MATCH('2022'!$A79,INV_2!$A:$A,0),MATCH('2022'!$A$1,INV_2!$3:$3,0))/B79*10^6/C79</f>
        <v>0.38842428500139664</v>
      </c>
      <c r="P79" s="87">
        <f>INDEX(INV_3!$A:$J,MATCH('2022'!$A79,INV_3!$A:$A,0),MATCH('2022'!$A$1,INV_3!$3:$3,0))/B79*10^6/C79</f>
        <v>3.7034812143610885</v>
      </c>
      <c r="Q79" s="87">
        <f>INDEX(INV_4!$A:$J,MATCH('2022'!$A79,INV_4!$A:$A,0),MATCH('2022'!$A$1,INV_4!$3:$3,0))/B79*10^3/C79</f>
        <v>0.19899657817142619</v>
      </c>
      <c r="R79" s="34">
        <f>INDEX(INV_5!$A:$J,MATCH('2022'!$A79,INV_5!$A:$A,0),MATCH('2022'!$A$1,INV_5!$3:$3,0))</f>
        <v>9.0700000000000003E-2</v>
      </c>
      <c r="S79" s="77">
        <f>INDEX(LUJ_1!$A:$J,MATCH('2022'!$A79,LUJ_1!$A:$A,0),MATCH('2022'!$A$1,LUJ_1!$3:$3,0))</f>
        <v>0.63262951424945191</v>
      </c>
      <c r="T79" s="73">
        <f>INDEX(LUJ_2!$A:$J,MATCH('2022'!$A79,LUJ_2!$A:$A,0),MATCH('2022'!$A$1,LUJ_2!$3:$3,0))</f>
        <v>0.221</v>
      </c>
      <c r="U79" s="73">
        <f>INDEX(LUJ_3!$A:$J,MATCH('2022'!$A79,LUJ_3!$A:$A,0),MATCH('2022'!$A$1,LUJ_3!$3:$3,0))</f>
        <v>0.39859989229940762</v>
      </c>
      <c r="V79" s="14">
        <f>INDEX(LUJ_4!$A:$J,MATCH('2022'!$A79,LUJ_4!$A:$A,0),MATCH('2022'!$A$1,LUJ_4!$3:$3,0))</f>
        <v>24</v>
      </c>
      <c r="W79" s="34">
        <f>INDEX(LUJ_5!$A:$J,MATCH('2022'!$A79,LUJ_5!$A:$A,0),MATCH('2022'!$A$1,LUJ_5!$3:$3,0))</f>
        <v>39.299999999999997</v>
      </c>
      <c r="X79" s="98">
        <f>1/INDEX(GUL_1!$A:$J,MATCH('2022'!$A79,GUL_1!$A:$A,0),MATCH('2022'!$A$1,GUL_1!$3:$3,0))</f>
        <v>1.3976240391334731E-2</v>
      </c>
      <c r="Y79" s="57" t="e">
        <f>INDEX(GUL_2!$A:$J,MATCH('2022'!$A79,GUL_2!$A:$A,0),MATCH('2022'!$A$1,GUL_2!$3:$3,0))</f>
        <v>#N/A</v>
      </c>
      <c r="Z79" s="57">
        <f>INDEX(GUL_3!$A:$J,MATCH('2022'!$A79,GUL_3!$A:$A,0),MATCH('2022'!$A$1,GUL_3!$3:$3,0))/(B79/1000)</f>
        <v>1.0782246123515877</v>
      </c>
      <c r="AA79" s="101">
        <f>INDEX(GUL_4!$A:$J,MATCH('2022'!$A79,GUL_4!$A:$A,0),MATCH('2022'!$A$1,GUL_4!$3:$3,0))/B79/C79*10^6</f>
        <v>0.37816728287077633</v>
      </c>
      <c r="AB79" s="73">
        <f>INDEX(GUL_5!$A:$J,MATCH('2022'!$A79,GUL_5!$A:$A,0),MATCH('2022'!$A$1,GUL_5!$3:$3,0))</f>
        <v>2.5059669436589369E-2</v>
      </c>
      <c r="AC79" s="49" t="e">
        <f>INDEX(GUL_6!$A:$J,MATCH('2022'!$A79,GUL_6!$A:$A,0),MATCH('2022'!$A$1,GUL_6!$3:$3,0))</f>
        <v>#N/A</v>
      </c>
      <c r="AD79" s="49" t="e">
        <f>INDEX(GUL_7!$A:$J,MATCH('2022'!$A79,GUL_7!$A:$A,0),MATCH('2022'!$A$1,GUL_7!$3:$3,0))</f>
        <v>#N/A</v>
      </c>
      <c r="AE79" s="103">
        <f>INDEX(GUL_8!$A:$J,MATCH('2022'!$A79,GUL_8!$A:$A,0),MATCH('2022'!$A$1,GUL_8!$3:$3,0))/(B79/1000)</f>
        <v>1.3898598557978736</v>
      </c>
      <c r="AF79" s="41">
        <f>INDEX(DES_1!$A:$J,MATCH('2022'!$A79,DES_1!$A:$A,0),MATCH('2022'!$A$1,DES_1!$3:$3,0))/(B79/1000)</f>
        <v>4.7495210899567625E-2</v>
      </c>
      <c r="AG79" s="100">
        <f>INDEX(DES_2!$A:$J,MATCH('2022'!$A79,DES_2!$A:$A,0),MATCH('2022'!$A$1,DES_2!$3:$3,0))/(B79/1000)</f>
        <v>0.34913146257752342</v>
      </c>
      <c r="AH79" s="57">
        <f>1/INDEX(DES_3!$A:$J,MATCH('2022'!$A79,DES_3!$A:$A,0),MATCH('2022'!$A$1,DES_3!$3:$3,0))</f>
        <v>7.8802206461780922E-3</v>
      </c>
      <c r="AI79" s="80" t="e">
        <f>INDEX(DES_4!$A:$J,MATCH('2022'!$A79,DES_4!$A:$A,0),MATCH('2022'!$A$1,DES_4!$3:$3,0))</f>
        <v>#N/A</v>
      </c>
      <c r="AJ79" s="110" t="e">
        <f>INDEX(DES_5!$A:$J,MATCH('2022'!$A79,DES_5!$A:$A,0),MATCH('2022'!$A$1,DES_5!$3:$3,0))</f>
        <v>#N/A</v>
      </c>
      <c r="AK79" s="57">
        <v>66</v>
      </c>
    </row>
    <row r="80" spans="1:37" x14ac:dyDescent="0.3">
      <c r="A80" s="29" t="s">
        <v>79</v>
      </c>
      <c r="B80" s="33">
        <f>INDEX(Population!$A:$J,MATCH('2022'!$A80,Population!$A:$A,0),MATCH('2022'!$A$1,Population!$3:$3,0))</f>
        <v>1445599</v>
      </c>
      <c r="C80" s="14">
        <f>INDEX(Income!$A:$J,MATCH('2022'!$A80,Income!$A:$A,0),MATCH('2022'!$A$1,Income!$3:$3,0))</f>
        <v>31935</v>
      </c>
      <c r="D80" s="34">
        <f>INDEX(Livable_wage!$A:$J,MATCH('2022'!$A80,Livable_wage!$A:$A,0),MATCH('2022'!$A$1,Livable_wage!$3:$3,0))</f>
        <v>12388</v>
      </c>
      <c r="E80" s="41">
        <f>INDEX(AVA_1!$A:$J,MATCH('2022'!$A80,AVA_1!$A:$A,0),MATCH('2022'!$A$1,AVA_1!$3:$3,0))</f>
        <v>0.32500000000000001</v>
      </c>
      <c r="F80" s="15">
        <f>INDEX(AVA_2!$A:$J,MATCH('2022'!$A80,AVA_2!$A:$A,0),MATCH('2022'!$A$1,AVA_2!$3:$3,0))</f>
        <v>9.4016200679383332E-3</v>
      </c>
      <c r="G80" s="15">
        <f>INDEX(AVA_3!$A:$J,MATCH('2022'!$A80,AVA_3!$A:$A,0),MATCH('2022'!$A$1,AVA_3!$3:$3,0))</f>
        <v>1.1056725000144116E-2</v>
      </c>
      <c r="H80" s="87">
        <f>INDEX(AVA_4!$A:$J,MATCH('2022'!$A80,AVA_4!$A:$A,0),MATCH('2022'!$A$1,AVA_4!$3:$3,0))/(B80/1000)</f>
        <v>0.9297184073868342</v>
      </c>
      <c r="I80" s="89">
        <f>INDEX(AVA_5!$A:$J,MATCH('2022'!$A80,AVA_5!$A:$A,0),MATCH('2022'!$A$1,AVA_5!$3:$3,0))/(B80/1000)</f>
        <v>6.1496998821941631</v>
      </c>
      <c r="J80" s="93">
        <f>INDEX(IRA_1!$A:$J,MATCH('2022'!$A80,IRA_1!$A:$A,0),MATCH('2022'!$A$1,IRA_1!$3:$3,0))/(B80/1000)</f>
        <v>3.597124790484775E-2</v>
      </c>
      <c r="K80" s="88">
        <f>INDEX(IRA_2!$A:$J,MATCH('2022'!$A80,IRA_2!$A:$A,0),MATCH('2022'!$A$1,IRA_2!$3:$3,0))/(B80/1000)</f>
        <v>0.15841184173481029</v>
      </c>
      <c r="L80" s="15">
        <f>INDEX(IRA_3!$A:$J,MATCH('2022'!$A80,IRA_3!$A:$A,0),MATCH('2022'!$A$1,IRA_3!$3:$3,0))</f>
        <v>0.3143461856998252</v>
      </c>
      <c r="M80" s="96">
        <f>INDEX(IRA_4!$A:$J,MATCH('2022'!$A80,IRA_4!$A:$A,0),MATCH('2022'!$A$1,IRA_4!$3:$3,0))/(B80/1000)</f>
        <v>3.5037378968856512</v>
      </c>
      <c r="N80" s="61">
        <f>INDEX(INV_1!$A:$J,MATCH('2022'!$A80,INV_1!$A:$A,0),MATCH('2022'!$A$1,INV_1!$3:$3,0))</f>
        <v>9.2780307763624142E-2</v>
      </c>
      <c r="O80" s="80">
        <f>INDEX(INV_2!$A:$J,MATCH('2022'!$A80,INV_2!$A:$A,0),MATCH('2022'!$A$1,INV_2!$3:$3,0))/B80*10^6/C80</f>
        <v>0.44720044005963111</v>
      </c>
      <c r="P80" s="87">
        <f>INDEX(INV_3!$A:$J,MATCH('2022'!$A80,INV_3!$A:$A,0),MATCH('2022'!$A$1,INV_3!$3:$3,0))/B80*10^6/C80</f>
        <v>6.064892502279033</v>
      </c>
      <c r="Q80" s="87">
        <f>INDEX(INV_4!$A:$J,MATCH('2022'!$A80,INV_4!$A:$A,0),MATCH('2022'!$A$1,INV_4!$3:$3,0))/B80*10^3/C80</f>
        <v>0.20602072042416739</v>
      </c>
      <c r="R80" s="34">
        <f>INDEX(INV_5!$A:$J,MATCH('2022'!$A80,INV_5!$A:$A,0),MATCH('2022'!$A$1,INV_5!$3:$3,0))</f>
        <v>6.1400000000000003E-2</v>
      </c>
      <c r="S80" s="77">
        <f>INDEX(LUJ_1!$A:$J,MATCH('2022'!$A80,LUJ_1!$A:$A,0),MATCH('2022'!$A$1,LUJ_1!$3:$3,0))</f>
        <v>0.71879553181155897</v>
      </c>
      <c r="T80" s="73">
        <f>INDEX(LUJ_2!$A:$J,MATCH('2022'!$A80,LUJ_2!$A:$A,0),MATCH('2022'!$A$1,LUJ_2!$3:$3,0))</f>
        <v>0.24100000000000002</v>
      </c>
      <c r="U80" s="73">
        <f>INDEX(LUJ_3!$A:$J,MATCH('2022'!$A80,LUJ_3!$A:$A,0),MATCH('2022'!$A$1,LUJ_3!$3:$3,0))</f>
        <v>0.44474034620505992</v>
      </c>
      <c r="V80" s="14">
        <f>INDEX(LUJ_4!$A:$J,MATCH('2022'!$A80,LUJ_4!$A:$A,0),MATCH('2022'!$A$1,LUJ_4!$3:$3,0))</f>
        <v>39</v>
      </c>
      <c r="W80" s="34">
        <f>INDEX(LUJ_5!$A:$J,MATCH('2022'!$A80,LUJ_5!$A:$A,0),MATCH('2022'!$A$1,LUJ_5!$3:$3,0))</f>
        <v>52.4</v>
      </c>
      <c r="X80" s="98">
        <f>1/INDEX(GUL_1!$A:$J,MATCH('2022'!$A80,GUL_1!$A:$A,0),MATCH('2022'!$A$1,GUL_1!$3:$3,0))</f>
        <v>1.3863856924996535E-2</v>
      </c>
      <c r="Y80" s="57" t="e">
        <f>INDEX(GUL_2!$A:$J,MATCH('2022'!$A80,GUL_2!$A:$A,0),MATCH('2022'!$A$1,GUL_2!$3:$3,0))</f>
        <v>#N/A</v>
      </c>
      <c r="Z80" s="57">
        <f>INDEX(GUL_3!$A:$J,MATCH('2022'!$A80,GUL_3!$A:$A,0),MATCH('2022'!$A$1,GUL_3!$3:$3,0))/(B80/1000)</f>
        <v>0.86123468541414328</v>
      </c>
      <c r="AA80" s="101">
        <f>INDEX(GUL_4!$A:$J,MATCH('2022'!$A80,GUL_4!$A:$A,0),MATCH('2022'!$A$1,GUL_4!$3:$3,0))/B80/C80*10^6</f>
        <v>0.36417882993278611</v>
      </c>
      <c r="AB80" s="73">
        <f>INDEX(GUL_5!$A:$J,MATCH('2022'!$A80,GUL_5!$A:$A,0),MATCH('2022'!$A$1,GUL_5!$3:$3,0))</f>
        <v>3.6644072026978843E-2</v>
      </c>
      <c r="AC80" s="49" t="e">
        <f>INDEX(GUL_6!$A:$J,MATCH('2022'!$A80,GUL_6!$A:$A,0),MATCH('2022'!$A$1,GUL_6!$3:$3,0))</f>
        <v>#N/A</v>
      </c>
      <c r="AD80" s="49" t="e">
        <f>INDEX(GUL_7!$A:$J,MATCH('2022'!$A80,GUL_7!$A:$A,0),MATCH('2022'!$A$1,GUL_7!$3:$3,0))</f>
        <v>#N/A</v>
      </c>
      <c r="AE80" s="103">
        <f>INDEX(GUL_8!$A:$J,MATCH('2022'!$A80,GUL_8!$A:$A,0),MATCH('2022'!$A$1,GUL_8!$3:$3,0))/(B80/1000)</f>
        <v>2.929581439942889</v>
      </c>
      <c r="AF80" s="41">
        <f>INDEX(DES_1!$A:$J,MATCH('2022'!$A80,DES_1!$A:$A,0),MATCH('2022'!$A$1,DES_1!$3:$3,0))/(B80/1000)</f>
        <v>0.24073065905551955</v>
      </c>
      <c r="AG80" s="100">
        <f>INDEX(DES_2!$A:$J,MATCH('2022'!$A80,DES_2!$A:$A,0),MATCH('2022'!$A$1,DES_2!$3:$3,0))/(B80/1000)</f>
        <v>0.5817657593841723</v>
      </c>
      <c r="AH80" s="57">
        <f>1/INDEX(DES_3!$A:$J,MATCH('2022'!$A80,DES_3!$A:$A,0),MATCH('2022'!$A$1,DES_3!$3:$3,0))</f>
        <v>8.8339222614840993E-3</v>
      </c>
      <c r="AI80" s="80" t="e">
        <f>INDEX(DES_4!$A:$J,MATCH('2022'!$A80,DES_4!$A:$A,0),MATCH('2022'!$A$1,DES_4!$3:$3,0))</f>
        <v>#N/A</v>
      </c>
      <c r="AJ80" s="110" t="e">
        <f>INDEX(DES_5!$A:$J,MATCH('2022'!$A80,DES_5!$A:$A,0),MATCH('2022'!$A$1,DES_5!$3:$3,0))</f>
        <v>#N/A</v>
      </c>
      <c r="AK80" s="57">
        <v>59</v>
      </c>
    </row>
    <row r="81" spans="1:37" x14ac:dyDescent="0.3">
      <c r="A81" s="29" t="s">
        <v>80</v>
      </c>
      <c r="B81" s="33">
        <f>INDEX(Population!$A:$J,MATCH('2022'!$A81,Population!$A:$A,0),MATCH('2022'!$A$1,Population!$3:$3,0))</f>
        <v>1133603</v>
      </c>
      <c r="C81" s="14">
        <f>INDEX(Income!$A:$J,MATCH('2022'!$A81,Income!$A:$A,0),MATCH('2022'!$A$1,Income!$3:$3,0))</f>
        <v>35415</v>
      </c>
      <c r="D81" s="34">
        <f>INDEX(Livable_wage!$A:$J,MATCH('2022'!$A81,Livable_wage!$A:$A,0),MATCH('2022'!$A$1,Livable_wage!$3:$3,0))</f>
        <v>14059</v>
      </c>
      <c r="E81" s="41">
        <f>INDEX(AVA_1!$A:$J,MATCH('2022'!$A81,AVA_1!$A:$A,0),MATCH('2022'!$A$1,AVA_1!$3:$3,0))</f>
        <v>0.33800000000000002</v>
      </c>
      <c r="F81" s="15">
        <f>INDEX(AVA_2!$A:$J,MATCH('2022'!$A81,AVA_2!$A:$A,0),MATCH('2022'!$A$1,AVA_2!$3:$3,0))</f>
        <v>9.8827125944034363E-3</v>
      </c>
      <c r="G81" s="15">
        <f>INDEX(AVA_3!$A:$J,MATCH('2022'!$A81,AVA_3!$A:$A,0),MATCH('2022'!$A$1,AVA_3!$3:$3,0))</f>
        <v>0.40361464626819349</v>
      </c>
      <c r="H81" s="87">
        <f>INDEX(AVA_4!$A:$J,MATCH('2022'!$A81,AVA_4!$A:$A,0),MATCH('2022'!$A$1,AVA_4!$3:$3,0))/(B81/1000)</f>
        <v>0.65366799488004179</v>
      </c>
      <c r="I81" s="89">
        <f>INDEX(AVA_5!$A:$J,MATCH('2022'!$A81,AVA_5!$A:$A,0),MATCH('2022'!$A$1,AVA_5!$3:$3,0))/(B81/1000)</f>
        <v>5.8847762400064214</v>
      </c>
      <c r="J81" s="93">
        <f>INDEX(IRA_1!$A:$J,MATCH('2022'!$A81,IRA_1!$A:$A,0),MATCH('2022'!$A$1,IRA_1!$3:$3,0))/(B81/1000)</f>
        <v>6.7042871269747867E-2</v>
      </c>
      <c r="K81" s="88">
        <f>INDEX(IRA_2!$A:$J,MATCH('2022'!$A81,IRA_2!$A:$A,0),MATCH('2022'!$A$1,IRA_2!$3:$3,0))/(B81/1000)</f>
        <v>0.18083932381971465</v>
      </c>
      <c r="L81" s="15">
        <f>INDEX(IRA_3!$A:$J,MATCH('2022'!$A81,IRA_3!$A:$A,0),MATCH('2022'!$A$1,IRA_3!$3:$3,0))</f>
        <v>0.34465879642959973</v>
      </c>
      <c r="M81" s="96">
        <f>INDEX(IRA_4!$A:$J,MATCH('2022'!$A81,IRA_4!$A:$A,0),MATCH('2022'!$A$1,IRA_4!$3:$3,0))/(B81/1000)</f>
        <v>3.117493514043276</v>
      </c>
      <c r="N81" s="61">
        <f>INDEX(INV_1!$A:$J,MATCH('2022'!$A81,INV_1!$A:$A,0),MATCH('2022'!$A$1,INV_1!$3:$3,0))</f>
        <v>7.0103506614080449E-2</v>
      </c>
      <c r="O81" s="80">
        <f>INDEX(INV_2!$A:$J,MATCH('2022'!$A81,INV_2!$A:$A,0),MATCH('2022'!$A$1,INV_2!$3:$3,0))/B81*10^6/C81</f>
        <v>0.24624832999196486</v>
      </c>
      <c r="P81" s="87">
        <f>INDEX(INV_3!$A:$J,MATCH('2022'!$A81,INV_3!$A:$A,0),MATCH('2022'!$A$1,INV_3!$3:$3,0))/B81*10^6/C81</f>
        <v>4.5972069548612335</v>
      </c>
      <c r="Q81" s="87">
        <f>INDEX(INV_4!$A:$J,MATCH('2022'!$A81,INV_4!$A:$A,0),MATCH('2022'!$A$1,INV_4!$3:$3,0))/B81*10^3/C81</f>
        <v>0.22640354512482722</v>
      </c>
      <c r="R81" s="34">
        <f>INDEX(INV_5!$A:$J,MATCH('2022'!$A81,INV_5!$A:$A,0),MATCH('2022'!$A$1,INV_5!$3:$3,0))</f>
        <v>4.7100000000000003E-2</v>
      </c>
      <c r="S81" s="77">
        <f>INDEX(LUJ_1!$A:$J,MATCH('2022'!$A81,LUJ_1!$A:$A,0),MATCH('2022'!$A$1,LUJ_1!$3:$3,0))</f>
        <v>0.70149663600164769</v>
      </c>
      <c r="T81" s="73">
        <f>INDEX(LUJ_2!$A:$J,MATCH('2022'!$A81,LUJ_2!$A:$A,0),MATCH('2022'!$A$1,LUJ_2!$3:$3,0))</f>
        <v>0.27600000000000002</v>
      </c>
      <c r="U81" s="73">
        <f>INDEX(LUJ_3!$A:$J,MATCH('2022'!$A81,LUJ_3!$A:$A,0),MATCH('2022'!$A$1,LUJ_3!$3:$3,0))</f>
        <v>0.52901905889953704</v>
      </c>
      <c r="V81" s="14">
        <f>INDEX(LUJ_4!$A:$J,MATCH('2022'!$A81,LUJ_4!$A:$A,0),MATCH('2022'!$A$1,LUJ_4!$3:$3,0))</f>
        <v>19</v>
      </c>
      <c r="W81" s="34">
        <f>INDEX(LUJ_5!$A:$J,MATCH('2022'!$A81,LUJ_5!$A:$A,0),MATCH('2022'!$A$1,LUJ_5!$3:$3,0))</f>
        <v>27.3</v>
      </c>
      <c r="X81" s="98">
        <f>1/INDEX(GUL_1!$A:$J,MATCH('2022'!$A81,GUL_1!$A:$A,0),MATCH('2022'!$A$1,GUL_1!$3:$3,0))</f>
        <v>1.397428731134712E-2</v>
      </c>
      <c r="Y81" s="57" t="e">
        <f>INDEX(GUL_2!$A:$J,MATCH('2022'!$A81,GUL_2!$A:$A,0),MATCH('2022'!$A$1,GUL_2!$3:$3,0))</f>
        <v>#N/A</v>
      </c>
      <c r="Z81" s="57">
        <f>INDEX(GUL_3!$A:$J,MATCH('2022'!$A81,GUL_3!$A:$A,0),MATCH('2022'!$A$1,GUL_3!$3:$3,0))/(B81/1000)</f>
        <v>0.84156446304394039</v>
      </c>
      <c r="AA81" s="101">
        <f>INDEX(GUL_4!$A:$J,MATCH('2022'!$A81,GUL_4!$A:$A,0),MATCH('2022'!$A$1,GUL_4!$3:$3,0))/B81/C81*10^6</f>
        <v>0.31750424188906551</v>
      </c>
      <c r="AB81" s="73">
        <f>INDEX(GUL_5!$A:$J,MATCH('2022'!$A81,GUL_5!$A:$A,0),MATCH('2022'!$A$1,GUL_5!$3:$3,0))</f>
        <v>2.7402983222923113E-2</v>
      </c>
      <c r="AC81" s="49" t="e">
        <f>INDEX(GUL_6!$A:$J,MATCH('2022'!$A81,GUL_6!$A:$A,0),MATCH('2022'!$A$1,GUL_6!$3:$3,0))</f>
        <v>#N/A</v>
      </c>
      <c r="AD81" s="49" t="e">
        <f>INDEX(GUL_7!$A:$J,MATCH('2022'!$A81,GUL_7!$A:$A,0),MATCH('2022'!$A$1,GUL_7!$3:$3,0))</f>
        <v>#N/A</v>
      </c>
      <c r="AE81" s="103">
        <f>INDEX(GUL_8!$A:$J,MATCH('2022'!$A81,GUL_8!$A:$A,0),MATCH('2022'!$A$1,GUL_8!$3:$3,0))/(B81/1000)</f>
        <v>2.2397611862353926</v>
      </c>
      <c r="AF81" s="41">
        <f>INDEX(DES_1!$A:$J,MATCH('2022'!$A81,DES_1!$A:$A,0),MATCH('2022'!$A$1,DES_1!$3:$3,0))/(B81/1000)</f>
        <v>6.351429909765588E-2</v>
      </c>
      <c r="AG81" s="100">
        <f>INDEX(DES_2!$A:$J,MATCH('2022'!$A81,DES_2!$A:$A,0),MATCH('2022'!$A$1,DES_2!$3:$3,0))/(B81/1000)</f>
        <v>0.29287149028363546</v>
      </c>
      <c r="AH81" s="57">
        <f>1/INDEX(DES_3!$A:$J,MATCH('2022'!$A81,DES_3!$A:$A,0),MATCH('2022'!$A$1,DES_3!$3:$3,0))</f>
        <v>8.8028169014084511E-3</v>
      </c>
      <c r="AI81" s="80" t="e">
        <f>INDEX(DES_4!$A:$J,MATCH('2022'!$A81,DES_4!$A:$A,0),MATCH('2022'!$A$1,DES_4!$3:$3,0))</f>
        <v>#N/A</v>
      </c>
      <c r="AJ81" s="110" t="e">
        <f>INDEX(DES_5!$A:$J,MATCH('2022'!$A81,DES_5!$A:$A,0),MATCH('2022'!$A$1,DES_5!$3:$3,0))</f>
        <v>#N/A</v>
      </c>
      <c r="AK81" s="57">
        <v>55</v>
      </c>
    </row>
    <row r="82" spans="1:37" x14ac:dyDescent="0.3">
      <c r="A82" s="29" t="s">
        <v>81</v>
      </c>
      <c r="B82" s="33">
        <f>INDEX(Population!$A:$J,MATCH('2022'!$A82,Population!$A:$A,0),MATCH('2022'!$A$1,Population!$3:$3,0))</f>
        <v>515197</v>
      </c>
      <c r="C82" s="14">
        <f>INDEX(Income!$A:$J,MATCH('2022'!$A82,Income!$A:$A,0),MATCH('2022'!$A$1,Income!$3:$3,0))</f>
        <v>20766</v>
      </c>
      <c r="D82" s="34">
        <f>INDEX(Livable_wage!$A:$J,MATCH('2022'!$A82,Livable_wage!$A:$A,0),MATCH('2022'!$A$1,Livable_wage!$3:$3,0))</f>
        <v>13085</v>
      </c>
      <c r="E82" s="41">
        <f>INDEX(AVA_1!$A:$J,MATCH('2022'!$A82,AVA_1!$A:$A,0),MATCH('2022'!$A$1,AVA_1!$3:$3,0))</f>
        <v>0.311</v>
      </c>
      <c r="F82" s="15">
        <f>INDEX(AVA_2!$A:$J,MATCH('2022'!$A82,AVA_2!$A:$A,0),MATCH('2022'!$A$1,AVA_2!$3:$3,0))</f>
        <v>5.5039735437693625E-3</v>
      </c>
      <c r="G82" s="15">
        <f>INDEX(AVA_3!$A:$J,MATCH('2022'!$A82,AVA_3!$A:$A,0),MATCH('2022'!$A$1,AVA_3!$3:$3,0))</f>
        <v>1.3378030017482494E-2</v>
      </c>
      <c r="H82" s="87">
        <f>INDEX(AVA_4!$A:$J,MATCH('2022'!$A82,AVA_4!$A:$A,0),MATCH('2022'!$A$1,AVA_4!$3:$3,0))/(B82/1000)</f>
        <v>0.42508011498514159</v>
      </c>
      <c r="I82" s="89">
        <f>INDEX(AVA_5!$A:$J,MATCH('2022'!$A82,AVA_5!$A:$A,0),MATCH('2022'!$A$1,AVA_5!$3:$3,0))/(B82/1000)</f>
        <v>0.46584122190152505</v>
      </c>
      <c r="J82" s="93">
        <f>INDEX(IRA_1!$A:$J,MATCH('2022'!$A82,IRA_1!$A:$A,0),MATCH('2022'!$A$1,IRA_1!$3:$3,0))/(B82/1000)</f>
        <v>2.9115076368845316E-2</v>
      </c>
      <c r="K82" s="88">
        <f>INDEX(IRA_2!$A:$J,MATCH('2022'!$A82,IRA_2!$A:$A,0),MATCH('2022'!$A$1,IRA_2!$3:$3,0))/(B82/1000)</f>
        <v>3.1056081460101671E-2</v>
      </c>
      <c r="L82" s="15">
        <f>INDEX(IRA_3!$A:$J,MATCH('2022'!$A82,IRA_3!$A:$A,0),MATCH('2022'!$A$1,IRA_3!$3:$3,0))</f>
        <v>0.64939550949913638</v>
      </c>
      <c r="M82" s="96">
        <f>INDEX(IRA_4!$A:$J,MATCH('2022'!$A82,IRA_4!$A:$A,0),MATCH('2022'!$A$1,IRA_4!$3:$3,0))/(B82/1000)</f>
        <v>1.0694938052822514</v>
      </c>
      <c r="N82" s="61">
        <f>INDEX(INV_1!$A:$J,MATCH('2022'!$A82,INV_1!$A:$A,0),MATCH('2022'!$A$1,INV_1!$3:$3,0))</f>
        <v>7.1704724475866857E-2</v>
      </c>
      <c r="O82" s="80">
        <f>INDEX(INV_2!$A:$J,MATCH('2022'!$A82,INV_2!$A:$A,0),MATCH('2022'!$A$1,INV_2!$3:$3,0))/B82*10^6/C82</f>
        <v>8.5746403543410982E-2</v>
      </c>
      <c r="P82" s="87">
        <f>INDEX(INV_3!$A:$J,MATCH('2022'!$A82,INV_3!$A:$A,0),MATCH('2022'!$A$1,INV_3!$3:$3,0))/B82*10^6/C82</f>
        <v>1.0624773607007116</v>
      </c>
      <c r="Q82" s="87">
        <f>INDEX(INV_4!$A:$J,MATCH('2022'!$A82,INV_4!$A:$A,0),MATCH('2022'!$A$1,INV_4!$3:$3,0))/B82*10^3/C82</f>
        <v>0.15696047124213258</v>
      </c>
      <c r="R82" s="34">
        <f>INDEX(INV_5!$A:$J,MATCH('2022'!$A82,INV_5!$A:$A,0),MATCH('2022'!$A$1,INV_5!$3:$3,0))</f>
        <v>8.9399999999999993E-2</v>
      </c>
      <c r="S82" s="77">
        <f>INDEX(LUJ_1!$A:$J,MATCH('2022'!$A82,LUJ_1!$A:$A,0),MATCH('2022'!$A$1,LUJ_1!$3:$3,0))</f>
        <v>2.5701394585726005</v>
      </c>
      <c r="T82" s="73">
        <f>INDEX(LUJ_2!$A:$J,MATCH('2022'!$A82,LUJ_2!$A:$A,0),MATCH('2022'!$A$1,LUJ_2!$3:$3,0))</f>
        <v>0.27399999999999997</v>
      </c>
      <c r="U82" s="73">
        <f>INDEX(LUJ_3!$A:$J,MATCH('2022'!$A82,LUJ_3!$A:$A,0),MATCH('2022'!$A$1,LUJ_3!$3:$3,0))</f>
        <v>0.10566945077195647</v>
      </c>
      <c r="V82" s="14">
        <f>INDEX(LUJ_4!$A:$J,MATCH('2022'!$A82,LUJ_4!$A:$A,0),MATCH('2022'!$A$1,LUJ_4!$3:$3,0))</f>
        <v>1</v>
      </c>
      <c r="W82" s="34">
        <f>INDEX(LUJ_5!$A:$J,MATCH('2022'!$A82,LUJ_5!$A:$A,0),MATCH('2022'!$A$1,LUJ_5!$3:$3,0))</f>
        <v>6.8</v>
      </c>
      <c r="X82" s="98">
        <f>1/INDEX(GUL_1!$A:$J,MATCH('2022'!$A82,GUL_1!$A:$A,0),MATCH('2022'!$A$1,GUL_1!$3:$3,0))</f>
        <v>1.2764871074802144E-2</v>
      </c>
      <c r="Y82" s="57" t="e">
        <f>INDEX(GUL_2!$A:$J,MATCH('2022'!$A82,GUL_2!$A:$A,0),MATCH('2022'!$A$1,GUL_2!$3:$3,0))</f>
        <v>#N/A</v>
      </c>
      <c r="Z82" s="57">
        <f>INDEX(GUL_3!$A:$J,MATCH('2022'!$A82,GUL_3!$A:$A,0),MATCH('2022'!$A$1,GUL_3!$3:$3,0))/(B82/1000)</f>
        <v>5.0466132372665215E-2</v>
      </c>
      <c r="AA82" s="101">
        <f>INDEX(GUL_4!$A:$J,MATCH('2022'!$A82,GUL_4!$A:$A,0),MATCH('2022'!$A$1,GUL_4!$3:$3,0))/B82/C82*10^6</f>
        <v>8.0057346656123823E-2</v>
      </c>
      <c r="AB82" s="73">
        <f>INDEX(GUL_5!$A:$J,MATCH('2022'!$A82,GUL_5!$A:$A,0),MATCH('2022'!$A$1,GUL_5!$3:$3,0))</f>
        <v>4.1053761673177239E-3</v>
      </c>
      <c r="AC82" s="49" t="e">
        <f>INDEX(GUL_6!$A:$J,MATCH('2022'!$A82,GUL_6!$A:$A,0),MATCH('2022'!$A$1,GUL_6!$3:$3,0))</f>
        <v>#N/A</v>
      </c>
      <c r="AD82" s="49" t="e">
        <f>INDEX(GUL_7!$A:$J,MATCH('2022'!$A82,GUL_7!$A:$A,0),MATCH('2022'!$A$1,GUL_7!$3:$3,0))</f>
        <v>#N/A</v>
      </c>
      <c r="AE82" s="103">
        <f>INDEX(GUL_8!$A:$J,MATCH('2022'!$A82,GUL_8!$A:$A,0),MATCH('2022'!$A$1,GUL_8!$3:$3,0))/(B82/1000)</f>
        <v>0.26397669241086419</v>
      </c>
      <c r="AF82" s="41">
        <f>INDEX(DES_1!$A:$J,MATCH('2022'!$A82,DES_1!$A:$A,0),MATCH('2022'!$A$1,DES_1!$3:$3,0))/(B82/1000)</f>
        <v>0</v>
      </c>
      <c r="AG82" s="100">
        <f>INDEX(DES_2!$A:$J,MATCH('2022'!$A82,DES_2!$A:$A,0),MATCH('2022'!$A$1,DES_2!$3:$3,0))/(B82/1000)</f>
        <v>0.45807720153649961</v>
      </c>
      <c r="AH82" s="57">
        <f>1/INDEX(DES_3!$A:$J,MATCH('2022'!$A82,DES_3!$A:$A,0),MATCH('2022'!$A$1,DES_3!$3:$3,0))</f>
        <v>1.0351966873706004E-2</v>
      </c>
      <c r="AI82" s="80" t="e">
        <f>INDEX(DES_4!$A:$J,MATCH('2022'!$A82,DES_4!$A:$A,0),MATCH('2022'!$A$1,DES_4!$3:$3,0))</f>
        <v>#N/A</v>
      </c>
      <c r="AJ82" s="110" t="e">
        <f>INDEX(DES_5!$A:$J,MATCH('2022'!$A82,DES_5!$A:$A,0),MATCH('2022'!$A$1,DES_5!$3:$3,0))</f>
        <v>#N/A</v>
      </c>
      <c r="AK82" s="57">
        <v>34</v>
      </c>
    </row>
    <row r="83" spans="1:37" x14ac:dyDescent="0.3">
      <c r="A83" s="29" t="s">
        <v>82</v>
      </c>
      <c r="B83" s="33">
        <f>INDEX(Population!$A:$J,MATCH('2022'!$A83,Population!$A:$A,0),MATCH('2022'!$A$1,Population!$3:$3,0))</f>
        <v>3414351</v>
      </c>
      <c r="C83" s="14">
        <f>INDEX(Income!$A:$J,MATCH('2022'!$A83,Income!$A:$A,0),MATCH('2022'!$A$1,Income!$3:$3,0))</f>
        <v>33068</v>
      </c>
      <c r="D83" s="34">
        <f>INDEX(Livable_wage!$A:$J,MATCH('2022'!$A83,Livable_wage!$A:$A,0),MATCH('2022'!$A$1,Livable_wage!$3:$3,0))</f>
        <v>13076</v>
      </c>
      <c r="E83" s="41">
        <f>INDEX(AVA_1!$A:$J,MATCH('2022'!$A83,AVA_1!$A:$A,0),MATCH('2022'!$A$1,AVA_1!$3:$3,0))</f>
        <v>0.33800000000000002</v>
      </c>
      <c r="F83" s="15">
        <f>INDEX(AVA_2!$A:$J,MATCH('2022'!$A83,AVA_2!$A:$A,0),MATCH('2022'!$A$1,AVA_2!$3:$3,0))</f>
        <v>1.1551164880536237E-2</v>
      </c>
      <c r="G83" s="15">
        <f>INDEX(AVA_3!$A:$J,MATCH('2022'!$A83,AVA_3!$A:$A,0),MATCH('2022'!$A$1,AVA_3!$3:$3,0))</f>
        <v>3.6478663393448921E-2</v>
      </c>
      <c r="H83" s="87">
        <f>INDEX(AVA_4!$A:$J,MATCH('2022'!$A83,AVA_4!$A:$A,0),MATCH('2022'!$A$1,AVA_4!$3:$3,0))/(B83/1000)</f>
        <v>0.83617647980538612</v>
      </c>
      <c r="I83" s="89">
        <f>INDEX(AVA_5!$A:$J,MATCH('2022'!$A83,AVA_5!$A:$A,0),MATCH('2022'!$A$1,AVA_5!$3:$3,0))/(B83/1000)</f>
        <v>6.8226728886397439</v>
      </c>
      <c r="J83" s="93">
        <f>INDEX(IRA_1!$A:$J,MATCH('2022'!$A83,IRA_1!$A:$A,0),MATCH('2022'!$A$1,IRA_1!$3:$3,0))/(B83/1000)</f>
        <v>4.9204080072611164E-2</v>
      </c>
      <c r="K83" s="88">
        <f>INDEX(IRA_2!$A:$J,MATCH('2022'!$A83,IRA_2!$A:$A,0),MATCH('2022'!$A$1,IRA_2!$3:$3,0))/(B83/1000)</f>
        <v>0.15464139451392078</v>
      </c>
      <c r="L83" s="15">
        <f>INDEX(IRA_3!$A:$J,MATCH('2022'!$A83,IRA_3!$A:$A,0),MATCH('2022'!$A$1,IRA_3!$3:$3,0))</f>
        <v>0.33140740740740737</v>
      </c>
      <c r="M83" s="96">
        <f>INDEX(IRA_4!$A:$J,MATCH('2022'!$A83,IRA_4!$A:$A,0),MATCH('2022'!$A$1,IRA_4!$3:$3,0))/(B83/1000)</f>
        <v>5.4200637251413228</v>
      </c>
      <c r="N83" s="61">
        <f>INDEX(INV_1!$A:$J,MATCH('2022'!$A83,INV_1!$A:$A,0),MATCH('2022'!$A$1,INV_1!$3:$3,0))</f>
        <v>7.5999885078964963E-2</v>
      </c>
      <c r="O83" s="80">
        <f>INDEX(INV_2!$A:$J,MATCH('2022'!$A83,INV_2!$A:$A,0),MATCH('2022'!$A$1,INV_2!$3:$3,0))/B83*10^6/C83</f>
        <v>0.62209697615324</v>
      </c>
      <c r="P83" s="87">
        <f>INDEX(INV_3!$A:$J,MATCH('2022'!$A83,INV_3!$A:$A,0),MATCH('2022'!$A$1,INV_3!$3:$3,0))/B83*10^6/C83</f>
        <v>4.8300193494785555</v>
      </c>
      <c r="Q83" s="87">
        <f>INDEX(INV_4!$A:$J,MATCH('2022'!$A83,INV_4!$A:$A,0),MATCH('2022'!$A$1,INV_4!$3:$3,0))/B83*10^3/C83</f>
        <v>0.24473251831471848</v>
      </c>
      <c r="R83" s="34">
        <f>INDEX(INV_5!$A:$J,MATCH('2022'!$A83,INV_5!$A:$A,0),MATCH('2022'!$A$1,INV_5!$3:$3,0))</f>
        <v>8.8300000000000003E-2</v>
      </c>
      <c r="S83" s="77">
        <f>INDEX(LUJ_1!$A:$J,MATCH('2022'!$A83,LUJ_1!$A:$A,0),MATCH('2022'!$A$1,LUJ_1!$3:$3,0))</f>
        <v>0.69565045002180725</v>
      </c>
      <c r="T83" s="73">
        <f>INDEX(LUJ_2!$A:$J,MATCH('2022'!$A83,LUJ_2!$A:$A,0),MATCH('2022'!$A$1,LUJ_2!$3:$3,0))</f>
        <v>0.23899999999999999</v>
      </c>
      <c r="U83" s="73">
        <f>INDEX(LUJ_3!$A:$J,MATCH('2022'!$A83,LUJ_3!$A:$A,0),MATCH('2022'!$A$1,LUJ_3!$3:$3,0))</f>
        <v>0.45240233214846148</v>
      </c>
      <c r="V83" s="14">
        <f>INDEX(LUJ_4!$A:$J,MATCH('2022'!$A83,LUJ_4!$A:$A,0),MATCH('2022'!$A$1,LUJ_4!$3:$3,0))</f>
        <v>78</v>
      </c>
      <c r="W83" s="34">
        <f>INDEX(LUJ_5!$A:$J,MATCH('2022'!$A83,LUJ_5!$A:$A,0),MATCH('2022'!$A$1,LUJ_5!$3:$3,0))</f>
        <v>71.599999999999994</v>
      </c>
      <c r="X83" s="98">
        <f>1/INDEX(GUL_1!$A:$J,MATCH('2022'!$A83,GUL_1!$A:$A,0),MATCH('2022'!$A$1,GUL_1!$3:$3,0))</f>
        <v>1.385809312638581E-2</v>
      </c>
      <c r="Y83" s="57" t="e">
        <f>INDEX(GUL_2!$A:$J,MATCH('2022'!$A83,GUL_2!$A:$A,0),MATCH('2022'!$A$1,GUL_2!$3:$3,0))</f>
        <v>#N/A</v>
      </c>
      <c r="Z83" s="57">
        <f>INDEX(GUL_3!$A:$J,MATCH('2022'!$A83,GUL_3!$A:$A,0),MATCH('2022'!$A$1,GUL_3!$3:$3,0))/(B83/1000)</f>
        <v>0.83998393838243346</v>
      </c>
      <c r="AA83" s="101">
        <f>INDEX(GUL_4!$A:$J,MATCH('2022'!$A83,GUL_4!$A:$A,0),MATCH('2022'!$A$1,GUL_4!$3:$3,0))/B83/C83*10^6</f>
        <v>0.43101866979960218</v>
      </c>
      <c r="AB83" s="73">
        <f>INDEX(GUL_5!$A:$J,MATCH('2022'!$A83,GUL_5!$A:$A,0),MATCH('2022'!$A$1,GUL_5!$3:$3,0))</f>
        <v>4.2672685506757527E-2</v>
      </c>
      <c r="AC83" s="49" t="e">
        <f>INDEX(GUL_6!$A:$J,MATCH('2022'!$A83,GUL_6!$A:$A,0),MATCH('2022'!$A$1,GUL_6!$3:$3,0))</f>
        <v>#N/A</v>
      </c>
      <c r="AD83" s="49" t="e">
        <f>INDEX(GUL_7!$A:$J,MATCH('2022'!$A83,GUL_7!$A:$A,0),MATCH('2022'!$A$1,GUL_7!$3:$3,0))</f>
        <v>#N/A</v>
      </c>
      <c r="AE83" s="103">
        <f>INDEX(GUL_8!$A:$J,MATCH('2022'!$A83,GUL_8!$A:$A,0),MATCH('2022'!$A$1,GUL_8!$3:$3,0))/(B83/1000)</f>
        <v>2.5389891080325366</v>
      </c>
      <c r="AF83" s="41">
        <f>INDEX(DES_1!$A:$J,MATCH('2022'!$A83,DES_1!$A:$A,0),MATCH('2022'!$A$1,DES_1!$3:$3,0))/(B83/1000)</f>
        <v>0.13326105019665524</v>
      </c>
      <c r="AG83" s="100">
        <f>INDEX(DES_2!$A:$J,MATCH('2022'!$A83,DES_2!$A:$A,0),MATCH('2022'!$A$1,DES_2!$3:$3,0))/(B83/1000)</f>
        <v>0.74304018538222927</v>
      </c>
      <c r="AH83" s="57">
        <f>1/INDEX(DES_3!$A:$J,MATCH('2022'!$A83,DES_3!$A:$A,0),MATCH('2022'!$A$1,DES_3!$3:$3,0))</f>
        <v>8.3612040133779261E-3</v>
      </c>
      <c r="AI83" s="80" t="e">
        <f>INDEX(DES_4!$A:$J,MATCH('2022'!$A83,DES_4!$A:$A,0),MATCH('2022'!$A$1,DES_4!$3:$3,0))</f>
        <v>#N/A</v>
      </c>
      <c r="AJ83" s="110" t="e">
        <f>INDEX(DES_5!$A:$J,MATCH('2022'!$A83,DES_5!$A:$A,0),MATCH('2022'!$A$1,DES_5!$3:$3,0))</f>
        <v>#N/A</v>
      </c>
      <c r="AK83" s="57">
        <v>24</v>
      </c>
    </row>
    <row r="84" spans="1:37" ht="17.25" thickBot="1" x14ac:dyDescent="0.35">
      <c r="A84" s="29" t="s">
        <v>83</v>
      </c>
      <c r="B84" s="35">
        <f>INDEX(Population!$A:$J,MATCH('2022'!$A84,Population!$A:$A,0),MATCH('2022'!$A$1,Population!$3:$3,0))</f>
        <v>4084610</v>
      </c>
      <c r="C84" s="36">
        <f>INDEX(Income!$A:$J,MATCH('2022'!$A84,Income!$A:$A,0),MATCH('2022'!$A$1,Income!$3:$3,0))</f>
        <v>35251</v>
      </c>
      <c r="D84" s="37">
        <f>INDEX(Livable_wage!$A:$J,MATCH('2022'!$A84,Livable_wage!$A:$A,0),MATCH('2022'!$A$1,Livable_wage!$3:$3,0))</f>
        <v>12110</v>
      </c>
      <c r="E84" s="42">
        <f>INDEX(AVA_1!$A:$J,MATCH('2022'!$A84,AVA_1!$A:$A,0),MATCH('2022'!$A$1,AVA_1!$3:$3,0))</f>
        <v>0.375</v>
      </c>
      <c r="F84" s="43">
        <f>INDEX(AVA_2!$A:$J,MATCH('2022'!$A84,AVA_2!$A:$A,0),MATCH('2022'!$A$1,AVA_2!$3:$3,0))</f>
        <v>1.0188903763200951E-2</v>
      </c>
      <c r="G84" s="43">
        <f>INDEX(AVA_3!$A:$J,MATCH('2022'!$A84,AVA_3!$A:$A,0),MATCH('2022'!$A$1,AVA_3!$3:$3,0))</f>
        <v>1.884187724340251E-2</v>
      </c>
      <c r="H84" s="87">
        <f>INDEX(AVA_4!$A:$J,MATCH('2022'!$A84,AVA_4!$A:$A,0),MATCH('2022'!$A$1,AVA_4!$3:$3,0))/(B84/1000)</f>
        <v>0.69211014025818862</v>
      </c>
      <c r="I84" s="90">
        <f>INDEX(AVA_5!$A:$J,MATCH('2022'!$A84,AVA_5!$A:$A,0),MATCH('2022'!$A$1,AVA_5!$3:$3,0))/(B84/1000)</f>
        <v>4.5296858206781065</v>
      </c>
      <c r="J84" s="94">
        <f>INDEX(IRA_1!$A:$J,MATCH('2022'!$A84,IRA_1!$A:$A,0),MATCH('2022'!$A$1,IRA_1!$3:$3,0))/(B84/1000)</f>
        <v>4.9453925833800531E-2</v>
      </c>
      <c r="K84" s="95">
        <f>INDEX(IRA_2!$A:$J,MATCH('2022'!$A84,IRA_2!$A:$A,0),MATCH('2022'!$A$1,IRA_2!$3:$3,0))/(B84/1000)</f>
        <v>0.10723177977824076</v>
      </c>
      <c r="L84" s="43">
        <f>INDEX(IRA_3!$A:$J,MATCH('2022'!$A84,IRA_3!$A:$A,0),MATCH('2022'!$A$1,IRA_3!$3:$3,0))</f>
        <v>0.37068924511249579</v>
      </c>
      <c r="M84" s="97">
        <f>INDEX(IRA_4!$A:$J,MATCH('2022'!$A84,IRA_4!$A:$A,0),MATCH('2022'!$A$1,IRA_4!$3:$3,0))/(B84/1000)</f>
        <v>3.4590817728008303</v>
      </c>
      <c r="N84" s="62">
        <f>INDEX(INV_1!$A:$J,MATCH('2022'!$A84,INV_1!$A:$A,0),MATCH('2022'!$A$1,INV_1!$3:$3,0))</f>
        <v>6.3054040808692605E-2</v>
      </c>
      <c r="O84" s="91">
        <f>INDEX(INV_2!$A:$J,MATCH('2022'!$A84,INV_2!$A:$A,0),MATCH('2022'!$A$1,INV_2!$3:$3,0))/B84*10^6/C84</f>
        <v>0.35792609895563743</v>
      </c>
      <c r="P84" s="92">
        <f>INDEX(INV_3!$A:$J,MATCH('2022'!$A84,INV_3!$A:$A,0),MATCH('2022'!$A$1,INV_3!$3:$3,0))/B84*10^6/C84</f>
        <v>5.1789476712182632</v>
      </c>
      <c r="Q84" s="92">
        <f>INDEX(INV_4!$A:$J,MATCH('2022'!$A84,INV_4!$A:$A,0),MATCH('2022'!$A$1,INV_4!$3:$3,0))/B84*10^3/C84</f>
        <v>0.25867137312968019</v>
      </c>
      <c r="R84" s="37">
        <f>INDEX(INV_5!$A:$J,MATCH('2022'!$A84,INV_5!$A:$A,0),MATCH('2022'!$A$1,INV_5!$3:$3,0))</f>
        <v>9.2999999999999999E-2</v>
      </c>
      <c r="S84" s="78">
        <f>INDEX(LUJ_1!$A:$J,MATCH('2022'!$A84,LUJ_1!$A:$A,0),MATCH('2022'!$A$1,LUJ_1!$3:$3,0))</f>
        <v>0.68790920995198601</v>
      </c>
      <c r="T84" s="79">
        <f>INDEX(LUJ_2!$A:$J,MATCH('2022'!$A84,LUJ_2!$A:$A,0),MATCH('2022'!$A$1,LUJ_2!$3:$3,0))</f>
        <v>0.183</v>
      </c>
      <c r="U84" s="79">
        <f>INDEX(LUJ_3!$A:$J,MATCH('2022'!$A84,LUJ_3!$A:$A,0),MATCH('2022'!$A$1,LUJ_3!$3:$3,0))</f>
        <v>0.29586077140169331</v>
      </c>
      <c r="V84" s="36">
        <f>INDEX(LUJ_4!$A:$J,MATCH('2022'!$A84,LUJ_4!$A:$A,0),MATCH('2022'!$A$1,LUJ_4!$3:$3,0))</f>
        <v>75</v>
      </c>
      <c r="W84" s="37">
        <f>INDEX(LUJ_5!$A:$J,MATCH('2022'!$A84,LUJ_5!$A:$A,0),MATCH('2022'!$A$1,LUJ_5!$3:$3,0))</f>
        <v>36.700000000000003</v>
      </c>
      <c r="X84" s="99">
        <f>1/INDEX(GUL_1!$A:$J,MATCH('2022'!$A84,GUL_1!$A:$A,0),MATCH('2022'!$A$1,GUL_1!$3:$3,0))</f>
        <v>1.3702384214853383E-2</v>
      </c>
      <c r="Y84" s="85" t="e">
        <f>INDEX(GUL_2!$A:$J,MATCH('2022'!$A84,GUL_2!$A:$A,0),MATCH('2022'!$A$1,GUL_2!$3:$3,0))</f>
        <v>#N/A</v>
      </c>
      <c r="Z84" s="85">
        <f>INDEX(GUL_3!$A:$J,MATCH('2022'!$A84,GUL_3!$A:$A,0),MATCH('2022'!$A$1,GUL_3!$3:$3,0))/(B84/1000)</f>
        <v>0.74523638731727138</v>
      </c>
      <c r="AA84" s="102">
        <f>INDEX(GUL_4!$A:$J,MATCH('2022'!$A84,GUL_4!$A:$A,0),MATCH('2022'!$A$1,GUL_4!$3:$3,0))/B84/C84*10^6</f>
        <v>0.22539939762032185</v>
      </c>
      <c r="AB84" s="79">
        <f>INDEX(GUL_5!$A:$J,MATCH('2022'!$A84,GUL_5!$A:$A,0),MATCH('2022'!$A$1,GUL_5!$3:$3,0))</f>
        <v>2.0293252492667283E-2</v>
      </c>
      <c r="AC84" s="86" t="e">
        <f>INDEX(GUL_6!$A:$J,MATCH('2022'!$A84,GUL_6!$A:$A,0),MATCH('2022'!$A$1,GUL_6!$3:$3,0))</f>
        <v>#N/A</v>
      </c>
      <c r="AD84" s="86" t="e">
        <f>INDEX(GUL_7!$A:$J,MATCH('2022'!$A84,GUL_7!$A:$A,0),MATCH('2022'!$A$1,GUL_7!$3:$3,0))</f>
        <v>#N/A</v>
      </c>
      <c r="AE84" s="104">
        <f>INDEX(GUL_8!$A:$J,MATCH('2022'!$A84,GUL_8!$A:$A,0),MATCH('2022'!$A$1,GUL_8!$3:$3,0))/(B84/1000)</f>
        <v>2.0207559595652951</v>
      </c>
      <c r="AF84" s="42">
        <f>INDEX(DES_1!$A:$J,MATCH('2022'!$A84,DES_1!$A:$A,0),MATCH('2022'!$A$1,DES_1!$3:$3,0))/(B84/1000)</f>
        <v>0.12559338590465186</v>
      </c>
      <c r="AG84" s="111">
        <f>INDEX(DES_2!$A:$J,MATCH('2022'!$A84,DES_2!$A:$A,0),MATCH('2022'!$A$1,DES_2!$3:$3,0))/(B84/1000)</f>
        <v>0.42868229769794425</v>
      </c>
      <c r="AH84" s="57">
        <f>1/INDEX(DES_3!$A:$J,MATCH('2022'!$A84,DES_3!$A:$A,0),MATCH('2022'!$A$1,DES_3!$3:$3,0))</f>
        <v>8.23045267489712E-3</v>
      </c>
      <c r="AI84" s="91" t="e">
        <f>INDEX(DES_4!$A:$J,MATCH('2022'!$A84,DES_4!$A:$A,0),MATCH('2022'!$A$1,DES_4!$3:$3,0))</f>
        <v>#N/A</v>
      </c>
      <c r="AJ84" s="112" t="e">
        <f>INDEX(DES_5!$A:$J,MATCH('2022'!$A84,DES_5!$A:$A,0),MATCH('2022'!$A$1,DES_5!$3:$3,0))</f>
        <v>#N/A</v>
      </c>
      <c r="AK84" s="57">
        <v>61</v>
      </c>
    </row>
  </sheetData>
  <autoFilter ref="A1:AK84" xr:uid="{00000000-0001-0000-0000-000000000000}"/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F6AF5-5E1E-47A7-875D-D578C6A9587A}">
  <sheetPr codeName="Лист37">
    <tabColor rgb="FF002060"/>
  </sheetPr>
  <dimension ref="A1:AK84"/>
  <sheetViews>
    <sheetView showGridLines="0"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AH2" sqref="AH2:AH84"/>
    </sheetView>
  </sheetViews>
  <sheetFormatPr defaultRowHeight="16.5" x14ac:dyDescent="0.3"/>
  <cols>
    <col min="1" max="1" width="43.140625" style="13" bestFit="1" customWidth="1"/>
    <col min="2" max="4" width="19.7109375" style="13" customWidth="1"/>
    <col min="5" max="5" width="16.7109375" style="13" customWidth="1"/>
    <col min="6" max="36" width="15.85546875" style="13" customWidth="1"/>
    <col min="37" max="16384" width="9.140625" style="13"/>
  </cols>
  <sheetData>
    <row r="1" spans="1:37" x14ac:dyDescent="0.3">
      <c r="A1" s="28">
        <v>2021</v>
      </c>
      <c r="B1" s="30" t="s">
        <v>113</v>
      </c>
      <c r="C1" s="31" t="s">
        <v>140</v>
      </c>
      <c r="D1" s="32" t="s">
        <v>141</v>
      </c>
      <c r="E1" s="38" t="s">
        <v>84</v>
      </c>
      <c r="F1" s="39" t="s">
        <v>104</v>
      </c>
      <c r="G1" s="39" t="s">
        <v>107</v>
      </c>
      <c r="H1" s="39" t="s">
        <v>136</v>
      </c>
      <c r="I1" s="40" t="s">
        <v>144</v>
      </c>
      <c r="J1" s="44" t="s">
        <v>115</v>
      </c>
      <c r="K1" s="45" t="s">
        <v>116</v>
      </c>
      <c r="L1" s="45" t="s">
        <v>169</v>
      </c>
      <c r="M1" s="55" t="s">
        <v>170</v>
      </c>
      <c r="N1" s="58" t="s">
        <v>114</v>
      </c>
      <c r="O1" s="59" t="s">
        <v>279</v>
      </c>
      <c r="P1" s="59" t="s">
        <v>280</v>
      </c>
      <c r="Q1" s="59" t="s">
        <v>281</v>
      </c>
      <c r="R1" s="60" t="s">
        <v>282</v>
      </c>
      <c r="S1" s="74" t="s">
        <v>110</v>
      </c>
      <c r="T1" s="75" t="s">
        <v>111</v>
      </c>
      <c r="U1" s="75" t="s">
        <v>118</v>
      </c>
      <c r="V1" s="75" t="s">
        <v>119</v>
      </c>
      <c r="W1" s="76" t="s">
        <v>312</v>
      </c>
      <c r="X1" s="81" t="s">
        <v>108</v>
      </c>
      <c r="Y1" s="82" t="s">
        <v>109</v>
      </c>
      <c r="Z1" s="83" t="s">
        <v>120</v>
      </c>
      <c r="AA1" s="82" t="s">
        <v>313</v>
      </c>
      <c r="AB1" s="83" t="s">
        <v>314</v>
      </c>
      <c r="AC1" s="82" t="s">
        <v>315</v>
      </c>
      <c r="AD1" s="83" t="s">
        <v>316</v>
      </c>
      <c r="AE1" s="84" t="s">
        <v>317</v>
      </c>
      <c r="AF1" s="105" t="s">
        <v>121</v>
      </c>
      <c r="AG1" s="106" t="s">
        <v>122</v>
      </c>
      <c r="AH1" s="107" t="s">
        <v>318</v>
      </c>
      <c r="AI1" s="106" t="s">
        <v>319</v>
      </c>
      <c r="AJ1" s="108" t="s">
        <v>320</v>
      </c>
      <c r="AK1" s="56" t="s">
        <v>0</v>
      </c>
    </row>
    <row r="2" spans="1:37" x14ac:dyDescent="0.3">
      <c r="A2" s="29" t="s">
        <v>1</v>
      </c>
      <c r="B2" s="33">
        <f>INDEX(Population!$A:$J,MATCH('2021'!$A2,Population!$A:$A,0),MATCH('2021'!$A$1,Population!$3:$3,0))</f>
        <v>979453</v>
      </c>
      <c r="C2" s="14">
        <f>INDEX(Income!$A:$J,MATCH('2021'!$A2,Income!$A:$A,0),MATCH('2021'!$A$1,Income!$3:$3,0))</f>
        <v>28314</v>
      </c>
      <c r="D2" s="34">
        <f>INDEX(Livable_wage!$A:$J,MATCH('2021'!$A2,Livable_wage!$A:$A,0),MATCH('2021'!$A$1,Livable_wage!$3:$3,0))</f>
        <v>12810</v>
      </c>
      <c r="E2" s="41">
        <f>INDEX(AVA_1!$A:$J,MATCH('2021'!$A2,AVA_1!$A:$A,0),MATCH('2021'!$A$1,AVA_1!$3:$3,0))</f>
        <v>0.35899999999999999</v>
      </c>
      <c r="F2" s="15">
        <f>INDEX(AVA_2!$A:$J,MATCH('2021'!$A2,AVA_2!$A:$A,0),MATCH('2021'!$A$1,AVA_2!$3:$3,0))</f>
        <v>9.0814022012010893E-3</v>
      </c>
      <c r="G2" s="15">
        <f>INDEX(AVA_3!$A:$J,MATCH('2021'!$A2,AVA_3!$A:$A,0),MATCH('2021'!$A$1,AVA_3!$3:$3,0))</f>
        <v>5.9610986237411054E-3</v>
      </c>
      <c r="H2" s="87">
        <f>INDEX(AVA_4!$A:$J,MATCH('2021'!$A2,AVA_4!$A:$A,0),MATCH('2021'!$A$1,AVA_4!$3:$3,0))/(B2/1000)</f>
        <v>0.90458653962977298</v>
      </c>
      <c r="I2" s="89">
        <f>INDEX(AVA_5!$A:$J,MATCH('2021'!$A2,AVA_5!$A:$A,0),MATCH('2021'!$A$1,AVA_5!$3:$3,0))/(B2/1000)</f>
        <v>9.7983277856562871</v>
      </c>
      <c r="J2" s="93">
        <f>INDEX(IRA_1!$A:$J,MATCH('2021'!$A2,IRA_1!$A:$A,0),MATCH('2021'!$A$1,IRA_1!$3:$3,0))/(B2/1000)</f>
        <v>0.13681105678373542</v>
      </c>
      <c r="K2" s="88">
        <f>INDEX(IRA_2!$A:$J,MATCH('2021'!$A2,IRA_2!$A:$A,0),MATCH('2021'!$A$1,IRA_2!$3:$3,0))/(B2/1000)</f>
        <v>0.26239135517477613</v>
      </c>
      <c r="L2" s="15">
        <f>INDEX(IRA_3!$A:$J,MATCH('2021'!$A2,IRA_3!$A:$A,0),MATCH('2021'!$A$1,IRA_3!$3:$3,0))</f>
        <v>0.34770255706867836</v>
      </c>
      <c r="M2" s="96">
        <f>INDEX(IRA_4!$A:$J,MATCH('2021'!$A2,IRA_4!$A:$A,0),MATCH('2021'!$A$1,IRA_4!$3:$3,0))/(B2/1000)</f>
        <v>7.1733916788248138</v>
      </c>
      <c r="N2" s="61">
        <f>INDEX(INV_1!$A:$J,MATCH('2021'!$A2,INV_1!$A:$A,0),MATCH('2021'!$A$1,INV_1!$3:$3,0))</f>
        <v>8.5939375704533472E-2</v>
      </c>
      <c r="O2" s="80">
        <f>INDEX(INV_2!$A:$J,MATCH('2021'!$A2,INV_2!$A:$A,0),MATCH('2021'!$A$1,INV_2!$3:$3,0))/B2*10^6/C2</f>
        <v>0.39765126739113471</v>
      </c>
      <c r="P2" s="87">
        <f>INDEX(INV_3!$A:$J,MATCH('2021'!$A2,INV_3!$A:$A,0),MATCH('2021'!$A$1,INV_3!$3:$3,0))/B2*10^6/C2</f>
        <v>5.1284728455650299</v>
      </c>
      <c r="Q2" s="87">
        <f>INDEX(INV_4!$A:$J,MATCH('2021'!$A2,INV_4!$A:$A,0),MATCH('2021'!$A$1,INV_4!$3:$3,0))/B2*10^3/C2</f>
        <v>0.27975367551734065</v>
      </c>
      <c r="R2" s="89">
        <f>INDEX(INV_5!$A:$J,MATCH('2021'!$A2,INV_5!$A:$A,0),MATCH('2021'!$A$1,INV_5!$3:$3,0))</f>
        <v>7.7200000000000005E-2</v>
      </c>
      <c r="S2" s="77">
        <f>INDEX(LUJ_1!$A:$J,MATCH('2021'!$A2,LUJ_1!$A:$A,0),MATCH('2021'!$A$1,LUJ_1!$3:$3,0))</f>
        <v>0.8624810318664643</v>
      </c>
      <c r="T2" s="73">
        <f>INDEX(LUJ_2!$A:$J,MATCH('2021'!$A2,LUJ_2!$A:$A,0),MATCH('2021'!$A$1,LUJ_2!$3:$3,0))</f>
        <v>0.32600000000000001</v>
      </c>
      <c r="U2" s="73">
        <f>INDEX(LUJ_3!$A:$J,MATCH('2021'!$A2,LUJ_3!$A:$A,0),MATCH('2021'!$A$1,LUJ_3!$3:$3,0))</f>
        <v>0.43820318359863319</v>
      </c>
      <c r="V2" s="14">
        <f>INDEX(LUJ_4!$A:$J,MATCH('2021'!$A2,LUJ_4!$A:$A,0),MATCH('2021'!$A$1,LUJ_4!$3:$3,0))</f>
        <v>67</v>
      </c>
      <c r="W2" s="34">
        <f>INDEX(LUJ_5!$A:$J,MATCH('2021'!$A2,LUJ_5!$A:$A,0),MATCH('2021'!$A$1,LUJ_5!$3:$3,0))</f>
        <v>50.9</v>
      </c>
      <c r="X2" s="98">
        <f>1/INDEX(GUL_1!$A:$J,MATCH('2021'!$A2,GUL_1!$A:$A,0),MATCH('2021'!$A$1,GUL_1!$3:$3,0))</f>
        <v>1.4511681903932667E-2</v>
      </c>
      <c r="Y2" s="57">
        <f>INDEX(GUL_2!$A:$J,MATCH('2021'!$A2,GUL_2!$A:$A,0),MATCH('2021'!$A$1,GUL_2!$3:$3,0))</f>
        <v>24.3</v>
      </c>
      <c r="Z2" s="100">
        <f>INDEX(GUL_3!$A:$J,MATCH('2021'!$A2,GUL_3!$A:$A,0),MATCH('2021'!$A$1,GUL_3!$3:$3,0))/(B2/1000)</f>
        <v>0.89846067141557584</v>
      </c>
      <c r="AA2" s="101">
        <f>INDEX(GUL_4!$A:$J,MATCH('2021'!$A2,GUL_4!$A:$A,0),MATCH('2021'!$A$1,GUL_4!$3:$3,0))/B2/C2*10^6</f>
        <v>0.41041737645491339</v>
      </c>
      <c r="AB2" s="73">
        <f>INDEX(GUL_5!$A:$J,MATCH('2021'!$A2,GUL_5!$A:$A,0),MATCH('2021'!$A$1,GUL_5!$3:$3,0))</f>
        <v>2.8389156605398633E-2</v>
      </c>
      <c r="AC2" s="49">
        <f>INDEX(GUL_6!$A:$J,MATCH('2021'!$A2,GUL_6!$A:$A,0),MATCH('2021'!$A$1,GUL_6!$3:$3,0))</f>
        <v>1.6841846705E-2</v>
      </c>
      <c r="AD2" s="49">
        <f>INDEX(GUL_7!$A:$J,MATCH('2021'!$A2,GUL_7!$A:$A,0),MATCH('2021'!$A$1,GUL_7!$3:$3,0))</f>
        <v>0.3029</v>
      </c>
      <c r="AE2" s="103">
        <f>INDEX(GUL_8!$A:$J,MATCH('2021'!$A2,GUL_8!$A:$A,0),MATCH('2021'!$A$1,GUL_8!$3:$3,0))/(B2/1000)</f>
        <v>4.5096599836847711</v>
      </c>
      <c r="AF2" s="41">
        <f>INDEX(DES_1!$A:$J,MATCH('2021'!$A2,DES_1!$A:$A,0),MATCH('2021'!$A$1,DES_1!$3:$3,0))/(B2/1000)</f>
        <v>0.33079688356664383</v>
      </c>
      <c r="AG2" s="100">
        <f>INDEX(DES_2!$A:$J,MATCH('2021'!$A2,DES_2!$A:$A,0),MATCH('2021'!$A$1,DES_2!$3:$3,0))/(B2/1000)</f>
        <v>1.0965304103412823</v>
      </c>
      <c r="AH2" s="57">
        <f>1/INDEX(DES_3!$A:$J,MATCH('2021'!$A2,DES_3!$A:$A,0),MATCH('2021'!$A$1,DES_3!$3:$3,0))</f>
        <v>8.0128205128205138E-3</v>
      </c>
      <c r="AI2" s="73">
        <f>INDEX(DES_4!$A:$J,MATCH('2021'!$A2,DES_4!$A:$A,0),MATCH('2021'!$A$1,DES_4!$3:$3,0))</f>
        <v>0.85207583979199997</v>
      </c>
      <c r="AJ2" s="109">
        <f>INDEX(DES_5!$A:$J,MATCH('2021'!$A2,DES_5!$A:$A,0),MATCH('2021'!$A$1,DES_5!$3:$3,0))</f>
        <v>0.48429885532299999</v>
      </c>
      <c r="AK2" s="57">
        <v>10</v>
      </c>
    </row>
    <row r="3" spans="1:37" x14ac:dyDescent="0.3">
      <c r="A3" s="29" t="s">
        <v>2</v>
      </c>
      <c r="B3" s="33">
        <f>INDEX(Population!$A:$J,MATCH('2021'!$A3,Population!$A:$A,0),MATCH('2021'!$A$1,Population!$3:$3,0))</f>
        <v>469682</v>
      </c>
      <c r="C3" s="14">
        <f>INDEX(Income!$A:$J,MATCH('2021'!$A3,Income!$A:$A,0),MATCH('2021'!$A$1,Income!$3:$3,0))</f>
        <v>20470</v>
      </c>
      <c r="D3" s="34">
        <f>INDEX(Livable_wage!$A:$J,MATCH('2021'!$A3,Livable_wage!$A:$A,0),MATCH('2021'!$A$1,Livable_wage!$3:$3,0))</f>
        <v>10451</v>
      </c>
      <c r="E3" s="41">
        <f>INDEX(AVA_1!$A:$J,MATCH('2021'!$A3,AVA_1!$A:$A,0),MATCH('2021'!$A$1,AVA_1!$3:$3,0))</f>
        <v>0.33300000000000002</v>
      </c>
      <c r="F3" s="15">
        <f>INDEX(AVA_2!$A:$J,MATCH('2021'!$A3,AVA_2!$A:$A,0),MATCH('2021'!$A$1,AVA_2!$3:$3,0))</f>
        <v>5.719195553526837E-3</v>
      </c>
      <c r="G3" s="15">
        <f>INDEX(AVA_3!$A:$J,MATCH('2021'!$A3,AVA_3!$A:$A,0),MATCH('2021'!$A$1,AVA_3!$3:$3,0))</f>
        <v>1.0492601720024584E-2</v>
      </c>
      <c r="H3" s="87">
        <f>INDEX(AVA_4!$A:$J,MATCH('2021'!$A3,AVA_4!$A:$A,0),MATCH('2021'!$A$1,AVA_4!$3:$3,0))/(B3/1000)</f>
        <v>0.85802734616187115</v>
      </c>
      <c r="I3" s="89">
        <f>INDEX(AVA_5!$A:$J,MATCH('2021'!$A3,AVA_5!$A:$A,0),MATCH('2021'!$A$1,AVA_5!$3:$3,0))/(B3/1000)</f>
        <v>2.1376165150037685</v>
      </c>
      <c r="J3" s="93">
        <f>INDEX(IRA_1!$A:$J,MATCH('2021'!$A3,IRA_1!$A:$A,0),MATCH('2021'!$A$1,IRA_1!$3:$3,0))/(B3/1000)</f>
        <v>4.8969302634548482E-2</v>
      </c>
      <c r="K3" s="88">
        <f>INDEX(IRA_2!$A:$J,MATCH('2021'!$A3,IRA_2!$A:$A,0),MATCH('2021'!$A$1,IRA_2!$3:$3,0))/(B3/1000)</f>
        <v>5.9614803207276412E-2</v>
      </c>
      <c r="L3" s="15">
        <f>INDEX(IRA_3!$A:$J,MATCH('2021'!$A3,IRA_3!$A:$A,0),MATCH('2021'!$A$1,IRA_3!$3:$3,0))</f>
        <v>0.45333333333333337</v>
      </c>
      <c r="M3" s="96">
        <f>INDEX(IRA_4!$A:$J,MATCH('2021'!$A3,IRA_4!$A:$A,0),MATCH('2021'!$A$1,IRA_4!$3:$3,0))/(B3/1000)</f>
        <v>2.9551909589892733</v>
      </c>
      <c r="N3" s="61">
        <f>INDEX(INV_1!$A:$J,MATCH('2021'!$A3,INV_1!$A:$A,0),MATCH('2021'!$A$1,INV_1!$3:$3,0))</f>
        <v>0.10928622407210357</v>
      </c>
      <c r="O3" s="80">
        <f>INDEX(INV_2!$A:$J,MATCH('2021'!$A3,INV_2!$A:$A,0),MATCH('2021'!$A$1,INV_2!$3:$3,0))/B3*10^6/C3</f>
        <v>0.20637318769585691</v>
      </c>
      <c r="P3" s="87">
        <f>INDEX(INV_3!$A:$J,MATCH('2021'!$A3,INV_3!$A:$A,0),MATCH('2021'!$A$1,INV_3!$3:$3,0))/B3*10^6/C3</f>
        <v>4.8801845322168491</v>
      </c>
      <c r="Q3" s="87">
        <f>INDEX(INV_4!$A:$J,MATCH('2021'!$A3,INV_4!$A:$A,0),MATCH('2021'!$A$1,INV_4!$3:$3,0))/B3*10^3/C3</f>
        <v>0.2768426546567142</v>
      </c>
      <c r="R3" s="34">
        <f>INDEX(INV_5!$A:$J,MATCH('2021'!$A3,INV_5!$A:$A,0),MATCH('2021'!$A$1,INV_5!$3:$3,0))</f>
        <v>0.34749999999999998</v>
      </c>
      <c r="S3" s="77">
        <f>INDEX(LUJ_1!$A:$J,MATCH('2021'!$A3,LUJ_1!$A:$A,0),MATCH('2021'!$A$1,LUJ_1!$3:$3,0))</f>
        <v>1.1679467485919099</v>
      </c>
      <c r="T3" s="73">
        <f>INDEX(LUJ_2!$A:$J,MATCH('2021'!$A3,LUJ_2!$A:$A,0),MATCH('2021'!$A$1,LUJ_2!$3:$3,0))</f>
        <v>0.21299999999999999</v>
      </c>
      <c r="U3" s="73">
        <f>INDEX(LUJ_3!$A:$J,MATCH('2021'!$A3,LUJ_3!$A:$A,0),MATCH('2021'!$A$1,LUJ_3!$3:$3,0))</f>
        <v>0.2552282437598381</v>
      </c>
      <c r="V3" s="14">
        <f>INDEX(LUJ_4!$A:$J,MATCH('2021'!$A3,LUJ_4!$A:$A,0),MATCH('2021'!$A$1,LUJ_4!$3:$3,0))</f>
        <v>8</v>
      </c>
      <c r="W3" s="34">
        <f>INDEX(LUJ_5!$A:$J,MATCH('2021'!$A3,LUJ_5!$A:$A,0),MATCH('2021'!$A$1,LUJ_5!$3:$3,0))</f>
        <v>8.4</v>
      </c>
      <c r="X3" s="98">
        <f>1/INDEX(GUL_1!$A:$J,MATCH('2021'!$A3,GUL_1!$A:$A,0),MATCH('2021'!$A$1,GUL_1!$3:$3,0))</f>
        <v>1.3610997686130393E-2</v>
      </c>
      <c r="Y3" s="57">
        <f>INDEX(GUL_2!$A:$J,MATCH('2021'!$A3,GUL_2!$A:$A,0),MATCH('2021'!$A$1,GUL_2!$3:$3,0))</f>
        <v>24.6</v>
      </c>
      <c r="Z3" s="57">
        <f>INDEX(GUL_3!$A:$J,MATCH('2021'!$A3,GUL_3!$A:$A,0),MATCH('2021'!$A$1,GUL_3!$3:$3,0))/(B3/1000)</f>
        <v>0.47053112531457453</v>
      </c>
      <c r="AA3" s="101">
        <f>INDEX(GUL_4!$A:$J,MATCH('2021'!$A3,GUL_4!$A:$A,0),MATCH('2021'!$A$1,GUL_4!$3:$3,0))/B3/C3*10^6</f>
        <v>0.14025746035484013</v>
      </c>
      <c r="AB3" s="73">
        <f>INDEX(GUL_5!$A:$J,MATCH('2021'!$A3,GUL_5!$A:$A,0),MATCH('2021'!$A$1,GUL_5!$3:$3,0))</f>
        <v>1.0508513627461739E-2</v>
      </c>
      <c r="AC3" s="49">
        <f>INDEX(GUL_6!$A:$J,MATCH('2021'!$A3,GUL_6!$A:$A,0),MATCH('2021'!$A$1,GUL_6!$3:$3,0))</f>
        <v>2.6229493209999999E-3</v>
      </c>
      <c r="AD3" s="49">
        <f>INDEX(GUL_7!$A:$J,MATCH('2021'!$A3,GUL_7!$A:$A,0),MATCH('2021'!$A$1,GUL_7!$3:$3,0))</f>
        <v>8.929999999999999E-2</v>
      </c>
      <c r="AE3" s="103">
        <f>INDEX(GUL_8!$A:$J,MATCH('2021'!$A3,GUL_8!$A:$A,0),MATCH('2021'!$A$1,GUL_8!$3:$3,0))/(B3/1000)</f>
        <v>1.5244356820146396</v>
      </c>
      <c r="AF3" s="41">
        <f>INDEX(DES_1!$A:$J,MATCH('2021'!$A3,DES_1!$A:$A,0),MATCH('2021'!$A$1,DES_1!$3:$3,0))/(B3/1000)</f>
        <v>5.5356602978185239E-2</v>
      </c>
      <c r="AG3" s="100">
        <f>INDEX(DES_2!$A:$J,MATCH('2021'!$A3,DES_2!$A:$A,0),MATCH('2021'!$A$1,DES_2!$3:$3,0))/(B3/1000)</f>
        <v>0.65363373516549494</v>
      </c>
      <c r="AH3" s="57">
        <f>1/INDEX(DES_3!$A:$J,MATCH('2021'!$A3,DES_3!$A:$A,0),MATCH('2021'!$A$1,DES_3!$3:$3,0))</f>
        <v>9.5328884652049559E-3</v>
      </c>
      <c r="AI3" s="80">
        <f>INDEX(DES_4!$A:$J,MATCH('2021'!$A3,DES_4!$A:$A,0),MATCH('2021'!$A$1,DES_4!$3:$3,0))</f>
        <v>0.61931418663799997</v>
      </c>
      <c r="AJ3" s="110">
        <f>INDEX(DES_5!$A:$J,MATCH('2021'!$A3,DES_5!$A:$A,0),MATCH('2021'!$A$1,DES_5!$3:$3,0))</f>
        <v>0.22102926552300001</v>
      </c>
      <c r="AK3" s="57">
        <v>13</v>
      </c>
    </row>
    <row r="4" spans="1:37" x14ac:dyDescent="0.3">
      <c r="A4" s="29" t="s">
        <v>3</v>
      </c>
      <c r="B4" s="33">
        <f>INDEX(Population!$A:$J,MATCH('2021'!$A4,Population!$A:$A,0),MATCH('2021'!$A$1,Population!$3:$3,0))</f>
        <v>467639</v>
      </c>
      <c r="C4" s="14">
        <f>INDEX(Income!$A:$J,MATCH('2021'!$A4,Income!$A:$A,0),MATCH('2021'!$A$1,Income!$3:$3,0))</f>
        <v>63854</v>
      </c>
      <c r="D4" s="34">
        <f>INDEX(Livable_wage!$A:$J,MATCH('2021'!$A4,Livable_wage!$A:$A,0),MATCH('2021'!$A$1,Livable_wage!$3:$3,0))</f>
        <v>15906</v>
      </c>
      <c r="E4" s="41">
        <f>INDEX(AVA_1!$A:$J,MATCH('2021'!$A4,AVA_1!$A:$A,0),MATCH('2021'!$A$1,AVA_1!$3:$3,0))</f>
        <v>0.4</v>
      </c>
      <c r="F4" s="15">
        <f>INDEX(AVA_2!$A:$J,MATCH('2021'!$A4,AVA_2!$A:$A,0),MATCH('2021'!$A$1,AVA_2!$3:$3,0))</f>
        <v>8.986518790384224E-3</v>
      </c>
      <c r="G4" s="15">
        <f>INDEX(AVA_3!$A:$J,MATCH('2021'!$A4,AVA_3!$A:$A,0),MATCH('2021'!$A$1,AVA_3!$3:$3,0))</f>
        <v>8.3459039570943569E-3</v>
      </c>
      <c r="H4" s="87">
        <f>INDEX(AVA_4!$A:$J,MATCH('2021'!$A4,AVA_4!$A:$A,0),MATCH('2021'!$A$1,AVA_4!$3:$3,0))/(B4/1000)</f>
        <v>0.80831581625997828</v>
      </c>
      <c r="I4" s="89">
        <f>INDEX(AVA_5!$A:$J,MATCH('2021'!$A4,AVA_5!$A:$A,0),MATCH('2021'!$A$1,AVA_5!$3:$3,0))/(B4/1000)</f>
        <v>5.5683978453465173</v>
      </c>
      <c r="J4" s="93">
        <f>INDEX(IRA_1!$A:$J,MATCH('2021'!$A4,IRA_1!$A:$A,0),MATCH('2021'!$A$1,IRA_1!$3:$3,0))/(B4/1000)</f>
        <v>8.5536065212696119E-2</v>
      </c>
      <c r="K4" s="88">
        <f>INDEX(IRA_2!$A:$J,MATCH('2021'!$A4,IRA_2!$A:$A,0),MATCH('2021'!$A$1,IRA_2!$3:$3,0))/(B4/1000)</f>
        <v>0.23522417933491432</v>
      </c>
      <c r="L4" s="15">
        <f>INDEX(IRA_3!$A:$J,MATCH('2021'!$A4,IRA_3!$A:$A,0),MATCH('2021'!$A$1,IRA_3!$3:$3,0))</f>
        <v>0.38441156988297642</v>
      </c>
      <c r="M4" s="96">
        <f>INDEX(IRA_4!$A:$J,MATCH('2021'!$A4,IRA_4!$A:$A,0),MATCH('2021'!$A$1,IRA_4!$3:$3,0))/(B4/1000)</f>
        <v>5.799345221420797</v>
      </c>
      <c r="N4" s="61">
        <f>INDEX(INV_1!$A:$J,MATCH('2021'!$A4,INV_1!$A:$A,0),MATCH('2021'!$A$1,INV_1!$3:$3,0))</f>
        <v>7.4974577863858263E-2</v>
      </c>
      <c r="O4" s="80">
        <f>INDEX(INV_2!$A:$J,MATCH('2021'!$A4,INV_2!$A:$A,0),MATCH('2021'!$A$1,INV_2!$3:$3,0))/B4*10^6/C4</f>
        <v>0.22578205240367727</v>
      </c>
      <c r="P4" s="87">
        <f>INDEX(INV_3!$A:$J,MATCH('2021'!$A4,INV_3!$A:$A,0),MATCH('2021'!$A$1,INV_3!$3:$3,0))/B4*10^6/C4</f>
        <v>4.2040653218831308</v>
      </c>
      <c r="Q4" s="87">
        <f>INDEX(INV_4!$A:$J,MATCH('2021'!$A4,INV_4!$A:$A,0),MATCH('2021'!$A$1,INV_4!$3:$3,0))/B4*10^3/C4</f>
        <v>0.20059139289078648</v>
      </c>
      <c r="R4" s="34">
        <f>INDEX(INV_5!$A:$J,MATCH('2021'!$A4,INV_5!$A:$A,0),MATCH('2021'!$A$1,INV_5!$3:$3,0))</f>
        <v>0.1416</v>
      </c>
      <c r="S4" s="77">
        <f>INDEX(LUJ_1!$A:$J,MATCH('2021'!$A4,LUJ_1!$A:$A,0),MATCH('2021'!$A$1,LUJ_1!$3:$3,0))</f>
        <v>0.68567375886524817</v>
      </c>
      <c r="T4" s="73">
        <f>INDEX(LUJ_2!$A:$J,MATCH('2021'!$A4,LUJ_2!$A:$A,0),MATCH('2021'!$A$1,LUJ_2!$3:$3,0))</f>
        <v>0.32299999999999995</v>
      </c>
      <c r="U4" s="73">
        <f>INDEX(LUJ_3!$A:$J,MATCH('2021'!$A4,LUJ_3!$A:$A,0),MATCH('2021'!$A$1,LUJ_3!$3:$3,0))</f>
        <v>0.55057006252298635</v>
      </c>
      <c r="V4" s="14">
        <f>INDEX(LUJ_4!$A:$J,MATCH('2021'!$A4,LUJ_4!$A:$A,0),MATCH('2021'!$A$1,LUJ_4!$3:$3,0))</f>
        <v>12</v>
      </c>
      <c r="W4" s="34">
        <f>INDEX(LUJ_5!$A:$J,MATCH('2021'!$A4,LUJ_5!$A:$A,0),MATCH('2021'!$A$1,LUJ_5!$3:$3,0))</f>
        <v>36.9</v>
      </c>
      <c r="X4" s="98">
        <f>1/INDEX(GUL_1!$A:$J,MATCH('2021'!$A4,GUL_1!$A:$A,0),MATCH('2021'!$A$1,GUL_1!$3:$3,0))</f>
        <v>1.4615609470914937E-2</v>
      </c>
      <c r="Y4" s="57">
        <f>INDEX(GUL_2!$A:$J,MATCH('2021'!$A4,GUL_2!$A:$A,0),MATCH('2021'!$A$1,GUL_2!$3:$3,0))</f>
        <v>26.1</v>
      </c>
      <c r="Z4" s="57">
        <f>INDEX(GUL_3!$A:$J,MATCH('2021'!$A4,GUL_3!$A:$A,0),MATCH('2021'!$A$1,GUL_3!$3:$3,0))/(B4/1000)</f>
        <v>1.8582710167458232</v>
      </c>
      <c r="AA4" s="101">
        <f>INDEX(GUL_4!$A:$J,MATCH('2021'!$A4,GUL_4!$A:$A,0),MATCH('2021'!$A$1,GUL_4!$3:$3,0))/B4/C4*10^6</f>
        <v>0.30624246193792432</v>
      </c>
      <c r="AB4" s="73">
        <f>INDEX(GUL_5!$A:$J,MATCH('2021'!$A4,GUL_5!$A:$A,0),MATCH('2021'!$A$1,GUL_5!$3:$3,0))</f>
        <v>2.7166148547870826E-2</v>
      </c>
      <c r="AC4" s="49">
        <f>INDEX(GUL_6!$A:$J,MATCH('2021'!$A4,GUL_6!$A:$A,0),MATCH('2021'!$A$1,GUL_6!$3:$3,0))</f>
        <v>5.1378304882999999E-2</v>
      </c>
      <c r="AD4" s="49">
        <f>INDEX(GUL_7!$A:$J,MATCH('2021'!$A4,GUL_7!$A:$A,0),MATCH('2021'!$A$1,GUL_7!$3:$3,0))</f>
        <v>0.27079999999999999</v>
      </c>
      <c r="AE4" s="103">
        <f>INDEX(GUL_8!$A:$J,MATCH('2021'!$A4,GUL_8!$A:$A,0),MATCH('2021'!$A$1,GUL_8!$3:$3,0))/(B4/1000)</f>
        <v>3.7186804351219638</v>
      </c>
      <c r="AF4" s="41">
        <f>INDEX(DES_1!$A:$J,MATCH('2021'!$A4,DES_1!$A:$A,0),MATCH('2021'!$A$1,DES_1!$3:$3,0))/(B4/1000)</f>
        <v>2.1384016303174027E-3</v>
      </c>
      <c r="AG4" s="100">
        <f>INDEX(DES_2!$A:$J,MATCH('2021'!$A4,DES_2!$A:$A,0),MATCH('2021'!$A$1,DES_2!$3:$3,0))/(B4/1000)</f>
        <v>0.64152048909522086</v>
      </c>
      <c r="AH4" s="57">
        <f>1/INDEX(DES_3!$A:$J,MATCH('2021'!$A4,DES_3!$A:$A,0),MATCH('2021'!$A$1,DES_3!$3:$3,0))</f>
        <v>8.9928057553956831E-3</v>
      </c>
      <c r="AI4" s="80">
        <f>INDEX(DES_4!$A:$J,MATCH('2021'!$A4,DES_4!$A:$A,0),MATCH('2021'!$A$1,DES_4!$3:$3,0))</f>
        <v>0.61180454748899993</v>
      </c>
      <c r="AJ4" s="110">
        <f>INDEX(DES_5!$A:$J,MATCH('2021'!$A4,DES_5!$A:$A,0),MATCH('2021'!$A$1,DES_5!$3:$3,0))</f>
        <v>0.44236122471599998</v>
      </c>
      <c r="AK4" s="57">
        <v>11</v>
      </c>
    </row>
    <row r="5" spans="1:37" x14ac:dyDescent="0.3">
      <c r="A5" s="29" t="s">
        <v>4</v>
      </c>
      <c r="B5" s="33">
        <f>INDEX(Population!$A:$J,MATCH('2021'!$A5,Population!$A:$A,0),MATCH('2021'!$A$1,Population!$3:$3,0))</f>
        <v>2310877</v>
      </c>
      <c r="C5" s="14">
        <f>INDEX(Income!$A:$J,MATCH('2021'!$A5,Income!$A:$A,0),MATCH('2021'!$A$1,Income!$3:$3,0))</f>
        <v>35198</v>
      </c>
      <c r="D5" s="34">
        <f>INDEX(Livable_wage!$A:$J,MATCH('2021'!$A5,Livable_wage!$A:$A,0),MATCH('2021'!$A$1,Livable_wage!$3:$3,0))</f>
        <v>9747</v>
      </c>
      <c r="E5" s="41">
        <f>INDEX(AVA_1!$A:$J,MATCH('2021'!$A5,AVA_1!$A:$A,0),MATCH('2021'!$A$1,AVA_1!$3:$3,0))</f>
        <v>0.39600000000000002</v>
      </c>
      <c r="F5" s="15">
        <f>INDEX(AVA_2!$A:$J,MATCH('2021'!$A5,AVA_2!$A:$A,0),MATCH('2021'!$A$1,AVA_2!$3:$3,0))</f>
        <v>1.2433019091761201E-2</v>
      </c>
      <c r="G5" s="15">
        <f>INDEX(AVA_3!$A:$J,MATCH('2021'!$A5,AVA_3!$A:$A,0),MATCH('2021'!$A$1,AVA_3!$3:$3,0))</f>
        <v>1.6799089615003808E-2</v>
      </c>
      <c r="H5" s="87">
        <f>INDEX(AVA_4!$A:$J,MATCH('2021'!$A5,AVA_4!$A:$A,0),MATCH('2021'!$A$1,AVA_4!$3:$3,0))/(B5/1000)</f>
        <v>0.6326602411119242</v>
      </c>
      <c r="I5" s="89">
        <f>INDEX(AVA_5!$A:$J,MATCH('2021'!$A5,AVA_5!$A:$A,0),MATCH('2021'!$A$1,AVA_5!$3:$3,0))/(B5/1000)</f>
        <v>6.0872993240228714</v>
      </c>
      <c r="J5" s="93">
        <f>INDEX(IRA_1!$A:$J,MATCH('2021'!$A5,IRA_1!$A:$A,0),MATCH('2021'!$A$1,IRA_1!$3:$3,0))/(B5/1000)</f>
        <v>3.9811725158889893E-2</v>
      </c>
      <c r="K5" s="88">
        <f>INDEX(IRA_2!$A:$J,MATCH('2021'!$A5,IRA_2!$A:$A,0),MATCH('2021'!$A$1,IRA_2!$3:$3,0))/(B5/1000)</f>
        <v>8.2219867175968256E-2</v>
      </c>
      <c r="L5" s="15">
        <f>INDEX(IRA_3!$A:$J,MATCH('2021'!$A5,IRA_3!$A:$A,0),MATCH('2021'!$A$1,IRA_3!$3:$3,0))</f>
        <v>0.42197064989517818</v>
      </c>
      <c r="M5" s="96">
        <f>INDEX(IRA_4!$A:$J,MATCH('2021'!$A5,IRA_4!$A:$A,0),MATCH('2021'!$A$1,IRA_4!$3:$3,0))/(B5/1000)</f>
        <v>4.7142275421842008</v>
      </c>
      <c r="N5" s="61">
        <f>INDEX(INV_1!$A:$J,MATCH('2021'!$A5,INV_1!$A:$A,0),MATCH('2021'!$A$1,INV_1!$3:$3,0))</f>
        <v>7.3839764684153208E-2</v>
      </c>
      <c r="O5" s="80">
        <f>INDEX(INV_2!$A:$J,MATCH('2021'!$A5,INV_2!$A:$A,0),MATCH('2021'!$A$1,INV_2!$3:$3,0))/B5*10^6/C5</f>
        <v>0.54091933091025579</v>
      </c>
      <c r="P5" s="87">
        <f>INDEX(INV_3!$A:$J,MATCH('2021'!$A5,INV_3!$A:$A,0),MATCH('2021'!$A$1,INV_3!$3:$3,0))/B5*10^6/C5</f>
        <v>3.7402575671877476</v>
      </c>
      <c r="Q5" s="87">
        <f>INDEX(INV_4!$A:$J,MATCH('2021'!$A5,INV_4!$A:$A,0),MATCH('2021'!$A$1,INV_4!$3:$3,0))/B5*10^3/C5</f>
        <v>0.21210294021800793</v>
      </c>
      <c r="R5" s="34">
        <f>INDEX(INV_5!$A:$J,MATCH('2021'!$A5,INV_5!$A:$A,0),MATCH('2021'!$A$1,INV_5!$3:$3,0))</f>
        <v>9.35E-2</v>
      </c>
      <c r="S5" s="77">
        <f>INDEX(LUJ_1!$A:$J,MATCH('2021'!$A5,LUJ_1!$A:$A,0),MATCH('2021'!$A$1,LUJ_1!$3:$3,0))</f>
        <v>0.64462253350393961</v>
      </c>
      <c r="T5" s="73">
        <f>INDEX(LUJ_2!$A:$J,MATCH('2021'!$A5,LUJ_2!$A:$A,0),MATCH('2021'!$A$1,LUJ_2!$3:$3,0))</f>
        <v>0.16500000000000001</v>
      </c>
      <c r="U5" s="73">
        <f>INDEX(LUJ_3!$A:$J,MATCH('2021'!$A5,LUJ_3!$A:$A,0),MATCH('2021'!$A$1,LUJ_3!$3:$3,0))</f>
        <v>0.2574274797779762</v>
      </c>
      <c r="V5" s="14">
        <f>INDEX(LUJ_4!$A:$J,MATCH('2021'!$A5,LUJ_4!$A:$A,0),MATCH('2021'!$A$1,LUJ_4!$3:$3,0))</f>
        <v>33</v>
      </c>
      <c r="W5" s="34">
        <f>INDEX(LUJ_5!$A:$J,MATCH('2021'!$A5,LUJ_5!$A:$A,0),MATCH('2021'!$A$1,LUJ_5!$3:$3,0))</f>
        <v>19.7</v>
      </c>
      <c r="X5" s="98">
        <f>1/INDEX(GUL_1!$A:$J,MATCH('2021'!$A5,GUL_1!$A:$A,0),MATCH('2021'!$A$1,GUL_1!$3:$3,0))</f>
        <v>1.4390559792775939E-2</v>
      </c>
      <c r="Y5" s="57">
        <f>INDEX(GUL_2!$A:$J,MATCH('2021'!$A5,GUL_2!$A:$A,0),MATCH('2021'!$A$1,GUL_2!$3:$3,0))</f>
        <v>26.200000000000003</v>
      </c>
      <c r="Z5" s="57">
        <f>INDEX(GUL_3!$A:$J,MATCH('2021'!$A5,GUL_3!$A:$A,0),MATCH('2021'!$A$1,GUL_3!$3:$3,0))/(B5/1000)</f>
        <v>0.53789102578804493</v>
      </c>
      <c r="AA5" s="101">
        <f>INDEX(GUL_4!$A:$J,MATCH('2021'!$A5,GUL_4!$A:$A,0),MATCH('2021'!$A$1,GUL_4!$3:$3,0))/B5/C5*10^6</f>
        <v>0.24753655672656463</v>
      </c>
      <c r="AB5" s="73">
        <f>INDEX(GUL_5!$A:$J,MATCH('2021'!$A5,GUL_5!$A:$A,0),MATCH('2021'!$A$1,GUL_5!$3:$3,0))</f>
        <v>4.4537487037525893E-2</v>
      </c>
      <c r="AC5" s="49">
        <f>INDEX(GUL_6!$A:$J,MATCH('2021'!$A5,GUL_6!$A:$A,0),MATCH('2021'!$A$1,GUL_6!$3:$3,0))</f>
        <v>1.7518582987E-2</v>
      </c>
      <c r="AD5" s="49">
        <f>INDEX(GUL_7!$A:$J,MATCH('2021'!$A5,GUL_7!$A:$A,0),MATCH('2021'!$A$1,GUL_7!$3:$3,0))</f>
        <v>0.20350000000000001</v>
      </c>
      <c r="AE5" s="103">
        <f>INDEX(GUL_8!$A:$J,MATCH('2021'!$A5,GUL_8!$A:$A,0),MATCH('2021'!$A$1,GUL_8!$3:$3,0))/(B5/1000)</f>
        <v>1.522365751184507</v>
      </c>
      <c r="AF5" s="41">
        <f>INDEX(DES_1!$A:$J,MATCH('2021'!$A5,DES_1!$A:$A,0),MATCH('2021'!$A$1,DES_1!$3:$3,0))/(B5/1000)</f>
        <v>0.10602035504269591</v>
      </c>
      <c r="AG5" s="100">
        <f>INDEX(DES_2!$A:$J,MATCH('2021'!$A5,DES_2!$A:$A,0),MATCH('2021'!$A$1,DES_2!$3:$3,0))/(B5/1000)</f>
        <v>0.55087311007898732</v>
      </c>
      <c r="AH5" s="57">
        <f>1/INDEX(DES_3!$A:$J,MATCH('2021'!$A5,DES_3!$A:$A,0),MATCH('2021'!$A$1,DES_3!$3:$3,0))</f>
        <v>7.6923076923076927E-3</v>
      </c>
      <c r="AI5" s="80">
        <f>INDEX(DES_4!$A:$J,MATCH('2021'!$A5,DES_4!$A:$A,0),MATCH('2021'!$A$1,DES_4!$3:$3,0))</f>
        <v>0.90626262108000011</v>
      </c>
      <c r="AJ5" s="110">
        <f>INDEX(DES_5!$A:$J,MATCH('2021'!$A5,DES_5!$A:$A,0),MATCH('2021'!$A$1,DES_5!$3:$3,0))</f>
        <v>0.55719095521500006</v>
      </c>
      <c r="AK5" s="57">
        <v>16</v>
      </c>
    </row>
    <row r="6" spans="1:37" x14ac:dyDescent="0.3">
      <c r="A6" s="29" t="s">
        <v>5</v>
      </c>
      <c r="B6" s="33">
        <f>INDEX(Population!$A:$J,MATCH('2021'!$A6,Population!$A:$A,0),MATCH('2021'!$A$1,Population!$3:$3,0))</f>
        <v>1063999</v>
      </c>
      <c r="C6" s="14">
        <f>INDEX(Income!$A:$J,MATCH('2021'!$A6,Income!$A:$A,0),MATCH('2021'!$A$1,Income!$3:$3,0))</f>
        <v>31054</v>
      </c>
      <c r="D6" s="34">
        <f>INDEX(Livable_wage!$A:$J,MATCH('2021'!$A6,Livable_wage!$A:$A,0),MATCH('2021'!$A$1,Livable_wage!$3:$3,0))</f>
        <v>12218</v>
      </c>
      <c r="E6" s="41">
        <f>INDEX(AVA_1!$A:$J,MATCH('2021'!$A6,AVA_1!$A:$A,0),MATCH('2021'!$A$1,AVA_1!$3:$3,0))</f>
        <v>0.35399999999999998</v>
      </c>
      <c r="F6" s="15">
        <f>INDEX(AVA_2!$A:$J,MATCH('2021'!$A6,AVA_2!$A:$A,0),MATCH('2021'!$A$1,AVA_2!$3:$3,0))</f>
        <v>1.0889202477147506E-2</v>
      </c>
      <c r="G6" s="15">
        <f>INDEX(AVA_3!$A:$J,MATCH('2021'!$A6,AVA_3!$A:$A,0),MATCH('2021'!$A$1,AVA_3!$3:$3,0))</f>
        <v>4.954677766526884E-2</v>
      </c>
      <c r="H6" s="87">
        <f>INDEX(AVA_4!$A:$J,MATCH('2021'!$A6,AVA_4!$A:$A,0),MATCH('2021'!$A$1,AVA_4!$3:$3,0))/(B6/1000)</f>
        <v>0.85808351323638465</v>
      </c>
      <c r="I6" s="89">
        <f>INDEX(AVA_5!$A:$J,MATCH('2021'!$A6,AVA_5!$A:$A,0),MATCH('2021'!$A$1,AVA_5!$3:$3,0))/(B6/1000)</f>
        <v>5.0582754307099913</v>
      </c>
      <c r="J6" s="93">
        <f>INDEX(IRA_1!$A:$J,MATCH('2021'!$A6,IRA_1!$A:$A,0),MATCH('2021'!$A$1,IRA_1!$3:$3,0))/(B6/1000)</f>
        <v>4.981207689104971E-2</v>
      </c>
      <c r="K6" s="88">
        <f>INDEX(IRA_2!$A:$J,MATCH('2021'!$A6,IRA_2!$A:$A,0),MATCH('2021'!$A$1,IRA_2!$3:$3,0))/(B6/1000)</f>
        <v>0.1842106994461461</v>
      </c>
      <c r="L6" s="15">
        <f>INDEX(IRA_3!$A:$J,MATCH('2021'!$A6,IRA_3!$A:$A,0),MATCH('2021'!$A$1,IRA_3!$3:$3,0))</f>
        <v>0.34010499885870804</v>
      </c>
      <c r="M6" s="96">
        <f>INDEX(IRA_4!$A:$J,MATCH('2021'!$A6,IRA_4!$A:$A,0),MATCH('2021'!$A$1,IRA_4!$3:$3,0))/(B6/1000)</f>
        <v>4.3552672511910258</v>
      </c>
      <c r="N6" s="61">
        <f>INDEX(INV_1!$A:$J,MATCH('2021'!$A6,INV_1!$A:$A,0),MATCH('2021'!$A$1,INV_1!$3:$3,0))</f>
        <v>8.2464887947987633E-2</v>
      </c>
      <c r="O6" s="80">
        <f>INDEX(INV_2!$A:$J,MATCH('2021'!$A6,INV_2!$A:$A,0),MATCH('2021'!$A$1,INV_2!$3:$3,0))/B6*10^6/C6</f>
        <v>0.49378135332729095</v>
      </c>
      <c r="P6" s="87">
        <f>INDEX(INV_3!$A:$J,MATCH('2021'!$A6,INV_3!$A:$A,0),MATCH('2021'!$A$1,INV_3!$3:$3,0))/B6*10^6/C6</f>
        <v>5.1045316682208686</v>
      </c>
      <c r="Q6" s="87">
        <f>INDEX(INV_4!$A:$J,MATCH('2021'!$A6,INV_4!$A:$A,0),MATCH('2021'!$A$1,INV_4!$3:$3,0))/B6*10^3/C6</f>
        <v>0.24298195411127169</v>
      </c>
      <c r="R6" s="34">
        <f>INDEX(INV_5!$A:$J,MATCH('2021'!$A6,INV_5!$A:$A,0),MATCH('2021'!$A$1,INV_5!$3:$3,0))</f>
        <v>0.1137</v>
      </c>
      <c r="S6" s="77">
        <f>INDEX(LUJ_1!$A:$J,MATCH('2021'!$A6,LUJ_1!$A:$A,0),MATCH('2021'!$A$1,LUJ_1!$3:$3,0))</f>
        <v>0.70064820271066586</v>
      </c>
      <c r="T6" s="73">
        <f>INDEX(LUJ_2!$A:$J,MATCH('2021'!$A6,LUJ_2!$A:$A,0),MATCH('2021'!$A$1,LUJ_2!$3:$3,0))</f>
        <v>0.252</v>
      </c>
      <c r="U6" s="73">
        <f>INDEX(LUJ_3!$A:$J,MATCH('2021'!$A6,LUJ_3!$A:$A,0),MATCH('2021'!$A$1,LUJ_3!$3:$3,0))</f>
        <v>0.57073684210526321</v>
      </c>
      <c r="V6" s="14">
        <f>INDEX(LUJ_4!$A:$J,MATCH('2021'!$A6,LUJ_4!$A:$A,0),MATCH('2021'!$A$1,LUJ_4!$3:$3,0))</f>
        <v>19</v>
      </c>
      <c r="W6" s="34">
        <f>INDEX(LUJ_5!$A:$J,MATCH('2021'!$A6,LUJ_5!$A:$A,0),MATCH('2021'!$A$1,LUJ_5!$3:$3,0))</f>
        <v>80.900000000000006</v>
      </c>
      <c r="X6" s="98">
        <f>1/INDEX(GUL_1!$A:$J,MATCH('2021'!$A6,GUL_1!$A:$A,0),MATCH('2021'!$A$1,GUL_1!$3:$3,0))</f>
        <v>1.4347202295552367E-2</v>
      </c>
      <c r="Y6" s="57">
        <f>INDEX(GUL_2!$A:$J,MATCH('2021'!$A6,GUL_2!$A:$A,0),MATCH('2021'!$A$1,GUL_2!$3:$3,0))</f>
        <v>25.4</v>
      </c>
      <c r="Z6" s="57">
        <f>INDEX(GUL_3!$A:$J,MATCH('2021'!$A6,GUL_3!$A:$A,0),MATCH('2021'!$A$1,GUL_3!$3:$3,0))/(B6/1000)</f>
        <v>1.0789483824702844</v>
      </c>
      <c r="AA6" s="101">
        <f>INDEX(GUL_4!$A:$J,MATCH('2021'!$A6,GUL_4!$A:$A,0),MATCH('2021'!$A$1,GUL_4!$3:$3,0))/B6/C6*10^6</f>
        <v>0.24273438609586775</v>
      </c>
      <c r="AB6" s="73">
        <f>INDEX(GUL_5!$A:$J,MATCH('2021'!$A6,GUL_5!$A:$A,0),MATCH('2021'!$A$1,GUL_5!$3:$3,0))</f>
        <v>2.9714021935571225E-2</v>
      </c>
      <c r="AC6" s="49">
        <f>INDEX(GUL_6!$A:$J,MATCH('2021'!$A6,GUL_6!$A:$A,0),MATCH('2021'!$A$1,GUL_6!$3:$3,0))</f>
        <v>7.2219963351000005E-2</v>
      </c>
      <c r="AD6" s="49">
        <f>INDEX(GUL_7!$A:$J,MATCH('2021'!$A6,GUL_7!$A:$A,0),MATCH('2021'!$A$1,GUL_7!$3:$3,0))</f>
        <v>0.15720000000000001</v>
      </c>
      <c r="AE6" s="103">
        <f>INDEX(GUL_8!$A:$J,MATCH('2021'!$A6,GUL_8!$A:$A,0),MATCH('2021'!$A$1,GUL_8!$3:$3,0))/(B6/1000)</f>
        <v>2.568611436664884</v>
      </c>
      <c r="AF6" s="41">
        <f>INDEX(DES_1!$A:$J,MATCH('2021'!$A6,DES_1!$A:$A,0),MATCH('2021'!$A$1,DES_1!$3:$3,0))/(B6/1000)</f>
        <v>4.8872226383671412E-2</v>
      </c>
      <c r="AG6" s="100">
        <f>INDEX(DES_2!$A:$J,MATCH('2021'!$A6,DES_2!$A:$A,0),MATCH('2021'!$A$1,DES_2!$3:$3,0))/(B6/1000)</f>
        <v>0.56109075290484289</v>
      </c>
      <c r="AH6" s="57">
        <f>1/INDEX(DES_3!$A:$J,MATCH('2021'!$A6,DES_3!$A:$A,0),MATCH('2021'!$A$1,DES_3!$3:$3,0))</f>
        <v>9.2081031307550652E-3</v>
      </c>
      <c r="AI6" s="80">
        <f>INDEX(DES_4!$A:$J,MATCH('2021'!$A6,DES_4!$A:$A,0),MATCH('2021'!$A$1,DES_4!$3:$3,0))</f>
        <v>0.78504112233500001</v>
      </c>
      <c r="AJ6" s="110">
        <f>INDEX(DES_5!$A:$J,MATCH('2021'!$A6,DES_5!$A:$A,0),MATCH('2021'!$A$1,DES_5!$3:$3,0))</f>
        <v>0.51626720837100004</v>
      </c>
      <c r="AK6" s="57">
        <v>18</v>
      </c>
    </row>
    <row r="7" spans="1:37" x14ac:dyDescent="0.3">
      <c r="A7" s="29" t="s">
        <v>6</v>
      </c>
      <c r="B7" s="33">
        <f>INDEX(Population!$A:$J,MATCH('2021'!$A7,Population!$A:$A,0),MATCH('2021'!$A$1,Population!$3:$3,0))</f>
        <v>2799459</v>
      </c>
      <c r="C7" s="14">
        <f>INDEX(Income!$A:$J,MATCH('2021'!$A7,Income!$A:$A,0),MATCH('2021'!$A$1,Income!$3:$3,0))</f>
        <v>35277</v>
      </c>
      <c r="D7" s="34">
        <f>INDEX(Livable_wage!$A:$J,MATCH('2021'!$A7,Livable_wage!$A:$A,0),MATCH('2021'!$A$1,Livable_wage!$3:$3,0))</f>
        <v>12284</v>
      </c>
      <c r="E7" s="41">
        <f>INDEX(AVA_1!$A:$J,MATCH('2021'!$A7,AVA_1!$A:$A,0),MATCH('2021'!$A$1,AVA_1!$3:$3,0))</f>
        <v>0.38300000000000001</v>
      </c>
      <c r="F7" s="15">
        <f>INDEX(AVA_2!$A:$J,MATCH('2021'!$A7,AVA_2!$A:$A,0),MATCH('2021'!$A$1,AVA_2!$3:$3,0))</f>
        <v>1.7864045038232083E-2</v>
      </c>
      <c r="G7" s="15">
        <f>INDEX(AVA_3!$A:$J,MATCH('2021'!$A7,AVA_3!$A:$A,0),MATCH('2021'!$A$1,AVA_3!$3:$3,0))</f>
        <v>9.2542485359318999E-2</v>
      </c>
      <c r="H7" s="87">
        <f>INDEX(AVA_4!$A:$J,MATCH('2021'!$A7,AVA_4!$A:$A,0),MATCH('2021'!$A$1,AVA_4!$3:$3,0))/(B7/1000)</f>
        <v>0.79265315191256602</v>
      </c>
      <c r="I7" s="89">
        <f>INDEX(AVA_5!$A:$J,MATCH('2021'!$A7,AVA_5!$A:$A,0),MATCH('2021'!$A$1,AVA_5!$3:$3,0))/(B7/1000)</f>
        <v>8.4530618237309429</v>
      </c>
      <c r="J7" s="93">
        <f>INDEX(IRA_1!$A:$J,MATCH('2021'!$A7,IRA_1!$A:$A,0),MATCH('2021'!$A$1,IRA_1!$3:$3,0))/(B7/1000)</f>
        <v>4.7509179452172728E-2</v>
      </c>
      <c r="K7" s="88">
        <f>INDEX(IRA_2!$A:$J,MATCH('2021'!$A7,IRA_2!$A:$A,0),MATCH('2021'!$A$1,IRA_2!$3:$3,0))/(B7/1000)</f>
        <v>0.13431166521817253</v>
      </c>
      <c r="L7" s="15">
        <f>INDEX(IRA_3!$A:$J,MATCH('2021'!$A7,IRA_3!$A:$A,0),MATCH('2021'!$A$1,IRA_3!$3:$3,0))</f>
        <v>0.39582300884955757</v>
      </c>
      <c r="M7" s="96">
        <f>INDEX(IRA_4!$A:$J,MATCH('2021'!$A7,IRA_4!$A:$A,0),MATCH('2021'!$A$1,IRA_4!$3:$3,0))/(B7/1000)</f>
        <v>6.6434264620414165</v>
      </c>
      <c r="N7" s="61">
        <f>INDEX(INV_1!$A:$J,MATCH('2021'!$A7,INV_1!$A:$A,0),MATCH('2021'!$A$1,INV_1!$3:$3,0))</f>
        <v>7.4583458145910067E-2</v>
      </c>
      <c r="O7" s="80">
        <f>INDEX(INV_2!$A:$J,MATCH('2021'!$A7,INV_2!$A:$A,0),MATCH('2021'!$A$1,INV_2!$3:$3,0))/B7*10^6/C7</f>
        <v>0.54374814922481174</v>
      </c>
      <c r="P7" s="87">
        <f>INDEX(INV_3!$A:$J,MATCH('2021'!$A7,INV_3!$A:$A,0),MATCH('2021'!$A$1,INV_3!$3:$3,0))/B7*10^6/C7</f>
        <v>5.4682265693361458</v>
      </c>
      <c r="Q7" s="87">
        <f>INDEX(INV_4!$A:$J,MATCH('2021'!$A7,INV_4!$A:$A,0),MATCH('2021'!$A$1,INV_4!$3:$3,0))/B7*10^3/C7</f>
        <v>0.29507397519854178</v>
      </c>
      <c r="R7" s="34">
        <f>INDEX(INV_5!$A:$J,MATCH('2021'!$A7,INV_5!$A:$A,0),MATCH('2021'!$A$1,INV_5!$3:$3,0))</f>
        <v>0.1608</v>
      </c>
      <c r="S7" s="77">
        <f>INDEX(LUJ_1!$A:$J,MATCH('2021'!$A7,LUJ_1!$A:$A,0),MATCH('2021'!$A$1,LUJ_1!$3:$3,0))</f>
        <v>0.68701812877682855</v>
      </c>
      <c r="T7" s="73">
        <f>INDEX(LUJ_2!$A:$J,MATCH('2021'!$A7,LUJ_2!$A:$A,0),MATCH('2021'!$A$1,LUJ_2!$3:$3,0))</f>
        <v>0.22399999999999998</v>
      </c>
      <c r="U7" s="73">
        <f>INDEX(LUJ_3!$A:$J,MATCH('2021'!$A7,LUJ_3!$A:$A,0),MATCH('2021'!$A$1,LUJ_3!$3:$3,0))</f>
        <v>0.54529020620379864</v>
      </c>
      <c r="V7" s="14">
        <f>INDEX(LUJ_4!$A:$J,MATCH('2021'!$A7,LUJ_4!$A:$A,0),MATCH('2021'!$A$1,LUJ_4!$3:$3,0))</f>
        <v>81</v>
      </c>
      <c r="W7" s="34">
        <f>INDEX(LUJ_5!$A:$J,MATCH('2021'!$A7,LUJ_5!$A:$A,0),MATCH('2021'!$A$1,LUJ_5!$3:$3,0))</f>
        <v>65.8</v>
      </c>
      <c r="X7" s="98">
        <f>1/INDEX(GUL_1!$A:$J,MATCH('2021'!$A7,GUL_1!$A:$A,0),MATCH('2021'!$A$1,GUL_1!$3:$3,0))</f>
        <v>1.4452955629426218E-2</v>
      </c>
      <c r="Y7" s="57">
        <f>INDEX(GUL_2!$A:$J,MATCH('2021'!$A7,GUL_2!$A:$A,0),MATCH('2021'!$A$1,GUL_2!$3:$3,0))</f>
        <v>25.8</v>
      </c>
      <c r="Z7" s="57">
        <f>INDEX(GUL_3!$A:$J,MATCH('2021'!$A7,GUL_3!$A:$A,0),MATCH('2021'!$A$1,GUL_3!$3:$3,0))/(B7/1000)</f>
        <v>0.60047316285039365</v>
      </c>
      <c r="AA7" s="101">
        <f>INDEX(GUL_4!$A:$J,MATCH('2021'!$A7,GUL_4!$A:$A,0),MATCH('2021'!$A$1,GUL_4!$3:$3,0))/B7/C7*10^6</f>
        <v>0.34557011201320215</v>
      </c>
      <c r="AB7" s="73">
        <f>INDEX(GUL_5!$A:$J,MATCH('2021'!$A7,GUL_5!$A:$A,0),MATCH('2021'!$A$1,GUL_5!$3:$3,0))</f>
        <v>5.3923141616105431E-2</v>
      </c>
      <c r="AC7" s="49">
        <f>INDEX(GUL_6!$A:$J,MATCH('2021'!$A7,GUL_6!$A:$A,0),MATCH('2021'!$A$1,GUL_6!$3:$3,0))</f>
        <v>4.1617187102999997E-2</v>
      </c>
      <c r="AD7" s="49">
        <f>INDEX(GUL_7!$A:$J,MATCH('2021'!$A7,GUL_7!$A:$A,0),MATCH('2021'!$A$1,GUL_7!$3:$3,0))</f>
        <v>0.22870000000000001</v>
      </c>
      <c r="AE7" s="103">
        <f>INDEX(GUL_8!$A:$J,MATCH('2021'!$A7,GUL_8!$A:$A,0),MATCH('2021'!$A$1,GUL_8!$3:$3,0))/(B7/1000)</f>
        <v>1.6035241094797246</v>
      </c>
      <c r="AF7" s="41">
        <f>INDEX(DES_1!$A:$J,MATCH('2021'!$A7,DES_1!$A:$A,0),MATCH('2021'!$A$1,DES_1!$3:$3,0))/(B7/1000)</f>
        <v>0.14538523336116016</v>
      </c>
      <c r="AG7" s="100">
        <f>INDEX(DES_2!$A:$J,MATCH('2021'!$A7,DES_2!$A:$A,0),MATCH('2021'!$A$1,DES_2!$3:$3,0))/(B7/1000)</f>
        <v>0.33613637492101156</v>
      </c>
      <c r="AH7" s="57">
        <f>1/INDEX(DES_3!$A:$J,MATCH('2021'!$A7,DES_3!$A:$A,0),MATCH('2021'!$A$1,DES_3!$3:$3,0))</f>
        <v>7.9936051159072742E-3</v>
      </c>
      <c r="AI7" s="80">
        <f>INDEX(DES_4!$A:$J,MATCH('2021'!$A7,DES_4!$A:$A,0),MATCH('2021'!$A$1,DES_4!$3:$3,0))</f>
        <v>0.82921742247800001</v>
      </c>
      <c r="AJ7" s="110">
        <f>INDEX(DES_5!$A:$J,MATCH('2021'!$A7,DES_5!$A:$A,0),MATCH('2021'!$A$1,DES_5!$3:$3,0))</f>
        <v>0.75105272228700004</v>
      </c>
      <c r="AK7" s="57">
        <v>19</v>
      </c>
    </row>
    <row r="8" spans="1:37" x14ac:dyDescent="0.3">
      <c r="A8" s="29" t="s">
        <v>7</v>
      </c>
      <c r="B8" s="33">
        <f>INDEX(Population!$A:$J,MATCH('2021'!$A8,Population!$A:$A,0),MATCH('2021'!$A$1,Population!$3:$3,0))</f>
        <v>41494</v>
      </c>
      <c r="C8" s="14">
        <f>INDEX(Income!$A:$J,MATCH('2021'!$A8,Income!$A:$A,0),MATCH('2021'!$A$1,Income!$3:$3,0))</f>
        <v>86431</v>
      </c>
      <c r="D8" s="34">
        <f>INDEX(Livable_wage!$A:$J,MATCH('2021'!$A8,Livable_wage!$A:$A,0),MATCH('2021'!$A$1,Livable_wage!$3:$3,0))</f>
        <v>22219</v>
      </c>
      <c r="E8" s="41">
        <f>INDEX(AVA_1!$A:$J,MATCH('2021'!$A8,AVA_1!$A:$A,0),MATCH('2021'!$A$1,AVA_1!$3:$3,0))</f>
        <v>0.42399999999999999</v>
      </c>
      <c r="F8" s="15">
        <f>INDEX(AVA_2!$A:$J,MATCH('2021'!$A8,AVA_2!$A:$A,0),MATCH('2021'!$A$1,AVA_2!$3:$3,0))</f>
        <v>6.4093822446474836E-3</v>
      </c>
      <c r="G8" s="15">
        <f>INDEX(AVA_3!$A:$J,MATCH('2021'!$A8,AVA_3!$A:$A,0),MATCH('2021'!$A$1,AVA_3!$3:$3,0))</f>
        <v>2.4476132007310577E-2</v>
      </c>
      <c r="H8" s="87">
        <f>INDEX(AVA_4!$A:$J,MATCH('2021'!$A8,AVA_4!$A:$A,0),MATCH('2021'!$A$1,AVA_4!$3:$3,0))/(B8/1000)</f>
        <v>4.7958741022798481</v>
      </c>
      <c r="I8" s="89">
        <f>INDEX(AVA_5!$A:$J,MATCH('2021'!$A8,AVA_5!$A:$A,0),MATCH('2021'!$A$1,AVA_5!$3:$3,0))/(B8/1000)</f>
        <v>4.6271750132549281</v>
      </c>
      <c r="J8" s="93">
        <f>INDEX(IRA_1!$A:$J,MATCH('2021'!$A8,IRA_1!$A:$A,0),MATCH('2021'!$A$1,IRA_1!$3:$3,0))/(B8/1000)</f>
        <v>0.1445992191642165</v>
      </c>
      <c r="K8" s="88">
        <f>INDEX(IRA_2!$A:$J,MATCH('2021'!$A8,IRA_2!$A:$A,0),MATCH('2021'!$A$1,IRA_2!$3:$3,0))/(B8/1000)</f>
        <v>0.21689882874632477</v>
      </c>
      <c r="L8" s="15">
        <f>INDEX(IRA_3!$A:$J,MATCH('2021'!$A8,IRA_3!$A:$A,0),MATCH('2021'!$A$1,IRA_3!$3:$3,0))</f>
        <v>0.45744680851063835</v>
      </c>
      <c r="M8" s="96">
        <f>INDEX(IRA_4!$A:$J,MATCH('2021'!$A8,IRA_4!$A:$A,0),MATCH('2021'!$A$1,IRA_4!$3:$3,0))/(B8/1000)</f>
        <v>4.6271750132549281</v>
      </c>
      <c r="N8" s="61">
        <f>INDEX(INV_1!$A:$J,MATCH('2021'!$A8,INV_1!$A:$A,0),MATCH('2021'!$A$1,INV_1!$3:$3,0))</f>
        <v>6.7892188642065976E-2</v>
      </c>
      <c r="O8" s="80">
        <f>INDEX(INV_2!$A:$J,MATCH('2021'!$A8,INV_2!$A:$A,0),MATCH('2021'!$A$1,INV_2!$3:$3,0))/B8*10^6/C8</f>
        <v>9.2395453138596775E-2</v>
      </c>
      <c r="P8" s="87">
        <f>INDEX(INV_3!$A:$J,MATCH('2021'!$A8,INV_3!$A:$A,0),MATCH('2021'!$A$1,INV_3!$3:$3,0))/B8*10^6/C8</f>
        <v>2.9681840389117422</v>
      </c>
      <c r="Q8" s="87">
        <f>INDEX(INV_4!$A:$J,MATCH('2021'!$A8,INV_4!$A:$A,0),MATCH('2021'!$A$1,INV_4!$3:$3,0))/B8*10^3/C8</f>
        <v>5.946687710635145E-2</v>
      </c>
      <c r="R8" s="34">
        <f>INDEX(INV_5!$A:$J,MATCH('2021'!$A8,INV_5!$A:$A,0),MATCH('2021'!$A$1,INV_5!$3:$3,0))</f>
        <v>3.7100000000000001E-2</v>
      </c>
      <c r="S8" s="77">
        <f>INDEX(LUJ_1!$A:$J,MATCH('2021'!$A8,LUJ_1!$A:$A,0),MATCH('2021'!$A$1,LUJ_1!$3:$3,0))</f>
        <v>0.85436893203883491</v>
      </c>
      <c r="T8" s="73">
        <f>INDEX(LUJ_2!$A:$J,MATCH('2021'!$A8,LUJ_2!$A:$A,0),MATCH('2021'!$A$1,LUJ_2!$3:$3,0))</f>
        <v>0.39799999999999996</v>
      </c>
      <c r="U8" s="73">
        <f>INDEX(LUJ_3!$A:$J,MATCH('2021'!$A8,LUJ_3!$A:$A,0),MATCH('2021'!$A$1,LUJ_3!$3:$3,0))</f>
        <v>0.42935779816513764</v>
      </c>
      <c r="V8" s="14">
        <f>INDEX(LUJ_4!$A:$J,MATCH('2021'!$A8,LUJ_4!$A:$A,0),MATCH('2021'!$A$1,LUJ_4!$3:$3,0))</f>
        <v>2</v>
      </c>
      <c r="W8" s="34">
        <f>INDEX(LUJ_5!$A:$J,MATCH('2021'!$A8,LUJ_5!$A:$A,0),MATCH('2021'!$A$1,LUJ_5!$3:$3,0))</f>
        <v>29.3</v>
      </c>
      <c r="X8" s="98">
        <f>1/INDEX(GUL_1!$A:$J,MATCH('2021'!$A8,GUL_1!$A:$A,0),MATCH('2021'!$A$1,GUL_1!$3:$3,0))</f>
        <v>1.4411298457991065E-2</v>
      </c>
      <c r="Y8" s="57">
        <f>INDEX(GUL_2!$A:$J,MATCH('2021'!$A8,GUL_2!$A:$A,0),MATCH('2021'!$A$1,GUL_2!$3:$3,0))</f>
        <v>25.5</v>
      </c>
      <c r="Z8" s="57">
        <f>INDEX(GUL_3!$A:$J,MATCH('2021'!$A8,GUL_3!$A:$A,0),MATCH('2021'!$A$1,GUL_3!$3:$3,0))/(B8/1000)</f>
        <v>1.2531932327565432</v>
      </c>
      <c r="AA8" s="101">
        <f>INDEX(GUL_4!$A:$J,MATCH('2021'!$A8,GUL_4!$A:$A,0),MATCH('2021'!$A$1,GUL_4!$3:$3,0))/B8/C8*10^6</f>
        <v>0.46470413520435033</v>
      </c>
      <c r="AB8" s="73">
        <f>INDEX(GUL_5!$A:$J,MATCH('2021'!$A8,GUL_5!$A:$A,0),MATCH('2021'!$A$1,GUL_5!$3:$3,0))</f>
        <v>3.1213005822062233E-2</v>
      </c>
      <c r="AC8" s="49">
        <f>INDEX(GUL_6!$A:$J,MATCH('2021'!$A8,GUL_6!$A:$A,0),MATCH('2021'!$A$1,GUL_6!$3:$3,0))</f>
        <v>1.0276872939999999E-2</v>
      </c>
      <c r="AD8" s="49">
        <f>INDEX(GUL_7!$A:$J,MATCH('2021'!$A8,GUL_7!$A:$A,0),MATCH('2021'!$A$1,GUL_7!$3:$3,0))</f>
        <v>0.2429</v>
      </c>
      <c r="AE8" s="103">
        <f>INDEX(GUL_8!$A:$J,MATCH('2021'!$A8,GUL_8!$A:$A,0),MATCH('2021'!$A$1,GUL_8!$3:$3,0))/(B8/1000)</f>
        <v>3.807779437991035</v>
      </c>
      <c r="AF8" s="41">
        <f>INDEX(DES_1!$A:$J,MATCH('2021'!$A8,DES_1!$A:$A,0),MATCH('2021'!$A$1,DES_1!$3:$3,0))/(B8/1000)</f>
        <v>0.33739817804983852</v>
      </c>
      <c r="AG8" s="100">
        <f>INDEX(DES_2!$A:$J,MATCH('2021'!$A8,DES_2!$A:$A,0),MATCH('2021'!$A$1,DES_2!$3:$3,0))/(B8/1000)</f>
        <v>0.38559791777124403</v>
      </c>
      <c r="AH8" s="57">
        <f>1/INDEX(DES_3!$A:$J,MATCH('2021'!$A8,DES_3!$A:$A,0),MATCH('2021'!$A$1,DES_3!$3:$3,0))</f>
        <v>9.5147478591817315E-3</v>
      </c>
      <c r="AI8" s="80">
        <f>INDEX(DES_4!$A:$J,MATCH('2021'!$A8,DES_4!$A:$A,0),MATCH('2021'!$A$1,DES_4!$3:$3,0))</f>
        <v>0.17217345770100001</v>
      </c>
      <c r="AJ8" s="110">
        <f>INDEX(DES_5!$A:$J,MATCH('2021'!$A8,DES_5!$A:$A,0),MATCH('2021'!$A$1,DES_5!$3:$3,0))</f>
        <v>0.199307854216</v>
      </c>
      <c r="AK8" s="57">
        <v>3</v>
      </c>
    </row>
    <row r="9" spans="1:37" x14ac:dyDescent="0.3">
      <c r="A9" s="29" t="s">
        <v>8</v>
      </c>
      <c r="B9" s="33">
        <f>INDEX(Population!$A:$J,MATCH('2021'!$A9,Population!$A:$A,0),MATCH('2021'!$A$1,Population!$3:$3,0))</f>
        <v>136627</v>
      </c>
      <c r="C9" s="14">
        <f>INDEX(Income!$A:$J,MATCH('2021'!$A9,Income!$A:$A,0),MATCH('2021'!$A$1,Income!$3:$3,0))</f>
        <v>80979</v>
      </c>
      <c r="D9" s="34">
        <f>INDEX(Livable_wage!$A:$J,MATCH('2021'!$A9,Livable_wage!$A:$A,0),MATCH('2021'!$A$1,Livable_wage!$3:$3,0))</f>
        <v>21102</v>
      </c>
      <c r="E9" s="41">
        <f>INDEX(AVA_1!$A:$J,MATCH('2021'!$A9,AVA_1!$A:$A,0),MATCH('2021'!$A$1,AVA_1!$3:$3,0))</f>
        <v>0.39900000000000002</v>
      </c>
      <c r="F9" s="15">
        <f>INDEX(AVA_2!$A:$J,MATCH('2021'!$A9,AVA_2!$A:$A,0),MATCH('2021'!$A$1,AVA_2!$3:$3,0))</f>
        <v>1.0033065658951346E-2</v>
      </c>
      <c r="G9" s="15">
        <f>INDEX(AVA_3!$A:$J,MATCH('2021'!$A9,AVA_3!$A:$A,0),MATCH('2021'!$A$1,AVA_3!$3:$3,0))</f>
        <v>2.196646638749195E-3</v>
      </c>
      <c r="H9" s="87">
        <f>INDEX(AVA_4!$A:$J,MATCH('2021'!$A9,AVA_4!$A:$A,0),MATCH('2021'!$A$1,AVA_4!$3:$3,0))/(B9/1000)</f>
        <v>1.0612836408616158</v>
      </c>
      <c r="I9" s="89">
        <f>INDEX(AVA_5!$A:$J,MATCH('2021'!$A9,AVA_5!$A:$A,0),MATCH('2021'!$A$1,AVA_5!$3:$3,0))/(B9/1000)</f>
        <v>4.6403712296983759</v>
      </c>
      <c r="J9" s="93">
        <f>INDEX(IRA_1!$A:$J,MATCH('2021'!$A9,IRA_1!$A:$A,0),MATCH('2021'!$A$1,IRA_1!$3:$3,0))/(B9/1000)</f>
        <v>8.0511172755019136E-2</v>
      </c>
      <c r="K9" s="88">
        <f>INDEX(IRA_2!$A:$J,MATCH('2021'!$A9,IRA_2!$A:$A,0),MATCH('2021'!$A$1,IRA_2!$3:$3,0))/(B9/1000)</f>
        <v>0.21225672817232316</v>
      </c>
      <c r="L9" s="15">
        <f>INDEX(IRA_3!$A:$J,MATCH('2021'!$A9,IRA_3!$A:$A,0),MATCH('2021'!$A$1,IRA_3!$3:$3,0))</f>
        <v>0.4273021001615509</v>
      </c>
      <c r="M9" s="96">
        <f>INDEX(IRA_4!$A:$J,MATCH('2021'!$A9,IRA_4!$A:$A,0),MATCH('2021'!$A$1,IRA_4!$3:$3,0))/(B9/1000)</f>
        <v>5.1380766612748578</v>
      </c>
      <c r="N9" s="61">
        <f>INDEX(INV_1!$A:$J,MATCH('2021'!$A9,INV_1!$A:$A,0),MATCH('2021'!$A$1,INV_1!$3:$3,0))</f>
        <v>6.5480698198462403E-2</v>
      </c>
      <c r="O9" s="80">
        <f>INDEX(INV_2!$A:$J,MATCH('2021'!$A9,INV_2!$A:$A,0),MATCH('2021'!$A$1,INV_2!$3:$3,0))/B9*10^6/C9</f>
        <v>0.22527661369368127</v>
      </c>
      <c r="P9" s="87">
        <f>INDEX(INV_3!$A:$J,MATCH('2021'!$A9,INV_3!$A:$A,0),MATCH('2021'!$A$1,INV_3!$3:$3,0))/B9*10^6/C9</f>
        <v>3.7145973623754047</v>
      </c>
      <c r="Q9" s="87">
        <f>INDEX(INV_4!$A:$J,MATCH('2021'!$A9,INV_4!$A:$A,0),MATCH('2021'!$A$1,INV_4!$3:$3,0))/B9*10^3/C9</f>
        <v>0.19808369269186349</v>
      </c>
      <c r="R9" s="34">
        <f>INDEX(INV_5!$A:$J,MATCH('2021'!$A9,INV_5!$A:$A,0),MATCH('2021'!$A$1,INV_5!$3:$3,0))</f>
        <v>6.7699999999999996E-2</v>
      </c>
      <c r="S9" s="77">
        <f>INDEX(LUJ_1!$A:$J,MATCH('2021'!$A9,LUJ_1!$A:$A,0),MATCH('2021'!$A$1,LUJ_1!$3:$3,0))</f>
        <v>0.79685966633954852</v>
      </c>
      <c r="T9" s="73">
        <f>INDEX(LUJ_2!$A:$J,MATCH('2021'!$A9,LUJ_2!$A:$A,0),MATCH('2021'!$A$1,LUJ_2!$3:$3,0))</f>
        <v>0.34399999999999997</v>
      </c>
      <c r="U9" s="73">
        <f>INDEX(LUJ_3!$A:$J,MATCH('2021'!$A9,LUJ_3!$A:$A,0),MATCH('2021'!$A$1,LUJ_3!$3:$3,0))</f>
        <v>0.69423558897243109</v>
      </c>
      <c r="V9" s="14">
        <f>INDEX(LUJ_4!$A:$J,MATCH('2021'!$A9,LUJ_4!$A:$A,0),MATCH('2021'!$A$1,LUJ_4!$3:$3,0))</f>
        <v>4</v>
      </c>
      <c r="W9" s="34">
        <f>INDEX(LUJ_5!$A:$J,MATCH('2021'!$A9,LUJ_5!$A:$A,0),MATCH('2021'!$A$1,LUJ_5!$3:$3,0))</f>
        <v>36</v>
      </c>
      <c r="X9" s="98">
        <f>1/INDEX(GUL_1!$A:$J,MATCH('2021'!$A9,GUL_1!$A:$A,0),MATCH('2021'!$A$1,GUL_1!$3:$3,0))</f>
        <v>1.4834594273846612E-2</v>
      </c>
      <c r="Y9" s="57">
        <f>INDEX(GUL_2!$A:$J,MATCH('2021'!$A9,GUL_2!$A:$A,0),MATCH('2021'!$A$1,GUL_2!$3:$3,0))</f>
        <v>25.900000000000002</v>
      </c>
      <c r="Z9" s="57">
        <f>INDEX(GUL_3!$A:$J,MATCH('2021'!$A9,GUL_3!$A:$A,0),MATCH('2021'!$A$1,GUL_3!$3:$3,0))/(B9/1000)</f>
        <v>1.2149867888484707</v>
      </c>
      <c r="AA9" s="101">
        <f>INDEX(GUL_4!$A:$J,MATCH('2021'!$A9,GUL_4!$A:$A,0),MATCH('2021'!$A$1,GUL_4!$3:$3,0))/B9/C9*10^6</f>
        <v>0.29451502163917054</v>
      </c>
      <c r="AB9" s="73">
        <f>INDEX(GUL_5!$A:$J,MATCH('2021'!$A9,GUL_5!$A:$A,0),MATCH('2021'!$A$1,GUL_5!$3:$3,0))</f>
        <v>2.0197516404818563E-2</v>
      </c>
      <c r="AC9" s="49">
        <f>INDEX(GUL_6!$A:$J,MATCH('2021'!$A9,GUL_6!$A:$A,0),MATCH('2021'!$A$1,GUL_6!$3:$3,0))</f>
        <v>8.2992020610000009E-2</v>
      </c>
      <c r="AD9" s="49">
        <f>INDEX(GUL_7!$A:$J,MATCH('2021'!$A9,GUL_7!$A:$A,0),MATCH('2021'!$A$1,GUL_7!$3:$3,0))</f>
        <v>0.24660000000000001</v>
      </c>
      <c r="AE9" s="103">
        <f>INDEX(GUL_8!$A:$J,MATCH('2021'!$A9,GUL_8!$A:$A,0),MATCH('2021'!$A$1,GUL_8!$3:$3,0))/(B9/1000)</f>
        <v>2.8325294414720368</v>
      </c>
      <c r="AF9" s="41">
        <f>INDEX(DES_1!$A:$J,MATCH('2021'!$A9,DES_1!$A:$A,0),MATCH('2021'!$A$1,DES_1!$3:$3,0))/(B9/1000)</f>
        <v>6.5872777708652019E-2</v>
      </c>
      <c r="AG9" s="100">
        <f>INDEX(DES_2!$A:$J,MATCH('2021'!$A9,DES_2!$A:$A,0),MATCH('2021'!$A$1,DES_2!$3:$3,0))/(B9/1000)</f>
        <v>0.79779253002700778</v>
      </c>
      <c r="AH9" s="57">
        <f>1/INDEX(DES_3!$A:$J,MATCH('2021'!$A9,DES_3!$A:$A,0),MATCH('2021'!$A$1,DES_3!$3:$3,0))</f>
        <v>6.369426751592357E-3</v>
      </c>
      <c r="AI9" s="80">
        <f>INDEX(DES_4!$A:$J,MATCH('2021'!$A9,DES_4!$A:$A,0),MATCH('2021'!$A$1,DES_4!$3:$3,0))</f>
        <v>0.63237602893400002</v>
      </c>
      <c r="AJ9" s="110">
        <f>INDEX(DES_5!$A:$J,MATCH('2021'!$A9,DES_5!$A:$A,0),MATCH('2021'!$A$1,DES_5!$3:$3,0))</f>
        <v>0.58568691629299996</v>
      </c>
      <c r="AK9" s="57">
        <v>7</v>
      </c>
    </row>
    <row r="10" spans="1:37" x14ac:dyDescent="0.3">
      <c r="A10" s="29" t="s">
        <v>9</v>
      </c>
      <c r="B10" s="33">
        <f>INDEX(Population!$A:$J,MATCH('2021'!$A10,Population!$A:$A,0),MATCH('2021'!$A$1,Population!$3:$3,0))</f>
        <v>292913</v>
      </c>
      <c r="C10" s="14">
        <f>INDEX(Income!$A:$J,MATCH('2021'!$A10,Income!$A:$A,0),MATCH('2021'!$A$1,Income!$3:$3,0))</f>
        <v>60792</v>
      </c>
      <c r="D10" s="34">
        <f>INDEX(Livable_wage!$A:$J,MATCH('2021'!$A10,Livable_wage!$A:$A,0),MATCH('2021'!$A$1,Livable_wage!$3:$3,0))</f>
        <v>21797</v>
      </c>
      <c r="E10" s="41">
        <f>INDEX(AVA_1!$A:$J,MATCH('2021'!$A10,AVA_1!$A:$A,0),MATCH('2021'!$A$1,AVA_1!$3:$3,0))</f>
        <v>0.38</v>
      </c>
      <c r="F10" s="15">
        <f>INDEX(AVA_2!$A:$J,MATCH('2021'!$A10,AVA_2!$A:$A,0),MATCH('2021'!$A$1,AVA_2!$3:$3,0))</f>
        <v>1.0747163942848414E-2</v>
      </c>
      <c r="G10" s="15">
        <f>INDEX(AVA_3!$A:$J,MATCH('2021'!$A10,AVA_3!$A:$A,0),MATCH('2021'!$A$1,AVA_3!$3:$3,0))</f>
        <v>1.4821388835619226E-2</v>
      </c>
      <c r="H10" s="87">
        <f>INDEX(AVA_4!$A:$J,MATCH('2021'!$A10,AVA_4!$A:$A,0),MATCH('2021'!$A$1,AVA_4!$3:$3,0))/(B10/1000)</f>
        <v>1.0583347273763881</v>
      </c>
      <c r="I10" s="89">
        <f>INDEX(AVA_5!$A:$J,MATCH('2021'!$A10,AVA_5!$A:$A,0),MATCH('2021'!$A$1,AVA_5!$3:$3,0))/(B10/1000)</f>
        <v>6.3875621771652336</v>
      </c>
      <c r="J10" s="93">
        <f>INDEX(IRA_1!$A:$J,MATCH('2021'!$A10,IRA_1!$A:$A,0),MATCH('2021'!$A$1,IRA_1!$3:$3,0))/(B10/1000)</f>
        <v>0.10924745572917555</v>
      </c>
      <c r="K10" s="88">
        <f>INDEX(IRA_2!$A:$J,MATCH('2021'!$A10,IRA_2!$A:$A,0),MATCH('2021'!$A$1,IRA_2!$3:$3,0))/(B10/1000)</f>
        <v>0.20483897949220417</v>
      </c>
      <c r="L10" s="15">
        <f>INDEX(IRA_3!$A:$J,MATCH('2021'!$A10,IRA_3!$A:$A,0),MATCH('2021'!$A$1,IRA_3!$3:$3,0))</f>
        <v>0.4513303049967553</v>
      </c>
      <c r="M10" s="96">
        <f>INDEX(IRA_4!$A:$J,MATCH('2021'!$A10,IRA_4!$A:$A,0),MATCH('2021'!$A$1,IRA_4!$3:$3,0))/(B10/1000)</f>
        <v>4.0284999300133482</v>
      </c>
      <c r="N10" s="61">
        <f>INDEX(INV_1!$A:$J,MATCH('2021'!$A10,INV_1!$A:$A,0),MATCH('2021'!$A$1,INV_1!$3:$3,0))</f>
        <v>8.1259502967649985E-2</v>
      </c>
      <c r="O10" s="80">
        <f>INDEX(INV_2!$A:$J,MATCH('2021'!$A10,INV_2!$A:$A,0),MATCH('2021'!$A$1,INV_2!$3:$3,0))/B10*10^6/C10</f>
        <v>0.18699715466785141</v>
      </c>
      <c r="P10" s="87">
        <f>INDEX(INV_3!$A:$J,MATCH('2021'!$A10,INV_3!$A:$A,0),MATCH('2021'!$A$1,INV_3!$3:$3,0))/B10*10^6/C10</f>
        <v>4.0967571264739586</v>
      </c>
      <c r="Q10" s="87">
        <f>INDEX(INV_4!$A:$J,MATCH('2021'!$A10,INV_4!$A:$A,0),MATCH('2021'!$A$1,INV_4!$3:$3,0))/B10*10^3/C10</f>
        <v>0.28404901758591522</v>
      </c>
      <c r="R10" s="34">
        <f>INDEX(INV_5!$A:$J,MATCH('2021'!$A10,INV_5!$A:$A,0),MATCH('2021'!$A$1,INV_5!$3:$3,0))</f>
        <v>0.1648</v>
      </c>
      <c r="S10" s="77">
        <f>INDEX(LUJ_1!$A:$J,MATCH('2021'!$A10,LUJ_1!$A:$A,0),MATCH('2021'!$A$1,LUJ_1!$3:$3,0))</f>
        <v>0.73205928237129481</v>
      </c>
      <c r="T10" s="73">
        <f>INDEX(LUJ_2!$A:$J,MATCH('2021'!$A10,LUJ_2!$A:$A,0),MATCH('2021'!$A$1,LUJ_2!$3:$3,0))</f>
        <v>0.26200000000000001</v>
      </c>
      <c r="U10" s="73">
        <f>INDEX(LUJ_3!$A:$J,MATCH('2021'!$A10,LUJ_3!$A:$A,0),MATCH('2021'!$A$1,LUJ_3!$3:$3,0))</f>
        <v>0.47872685936992532</v>
      </c>
      <c r="V10" s="14">
        <f>INDEX(LUJ_4!$A:$J,MATCH('2021'!$A10,LUJ_4!$A:$A,0),MATCH('2021'!$A$1,LUJ_4!$3:$3,0))</f>
        <v>15</v>
      </c>
      <c r="W10" s="34">
        <f>INDEX(LUJ_5!$A:$J,MATCH('2021'!$A10,LUJ_5!$A:$A,0),MATCH('2021'!$A$1,LUJ_5!$3:$3,0))</f>
        <v>29.2</v>
      </c>
      <c r="X10" s="98">
        <f>1/INDEX(GUL_1!$A:$J,MATCH('2021'!$A10,GUL_1!$A:$A,0),MATCH('2021'!$A$1,GUL_1!$3:$3,0))</f>
        <v>1.46864444118079E-2</v>
      </c>
      <c r="Y10" s="57">
        <f>INDEX(GUL_2!$A:$J,MATCH('2021'!$A10,GUL_2!$A:$A,0),MATCH('2021'!$A$1,GUL_2!$3:$3,0))</f>
        <v>24.7</v>
      </c>
      <c r="Z10" s="57">
        <f>INDEX(GUL_3!$A:$J,MATCH('2021'!$A10,GUL_3!$A:$A,0),MATCH('2021'!$A$1,GUL_3!$3:$3,0))/(B10/1000)</f>
        <v>0.73742032617193498</v>
      </c>
      <c r="AA10" s="101">
        <f>INDEX(GUL_4!$A:$J,MATCH('2021'!$A10,GUL_4!$A:$A,0),MATCH('2021'!$A$1,GUL_4!$3:$3,0))/B10/C10*10^6</f>
        <v>0.38114161674662245</v>
      </c>
      <c r="AB10" s="73">
        <f>INDEX(GUL_5!$A:$J,MATCH('2021'!$A10,GUL_5!$A:$A,0),MATCH('2021'!$A$1,GUL_5!$3:$3,0))</f>
        <v>3.9710330727619716E-2</v>
      </c>
      <c r="AC10" s="49">
        <f>INDEX(GUL_6!$A:$J,MATCH('2021'!$A10,GUL_6!$A:$A,0),MATCH('2021'!$A$1,GUL_6!$3:$3,0))</f>
        <v>3.7318345683999998E-2</v>
      </c>
      <c r="AD10" s="49">
        <f>INDEX(GUL_7!$A:$J,MATCH('2021'!$A10,GUL_7!$A:$A,0),MATCH('2021'!$A$1,GUL_7!$3:$3,0))</f>
        <v>0.25230000000000002</v>
      </c>
      <c r="AE10" s="103">
        <f>INDEX(GUL_8!$A:$J,MATCH('2021'!$A10,GUL_8!$A:$A,0),MATCH('2021'!$A$1,GUL_8!$3:$3,0))/(B10/1000)</f>
        <v>3.2466978249514358</v>
      </c>
      <c r="AF10" s="41">
        <f>INDEX(DES_1!$A:$J,MATCH('2021'!$A10,DES_1!$A:$A,0),MATCH('2021'!$A$1,DES_1!$3:$3,0))/(B10/1000)</f>
        <v>3.4139829915367362E-2</v>
      </c>
      <c r="AG10" s="100">
        <f>INDEX(DES_2!$A:$J,MATCH('2021'!$A10,DES_2!$A:$A,0),MATCH('2021'!$A$1,DES_2!$3:$3,0))/(B10/1000)</f>
        <v>0.79887202001959623</v>
      </c>
      <c r="AH10" s="57">
        <f>1/INDEX(DES_3!$A:$J,MATCH('2021'!$A10,DES_3!$A:$A,0),MATCH('2021'!$A$1,DES_3!$3:$3,0))</f>
        <v>7.7700077700077709E-3</v>
      </c>
      <c r="AI10" s="80">
        <f>INDEX(DES_4!$A:$J,MATCH('2021'!$A10,DES_4!$A:$A,0),MATCH('2021'!$A$1,DES_4!$3:$3,0))</f>
        <v>0.70943215204300003</v>
      </c>
      <c r="AJ10" s="110">
        <f>INDEX(DES_5!$A:$J,MATCH('2021'!$A10,DES_5!$A:$A,0),MATCH('2021'!$A$1,DES_5!$3:$3,0))</f>
        <v>0.51736972131400005</v>
      </c>
      <c r="AK10" s="57">
        <v>8</v>
      </c>
    </row>
    <row r="11" spans="1:37" x14ac:dyDescent="0.3">
      <c r="A11" s="29" t="s">
        <v>10</v>
      </c>
      <c r="B11" s="33">
        <f>INDEX(Population!$A:$J,MATCH('2021'!$A11,Population!$A:$A,0),MATCH('2021'!$A$1,Population!$3:$3,0))</f>
        <v>1850077</v>
      </c>
      <c r="C11" s="14">
        <f>INDEX(Income!$A:$J,MATCH('2021'!$A11,Income!$A:$A,0),MATCH('2021'!$A$1,Income!$3:$3,0))</f>
        <v>40843</v>
      </c>
      <c r="D11" s="34">
        <f>INDEX(Livable_wage!$A:$J,MATCH('2021'!$A11,Livable_wage!$A:$A,0),MATCH('2021'!$A$1,Livable_wage!$3:$3,0))</f>
        <v>13963</v>
      </c>
      <c r="E11" s="41">
        <f>INDEX(AVA_1!$A:$J,MATCH('2021'!$A11,AVA_1!$A:$A,0),MATCH('2021'!$A$1,AVA_1!$3:$3,0))</f>
        <v>0.373</v>
      </c>
      <c r="F11" s="15">
        <f>INDEX(AVA_2!$A:$J,MATCH('2021'!$A11,AVA_2!$A:$A,0),MATCH('2021'!$A$1,AVA_2!$3:$3,0))</f>
        <v>1.0600925933106374E-2</v>
      </c>
      <c r="G11" s="15">
        <f>INDEX(AVA_3!$A:$J,MATCH('2021'!$A11,AVA_3!$A:$A,0),MATCH('2021'!$A$1,AVA_3!$3:$3,0))</f>
        <v>0.31676432065210874</v>
      </c>
      <c r="H11" s="87">
        <f>INDEX(AVA_4!$A:$J,MATCH('2021'!$A11,AVA_4!$A:$A,0),MATCH('2021'!$A$1,AVA_4!$3:$3,0))/(B11/1000)</f>
        <v>0.81726328147423055</v>
      </c>
      <c r="I11" s="89">
        <f>INDEX(AVA_5!$A:$J,MATCH('2021'!$A11,AVA_5!$A:$A,0),MATCH('2021'!$A$1,AVA_5!$3:$3,0))/(B11/1000)</f>
        <v>6.594860646340666</v>
      </c>
      <c r="J11" s="93">
        <f>INDEX(IRA_1!$A:$J,MATCH('2021'!$A11,IRA_1!$A:$A,0),MATCH('2021'!$A$1,IRA_1!$3:$3,0))/(B11/1000)</f>
        <v>7.1348381716004258E-2</v>
      </c>
      <c r="K11" s="88">
        <f>INDEX(IRA_2!$A:$J,MATCH('2021'!$A11,IRA_2!$A:$A,0),MATCH('2021'!$A$1,IRA_2!$3:$3,0))/(B11/1000)</f>
        <v>0.25566503448234856</v>
      </c>
      <c r="L11" s="15">
        <f>INDEX(IRA_3!$A:$J,MATCH('2021'!$A11,IRA_3!$A:$A,0),MATCH('2021'!$A$1,IRA_3!$3:$3,0))</f>
        <v>0.33945480631276903</v>
      </c>
      <c r="M11" s="96">
        <f>INDEX(IRA_4!$A:$J,MATCH('2021'!$A11,IRA_4!$A:$A,0),MATCH('2021'!$A$1,IRA_4!$3:$3,0))/(B11/1000)</f>
        <v>6.594860646340666</v>
      </c>
      <c r="N11" s="61">
        <f>INDEX(INV_1!$A:$J,MATCH('2021'!$A11,INV_1!$A:$A,0),MATCH('2021'!$A$1,INV_1!$3:$3,0))</f>
        <v>7.6689066996513511E-2</v>
      </c>
      <c r="O11" s="80">
        <f>INDEX(INV_2!$A:$J,MATCH('2021'!$A11,INV_2!$A:$A,0),MATCH('2021'!$A$1,INV_2!$3:$3,0))/B11*10^6/C11</f>
        <v>0.28801915834824915</v>
      </c>
      <c r="P11" s="87">
        <f>INDEX(INV_3!$A:$J,MATCH('2021'!$A11,INV_3!$A:$A,0),MATCH('2021'!$A$1,INV_3!$3:$3,0))/B11*10^6/C11</f>
        <v>4.5397136828435585</v>
      </c>
      <c r="Q11" s="87">
        <f>INDEX(INV_4!$A:$J,MATCH('2021'!$A11,INV_4!$A:$A,0),MATCH('2021'!$A$1,INV_4!$3:$3,0))/B11*10^3/C11</f>
        <v>0.26206253791402706</v>
      </c>
      <c r="R11" s="34">
        <f>INDEX(INV_5!$A:$J,MATCH('2021'!$A11,INV_5!$A:$A,0),MATCH('2021'!$A$1,INV_5!$3:$3,0))</f>
        <v>0.17549999999999999</v>
      </c>
      <c r="S11" s="77">
        <f>INDEX(LUJ_1!$A:$J,MATCH('2021'!$A11,LUJ_1!$A:$A,0),MATCH('2021'!$A$1,LUJ_1!$3:$3,0))</f>
        <v>0.7501604278074866</v>
      </c>
      <c r="T11" s="73">
        <f>INDEX(LUJ_2!$A:$J,MATCH('2021'!$A11,LUJ_2!$A:$A,0),MATCH('2021'!$A$1,LUJ_2!$3:$3,0))</f>
        <v>0.245</v>
      </c>
      <c r="U11" s="73">
        <f>INDEX(LUJ_3!$A:$J,MATCH('2021'!$A11,LUJ_3!$A:$A,0),MATCH('2021'!$A$1,LUJ_3!$3:$3,0))</f>
        <v>0.41194478137815516</v>
      </c>
      <c r="V11" s="14">
        <f>INDEX(LUJ_4!$A:$J,MATCH('2021'!$A11,LUJ_4!$A:$A,0),MATCH('2021'!$A$1,LUJ_4!$3:$3,0))</f>
        <v>57</v>
      </c>
      <c r="W11" s="34">
        <f>INDEX(LUJ_5!$A:$J,MATCH('2021'!$A11,LUJ_5!$A:$A,0),MATCH('2021'!$A$1,LUJ_5!$3:$3,0))</f>
        <v>47.9</v>
      </c>
      <c r="X11" s="98">
        <f>1/INDEX(GUL_1!$A:$J,MATCH('2021'!$A11,GUL_1!$A:$A,0),MATCH('2021'!$A$1,GUL_1!$3:$3,0))</f>
        <v>1.4575134819997086E-2</v>
      </c>
      <c r="Y11" s="57">
        <f>INDEX(GUL_2!$A:$J,MATCH('2021'!$A11,GUL_2!$A:$A,0),MATCH('2021'!$A$1,GUL_2!$3:$3,0))</f>
        <v>25</v>
      </c>
      <c r="Z11" s="57">
        <f>INDEX(GUL_3!$A:$J,MATCH('2021'!$A11,GUL_3!$A:$A,0),MATCH('2021'!$A$1,GUL_3!$3:$3,0))/(B11/1000)</f>
        <v>0.99022905533121053</v>
      </c>
      <c r="AA11" s="101">
        <f>INDEX(GUL_4!$A:$J,MATCH('2021'!$A11,GUL_4!$A:$A,0),MATCH('2021'!$A$1,GUL_4!$3:$3,0))/B11/C11*10^6</f>
        <v>0.34253661850580841</v>
      </c>
      <c r="AB11" s="73">
        <f>INDEX(GUL_5!$A:$J,MATCH('2021'!$A11,GUL_5!$A:$A,0),MATCH('2021'!$A$1,GUL_5!$3:$3,0))</f>
        <v>2.174104759613987E-2</v>
      </c>
      <c r="AC11" s="49">
        <f>INDEX(GUL_6!$A:$J,MATCH('2021'!$A11,GUL_6!$A:$A,0),MATCH('2021'!$A$1,GUL_6!$3:$3,0))</f>
        <v>5.7569015464999998E-2</v>
      </c>
      <c r="AD11" s="49">
        <f>INDEX(GUL_7!$A:$J,MATCH('2021'!$A11,GUL_7!$A:$A,0),MATCH('2021'!$A$1,GUL_7!$3:$3,0))</f>
        <v>0.214</v>
      </c>
      <c r="AE11" s="103">
        <f>INDEX(GUL_8!$A:$J,MATCH('2021'!$A11,GUL_8!$A:$A,0),MATCH('2021'!$A$1,GUL_8!$3:$3,0))/(B11/1000)</f>
        <v>2.5604339711266073</v>
      </c>
      <c r="AF11" s="41">
        <f>INDEX(DES_1!$A:$J,MATCH('2021'!$A11,DES_1!$A:$A,0),MATCH('2021'!$A$1,DES_1!$3:$3,0))/(B11/1000)</f>
        <v>0.13350795669585644</v>
      </c>
      <c r="AG11" s="100">
        <f>INDEX(DES_2!$A:$J,MATCH('2021'!$A11,DES_2!$A:$A,0),MATCH('2021'!$A$1,DES_2!$3:$3,0))/(B11/1000)</f>
        <v>1.1334663368065221</v>
      </c>
      <c r="AH11" s="57">
        <f>1/INDEX(DES_3!$A:$J,MATCH('2021'!$A11,DES_3!$A:$A,0),MATCH('2021'!$A$1,DES_3!$3:$3,0))</f>
        <v>9.1659028414298807E-3</v>
      </c>
      <c r="AI11" s="80">
        <f>INDEX(DES_4!$A:$J,MATCH('2021'!$A11,DES_4!$A:$A,0),MATCH('2021'!$A$1,DES_4!$3:$3,0))</f>
        <v>0.89873818615800005</v>
      </c>
      <c r="AJ11" s="110">
        <f>INDEX(DES_5!$A:$J,MATCH('2021'!$A11,DES_5!$A:$A,0),MATCH('2021'!$A$1,DES_5!$3:$3,0))</f>
        <v>0.66308567038700006</v>
      </c>
      <c r="AK11" s="57">
        <v>12</v>
      </c>
    </row>
    <row r="12" spans="1:37" x14ac:dyDescent="0.3">
      <c r="A12" s="29" t="s">
        <v>11</v>
      </c>
      <c r="B12" s="33">
        <f>INDEX(Population!$A:$J,MATCH('2021'!$A12,Population!$A:$A,0),MATCH('2021'!$A$1,Population!$3:$3,0))</f>
        <v>2903318</v>
      </c>
      <c r="C12" s="14">
        <f>INDEX(Income!$A:$J,MATCH('2021'!$A12,Income!$A:$A,0),MATCH('2021'!$A$1,Income!$3:$3,0))</f>
        <v>26186</v>
      </c>
      <c r="D12" s="34">
        <f>INDEX(Livable_wage!$A:$J,MATCH('2021'!$A12,Livable_wage!$A:$A,0),MATCH('2021'!$A$1,Livable_wage!$3:$3,0))</f>
        <v>10081</v>
      </c>
      <c r="E12" s="41">
        <f>INDEX(AVA_1!$A:$J,MATCH('2021'!$A12,AVA_1!$A:$A,0),MATCH('2021'!$A$1,AVA_1!$3:$3,0))</f>
        <v>0.35299999999999998</v>
      </c>
      <c r="F12" s="15">
        <f>INDEX(AVA_2!$A:$J,MATCH('2021'!$A12,AVA_2!$A:$A,0),MATCH('2021'!$A$1,AVA_2!$3:$3,0))</f>
        <v>9.9647557587101334E-3</v>
      </c>
      <c r="G12" s="15">
        <f>INDEX(AVA_3!$A:$J,MATCH('2021'!$A12,AVA_3!$A:$A,0),MATCH('2021'!$A$1,AVA_3!$3:$3,0))</f>
        <v>2.108651908587604E-2</v>
      </c>
      <c r="H12" s="87">
        <f>INDEX(AVA_4!$A:$J,MATCH('2021'!$A12,AVA_4!$A:$A,0),MATCH('2021'!$A$1,AVA_4!$3:$3,0))/(B12/1000)</f>
        <v>0.93134820229819804</v>
      </c>
      <c r="I12" s="89">
        <f>INDEX(AVA_5!$A:$J,MATCH('2021'!$A12,AVA_5!$A:$A,0),MATCH('2021'!$A$1,AVA_5!$3:$3,0))/(B12/1000)</f>
        <v>4.0095504522756373</v>
      </c>
      <c r="J12" s="93">
        <f>INDEX(IRA_1!$A:$J,MATCH('2021'!$A12,IRA_1!$A:$A,0),MATCH('2021'!$A$1,IRA_1!$3:$3,0))/(B12/1000)</f>
        <v>2.8932414568435146E-2</v>
      </c>
      <c r="K12" s="88">
        <f>INDEX(IRA_2!$A:$J,MATCH('2021'!$A12,IRA_2!$A:$A,0),MATCH('2021'!$A$1,IRA_2!$3:$3,0))/(B12/1000)</f>
        <v>8.1286307597032079E-2</v>
      </c>
      <c r="L12" s="15">
        <f>INDEX(IRA_3!$A:$J,MATCH('2021'!$A12,IRA_3!$A:$A,0),MATCH('2021'!$A$1,IRA_3!$3:$3,0))</f>
        <v>0.42270097745860757</v>
      </c>
      <c r="M12" s="96">
        <f>INDEX(IRA_4!$A:$J,MATCH('2021'!$A12,IRA_4!$A:$A,0),MATCH('2021'!$A$1,IRA_4!$3:$3,0))/(B12/1000)</f>
        <v>3.9682184314635873</v>
      </c>
      <c r="N12" s="61">
        <f>INDEX(INV_1!$A:$J,MATCH('2021'!$A12,INV_1!$A:$A,0),MATCH('2021'!$A$1,INV_1!$3:$3,0))</f>
        <v>8.5554867757606734E-2</v>
      </c>
      <c r="O12" s="80">
        <f>INDEX(INV_2!$A:$J,MATCH('2021'!$A12,INV_2!$A:$A,0),MATCH('2021'!$A$1,INV_2!$3:$3,0))/B12*10^6/C12</f>
        <v>0.42603824478198776</v>
      </c>
      <c r="P12" s="87">
        <f>INDEX(INV_3!$A:$J,MATCH('2021'!$A12,INV_3!$A:$A,0),MATCH('2021'!$A$1,INV_3!$3:$3,0))/B12*10^6/C12</f>
        <v>4.5159907436175963</v>
      </c>
      <c r="Q12" s="87">
        <f>INDEX(INV_4!$A:$J,MATCH('2021'!$A12,INV_4!$A:$A,0),MATCH('2021'!$A$1,INV_4!$3:$3,0))/B12*10^3/C12</f>
        <v>0.26746194109597271</v>
      </c>
      <c r="R12" s="34">
        <f>INDEX(INV_5!$A:$J,MATCH('2021'!$A12,INV_5!$A:$A,0),MATCH('2021'!$A$1,INV_5!$3:$3,0))</f>
        <v>0.1444</v>
      </c>
      <c r="S12" s="77">
        <f>INDEX(LUJ_1!$A:$J,MATCH('2021'!$A12,LUJ_1!$A:$A,0),MATCH('2021'!$A$1,LUJ_1!$3:$3,0))</f>
        <v>0.79872778814907008</v>
      </c>
      <c r="T12" s="73">
        <f>INDEX(LUJ_2!$A:$J,MATCH('2021'!$A12,LUJ_2!$A:$A,0),MATCH('2021'!$A$1,LUJ_2!$3:$3,0))</f>
        <v>0.23399999999999999</v>
      </c>
      <c r="U12" s="73">
        <f>INDEX(LUJ_3!$A:$J,MATCH('2021'!$A12,LUJ_3!$A:$A,0),MATCH('2021'!$A$1,LUJ_3!$3:$3,0))</f>
        <v>0.34480052007380479</v>
      </c>
      <c r="V12" s="14">
        <f>INDEX(LUJ_4!$A:$J,MATCH('2021'!$A12,LUJ_4!$A:$A,0),MATCH('2021'!$A$1,LUJ_4!$3:$3,0))</f>
        <v>62</v>
      </c>
      <c r="W12" s="34">
        <f>INDEX(LUJ_5!$A:$J,MATCH('2021'!$A12,LUJ_5!$A:$A,0),MATCH('2021'!$A$1,LUJ_5!$3:$3,0))</f>
        <v>15.1</v>
      </c>
      <c r="X12" s="98">
        <f>1/INDEX(GUL_1!$A:$J,MATCH('2021'!$A12,GUL_1!$A:$A,0),MATCH('2021'!$A$1,GUL_1!$3:$3,0))</f>
        <v>1.3954786491766676E-2</v>
      </c>
      <c r="Y12" s="57">
        <f>INDEX(GUL_2!$A:$J,MATCH('2021'!$A12,GUL_2!$A:$A,0),MATCH('2021'!$A$1,GUL_2!$3:$3,0))</f>
        <v>25.3</v>
      </c>
      <c r="Z12" s="57">
        <f>INDEX(GUL_3!$A:$J,MATCH('2021'!$A12,GUL_3!$A:$A,0),MATCH('2021'!$A$1,GUL_3!$3:$3,0))/(B12/1000)</f>
        <v>0.79323036608459696</v>
      </c>
      <c r="AA12" s="101">
        <f>INDEX(GUL_4!$A:$J,MATCH('2021'!$A12,GUL_4!$A:$A,0),MATCH('2021'!$A$1,GUL_4!$3:$3,0))/B12/C12*10^6</f>
        <v>0.45702469787074745</v>
      </c>
      <c r="AB12" s="73">
        <f>INDEX(GUL_5!$A:$J,MATCH('2021'!$A12,GUL_5!$A:$A,0),MATCH('2021'!$A$1,GUL_5!$3:$3,0))</f>
        <v>3.8043594127755015E-2</v>
      </c>
      <c r="AC12" s="49">
        <f>INDEX(GUL_6!$A:$J,MATCH('2021'!$A12,GUL_6!$A:$A,0),MATCH('2021'!$A$1,GUL_6!$3:$3,0))</f>
        <v>3.9773996178000003E-2</v>
      </c>
      <c r="AD12" s="49">
        <f>INDEX(GUL_7!$A:$J,MATCH('2021'!$A12,GUL_7!$A:$A,0),MATCH('2021'!$A$1,GUL_7!$3:$3,0))</f>
        <v>0.17679999999999998</v>
      </c>
      <c r="AE12" s="103">
        <f>INDEX(GUL_8!$A:$J,MATCH('2021'!$A12,GUL_8!$A:$A,0),MATCH('2021'!$A$1,GUL_8!$3:$3,0))/(B12/1000)</f>
        <v>0.86177263393124692</v>
      </c>
      <c r="AF12" s="41">
        <f>INDEX(DES_1!$A:$J,MATCH('2021'!$A12,DES_1!$A:$A,0),MATCH('2021'!$A$1,DES_1!$3:$3,0))/(B12/1000)</f>
        <v>7.2675469927854952E-2</v>
      </c>
      <c r="AG12" s="100">
        <f>INDEX(DES_2!$A:$J,MATCH('2021'!$A12,DES_2!$A:$A,0),MATCH('2021'!$A$1,DES_2!$3:$3,0))/(B12/1000)</f>
        <v>0.64512395817475032</v>
      </c>
      <c r="AH12" s="57">
        <f>1/INDEX(DES_3!$A:$J,MATCH('2021'!$A12,DES_3!$A:$A,0),MATCH('2021'!$A$1,DES_3!$3:$3,0))</f>
        <v>8.3822296730930428E-3</v>
      </c>
      <c r="AI12" s="80">
        <f>INDEX(DES_4!$A:$J,MATCH('2021'!$A12,DES_4!$A:$A,0),MATCH('2021'!$A$1,DES_4!$3:$3,0))</f>
        <v>0.93999088073199999</v>
      </c>
      <c r="AJ12" s="110">
        <f>INDEX(DES_5!$A:$J,MATCH('2021'!$A12,DES_5!$A:$A,0),MATCH('2021'!$A$1,DES_5!$3:$3,0))</f>
        <v>0.65665189809400004</v>
      </c>
      <c r="AK12" s="57">
        <v>15</v>
      </c>
    </row>
    <row r="13" spans="1:37" x14ac:dyDescent="0.3">
      <c r="A13" s="29" t="s">
        <v>12</v>
      </c>
      <c r="B13" s="33">
        <f>INDEX(Population!$A:$J,MATCH('2021'!$A13,Population!$A:$A,0),MATCH('2021'!$A$1,Population!$3:$3,0))</f>
        <v>2173970</v>
      </c>
      <c r="C13" s="14">
        <f>INDEX(Income!$A:$J,MATCH('2021'!$A13,Income!$A:$A,0),MATCH('2021'!$A$1,Income!$3:$3,0))</f>
        <v>26010</v>
      </c>
      <c r="D13" s="34">
        <f>INDEX(Livable_wage!$A:$J,MATCH('2021'!$A13,Livable_wage!$A:$A,0),MATCH('2021'!$A$1,Livable_wage!$3:$3,0))</f>
        <v>10665</v>
      </c>
      <c r="E13" s="41">
        <f>INDEX(AVA_1!$A:$J,MATCH('2021'!$A13,AVA_1!$A:$A,0),MATCH('2021'!$A$1,AVA_1!$3:$3,0))</f>
        <v>0.36599999999999999</v>
      </c>
      <c r="F13" s="15">
        <f>INDEX(AVA_2!$A:$J,MATCH('2021'!$A13,AVA_2!$A:$A,0),MATCH('2021'!$A$1,AVA_2!$3:$3,0))</f>
        <v>9.7964193028178409E-3</v>
      </c>
      <c r="G13" s="15">
        <f>INDEX(AVA_3!$A:$J,MATCH('2021'!$A13,AVA_3!$A:$A,0),MATCH('2021'!$A$1,AVA_3!$3:$3,0))</f>
        <v>6.7674846039856565E-3</v>
      </c>
      <c r="H13" s="87">
        <f>INDEX(AVA_4!$A:$J,MATCH('2021'!$A13,AVA_4!$A:$A,0),MATCH('2021'!$A$1,AVA_4!$3:$3,0))/(B13/1000)</f>
        <v>0.57498493539469275</v>
      </c>
      <c r="I13" s="89">
        <f>INDEX(AVA_5!$A:$J,MATCH('2021'!$A13,AVA_5!$A:$A,0),MATCH('2021'!$A$1,AVA_5!$3:$3,0))/(B13/1000)</f>
        <v>6.6978845154256961</v>
      </c>
      <c r="J13" s="93">
        <f>INDEX(IRA_1!$A:$J,MATCH('2021'!$A13,IRA_1!$A:$A,0),MATCH('2021'!$A$1,IRA_1!$3:$3,0))/(B13/1000)</f>
        <v>6.2098373022626815E-2</v>
      </c>
      <c r="K13" s="88">
        <f>INDEX(IRA_2!$A:$J,MATCH('2021'!$A13,IRA_2!$A:$A,0),MATCH('2021'!$A$1,IRA_2!$3:$3,0))/(B13/1000)</f>
        <v>0.20561461289714211</v>
      </c>
      <c r="L13" s="15">
        <f>INDEX(IRA_3!$A:$J,MATCH('2021'!$A13,IRA_3!$A:$A,0),MATCH('2021'!$A$1,IRA_3!$3:$3,0))</f>
        <v>0.30985183259682869</v>
      </c>
      <c r="M13" s="96">
        <f>INDEX(IRA_4!$A:$J,MATCH('2021'!$A13,IRA_4!$A:$A,0),MATCH('2021'!$A$1,IRA_4!$3:$3,0))/(B13/1000)</f>
        <v>5.3285003932896959</v>
      </c>
      <c r="N13" s="61">
        <f>INDEX(INV_1!$A:$J,MATCH('2021'!$A13,INV_1!$A:$A,0),MATCH('2021'!$A$1,INV_1!$3:$3,0))</f>
        <v>6.9111042231543213E-2</v>
      </c>
      <c r="O13" s="80">
        <f>INDEX(INV_2!$A:$J,MATCH('2021'!$A13,INV_2!$A:$A,0),MATCH('2021'!$A$1,INV_2!$3:$3,0))/B13*10^6/C13</f>
        <v>0.51747784634224125</v>
      </c>
      <c r="P13" s="87">
        <f>INDEX(INV_3!$A:$J,MATCH('2021'!$A13,INV_3!$A:$A,0),MATCH('2021'!$A$1,INV_3!$3:$3,0))/B13*10^6/C13</f>
        <v>5.2890655787309715</v>
      </c>
      <c r="Q13" s="87">
        <f>INDEX(INV_4!$A:$J,MATCH('2021'!$A13,INV_4!$A:$A,0),MATCH('2021'!$A$1,INV_4!$3:$3,0))/B13*10^3/C13</f>
        <v>0.32765772560980355</v>
      </c>
      <c r="R13" s="34">
        <f>INDEX(INV_5!$A:$J,MATCH('2021'!$A13,INV_5!$A:$A,0),MATCH('2021'!$A$1,INV_5!$3:$3,0))</f>
        <v>8.0399999999999999E-2</v>
      </c>
      <c r="S13" s="77">
        <f>INDEX(LUJ_1!$A:$J,MATCH('2021'!$A13,LUJ_1!$A:$A,0),MATCH('2021'!$A$1,LUJ_1!$3:$3,0))</f>
        <v>0.7873688976080887</v>
      </c>
      <c r="T13" s="73">
        <f>INDEX(LUJ_2!$A:$J,MATCH('2021'!$A13,LUJ_2!$A:$A,0),MATCH('2021'!$A$1,LUJ_2!$3:$3,0))</f>
        <v>0.23300000000000001</v>
      </c>
      <c r="U13" s="73">
        <f>INDEX(LUJ_3!$A:$J,MATCH('2021'!$A13,LUJ_3!$A:$A,0),MATCH('2021'!$A$1,LUJ_3!$3:$3,0))</f>
        <v>0.3980945362669755</v>
      </c>
      <c r="V13" s="14">
        <f>INDEX(LUJ_4!$A:$J,MATCH('2021'!$A13,LUJ_4!$A:$A,0),MATCH('2021'!$A$1,LUJ_4!$3:$3,0))</f>
        <v>55</v>
      </c>
      <c r="W13" s="34">
        <f>INDEX(LUJ_5!$A:$J,MATCH('2021'!$A13,LUJ_5!$A:$A,0),MATCH('2021'!$A$1,LUJ_5!$3:$3,0))</f>
        <v>77</v>
      </c>
      <c r="X13" s="98">
        <f>1/INDEX(GUL_1!$A:$J,MATCH('2021'!$A13,GUL_1!$A:$A,0),MATCH('2021'!$A$1,GUL_1!$3:$3,0))</f>
        <v>1.457725947521866E-2</v>
      </c>
      <c r="Y13" s="57">
        <f>INDEX(GUL_2!$A:$J,MATCH('2021'!$A13,GUL_2!$A:$A,0),MATCH('2021'!$A$1,GUL_2!$3:$3,0))</f>
        <v>25.6</v>
      </c>
      <c r="Z13" s="57">
        <f>INDEX(GUL_3!$A:$J,MATCH('2021'!$A13,GUL_3!$A:$A,0),MATCH('2021'!$A$1,GUL_3!$3:$3,0))/(B13/1000)</f>
        <v>0.795319162637939</v>
      </c>
      <c r="AA13" s="101">
        <f>INDEX(GUL_4!$A:$J,MATCH('2021'!$A13,GUL_4!$A:$A,0),MATCH('2021'!$A$1,GUL_4!$3:$3,0))/B13/C13*10^6</f>
        <v>0.19313657765326869</v>
      </c>
      <c r="AB13" s="73">
        <f>INDEX(GUL_5!$A:$J,MATCH('2021'!$A13,GUL_5!$A:$A,0),MATCH('2021'!$A$1,GUL_5!$3:$3,0))</f>
        <v>2.9904457467688286E-2</v>
      </c>
      <c r="AC13" s="49">
        <f>INDEX(GUL_6!$A:$J,MATCH('2021'!$A13,GUL_6!$A:$A,0),MATCH('2021'!$A$1,GUL_6!$3:$3,0))</f>
        <v>3.4641454813000003E-2</v>
      </c>
      <c r="AD13" s="49">
        <f>INDEX(GUL_7!$A:$J,MATCH('2021'!$A13,GUL_7!$A:$A,0),MATCH('2021'!$A$1,GUL_7!$3:$3,0))</f>
        <v>0.22649999999999998</v>
      </c>
      <c r="AE13" s="103">
        <f>INDEX(GUL_8!$A:$J,MATCH('2021'!$A13,GUL_8!$A:$A,0),MATCH('2021'!$A$1,GUL_8!$3:$3,0))/(B13/1000)</f>
        <v>3.6026256112089867</v>
      </c>
      <c r="AF13" s="41">
        <f>INDEX(DES_1!$A:$J,MATCH('2021'!$A13,DES_1!$A:$A,0),MATCH('2021'!$A$1,DES_1!$3:$3,0))/(B13/1000)</f>
        <v>0.24149367286577095</v>
      </c>
      <c r="AG13" s="100">
        <f>INDEX(DES_2!$A:$J,MATCH('2021'!$A13,DES_2!$A:$A,0),MATCH('2021'!$A$1,DES_2!$3:$3,0))/(B13/1000)</f>
        <v>0.81095875288067465</v>
      </c>
      <c r="AH13" s="57">
        <f>1/INDEX(DES_3!$A:$J,MATCH('2021'!$A13,DES_3!$A:$A,0),MATCH('2021'!$A$1,DES_3!$3:$3,0))</f>
        <v>8.0710250201775618E-3</v>
      </c>
      <c r="AI13" s="80">
        <f>INDEX(DES_4!$A:$J,MATCH('2021'!$A13,DES_4!$A:$A,0),MATCH('2021'!$A$1,DES_4!$3:$3,0))</f>
        <v>0.86352102658800012</v>
      </c>
      <c r="AJ13" s="110">
        <f>INDEX(DES_5!$A:$J,MATCH('2021'!$A13,DES_5!$A:$A,0),MATCH('2021'!$A$1,DES_5!$3:$3,0))</f>
        <v>0.62376581745699999</v>
      </c>
      <c r="AK13" s="57">
        <v>17</v>
      </c>
    </row>
    <row r="14" spans="1:37" x14ac:dyDescent="0.3">
      <c r="A14" s="29" t="s">
        <v>13</v>
      </c>
      <c r="B14" s="33">
        <f>INDEX(Population!$A:$J,MATCH('2021'!$A14,Population!$A:$A,0),MATCH('2021'!$A$1,Population!$3:$3,0))</f>
        <v>12997272</v>
      </c>
      <c r="C14" s="14">
        <f>INDEX(Income!$A:$J,MATCH('2021'!$A14,Income!$A:$A,0),MATCH('2021'!$A$1,Income!$3:$3,0))</f>
        <v>88860</v>
      </c>
      <c r="D14" s="34">
        <f>INDEX(Livable_wage!$A:$J,MATCH('2021'!$A14,Livable_wage!$A:$A,0),MATCH('2021'!$A$1,Livable_wage!$3:$3,0))</f>
        <v>18029</v>
      </c>
      <c r="E14" s="41">
        <f>INDEX(AVA_1!$A:$J,MATCH('2021'!$A14,AVA_1!$A:$A,0),MATCH('2021'!$A$1,AVA_1!$3:$3,0))</f>
        <v>0.42399999999999999</v>
      </c>
      <c r="F14" s="15">
        <f>INDEX(AVA_2!$A:$J,MATCH('2021'!$A14,AVA_2!$A:$A,0),MATCH('2021'!$A$1,AVA_2!$3:$3,0))</f>
        <v>5.576355700069794E-2</v>
      </c>
      <c r="G14" s="15">
        <f>INDEX(AVA_3!$A:$J,MATCH('2021'!$A14,AVA_3!$A:$A,0),MATCH('2021'!$A$1,AVA_3!$3:$3,0))</f>
        <v>0.18944364028378899</v>
      </c>
      <c r="H14" s="87">
        <f>INDEX(AVA_4!$A:$J,MATCH('2021'!$A14,AVA_4!$A:$A,0),MATCH('2021'!$A$1,AVA_4!$3:$3,0))/(B14/1000)</f>
        <v>0.88618596271586836</v>
      </c>
      <c r="I14" s="89">
        <f>INDEX(AVA_5!$A:$J,MATCH('2021'!$A14,AVA_5!$A:$A,0),MATCH('2021'!$A$1,AVA_5!$3:$3,0))/(B14/1000)</f>
        <v>4.7354552555336227</v>
      </c>
      <c r="J14" s="93">
        <f>INDEX(IRA_1!$A:$J,MATCH('2021'!$A14,IRA_1!$A:$A,0),MATCH('2021'!$A$1,IRA_1!$3:$3,0))/(B14/1000)</f>
        <v>2.0619711582553629E-2</v>
      </c>
      <c r="K14" s="88">
        <f>INDEX(IRA_2!$A:$J,MATCH('2021'!$A14,IRA_2!$A:$A,0),MATCH('2021'!$A$1,IRA_2!$3:$3,0))/(B14/1000)</f>
        <v>4.2239633055305759E-2</v>
      </c>
      <c r="L14" s="15">
        <f>INDEX(IRA_3!$A:$J,MATCH('2021'!$A14,IRA_3!$A:$A,0),MATCH('2021'!$A$1,IRA_3!$3:$3,0))</f>
        <v>0.63186626777287724</v>
      </c>
      <c r="M14" s="96">
        <f>INDEX(IRA_4!$A:$J,MATCH('2021'!$A14,IRA_4!$A:$A,0),MATCH('2021'!$A$1,IRA_4!$3:$3,0))/(B14/1000)</f>
        <v>3.1134995097432752</v>
      </c>
      <c r="N14" s="61">
        <f>INDEX(INV_1!$A:$J,MATCH('2021'!$A14,INV_1!$A:$A,0),MATCH('2021'!$A$1,INV_1!$3:$3,0))</f>
        <v>7.8389641824174239E-2</v>
      </c>
      <c r="O14" s="80">
        <f>INDEX(INV_2!$A:$J,MATCH('2021'!$A14,INV_2!$A:$A,0),MATCH('2021'!$A$1,INV_2!$3:$3,0))/B14*10^6/C14</f>
        <v>0.48190475171927771</v>
      </c>
      <c r="P14" s="87">
        <f>INDEX(INV_3!$A:$J,MATCH('2021'!$A14,INV_3!$A:$A,0),MATCH('2021'!$A$1,INV_3!$3:$3,0))/B14*10^6/C14</f>
        <v>2.5883796891631783</v>
      </c>
      <c r="Q14" s="87">
        <f>INDEX(INV_4!$A:$J,MATCH('2021'!$A14,INV_4!$A:$A,0),MATCH('2021'!$A$1,INV_4!$3:$3,0))/B14*10^3/C14</f>
        <v>0.25387323770482684</v>
      </c>
      <c r="R14" s="34">
        <f>INDEX(INV_5!$A:$J,MATCH('2021'!$A14,INV_5!$A:$A,0),MATCH('2021'!$A$1,INV_5!$3:$3,0))</f>
        <v>0.32529999999999998</v>
      </c>
      <c r="S14" s="77">
        <f>INDEX(LUJ_1!$A:$J,MATCH('2021'!$A14,LUJ_1!$A:$A,0),MATCH('2021'!$A$1,LUJ_1!$3:$3,0))</f>
        <v>0.52809205305520912</v>
      </c>
      <c r="T14" s="73">
        <f>INDEX(LUJ_2!$A:$J,MATCH('2021'!$A14,LUJ_2!$A:$A,0),MATCH('2021'!$A$1,LUJ_2!$3:$3,0))</f>
        <v>0.20499999999999999</v>
      </c>
      <c r="U14" s="73">
        <f>INDEX(LUJ_3!$A:$J,MATCH('2021'!$A14,LUJ_3!$A:$A,0),MATCH('2021'!$A$1,LUJ_3!$3:$3,0))</f>
        <v>0.21510960434564858</v>
      </c>
      <c r="V14" s="14">
        <f>INDEX(LUJ_4!$A:$J,MATCH('2021'!$A14,LUJ_4!$A:$A,0),MATCH('2021'!$A$1,LUJ_4!$3:$3,0))</f>
        <v>131</v>
      </c>
      <c r="W14" s="34">
        <f>INDEX(LUJ_5!$A:$J,MATCH('2021'!$A14,LUJ_5!$A:$A,0),MATCH('2021'!$A$1,LUJ_5!$3:$3,0))</f>
        <v>13.5</v>
      </c>
      <c r="X14" s="98">
        <f>1/INDEX(GUL_1!$A:$J,MATCH('2021'!$A14,GUL_1!$A:$A,0),MATCH('2021'!$A$1,GUL_1!$3:$3,0))</f>
        <v>1.341381623071764E-2</v>
      </c>
      <c r="Y14" s="57">
        <f>INDEX(GUL_2!$A:$J,MATCH('2021'!$A14,GUL_2!$A:$A,0),MATCH('2021'!$A$1,GUL_2!$3:$3,0))</f>
        <v>23.8</v>
      </c>
      <c r="Z14" s="57">
        <f>INDEX(GUL_3!$A:$J,MATCH('2021'!$A14,GUL_3!$A:$A,0),MATCH('2021'!$A$1,GUL_3!$3:$3,0))/(B14/1000)</f>
        <v>0.38808143739701684</v>
      </c>
      <c r="AA14" s="101">
        <f>INDEX(GUL_4!$A:$J,MATCH('2021'!$A14,GUL_4!$A:$A,0),MATCH('2021'!$A$1,GUL_4!$3:$3,0))/B14/C14*10^6</f>
        <v>0.32407429913674035</v>
      </c>
      <c r="AB14" s="73">
        <f>INDEX(GUL_5!$A:$J,MATCH('2021'!$A14,GUL_5!$A:$A,0),MATCH('2021'!$A$1,GUL_5!$3:$3,0))</f>
        <v>3.0501840390529607E-2</v>
      </c>
      <c r="AC14" s="49">
        <f>INDEX(GUL_6!$A:$J,MATCH('2021'!$A14,GUL_6!$A:$A,0),MATCH('2021'!$A$1,GUL_6!$3:$3,0))</f>
        <v>3.2879496256999999E-2</v>
      </c>
      <c r="AD14" s="49">
        <f>INDEX(GUL_7!$A:$J,MATCH('2021'!$A14,GUL_7!$A:$A,0),MATCH('2021'!$A$1,GUL_7!$3:$3,0))</f>
        <v>0.12789999999999999</v>
      </c>
      <c r="AE14" s="103">
        <f>INDEX(GUL_8!$A:$J,MATCH('2021'!$A14,GUL_8!$A:$A,0),MATCH('2021'!$A$1,GUL_8!$3:$3,0))/(B14/1000)</f>
        <v>0.44201583224541269</v>
      </c>
      <c r="AF14" s="41">
        <f>INDEX(DES_1!$A:$J,MATCH('2021'!$A14,DES_1!$A:$A,0),MATCH('2021'!$A$1,DES_1!$3:$3,0))/(B14/1000)</f>
        <v>1.8157656468218868E-2</v>
      </c>
      <c r="AG14" s="100">
        <f>INDEX(DES_2!$A:$J,MATCH('2021'!$A14,DES_2!$A:$A,0),MATCH('2021'!$A$1,DES_2!$3:$3,0))/(B14/1000)</f>
        <v>0.32883823620833663</v>
      </c>
      <c r="AH14" s="57">
        <f>1/INDEX(DES_3!$A:$J,MATCH('2021'!$A14,DES_3!$A:$A,0),MATCH('2021'!$A$1,DES_3!$3:$3,0))</f>
        <v>8.9126559714795012E-3</v>
      </c>
      <c r="AI14" s="80">
        <f>INDEX(DES_4!$A:$J,MATCH('2021'!$A14,DES_4!$A:$A,0),MATCH('2021'!$A$1,DES_4!$3:$3,0))</f>
        <v>1</v>
      </c>
      <c r="AJ14" s="110">
        <f>INDEX(DES_5!$A:$J,MATCH('2021'!$A14,DES_5!$A:$A,0),MATCH('2021'!$A$1,DES_5!$3:$3,0))</f>
        <v>0.96191928416500005</v>
      </c>
      <c r="AK14" s="57">
        <v>42</v>
      </c>
    </row>
    <row r="15" spans="1:37" x14ac:dyDescent="0.3">
      <c r="A15" s="29" t="s">
        <v>14</v>
      </c>
      <c r="B15" s="33">
        <f>INDEX(Population!$A:$J,MATCH('2021'!$A15,Population!$A:$A,0),MATCH('2021'!$A$1,Population!$3:$3,0))</f>
        <v>334988</v>
      </c>
      <c r="C15" s="14">
        <f>INDEX(Income!$A:$J,MATCH('2021'!$A15,Income!$A:$A,0),MATCH('2021'!$A$1,Income!$3:$3,0))</f>
        <v>20651</v>
      </c>
      <c r="D15" s="34">
        <f>INDEX(Livable_wage!$A:$J,MATCH('2021'!$A15,Livable_wage!$A:$A,0),MATCH('2021'!$A$1,Livable_wage!$3:$3,0))</f>
        <v>11494</v>
      </c>
      <c r="E15" s="41">
        <f>INDEX(AVA_1!$A:$J,MATCH('2021'!$A15,AVA_1!$A:$A,0),MATCH('2021'!$A$1,AVA_1!$3:$3,0))</f>
        <v>0.36699999999999999</v>
      </c>
      <c r="F15" s="15">
        <f>INDEX(AVA_2!$A:$J,MATCH('2021'!$A15,AVA_2!$A:$A,0),MATCH('2021'!$A$1,AVA_2!$3:$3,0))</f>
        <v>7.6519916142557655E-3</v>
      </c>
      <c r="G15" s="15">
        <f>INDEX(AVA_3!$A:$J,MATCH('2021'!$A15,AVA_3!$A:$A,0),MATCH('2021'!$A$1,AVA_3!$3:$3,0))</f>
        <v>0.42539000002943889</v>
      </c>
      <c r="H15" s="87">
        <f>INDEX(AVA_4!$A:$J,MATCH('2021'!$A15,AVA_4!$A:$A,0),MATCH('2021'!$A$1,AVA_4!$3:$3,0))/(B15/1000)</f>
        <v>0.61196221954219254</v>
      </c>
      <c r="I15" s="89">
        <f>INDEX(AVA_5!$A:$J,MATCH('2021'!$A15,AVA_5!$A:$A,0),MATCH('2021'!$A$1,AVA_5!$3:$3,0))/(B15/1000)</f>
        <v>10.057076671403154</v>
      </c>
      <c r="J15" s="93">
        <f>INDEX(IRA_1!$A:$J,MATCH('2021'!$A15,IRA_1!$A:$A,0),MATCH('2021'!$A$1,IRA_1!$3:$3,0))/(B15/1000)</f>
        <v>0.34031069769663391</v>
      </c>
      <c r="K15" s="88">
        <f>INDEX(IRA_2!$A:$J,MATCH('2021'!$A15,IRA_2!$A:$A,0),MATCH('2021'!$A$1,IRA_2!$3:$3,0))/(B15/1000)</f>
        <v>1.089591268940977</v>
      </c>
      <c r="L15" s="15">
        <f>INDEX(IRA_3!$A:$J,MATCH('2021'!$A15,IRA_3!$A:$A,0),MATCH('2021'!$A$1,IRA_3!$3:$3,0))</f>
        <v>0.34485079649988781</v>
      </c>
      <c r="M15" s="96">
        <f>INDEX(IRA_4!$A:$J,MATCH('2021'!$A15,IRA_4!$A:$A,0),MATCH('2021'!$A$1,IRA_4!$3:$3,0))/(B15/1000)</f>
        <v>9.3286923710700087</v>
      </c>
      <c r="N15" s="61">
        <f>INDEX(INV_1!$A:$J,MATCH('2021'!$A15,INV_1!$A:$A,0),MATCH('2021'!$A$1,INV_1!$3:$3,0))</f>
        <v>0.11771534240095977</v>
      </c>
      <c r="O15" s="80">
        <f>INDEX(INV_2!$A:$J,MATCH('2021'!$A15,INV_2!$A:$A,0),MATCH('2021'!$A$1,INV_2!$3:$3,0))/B15*10^6/C15</f>
        <v>0.29490925409526308</v>
      </c>
      <c r="P15" s="87">
        <f>INDEX(INV_3!$A:$J,MATCH('2021'!$A15,INV_3!$A:$A,0),MATCH('2021'!$A$1,INV_3!$3:$3,0))/B15*10^6/C15</f>
        <v>8.1294194228151291</v>
      </c>
      <c r="Q15" s="87">
        <f>INDEX(INV_4!$A:$J,MATCH('2021'!$A15,INV_4!$A:$A,0),MATCH('2021'!$A$1,INV_4!$3:$3,0))/B15*10^3/C15</f>
        <v>0.21433769828698082</v>
      </c>
      <c r="R15" s="34">
        <f>INDEX(INV_5!$A:$J,MATCH('2021'!$A15,INV_5!$A:$A,0),MATCH('2021'!$A$1,INV_5!$3:$3,0))</f>
        <v>4.4900000000000002E-2</v>
      </c>
      <c r="S15" s="77">
        <f>INDEX(LUJ_1!$A:$J,MATCH('2021'!$A15,LUJ_1!$A:$A,0),MATCH('2021'!$A$1,LUJ_1!$3:$3,0))</f>
        <v>0.68327868852459017</v>
      </c>
      <c r="T15" s="73">
        <f>INDEX(LUJ_2!$A:$J,MATCH('2021'!$A15,LUJ_2!$A:$A,0),MATCH('2021'!$A$1,LUJ_2!$3:$3,0))</f>
        <v>0.59200000000000008</v>
      </c>
      <c r="U15" s="73">
        <f>INDEX(LUJ_3!$A:$J,MATCH('2021'!$A15,LUJ_3!$A:$A,0),MATCH('2021'!$A$1,LUJ_3!$3:$3,0))</f>
        <v>0.40042469285605947</v>
      </c>
      <c r="V15" s="14">
        <f>INDEX(LUJ_4!$A:$J,MATCH('2021'!$A15,LUJ_4!$A:$A,0),MATCH('2021'!$A$1,LUJ_4!$3:$3,0))</f>
        <v>45</v>
      </c>
      <c r="W15" s="34">
        <f>INDEX(LUJ_5!$A:$J,MATCH('2021'!$A15,LUJ_5!$A:$A,0),MATCH('2021'!$A$1,LUJ_5!$3:$3,0))</f>
        <v>10.6</v>
      </c>
      <c r="X15" s="98">
        <f>1/INDEX(GUL_1!$A:$J,MATCH('2021'!$A15,GUL_1!$A:$A,0),MATCH('2021'!$A$1,GUL_1!$3:$3,0))</f>
        <v>1.4954389113204725E-2</v>
      </c>
      <c r="Y15" s="57">
        <f>INDEX(GUL_2!$A:$J,MATCH('2021'!$A15,GUL_2!$A:$A,0),MATCH('2021'!$A$1,GUL_2!$3:$3,0))</f>
        <v>24.1</v>
      </c>
      <c r="Z15" s="57">
        <f>INDEX(GUL_3!$A:$J,MATCH('2021'!$A15,GUL_3!$A:$A,0),MATCH('2021'!$A$1,GUL_3!$3:$3,0))/(B15/1000)</f>
        <v>0.48956977563375403</v>
      </c>
      <c r="AA15" s="101">
        <f>INDEX(GUL_4!$A:$J,MATCH('2021'!$A15,GUL_4!$A:$A,0),MATCH('2021'!$A$1,GUL_4!$3:$3,0))/B15/C15*10^6</f>
        <v>0.1513319801477814</v>
      </c>
      <c r="AB15" s="73">
        <f>INDEX(GUL_5!$A:$J,MATCH('2021'!$A15,GUL_5!$A:$A,0),MATCH('2021'!$A$1,GUL_5!$3:$3,0))</f>
        <v>1.7297143759269627E-2</v>
      </c>
      <c r="AC15" s="49">
        <f>INDEX(GUL_6!$A:$J,MATCH('2021'!$A15,GUL_6!$A:$A,0),MATCH('2021'!$A$1,GUL_6!$3:$3,0))</f>
        <v>1.1391878567E-2</v>
      </c>
      <c r="AD15" s="49">
        <f>INDEX(GUL_7!$A:$J,MATCH('2021'!$A15,GUL_7!$A:$A,0),MATCH('2021'!$A$1,GUL_7!$3:$3,0))</f>
        <v>0.15720000000000001</v>
      </c>
      <c r="AE15" s="103">
        <f>INDEX(GUL_8!$A:$J,MATCH('2021'!$A15,GUL_8!$A:$A,0),MATCH('2021'!$A$1,GUL_8!$3:$3,0))/(B15/1000)</f>
        <v>6.6509845128780736</v>
      </c>
      <c r="AF15" s="41">
        <f>INDEX(DES_1!$A:$J,MATCH('2021'!$A15,DES_1!$A:$A,0),MATCH('2021'!$A$1,DES_1!$3:$3,0))/(B15/1000)</f>
        <v>0.2119478906707106</v>
      </c>
      <c r="AG15" s="100">
        <f>INDEX(DES_2!$A:$J,MATCH('2021'!$A15,DES_2!$A:$A,0),MATCH('2021'!$A$1,DES_2!$3:$3,0))/(B15/1000)</f>
        <v>2.0926122726784242</v>
      </c>
      <c r="AH15" s="57">
        <f>1/INDEX(DES_3!$A:$J,MATCH('2021'!$A15,DES_3!$A:$A,0),MATCH('2021'!$A$1,DES_3!$3:$3,0))</f>
        <v>9.2421441774491672E-3</v>
      </c>
      <c r="AI15" s="80">
        <f>INDEX(DES_4!$A:$J,MATCH('2021'!$A15,DES_4!$A:$A,0),MATCH('2021'!$A$1,DES_4!$3:$3,0))</f>
        <v>0.388574018061</v>
      </c>
      <c r="AJ15" s="110">
        <f>INDEX(DES_5!$A:$J,MATCH('2021'!$A15,DES_5!$A:$A,0),MATCH('2021'!$A$1,DES_5!$3:$3,0))</f>
        <v>0.26002081154199996</v>
      </c>
      <c r="AK15" s="57">
        <v>76</v>
      </c>
    </row>
    <row r="16" spans="1:37" x14ac:dyDescent="0.3">
      <c r="A16" s="29" t="s">
        <v>15</v>
      </c>
      <c r="B16" s="33">
        <f>INDEX(Population!$A:$J,MATCH('2021'!$A16,Population!$A:$A,0),MATCH('2021'!$A$1,Population!$3:$3,0))</f>
        <v>986089</v>
      </c>
      <c r="C16" s="14">
        <f>INDEX(Income!$A:$J,MATCH('2021'!$A16,Income!$A:$A,0),MATCH('2021'!$A$1,Income!$3:$3,0))</f>
        <v>30241</v>
      </c>
      <c r="D16" s="34">
        <f>INDEX(Livable_wage!$A:$J,MATCH('2021'!$A16,Livable_wage!$A:$A,0),MATCH('2021'!$A$1,Livable_wage!$3:$3,0))</f>
        <v>10221</v>
      </c>
      <c r="E16" s="41">
        <f>INDEX(AVA_1!$A:$J,MATCH('2021'!$A16,AVA_1!$A:$A,0),MATCH('2021'!$A$1,AVA_1!$3:$3,0))</f>
        <v>0.35699999999999998</v>
      </c>
      <c r="F16" s="15">
        <f>INDEX(AVA_2!$A:$J,MATCH('2021'!$A16,AVA_2!$A:$A,0),MATCH('2021'!$A$1,AVA_2!$3:$3,0))</f>
        <v>8.4782236455436099E-3</v>
      </c>
      <c r="G16" s="15">
        <f>INDEX(AVA_3!$A:$J,MATCH('2021'!$A16,AVA_3!$A:$A,0),MATCH('2021'!$A$1,AVA_3!$3:$3,0))</f>
        <v>9.0365230827695268E-3</v>
      </c>
      <c r="H16" s="87">
        <f>INDEX(AVA_4!$A:$J,MATCH('2021'!$A16,AVA_4!$A:$A,0),MATCH('2021'!$A$1,AVA_4!$3:$3,0))/(B16/1000)</f>
        <v>0.68148006924324267</v>
      </c>
      <c r="I16" s="89">
        <f>INDEX(AVA_5!$A:$J,MATCH('2021'!$A16,AVA_5!$A:$A,0),MATCH('2021'!$A$1,AVA_5!$3:$3,0))/(B16/1000)</f>
        <v>3.9732721894271203</v>
      </c>
      <c r="J16" s="93">
        <f>INDEX(IRA_1!$A:$J,MATCH('2021'!$A16,IRA_1!$A:$A,0),MATCH('2021'!$A$1,IRA_1!$3:$3,0))/(B16/1000)</f>
        <v>2.6366788393339748E-2</v>
      </c>
      <c r="K16" s="88">
        <f>INDEX(IRA_2!$A:$J,MATCH('2021'!$A16,IRA_2!$A:$A,0),MATCH('2021'!$A$1,IRA_2!$3:$3,0))/(B16/1000)</f>
        <v>9.6340188360279841E-2</v>
      </c>
      <c r="L16" s="15">
        <f>INDEX(IRA_3!$A:$J,MATCH('2021'!$A16,IRA_3!$A:$A,0),MATCH('2021'!$A$1,IRA_3!$3:$3,0))</f>
        <v>0.31617124164414734</v>
      </c>
      <c r="M16" s="96">
        <f>INDEX(IRA_4!$A:$J,MATCH('2021'!$A16,IRA_4!$A:$A,0),MATCH('2021'!$A$1,IRA_4!$3:$3,0))/(B16/1000)</f>
        <v>3.4439082070685303</v>
      </c>
      <c r="N16" s="61">
        <f>INDEX(INV_1!$A:$J,MATCH('2021'!$A16,INV_1!$A:$A,0),MATCH('2021'!$A$1,INV_1!$3:$3,0))</f>
        <v>6.6730529323243429E-2</v>
      </c>
      <c r="O16" s="80">
        <f>INDEX(INV_2!$A:$J,MATCH('2021'!$A16,INV_2!$A:$A,0),MATCH('2021'!$A$1,INV_2!$3:$3,0))/B16*10^6/C16</f>
        <v>0.57055577199114682</v>
      </c>
      <c r="P16" s="87">
        <f>INDEX(INV_3!$A:$J,MATCH('2021'!$A16,INV_3!$A:$A,0),MATCH('2021'!$A$1,INV_3!$3:$3,0))/B16*10^6/C16</f>
        <v>3.9558599670090322</v>
      </c>
      <c r="Q16" s="87">
        <f>INDEX(INV_4!$A:$J,MATCH('2021'!$A16,INV_4!$A:$A,0),MATCH('2021'!$A$1,INV_4!$3:$3,0))/B16*10^3/C16</f>
        <v>0.23464909157882388</v>
      </c>
      <c r="R16" s="34">
        <f>INDEX(INV_5!$A:$J,MATCH('2021'!$A16,INV_5!$A:$A,0),MATCH('2021'!$A$1,INV_5!$3:$3,0))</f>
        <v>5.5599999999999997E-2</v>
      </c>
      <c r="S16" s="77">
        <f>INDEX(LUJ_1!$A:$J,MATCH('2021'!$A16,LUJ_1!$A:$A,0),MATCH('2021'!$A$1,LUJ_1!$3:$3,0))</f>
        <v>0.74214538018219001</v>
      </c>
      <c r="T16" s="73">
        <f>INDEX(LUJ_2!$A:$J,MATCH('2021'!$A16,LUJ_2!$A:$A,0),MATCH('2021'!$A$1,LUJ_2!$3:$3,0))</f>
        <v>0.182</v>
      </c>
      <c r="U16" s="73">
        <f>INDEX(LUJ_3!$A:$J,MATCH('2021'!$A16,LUJ_3!$A:$A,0),MATCH('2021'!$A$1,LUJ_3!$3:$3,0))</f>
        <v>0.3642154826201357</v>
      </c>
      <c r="V16" s="14">
        <f>INDEX(LUJ_4!$A:$J,MATCH('2021'!$A16,LUJ_4!$A:$A,0),MATCH('2021'!$A$1,LUJ_4!$3:$3,0))</f>
        <v>10</v>
      </c>
      <c r="W16" s="34">
        <f>INDEX(LUJ_5!$A:$J,MATCH('2021'!$A16,LUJ_5!$A:$A,0),MATCH('2021'!$A$1,LUJ_5!$3:$3,0))</f>
        <v>14.8</v>
      </c>
      <c r="X16" s="98">
        <f>1/INDEX(GUL_1!$A:$J,MATCH('2021'!$A16,GUL_1!$A:$A,0),MATCH('2021'!$A$1,GUL_1!$3:$3,0))</f>
        <v>1.4310246136233544E-2</v>
      </c>
      <c r="Y16" s="57">
        <f>INDEX(GUL_2!$A:$J,MATCH('2021'!$A16,GUL_2!$A:$A,0),MATCH('2021'!$A$1,GUL_2!$3:$3,0))</f>
        <v>26.8</v>
      </c>
      <c r="Z16" s="57">
        <f>INDEX(GUL_3!$A:$J,MATCH('2021'!$A16,GUL_3!$A:$A,0),MATCH('2021'!$A$1,GUL_3!$3:$3,0))/(B16/1000)</f>
        <v>0.71190328662017321</v>
      </c>
      <c r="AA16" s="101">
        <f>INDEX(GUL_4!$A:$J,MATCH('2021'!$A16,GUL_4!$A:$A,0),MATCH('2021'!$A$1,GUL_4!$3:$3,0))/B16/C16*10^6</f>
        <v>0.22346140383637869</v>
      </c>
      <c r="AB16" s="73">
        <f>INDEX(GUL_5!$A:$J,MATCH('2021'!$A16,GUL_5!$A:$A,0),MATCH('2021'!$A$1,GUL_5!$3:$3,0))</f>
        <v>1.6855594649065241E-2</v>
      </c>
      <c r="AC16" s="49">
        <f>INDEX(GUL_6!$A:$J,MATCH('2021'!$A16,GUL_6!$A:$A,0),MATCH('2021'!$A$1,GUL_6!$3:$3,0))</f>
        <v>3.0299743537000001E-2</v>
      </c>
      <c r="AD16" s="49">
        <f>INDEX(GUL_7!$A:$J,MATCH('2021'!$A16,GUL_7!$A:$A,0),MATCH('2021'!$A$1,GUL_7!$3:$3,0))</f>
        <v>0.18049999999999999</v>
      </c>
      <c r="AE16" s="103">
        <f>INDEX(GUL_8!$A:$J,MATCH('2021'!$A16,GUL_8!$A:$A,0),MATCH('2021'!$A$1,GUL_8!$3:$3,0))/(B16/1000)</f>
        <v>2.271600230810809</v>
      </c>
      <c r="AF16" s="41">
        <f>INDEX(DES_1!$A:$J,MATCH('2021'!$A16,DES_1!$A:$A,0),MATCH('2021'!$A$1,DES_1!$3:$3,0))/(B16/1000)</f>
        <v>9.0255544884893749E-2</v>
      </c>
      <c r="AG16" s="100">
        <f>INDEX(DES_2!$A:$J,MATCH('2021'!$A16,DES_2!$A:$A,0),MATCH('2021'!$A$1,DES_2!$3:$3,0))/(B16/1000)</f>
        <v>0.61657720550579098</v>
      </c>
      <c r="AH16" s="57">
        <f>1/INDEX(DES_3!$A:$J,MATCH('2021'!$A16,DES_3!$A:$A,0),MATCH('2021'!$A$1,DES_3!$3:$3,0))</f>
        <v>6.9252077562326868E-3</v>
      </c>
      <c r="AI16" s="80">
        <f>INDEX(DES_4!$A:$J,MATCH('2021'!$A16,DES_4!$A:$A,0),MATCH('2021'!$A$1,DES_4!$3:$3,0))</f>
        <v>0.76093896342099998</v>
      </c>
      <c r="AJ16" s="110">
        <f>INDEX(DES_5!$A:$J,MATCH('2021'!$A16,DES_5!$A:$A,0),MATCH('2021'!$A$1,DES_5!$3:$3,0))</f>
        <v>0.47247263962700004</v>
      </c>
      <c r="AK16" s="57">
        <v>73</v>
      </c>
    </row>
    <row r="17" spans="1:37" x14ac:dyDescent="0.3">
      <c r="A17" s="29" t="s">
        <v>16</v>
      </c>
      <c r="B17" s="33">
        <f>INDEX(Population!$A:$J,MATCH('2021'!$A17,Population!$A:$A,0),MATCH('2021'!$A$1,Population!$3:$3,0))</f>
        <v>4276579</v>
      </c>
      <c r="C17" s="14">
        <f>INDEX(Income!$A:$J,MATCH('2021'!$A17,Income!$A:$A,0),MATCH('2021'!$A$1,Income!$3:$3,0))</f>
        <v>40275</v>
      </c>
      <c r="D17" s="34">
        <f>INDEX(Livable_wage!$A:$J,MATCH('2021'!$A17,Livable_wage!$A:$A,0),MATCH('2021'!$A$1,Livable_wage!$3:$3,0))</f>
        <v>11206</v>
      </c>
      <c r="E17" s="41">
        <f>INDEX(AVA_1!$A:$J,MATCH('2021'!$A17,AVA_1!$A:$A,0),MATCH('2021'!$A$1,AVA_1!$3:$3,0))</f>
        <v>0.39600000000000002</v>
      </c>
      <c r="F17" s="15">
        <f>INDEX(AVA_2!$A:$J,MATCH('2021'!$A17,AVA_2!$A:$A,0),MATCH('2021'!$A$1,AVA_2!$3:$3,0))</f>
        <v>1.4786926687725042E-2</v>
      </c>
      <c r="G17" s="15">
        <f>INDEX(AVA_3!$A:$J,MATCH('2021'!$A17,AVA_3!$A:$A,0),MATCH('2021'!$A$1,AVA_3!$3:$3,0))</f>
        <v>1.9330916048645022E-2</v>
      </c>
      <c r="H17" s="87">
        <f>INDEX(AVA_4!$A:$J,MATCH('2021'!$A17,AVA_4!$A:$A,0),MATCH('2021'!$A$1,AVA_4!$3:$3,0))/(B17/1000)</f>
        <v>0.64163435306585015</v>
      </c>
      <c r="I17" s="89">
        <f>INDEX(AVA_5!$A:$J,MATCH('2021'!$A17,AVA_5!$A:$A,0),MATCH('2021'!$A$1,AVA_5!$3:$3,0))/(B17/1000)</f>
        <v>4.774143070898492</v>
      </c>
      <c r="J17" s="93">
        <f>INDEX(IRA_1!$A:$J,MATCH('2021'!$A17,IRA_1!$A:$A,0),MATCH('2021'!$A$1,IRA_1!$3:$3,0))/(B17/1000)</f>
        <v>6.0796257943557225E-2</v>
      </c>
      <c r="K17" s="88">
        <f>INDEX(IRA_2!$A:$J,MATCH('2021'!$A17,IRA_2!$A:$A,0),MATCH('2021'!$A$1,IRA_2!$3:$3,0))/(B17/1000)</f>
        <v>0.15456279423342817</v>
      </c>
      <c r="L17" s="15">
        <f>INDEX(IRA_3!$A:$J,MATCH('2021'!$A17,IRA_3!$A:$A,0),MATCH('2021'!$A$1,IRA_3!$3:$3,0))</f>
        <v>0.34789391575663031</v>
      </c>
      <c r="M17" s="96">
        <f>INDEX(IRA_4!$A:$J,MATCH('2021'!$A17,IRA_4!$A:$A,0),MATCH('2021'!$A$1,IRA_4!$3:$3,0))/(B17/1000)</f>
        <v>3.502332121071539</v>
      </c>
      <c r="N17" s="61">
        <f>INDEX(INV_1!$A:$J,MATCH('2021'!$A17,INV_1!$A:$A,0),MATCH('2021'!$A$1,INV_1!$3:$3,0))</f>
        <v>7.1669819159545775E-2</v>
      </c>
      <c r="O17" s="80">
        <f>INDEX(INV_2!$A:$J,MATCH('2021'!$A17,INV_2!$A:$A,0),MATCH('2021'!$A$1,INV_2!$3:$3,0))/B17*10^6/C17</f>
        <v>0.59469452838081605</v>
      </c>
      <c r="P17" s="87">
        <f>INDEX(INV_3!$A:$J,MATCH('2021'!$A17,INV_3!$A:$A,0),MATCH('2021'!$A$1,INV_3!$3:$3,0))/B17*10^6/C17</f>
        <v>4.3024405436484869</v>
      </c>
      <c r="Q17" s="87">
        <f>INDEX(INV_4!$A:$J,MATCH('2021'!$A17,INV_4!$A:$A,0),MATCH('2021'!$A$1,INV_4!$3:$3,0))/B17*10^3/C17</f>
        <v>0.23020018714904275</v>
      </c>
      <c r="R17" s="34">
        <f>INDEX(INV_5!$A:$J,MATCH('2021'!$A17,INV_5!$A:$A,0),MATCH('2021'!$A$1,INV_5!$3:$3,0))</f>
        <v>0.114</v>
      </c>
      <c r="S17" s="77">
        <f>INDEX(LUJ_1!$A:$J,MATCH('2021'!$A17,LUJ_1!$A:$A,0),MATCH('2021'!$A$1,LUJ_1!$3:$3,0))</f>
        <v>0.75741900353934111</v>
      </c>
      <c r="T17" s="73">
        <f>INDEX(LUJ_2!$A:$J,MATCH('2021'!$A17,LUJ_2!$A:$A,0),MATCH('2021'!$A$1,LUJ_2!$3:$3,0))</f>
        <v>0.24</v>
      </c>
      <c r="U17" s="73">
        <f>INDEX(LUJ_3!$A:$J,MATCH('2021'!$A17,LUJ_3!$A:$A,0),MATCH('2021'!$A$1,LUJ_3!$3:$3,0))</f>
        <v>0.5935055359136584</v>
      </c>
      <c r="V17" s="14">
        <f>INDEX(LUJ_4!$A:$J,MATCH('2021'!$A17,LUJ_4!$A:$A,0),MATCH('2021'!$A$1,LUJ_4!$3:$3,0))</f>
        <v>192</v>
      </c>
      <c r="W17" s="34">
        <f>INDEX(LUJ_5!$A:$J,MATCH('2021'!$A17,LUJ_5!$A:$A,0),MATCH('2021'!$A$1,LUJ_5!$3:$3,0))</f>
        <v>90.1</v>
      </c>
      <c r="X17" s="98">
        <f>1/INDEX(GUL_1!$A:$J,MATCH('2021'!$A17,GUL_1!$A:$A,0),MATCH('2021'!$A$1,GUL_1!$3:$3,0))</f>
        <v>1.4536996656490768E-2</v>
      </c>
      <c r="Y17" s="57">
        <f>INDEX(GUL_2!$A:$J,MATCH('2021'!$A17,GUL_2!$A:$A,0),MATCH('2021'!$A$1,GUL_2!$3:$3,0))</f>
        <v>24.9</v>
      </c>
      <c r="Z17" s="57">
        <f>INDEX(GUL_3!$A:$J,MATCH('2021'!$A17,GUL_3!$A:$A,0),MATCH('2021'!$A$1,GUL_3!$3:$3,0))/(B17/1000)</f>
        <v>0.83665004200787596</v>
      </c>
      <c r="AA17" s="101">
        <f>INDEX(GUL_4!$A:$J,MATCH('2021'!$A17,GUL_4!$A:$A,0),MATCH('2021'!$A$1,GUL_4!$3:$3,0))/B17/C17*10^6</f>
        <v>0.2751016882984248</v>
      </c>
      <c r="AB17" s="73">
        <f>INDEX(GUL_5!$A:$J,MATCH('2021'!$A17,GUL_5!$A:$A,0),MATCH('2021'!$A$1,GUL_5!$3:$3,0))</f>
        <v>3.0582475233086232E-2</v>
      </c>
      <c r="AC17" s="49">
        <f>INDEX(GUL_6!$A:$J,MATCH('2021'!$A17,GUL_6!$A:$A,0),MATCH('2021'!$A$1,GUL_6!$3:$3,0))</f>
        <v>6.4306595841999992E-2</v>
      </c>
      <c r="AD17" s="49">
        <f>INDEX(GUL_7!$A:$J,MATCH('2021'!$A17,GUL_7!$A:$A,0),MATCH('2021'!$A$1,GUL_7!$3:$3,0))</f>
        <v>0.2228</v>
      </c>
      <c r="AE17" s="103">
        <f>INDEX(GUL_8!$A:$J,MATCH('2021'!$A17,GUL_8!$A:$A,0),MATCH('2021'!$A$1,GUL_8!$3:$3,0))/(B17/1000)</f>
        <v>2.2492277121502959</v>
      </c>
      <c r="AF17" s="41">
        <f>INDEX(DES_1!$A:$J,MATCH('2021'!$A17,DES_1!$A:$A,0),MATCH('2021'!$A$1,DES_1!$3:$3,0))/(B17/1000)</f>
        <v>7.1318687203019052E-2</v>
      </c>
      <c r="AG17" s="100">
        <f>INDEX(DES_2!$A:$J,MATCH('2021'!$A17,DES_2!$A:$A,0),MATCH('2021'!$A$1,DES_2!$3:$3,0))/(B17/1000)</f>
        <v>0.65589809050645387</v>
      </c>
      <c r="AH17" s="57">
        <f>1/INDEX(DES_3!$A:$J,MATCH('2021'!$A17,DES_3!$A:$A,0),MATCH('2021'!$A$1,DES_3!$3:$3,0))</f>
        <v>8.0906148867313926E-3</v>
      </c>
      <c r="AI17" s="80">
        <f>INDEX(DES_4!$A:$J,MATCH('2021'!$A17,DES_4!$A:$A,0),MATCH('2021'!$A$1,DES_4!$3:$3,0))</f>
        <v>0.98597411122199996</v>
      </c>
      <c r="AJ17" s="110">
        <f>INDEX(DES_5!$A:$J,MATCH('2021'!$A17,DES_5!$A:$A,0),MATCH('2021'!$A$1,DES_5!$3:$3,0))</f>
        <v>0.74814153322400001</v>
      </c>
      <c r="AK17" s="57">
        <v>72</v>
      </c>
    </row>
    <row r="18" spans="1:37" x14ac:dyDescent="0.3">
      <c r="A18" s="29" t="s">
        <v>17</v>
      </c>
      <c r="B18" s="33">
        <f>INDEX(Population!$A:$J,MATCH('2021'!$A18,Population!$A:$A,0),MATCH('2021'!$A$1,Population!$3:$3,0))</f>
        <v>1705983</v>
      </c>
      <c r="C18" s="14">
        <f>INDEX(Income!$A:$J,MATCH('2021'!$A18,Income!$A:$A,0),MATCH('2021'!$A$1,Income!$3:$3,0))</f>
        <v>57012</v>
      </c>
      <c r="D18" s="34">
        <f>INDEX(Livable_wage!$A:$J,MATCH('2021'!$A18,Livable_wage!$A:$A,0),MATCH('2021'!$A$1,Livable_wage!$3:$3,0))</f>
        <v>16281</v>
      </c>
      <c r="E18" s="41">
        <f>INDEX(AVA_1!$A:$J,MATCH('2021'!$A18,AVA_1!$A:$A,0),MATCH('2021'!$A$1,AVA_1!$3:$3,0))</f>
        <v>0.38600000000000001</v>
      </c>
      <c r="F18" s="15">
        <f>INDEX(AVA_2!$A:$J,MATCH('2021'!$A18,AVA_2!$A:$A,0),MATCH('2021'!$A$1,AVA_2!$3:$3,0))</f>
        <v>1.171099871331212E-2</v>
      </c>
      <c r="G18" s="15">
        <f>INDEX(AVA_3!$A:$J,MATCH('2021'!$A18,AVA_3!$A:$A,0),MATCH('2021'!$A$1,AVA_3!$3:$3,0))</f>
        <v>3.8803491958758776E-2</v>
      </c>
      <c r="H18" s="87">
        <f>INDEX(AVA_4!$A:$J,MATCH('2021'!$A18,AVA_4!$A:$A,0),MATCH('2021'!$A$1,AVA_4!$3:$3,0))/(B18/1000)</f>
        <v>0.68875246705271975</v>
      </c>
      <c r="I18" s="89">
        <f>INDEX(AVA_5!$A:$J,MATCH('2021'!$A18,AVA_5!$A:$A,0),MATCH('2021'!$A$1,AVA_5!$3:$3,0))/(B18/1000)</f>
        <v>3.2333264751172783</v>
      </c>
      <c r="J18" s="93">
        <f>INDEX(IRA_1!$A:$J,MATCH('2021'!$A18,IRA_1!$A:$A,0),MATCH('2021'!$A$1,IRA_1!$3:$3,0))/(B18/1000)</f>
        <v>4.2790578804126421E-2</v>
      </c>
      <c r="K18" s="88">
        <f>INDEX(IRA_2!$A:$J,MATCH('2021'!$A18,IRA_2!$A:$A,0),MATCH('2021'!$A$1,IRA_2!$3:$3,0))/(B18/1000)</f>
        <v>0.13716432109815865</v>
      </c>
      <c r="L18" s="15">
        <f>INDEX(IRA_3!$A:$J,MATCH('2021'!$A18,IRA_3!$A:$A,0),MATCH('2021'!$A$1,IRA_3!$3:$3,0))</f>
        <v>0.43537494177922687</v>
      </c>
      <c r="M18" s="96">
        <f>INDEX(IRA_4!$A:$J,MATCH('2021'!$A18,IRA_4!$A:$A,0),MATCH('2021'!$A$1,IRA_4!$3:$3,0))/(B18/1000)</f>
        <v>2.6618084705416174</v>
      </c>
      <c r="N18" s="61">
        <f>INDEX(INV_1!$A:$J,MATCH('2021'!$A18,INV_1!$A:$A,0),MATCH('2021'!$A$1,INV_1!$3:$3,0))</f>
        <v>7.3895996526611663E-2</v>
      </c>
      <c r="O18" s="80">
        <f>INDEX(INV_2!$A:$J,MATCH('2021'!$A18,INV_2!$A:$A,0),MATCH('2021'!$A$1,INV_2!$3:$3,0))/B18*10^6/C18</f>
        <v>0.35059238181283447</v>
      </c>
      <c r="P18" s="87">
        <f>INDEX(INV_3!$A:$J,MATCH('2021'!$A18,INV_3!$A:$A,0),MATCH('2021'!$A$1,INV_3!$3:$3,0))/B18*10^6/C18</f>
        <v>5.5575945719628583</v>
      </c>
      <c r="Q18" s="87">
        <f>INDEX(INV_4!$A:$J,MATCH('2021'!$A18,INV_4!$A:$A,0),MATCH('2021'!$A$1,INV_4!$3:$3,0))/B18*10^3/C18</f>
        <v>0.26422854738223228</v>
      </c>
      <c r="R18" s="34">
        <f>INDEX(INV_5!$A:$J,MATCH('2021'!$A18,INV_5!$A:$A,0),MATCH('2021'!$A$1,INV_5!$3:$3,0))</f>
        <v>9.7699999999999995E-2</v>
      </c>
      <c r="S18" s="77">
        <f>INDEX(LUJ_1!$A:$J,MATCH('2021'!$A18,LUJ_1!$A:$A,0),MATCH('2021'!$A$1,LUJ_1!$3:$3,0))</f>
        <v>0.70961476205891871</v>
      </c>
      <c r="T18" s="73">
        <f>INDEX(LUJ_2!$A:$J,MATCH('2021'!$A18,LUJ_2!$A:$A,0),MATCH('2021'!$A$1,LUJ_2!$3:$3,0))</f>
        <v>0.17399999999999999</v>
      </c>
      <c r="U18" s="73">
        <f>INDEX(LUJ_3!$A:$J,MATCH('2021'!$A18,LUJ_3!$A:$A,0),MATCH('2021'!$A$1,LUJ_3!$3:$3,0))</f>
        <v>0.3460346491896561</v>
      </c>
      <c r="V18" s="14">
        <f>INDEX(LUJ_4!$A:$J,MATCH('2021'!$A18,LUJ_4!$A:$A,0),MATCH('2021'!$A$1,LUJ_4!$3:$3,0))</f>
        <v>24</v>
      </c>
      <c r="W18" s="34">
        <f>INDEX(LUJ_5!$A:$J,MATCH('2021'!$A18,LUJ_5!$A:$A,0),MATCH('2021'!$A$1,LUJ_5!$3:$3,0))</f>
        <v>41.6</v>
      </c>
      <c r="X18" s="98">
        <f>1/INDEX(GUL_1!$A:$J,MATCH('2021'!$A18,GUL_1!$A:$A,0),MATCH('2021'!$A$1,GUL_1!$3:$3,0))</f>
        <v>1.3886960144424384E-2</v>
      </c>
      <c r="Y18" s="57">
        <f>INDEX(GUL_2!$A:$J,MATCH('2021'!$A18,GUL_2!$A:$A,0),MATCH('2021'!$A$1,GUL_2!$3:$3,0))</f>
        <v>25.1</v>
      </c>
      <c r="Z18" s="57">
        <f>INDEX(GUL_3!$A:$J,MATCH('2021'!$A18,GUL_3!$A:$A,0),MATCH('2021'!$A$1,GUL_3!$3:$3,0))/(B18/1000)</f>
        <v>0.38394286461236721</v>
      </c>
      <c r="AA18" s="101">
        <f>INDEX(GUL_4!$A:$J,MATCH('2021'!$A18,GUL_4!$A:$A,0),MATCH('2021'!$A$1,GUL_4!$3:$3,0))/B18/C18*10^6</f>
        <v>0.36071301585361526</v>
      </c>
      <c r="AB18" s="73">
        <f>INDEX(GUL_5!$A:$J,MATCH('2021'!$A18,GUL_5!$A:$A,0),MATCH('2021'!$A$1,GUL_5!$3:$3,0))</f>
        <v>3.5433061634489414E-2</v>
      </c>
      <c r="AC18" s="49">
        <f>INDEX(GUL_6!$A:$J,MATCH('2021'!$A18,GUL_6!$A:$A,0),MATCH('2021'!$A$1,GUL_6!$3:$3,0))</f>
        <v>3.3865133439000002E-2</v>
      </c>
      <c r="AD18" s="49">
        <f>INDEX(GUL_7!$A:$J,MATCH('2021'!$A18,GUL_7!$A:$A,0),MATCH('2021'!$A$1,GUL_7!$3:$3,0))</f>
        <v>0.2087</v>
      </c>
      <c r="AE18" s="103">
        <f>INDEX(GUL_8!$A:$J,MATCH('2021'!$A18,GUL_8!$A:$A,0),MATCH('2021'!$A$1,GUL_8!$3:$3,0))/(B18/1000)</f>
        <v>1.713967841414598</v>
      </c>
      <c r="AF18" s="41">
        <f>INDEX(DES_1!$A:$J,MATCH('2021'!$A18,DES_1!$A:$A,0),MATCH('2021'!$A$1,DES_1!$3:$3,0))/(B18/1000)</f>
        <v>8.382264067109696E-2</v>
      </c>
      <c r="AG18" s="100">
        <f>INDEX(DES_2!$A:$J,MATCH('2021'!$A18,DES_2!$A:$A,0),MATCH('2021'!$A$1,DES_2!$3:$3,0))/(B18/1000)</f>
        <v>0.50059115477704064</v>
      </c>
      <c r="AH18" s="57">
        <f>1/INDEX(DES_3!$A:$J,MATCH('2021'!$A18,DES_3!$A:$A,0),MATCH('2021'!$A$1,DES_3!$3:$3,0))</f>
        <v>1.1198208286674132E-2</v>
      </c>
      <c r="AI18" s="80">
        <f>INDEX(DES_4!$A:$J,MATCH('2021'!$A18,DES_4!$A:$A,0),MATCH('2021'!$A$1,DES_4!$3:$3,0))</f>
        <v>0.87843533981600008</v>
      </c>
      <c r="AJ18" s="110">
        <f>INDEX(DES_5!$A:$J,MATCH('2021'!$A18,DES_5!$A:$A,0),MATCH('2021'!$A$1,DES_5!$3:$3,0))</f>
        <v>0.42761056343299997</v>
      </c>
      <c r="AK18" s="57">
        <v>71</v>
      </c>
    </row>
    <row r="19" spans="1:37" x14ac:dyDescent="0.3">
      <c r="A19" s="29" t="s">
        <v>18</v>
      </c>
      <c r="B19" s="33">
        <f>INDEX(Population!$A:$J,MATCH('2021'!$A19,Population!$A:$A,0),MATCH('2021'!$A$1,Population!$3:$3,0))</f>
        <v>47745</v>
      </c>
      <c r="C19" s="14">
        <f>INDEX(Income!$A:$J,MATCH('2021'!$A19,Income!$A:$A,0),MATCH('2021'!$A$1,Income!$3:$3,0))</f>
        <v>99912</v>
      </c>
      <c r="D19" s="34">
        <f>INDEX(Livable_wage!$A:$J,MATCH('2021'!$A19,Livable_wage!$A:$A,0),MATCH('2021'!$A$1,Livable_wage!$3:$3,0))</f>
        <v>24164</v>
      </c>
      <c r="E19" s="41">
        <f>INDEX(AVA_1!$A:$J,MATCH('2021'!$A19,AVA_1!$A:$A,0),MATCH('2021'!$A$1,AVA_1!$3:$3,0))</f>
        <v>0.41</v>
      </c>
      <c r="F19" s="15">
        <f>INDEX(AVA_2!$A:$J,MATCH('2021'!$A19,AVA_2!$A:$A,0),MATCH('2021'!$A$1,AVA_2!$3:$3,0))</f>
        <v>9.439970883945225E-3</v>
      </c>
      <c r="G19" s="15">
        <f>INDEX(AVA_3!$A:$J,MATCH('2021'!$A19,AVA_3!$A:$A,0),MATCH('2021'!$A$1,AVA_3!$3:$3,0))</f>
        <v>4.5373464635495636E-3</v>
      </c>
      <c r="H19" s="87">
        <f>INDEX(AVA_4!$A:$J,MATCH('2021'!$A19,AVA_4!$A:$A,0),MATCH('2021'!$A$1,AVA_4!$3:$3,0))/(B19/1000)</f>
        <v>1.193842287150487</v>
      </c>
      <c r="I19" s="89">
        <f>INDEX(AVA_5!$A:$J,MATCH('2021'!$A19,AVA_5!$A:$A,0),MATCH('2021'!$A$1,AVA_5!$3:$3,0))/(B19/1000)</f>
        <v>3.9794742905016234</v>
      </c>
      <c r="J19" s="93">
        <f>INDEX(IRA_1!$A:$J,MATCH('2021'!$A19,IRA_1!$A:$A,0),MATCH('2021'!$A$1,IRA_1!$3:$3,0))/(B19/1000)</f>
        <v>0.10472300764477957</v>
      </c>
      <c r="K19" s="88">
        <f>INDEX(IRA_2!$A:$J,MATCH('2021'!$A19,IRA_2!$A:$A,0),MATCH('2021'!$A$1,IRA_2!$3:$3,0))/(B19/1000)</f>
        <v>0.39794742905016234</v>
      </c>
      <c r="L19" s="15">
        <f>INDEX(IRA_3!$A:$J,MATCH('2021'!$A19,IRA_3!$A:$A,0),MATCH('2021'!$A$1,IRA_3!$3:$3,0))</f>
        <v>0.47117296222664018</v>
      </c>
      <c r="M19" s="96">
        <f>INDEX(IRA_4!$A:$J,MATCH('2021'!$A19,IRA_4!$A:$A,0),MATCH('2021'!$A$1,IRA_4!$3:$3,0))/(B19/1000)</f>
        <v>4.4402555241386539</v>
      </c>
      <c r="N19" s="61">
        <f>INDEX(INV_1!$A:$J,MATCH('2021'!$A19,INV_1!$A:$A,0),MATCH('2021'!$A$1,INV_1!$3:$3,0))</f>
        <v>4.7491822429995452E-2</v>
      </c>
      <c r="O19" s="80">
        <f>INDEX(INV_2!$A:$J,MATCH('2021'!$A19,INV_2!$A:$A,0),MATCH('2021'!$A$1,INV_2!$3:$3,0))/B19*10^6/C19</f>
        <v>5.7086632783060198E-3</v>
      </c>
      <c r="P19" s="87">
        <f>INDEX(INV_3!$A:$J,MATCH('2021'!$A19,INV_3!$A:$A,0),MATCH('2021'!$A$1,INV_3!$3:$3,0))/B19*10^6/C19</f>
        <v>2.9084134199368874</v>
      </c>
      <c r="Q19" s="87">
        <f>INDEX(INV_4!$A:$J,MATCH('2021'!$A19,INV_4!$A:$A,0),MATCH('2021'!$A$1,INV_4!$3:$3,0))/B19*10^3/C19</f>
        <v>0.1471064145831513</v>
      </c>
      <c r="R19" s="34">
        <f>INDEX(INV_5!$A:$J,MATCH('2021'!$A19,INV_5!$A:$A,0),MATCH('2021'!$A$1,INV_5!$3:$3,0))</f>
        <v>5.3800000000000001E-2</v>
      </c>
      <c r="S19" s="77">
        <f>INDEX(LUJ_1!$A:$J,MATCH('2021'!$A19,LUJ_1!$A:$A,0),MATCH('2021'!$A$1,LUJ_1!$3:$3,0))</f>
        <v>0.76430976430976427</v>
      </c>
      <c r="T19" s="73">
        <f>INDEX(LUJ_2!$A:$J,MATCH('2021'!$A19,LUJ_2!$A:$A,0),MATCH('2021'!$A$1,LUJ_2!$3:$3,0))</f>
        <v>0.41200000000000003</v>
      </c>
      <c r="U19" s="73">
        <f>INDEX(LUJ_3!$A:$J,MATCH('2021'!$A19,LUJ_3!$A:$A,0),MATCH('2021'!$A$1,LUJ_3!$3:$3,0))</f>
        <v>0.57171314741035861</v>
      </c>
      <c r="V19" s="14">
        <f>INDEX(LUJ_4!$A:$J,MATCH('2021'!$A19,LUJ_4!$A:$A,0),MATCH('2021'!$A$1,LUJ_4!$3:$3,0))</f>
        <v>1</v>
      </c>
      <c r="W19" s="34">
        <f>INDEX(LUJ_5!$A:$J,MATCH('2021'!$A19,LUJ_5!$A:$A,0),MATCH('2021'!$A$1,LUJ_5!$3:$3,0))</f>
        <v>50.5</v>
      </c>
      <c r="X19" s="98">
        <f>1/INDEX(GUL_1!$A:$J,MATCH('2021'!$A19,GUL_1!$A:$A,0),MATCH('2021'!$A$1,GUL_1!$3:$3,0))</f>
        <v>1.5415446277169722E-2</v>
      </c>
      <c r="Y19" s="57">
        <f>INDEX(GUL_2!$A:$J,MATCH('2021'!$A19,GUL_2!$A:$A,0),MATCH('2021'!$A$1,GUL_2!$3:$3,0))</f>
        <v>24.6</v>
      </c>
      <c r="Z19" s="57">
        <f>INDEX(GUL_3!$A:$J,MATCH('2021'!$A19,GUL_3!$A:$A,0),MATCH('2021'!$A$1,GUL_3!$3:$3,0))/(B19/1000)</f>
        <v>0.50267043669494194</v>
      </c>
      <c r="AA19" s="101">
        <f>INDEX(GUL_4!$A:$J,MATCH('2021'!$A19,GUL_4!$A:$A,0),MATCH('2021'!$A$1,GUL_4!$3:$3,0))/B19/C19*10^6</f>
        <v>0.41787741900693326</v>
      </c>
      <c r="AB19" s="73">
        <f>INDEX(GUL_5!$A:$J,MATCH('2021'!$A19,GUL_5!$A:$A,0),MATCH('2021'!$A$1,GUL_5!$3:$3,0))</f>
        <v>6.9202065382047803E-2</v>
      </c>
      <c r="AC19" s="49">
        <f>INDEX(GUL_6!$A:$J,MATCH('2021'!$A19,GUL_6!$A:$A,0),MATCH('2021'!$A$1,GUL_6!$3:$3,0))</f>
        <v>5.6879058396999999E-2</v>
      </c>
      <c r="AD19" s="49">
        <f>INDEX(GUL_7!$A:$J,MATCH('2021'!$A19,GUL_7!$A:$A,0),MATCH('2021'!$A$1,GUL_7!$3:$3,0))</f>
        <v>0.14929999999999999</v>
      </c>
      <c r="AE19" s="103">
        <f>INDEX(GUL_8!$A:$J,MATCH('2021'!$A19,GUL_8!$A:$A,0),MATCH('2021'!$A$1,GUL_8!$3:$3,0))/(B19/1000)</f>
        <v>4.293643313435962</v>
      </c>
      <c r="AF19" s="41">
        <f>INDEX(DES_1!$A:$J,MATCH('2021'!$A19,DES_1!$A:$A,0),MATCH('2021'!$A$1,DES_1!$3:$3,0))/(B19/1000)</f>
        <v>0.31416902293433868</v>
      </c>
      <c r="AG19" s="100">
        <f>INDEX(DES_2!$A:$J,MATCH('2021'!$A19,DES_2!$A:$A,0),MATCH('2021'!$A$1,DES_2!$3:$3,0))/(B19/1000)</f>
        <v>0.33511362446329462</v>
      </c>
      <c r="AH19" s="57">
        <f>1/INDEX(DES_3!$A:$J,MATCH('2021'!$A19,DES_3!$A:$A,0),MATCH('2021'!$A$1,DES_3!$3:$3,0))</f>
        <v>7.4906367041198503E-3</v>
      </c>
      <c r="AI19" s="80">
        <f>INDEX(DES_4!$A:$J,MATCH('2021'!$A19,DES_4!$A:$A,0),MATCH('2021'!$A$1,DES_4!$3:$3,0))</f>
        <v>0.21160481249999999</v>
      </c>
      <c r="AJ19" s="110">
        <f>INDEX(DES_5!$A:$J,MATCH('2021'!$A19,DES_5!$A:$A,0),MATCH('2021'!$A$1,DES_5!$3:$3,0))</f>
        <v>0.27810212304699999</v>
      </c>
      <c r="AK19" s="57">
        <v>68</v>
      </c>
    </row>
    <row r="20" spans="1:37" x14ac:dyDescent="0.3">
      <c r="A20" s="29" t="s">
        <v>19</v>
      </c>
      <c r="B20" s="33">
        <f>INDEX(Population!$A:$J,MATCH('2021'!$A20,Population!$A:$A,0),MATCH('2021'!$A$1,Population!$3:$3,0))</f>
        <v>3812032</v>
      </c>
      <c r="C20" s="14">
        <f>INDEX(Income!$A:$J,MATCH('2021'!$A20,Income!$A:$A,0),MATCH('2021'!$A$1,Income!$3:$3,0))</f>
        <v>53382</v>
      </c>
      <c r="D20" s="34">
        <f>INDEX(Livable_wage!$A:$J,MATCH('2021'!$A20,Livable_wage!$A:$A,0),MATCH('2021'!$A$1,Livable_wage!$3:$3,0))</f>
        <v>14483.177393316741</v>
      </c>
      <c r="E20" s="41">
        <f>INDEX(AVA_1!$A:$J,MATCH('2021'!$A20,AVA_1!$A:$A,0),MATCH('2021'!$A$1,AVA_1!$3:$3,0))</f>
        <v>0.42799999999999999</v>
      </c>
      <c r="F20" s="15">
        <f>INDEX(AVA_2!$A:$J,MATCH('2021'!$A20,AVA_2!$A:$A,0),MATCH('2021'!$A$1,AVA_2!$3:$3,0))</f>
        <v>1.1603601452222549E-2</v>
      </c>
      <c r="G20" s="15">
        <f>INDEX(AVA_3!$A:$J,MATCH('2021'!$A20,AVA_3!$A:$A,0),MATCH('2021'!$A$1,AVA_3!$3:$3,0))</f>
        <v>5.7887708332808575E-2</v>
      </c>
      <c r="H20" s="87">
        <f>INDEX(AVA_4!$A:$J,MATCH('2021'!$A20,AVA_4!$A:$A,0),MATCH('2021'!$A$1,AVA_4!$3:$3,0))/(B20/1000)</f>
        <v>0.76415937746587648</v>
      </c>
      <c r="I20" s="89">
        <f>INDEX(AVA_5!$A:$J,MATCH('2021'!$A20,AVA_5!$A:$A,0),MATCH('2021'!$A$1,AVA_5!$3:$3,0))/(B20/1000)</f>
        <v>3.8441440155801421</v>
      </c>
      <c r="J20" s="93">
        <f>INDEX(IRA_1!$A:$J,MATCH('2021'!$A20,IRA_1!$A:$A,0),MATCH('2021'!$A$1,IRA_1!$3:$3,0))/(B20/1000)</f>
        <v>1.9936873562446486E-2</v>
      </c>
      <c r="K20" s="88">
        <f>INDEX(IRA_2!$A:$J,MATCH('2021'!$A20,IRA_2!$A:$A,0),MATCH('2021'!$A$1,IRA_2!$3:$3,0))/(B20/1000)</f>
        <v>8.2895421654382753E-2</v>
      </c>
      <c r="L20" s="15">
        <f>INDEX(IRA_3!$A:$J,MATCH('2021'!$A20,IRA_3!$A:$A,0),MATCH('2021'!$A$1,IRA_3!$3:$3,0))</f>
        <v>0.39393077287814127</v>
      </c>
      <c r="M20" s="96">
        <f>INDEX(IRA_4!$A:$J,MATCH('2021'!$A20,IRA_4!$A:$A,0),MATCH('2021'!$A$1,IRA_4!$3:$3,0))/(B20/1000)</f>
        <v>1.451194533519131</v>
      </c>
      <c r="N20" s="61">
        <f>INDEX(INV_1!$A:$J,MATCH('2021'!$A20,INV_1!$A:$A,0),MATCH('2021'!$A$1,INV_1!$3:$3,0))</f>
        <v>7.2906365965160952E-2</v>
      </c>
      <c r="O20" s="80">
        <f>INDEX(INV_2!$A:$J,MATCH('2021'!$A20,INV_2!$A:$A,0),MATCH('2021'!$A$1,INV_2!$3:$3,0))/B20*10^6/C20</f>
        <v>0.34722176203525607</v>
      </c>
      <c r="P20" s="87">
        <f>INDEX(INV_3!$A:$J,MATCH('2021'!$A20,INV_3!$A:$A,0),MATCH('2021'!$A$1,INV_3!$3:$3,0))/B20*10^6/C20</f>
        <v>5.2748118789651057</v>
      </c>
      <c r="Q20" s="87">
        <f>INDEX(INV_4!$A:$J,MATCH('2021'!$A20,INV_4!$A:$A,0),MATCH('2021'!$A$1,INV_4!$3:$3,0))/B20*10^3/C20</f>
        <v>0.24804186871829359</v>
      </c>
      <c r="R20" s="34">
        <f>INDEX(INV_5!$A:$J,MATCH('2021'!$A20,INV_5!$A:$A,0),MATCH('2021'!$A$1,INV_5!$3:$3,0))</f>
        <v>0.15690000000000001</v>
      </c>
      <c r="S20" s="77">
        <f>INDEX(LUJ_1!$A:$J,MATCH('2021'!$A20,LUJ_1!$A:$A,0),MATCH('2021'!$A$1,LUJ_1!$3:$3,0))</f>
        <v>0.6926878204651854</v>
      </c>
      <c r="T20" s="73">
        <f>INDEX(LUJ_2!$A:$J,MATCH('2021'!$A20,LUJ_2!$A:$A,0),MATCH('2021'!$A$1,LUJ_2!$3:$3,0))</f>
        <v>0.20100000000000001</v>
      </c>
      <c r="U20" s="73">
        <f>INDEX(LUJ_3!$A:$J,MATCH('2021'!$A20,LUJ_3!$A:$A,0),MATCH('2021'!$A$1,LUJ_3!$3:$3,0))</f>
        <v>0.40320086961937973</v>
      </c>
      <c r="V20" s="14">
        <f>INDEX(LUJ_4!$A:$J,MATCH('2021'!$A20,LUJ_4!$A:$A,0),MATCH('2021'!$A$1,LUJ_4!$3:$3,0))</f>
        <v>96</v>
      </c>
      <c r="W20" s="34">
        <f>INDEX(LUJ_5!$A:$J,MATCH('2021'!$A20,LUJ_5!$A:$A,0),MATCH('2021'!$A$1,LUJ_5!$3:$3,0))</f>
        <v>109.6</v>
      </c>
      <c r="X20" s="98">
        <f>1/INDEX(GUL_1!$A:$J,MATCH('2021'!$A20,GUL_1!$A:$A,0),MATCH('2021'!$A$1,GUL_1!$3:$3,0))</f>
        <v>1.4033118158854897E-2</v>
      </c>
      <c r="Y20" s="57">
        <f>INDEX(GUL_2!$A:$J,MATCH('2021'!$A20,GUL_2!$A:$A,0),MATCH('2021'!$A$1,GUL_2!$3:$3,0))</f>
        <v>25.900000000000002</v>
      </c>
      <c r="Z20" s="57">
        <f>INDEX(GUL_3!$A:$J,MATCH('2021'!$A20,GUL_3!$A:$A,0),MATCH('2021'!$A$1,GUL_3!$3:$3,0))/(B20/1000)</f>
        <v>0.43441398183436025</v>
      </c>
      <c r="AA20" s="101">
        <f>INDEX(GUL_4!$A:$J,MATCH('2021'!$A20,GUL_4!$A:$A,0),MATCH('2021'!$A$1,GUL_4!$3:$3,0))/B20/C20*10^6</f>
        <v>0.41389689429738319</v>
      </c>
      <c r="AB20" s="73">
        <f>INDEX(GUL_5!$A:$J,MATCH('2021'!$A20,GUL_5!$A:$A,0),MATCH('2021'!$A$1,GUL_5!$3:$3,0))</f>
        <v>3.0679087810108852E-2</v>
      </c>
      <c r="AC20" s="49">
        <f>INDEX(GUL_6!$A:$J,MATCH('2021'!$A20,GUL_6!$A:$A,0),MATCH('2021'!$A$1,GUL_6!$3:$3,0))</f>
        <v>3.2732911943000001E-2</v>
      </c>
      <c r="AD20" s="49">
        <f>INDEX(GUL_7!$A:$J,MATCH('2021'!$A20,GUL_7!$A:$A,0),MATCH('2021'!$A$1,GUL_7!$3:$3,0))</f>
        <v>0.17739999999999997</v>
      </c>
      <c r="AE20" s="103">
        <f>INDEX(GUL_8!$A:$J,MATCH('2021'!$A20,GUL_8!$A:$A,0),MATCH('2021'!$A$1,GUL_8!$3:$3,0))/(B20/1000)</f>
        <v>1.0461612074610076</v>
      </c>
      <c r="AF20" s="41">
        <f>INDEX(DES_1!$A:$J,MATCH('2021'!$A20,DES_1!$A:$A,0),MATCH('2021'!$A$1,DES_1!$3:$3,0))/(B20/1000)</f>
        <v>0.10965280459345567</v>
      </c>
      <c r="AG20" s="100">
        <f>INDEX(DES_2!$A:$J,MATCH('2021'!$A20,DES_2!$A:$A,0),MATCH('2021'!$A$1,DES_2!$3:$3,0))/(B20/1000)</f>
        <v>0.28095252086026556</v>
      </c>
      <c r="AH20" s="57">
        <f>1/INDEX(DES_3!$A:$J,MATCH('2021'!$A20,DES_3!$A:$A,0),MATCH('2021'!$A$1,DES_3!$3:$3,0))</f>
        <v>8.8261253309797009E-3</v>
      </c>
      <c r="AI20" s="80">
        <f>INDEX(DES_4!$A:$J,MATCH('2021'!$A20,DES_4!$A:$A,0),MATCH('2021'!$A$1,DES_4!$3:$3,0))</f>
        <v>0.55156614187300002</v>
      </c>
      <c r="AJ20" s="110">
        <f>INDEX(DES_5!$A:$J,MATCH('2021'!$A20,DES_5!$A:$A,0),MATCH('2021'!$A$1,DES_5!$3:$3,0))</f>
        <v>0.49435693084299998</v>
      </c>
      <c r="AK20" s="57">
        <v>20</v>
      </c>
    </row>
    <row r="21" spans="1:37" x14ac:dyDescent="0.3">
      <c r="A21" s="29" t="s">
        <v>20</v>
      </c>
      <c r="B21" s="33">
        <f>INDEX(Population!$A:$J,MATCH('2021'!$A21,Population!$A:$A,0),MATCH('2021'!$A$1,Population!$3:$3,0))</f>
        <v>1350639</v>
      </c>
      <c r="C21" s="14">
        <f>INDEX(Income!$A:$J,MATCH('2021'!$A21,Income!$A:$A,0),MATCH('2021'!$A$1,Income!$3:$3,0))</f>
        <v>28523</v>
      </c>
      <c r="D21" s="34">
        <f>INDEX(Livable_wage!$A:$J,MATCH('2021'!$A21,Livable_wage!$A:$A,0),MATCH('2021'!$A$1,Livable_wage!$3:$3,0))</f>
        <v>11093</v>
      </c>
      <c r="E21" s="41">
        <f>INDEX(AVA_1!$A:$J,MATCH('2021'!$A21,AVA_1!$A:$A,0),MATCH('2021'!$A$1,AVA_1!$3:$3,0))</f>
        <v>0.33800000000000002</v>
      </c>
      <c r="F21" s="15">
        <f>INDEX(AVA_2!$A:$J,MATCH('2021'!$A21,AVA_2!$A:$A,0),MATCH('2021'!$A$1,AVA_2!$3:$3,0))</f>
        <v>9.2560715100483224E-3</v>
      </c>
      <c r="G21" s="15">
        <f>INDEX(AVA_3!$A:$J,MATCH('2021'!$A21,AVA_3!$A:$A,0),MATCH('2021'!$A$1,AVA_3!$3:$3,0))</f>
        <v>2.0026225077323174E-2</v>
      </c>
      <c r="H21" s="87">
        <f>INDEX(AVA_4!$A:$J,MATCH('2021'!$A21,AVA_4!$A:$A,0),MATCH('2021'!$A$1,AVA_4!$3:$3,0))/(B21/1000)</f>
        <v>0.69448609139821971</v>
      </c>
      <c r="I21" s="89">
        <f>INDEX(AVA_5!$A:$J,MATCH('2021'!$A21,AVA_5!$A:$A,0),MATCH('2021'!$A$1,AVA_5!$3:$3,0))/(B21/1000)</f>
        <v>4.1306374242117991</v>
      </c>
      <c r="J21" s="93">
        <f>INDEX(IRA_1!$A:$J,MATCH('2021'!$A21,IRA_1!$A:$A,0),MATCH('2021'!$A$1,IRA_1!$3:$3,0))/(B21/1000)</f>
        <v>4.294263678155303E-2</v>
      </c>
      <c r="K21" s="88">
        <f>INDEX(IRA_2!$A:$J,MATCH('2021'!$A21,IRA_2!$A:$A,0),MATCH('2021'!$A$1,IRA_2!$3:$3,0))/(B21/1000)</f>
        <v>0.11105854340056819</v>
      </c>
      <c r="L21" s="15">
        <f>INDEX(IRA_3!$A:$J,MATCH('2021'!$A21,IRA_3!$A:$A,0),MATCH('2021'!$A$1,IRA_3!$3:$3,0))</f>
        <v>0.43862892902858763</v>
      </c>
      <c r="M21" s="96">
        <f>INDEX(IRA_4!$A:$J,MATCH('2021'!$A21,IRA_4!$A:$A,0),MATCH('2021'!$A$1,IRA_4!$3:$3,0))/(B21/1000)</f>
        <v>3.4250454784735229</v>
      </c>
      <c r="N21" s="61">
        <f>INDEX(INV_1!$A:$J,MATCH('2021'!$A21,INV_1!$A:$A,0),MATCH('2021'!$A$1,INV_1!$3:$3,0))</f>
        <v>7.3444418021682931E-2</v>
      </c>
      <c r="O21" s="80">
        <f>INDEX(INV_2!$A:$J,MATCH('2021'!$A21,INV_2!$A:$A,0),MATCH('2021'!$A$1,INV_2!$3:$3,0))/B21*10^6/C21</f>
        <v>0.40755308993553768</v>
      </c>
      <c r="P21" s="87">
        <f>INDEX(INV_3!$A:$J,MATCH('2021'!$A21,INV_3!$A:$A,0),MATCH('2021'!$A$1,INV_3!$3:$3,0))/B21*10^6/C21</f>
        <v>4.4245088247309763</v>
      </c>
      <c r="Q21" s="87">
        <f>INDEX(INV_4!$A:$J,MATCH('2021'!$A21,INV_4!$A:$A,0),MATCH('2021'!$A$1,INV_4!$3:$3,0))/B21*10^3/C21</f>
        <v>0.27584476722310319</v>
      </c>
      <c r="R21" s="34">
        <f>INDEX(INV_5!$A:$J,MATCH('2021'!$A21,INV_5!$A:$A,0),MATCH('2021'!$A$1,INV_5!$3:$3,0))</f>
        <v>8.0600000000000005E-2</v>
      </c>
      <c r="S21" s="77">
        <f>INDEX(LUJ_1!$A:$J,MATCH('2021'!$A21,LUJ_1!$A:$A,0),MATCH('2021'!$A$1,LUJ_1!$3:$3,0))</f>
        <v>0.72493345164152623</v>
      </c>
      <c r="T21" s="73">
        <f>INDEX(LUJ_2!$A:$J,MATCH('2021'!$A21,LUJ_2!$A:$A,0),MATCH('2021'!$A$1,LUJ_2!$3:$3,0))</f>
        <v>0.21</v>
      </c>
      <c r="U21" s="73">
        <f>INDEX(LUJ_3!$A:$J,MATCH('2021'!$A21,LUJ_3!$A:$A,0),MATCH('2021'!$A$1,LUJ_3!$3:$3,0))</f>
        <v>0.48663594470046084</v>
      </c>
      <c r="V21" s="14">
        <f>INDEX(LUJ_4!$A:$J,MATCH('2021'!$A21,LUJ_4!$A:$A,0),MATCH('2021'!$A$1,LUJ_4!$3:$3,0))</f>
        <v>18</v>
      </c>
      <c r="W21" s="34">
        <f>INDEX(LUJ_5!$A:$J,MATCH('2021'!$A21,LUJ_5!$A:$A,0),MATCH('2021'!$A$1,LUJ_5!$3:$3,0))</f>
        <v>34.1</v>
      </c>
      <c r="X21" s="98">
        <f>1/INDEX(GUL_1!$A:$J,MATCH('2021'!$A21,GUL_1!$A:$A,0),MATCH('2021'!$A$1,GUL_1!$3:$3,0))</f>
        <v>1.4682131845543973E-2</v>
      </c>
      <c r="Y21" s="57">
        <f>INDEX(GUL_2!$A:$J,MATCH('2021'!$A21,GUL_2!$A:$A,0),MATCH('2021'!$A$1,GUL_2!$3:$3,0))</f>
        <v>26.1</v>
      </c>
      <c r="Z21" s="57">
        <f>INDEX(GUL_3!$A:$J,MATCH('2021'!$A21,GUL_3!$A:$A,0),MATCH('2021'!$A$1,GUL_3!$3:$3,0))/(B21/1000)</f>
        <v>1.2423749055076894</v>
      </c>
      <c r="AA21" s="101">
        <f>INDEX(GUL_4!$A:$J,MATCH('2021'!$A21,GUL_4!$A:$A,0),MATCH('2021'!$A$1,GUL_4!$3:$3,0))/B21/C21*10^6</f>
        <v>0.32035877681099889</v>
      </c>
      <c r="AB21" s="73">
        <f>INDEX(GUL_5!$A:$J,MATCH('2021'!$A21,GUL_5!$A:$A,0),MATCH('2021'!$A$1,GUL_5!$3:$3,0))</f>
        <v>3.0625992458510255E-2</v>
      </c>
      <c r="AC21" s="49">
        <f>INDEX(GUL_6!$A:$J,MATCH('2021'!$A21,GUL_6!$A:$A,0),MATCH('2021'!$A$1,GUL_6!$3:$3,0))</f>
        <v>3.0176381658000004E-2</v>
      </c>
      <c r="AD21" s="49">
        <f>INDEX(GUL_7!$A:$J,MATCH('2021'!$A21,GUL_7!$A:$A,0),MATCH('2021'!$A$1,GUL_7!$3:$3,0))</f>
        <v>0.19839999999999999</v>
      </c>
      <c r="AE21" s="103">
        <f>INDEX(GUL_8!$A:$J,MATCH('2021'!$A21,GUL_8!$A:$A,0),MATCH('2021'!$A$1,GUL_8!$3:$3,0))/(B21/1000)</f>
        <v>1.7961868419318561</v>
      </c>
      <c r="AF21" s="41">
        <f>INDEX(DES_1!$A:$J,MATCH('2021'!$A21,DES_1!$A:$A,0),MATCH('2021'!$A$1,DES_1!$3:$3,0))/(B21/1000)</f>
        <v>0.14733766757808711</v>
      </c>
      <c r="AG21" s="100">
        <f>INDEX(DES_2!$A:$J,MATCH('2021'!$A21,DES_2!$A:$A,0),MATCH('2021'!$A$1,DES_2!$3:$3,0))/(B21/1000)</f>
        <v>0.40943583000342804</v>
      </c>
      <c r="AH21" s="57">
        <f>1/INDEX(DES_3!$A:$J,MATCH('2021'!$A21,DES_3!$A:$A,0),MATCH('2021'!$A$1,DES_3!$3:$3,0))</f>
        <v>7.283321194464675E-3</v>
      </c>
      <c r="AI21" s="80">
        <f>INDEX(DES_4!$A:$J,MATCH('2021'!$A21,DES_4!$A:$A,0),MATCH('2021'!$A$1,DES_4!$3:$3,0))</f>
        <v>0.78284510131100005</v>
      </c>
      <c r="AJ21" s="110">
        <f>INDEX(DES_5!$A:$J,MATCH('2021'!$A21,DES_5!$A:$A,0),MATCH('2021'!$A$1,DES_5!$3:$3,0))</f>
        <v>0.60357740371599999</v>
      </c>
      <c r="AK21" s="57">
        <v>22</v>
      </c>
    </row>
    <row r="22" spans="1:37" x14ac:dyDescent="0.3">
      <c r="A22" s="29" t="s">
        <v>21</v>
      </c>
      <c r="B22" s="33">
        <f>INDEX(Population!$A:$J,MATCH('2021'!$A22,Population!$A:$A,0),MATCH('2021'!$A$1,Population!$3:$3,0))</f>
        <v>8489558</v>
      </c>
      <c r="C22" s="14">
        <f>INDEX(Income!$A:$J,MATCH('2021'!$A22,Income!$A:$A,0),MATCH('2021'!$A$1,Income!$3:$3,0))</f>
        <v>53989</v>
      </c>
      <c r="D22" s="34">
        <f>INDEX(Livable_wage!$A:$J,MATCH('2021'!$A22,Livable_wage!$A:$A,0),MATCH('2021'!$A$1,Livable_wage!$3:$3,0))</f>
        <v>13580</v>
      </c>
      <c r="E22" s="41">
        <f>INDEX(AVA_1!$A:$J,MATCH('2021'!$A22,AVA_1!$A:$A,0),MATCH('2021'!$A$1,AVA_1!$3:$3,0))</f>
        <v>0.38500000000000001</v>
      </c>
      <c r="F22" s="15">
        <f>INDEX(AVA_2!$A:$J,MATCH('2021'!$A22,AVA_2!$A:$A,0),MATCH('2021'!$A$1,AVA_2!$3:$3,0))</f>
        <v>9.0924671496185813E-3</v>
      </c>
      <c r="G22" s="15">
        <f>INDEX(AVA_3!$A:$J,MATCH('2021'!$A22,AVA_3!$A:$A,0),MATCH('2021'!$A$1,AVA_3!$3:$3,0))</f>
        <v>0.35828371192444991</v>
      </c>
      <c r="H22" s="87">
        <f>INDEX(AVA_4!$A:$J,MATCH('2021'!$A22,AVA_4!$A:$A,0),MATCH('2021'!$A$1,AVA_4!$3:$3,0))/(B22/1000)</f>
        <v>0.47693884652180946</v>
      </c>
      <c r="I22" s="89">
        <f>INDEX(AVA_5!$A:$J,MATCH('2021'!$A22,AVA_5!$A:$A,0),MATCH('2021'!$A$1,AVA_5!$3:$3,0))/(B22/1000)</f>
        <v>2.888607392752367</v>
      </c>
      <c r="J22" s="93">
        <f>INDEX(IRA_1!$A:$J,MATCH('2021'!$A22,IRA_1!$A:$A,0),MATCH('2021'!$A$1,IRA_1!$3:$3,0))/(B22/1000)</f>
        <v>3.9106865163062665E-2</v>
      </c>
      <c r="K22" s="88">
        <f>INDEX(IRA_2!$A:$J,MATCH('2021'!$A22,IRA_2!$A:$A,0),MATCH('2021'!$A$1,IRA_2!$3:$3,0))/(B22/1000)</f>
        <v>9.7767162907656663E-2</v>
      </c>
      <c r="L22" s="15">
        <f>INDEX(IRA_3!$A:$J,MATCH('2021'!$A22,IRA_3!$A:$A,0),MATCH('2021'!$A$1,IRA_3!$3:$3,0))</f>
        <v>0.59257833551466632</v>
      </c>
      <c r="M22" s="96">
        <f>INDEX(IRA_4!$A:$J,MATCH('2021'!$A22,IRA_4!$A:$A,0),MATCH('2021'!$A$1,IRA_4!$3:$3,0))/(B22/1000)</f>
        <v>2.3670254682281455</v>
      </c>
      <c r="N22" s="61">
        <f>INDEX(INV_1!$A:$J,MATCH('2021'!$A22,INV_1!$A:$A,0),MATCH('2021'!$A$1,INV_1!$3:$3,0))</f>
        <v>7.0271909104437605E-2</v>
      </c>
      <c r="O22" s="80">
        <f>INDEX(INV_2!$A:$J,MATCH('2021'!$A22,INV_2!$A:$A,0),MATCH('2021'!$A$1,INV_2!$3:$3,0))/B22*10^6/C22</f>
        <v>0.44934784472566441</v>
      </c>
      <c r="P22" s="87">
        <f>INDEX(INV_3!$A:$J,MATCH('2021'!$A22,INV_3!$A:$A,0),MATCH('2021'!$A$1,INV_3!$3:$3,0))/B22*10^6/C22</f>
        <v>4.3721691108234317</v>
      </c>
      <c r="Q22" s="87">
        <f>INDEX(INV_4!$A:$J,MATCH('2021'!$A22,INV_4!$A:$A,0),MATCH('2021'!$A$1,INV_4!$3:$3,0))/B22*10^3/C22</f>
        <v>7.0624923644196425E-2</v>
      </c>
      <c r="R22" s="34">
        <f>INDEX(INV_5!$A:$J,MATCH('2021'!$A22,INV_5!$A:$A,0),MATCH('2021'!$A$1,INV_5!$3:$3,0))</f>
        <v>0.28670000000000001</v>
      </c>
      <c r="S22" s="77">
        <f>INDEX(LUJ_1!$A:$J,MATCH('2021'!$A22,LUJ_1!$A:$A,0),MATCH('2021'!$A$1,LUJ_1!$3:$3,0))</f>
        <v>0.61389509888220117</v>
      </c>
      <c r="T22" s="73">
        <f>INDEX(LUJ_2!$A:$J,MATCH('2021'!$A22,LUJ_2!$A:$A,0),MATCH('2021'!$A$1,LUJ_2!$3:$3,0))</f>
        <v>0.21</v>
      </c>
      <c r="U22" s="73">
        <f>INDEX(LUJ_3!$A:$J,MATCH('2021'!$A22,LUJ_3!$A:$A,0),MATCH('2021'!$A$1,LUJ_3!$3:$3,0))</f>
        <v>0.26134364420661793</v>
      </c>
      <c r="V22" s="14">
        <f>INDEX(LUJ_4!$A:$J,MATCH('2021'!$A22,LUJ_4!$A:$A,0),MATCH('2021'!$A$1,LUJ_4!$3:$3,0))</f>
        <v>129</v>
      </c>
      <c r="W22" s="34">
        <f>INDEX(LUJ_5!$A:$J,MATCH('2021'!$A22,LUJ_5!$A:$A,0),MATCH('2021'!$A$1,LUJ_5!$3:$3,0))</f>
        <v>28.6</v>
      </c>
      <c r="X22" s="98">
        <f>1/INDEX(GUL_1!$A:$J,MATCH('2021'!$A22,GUL_1!$A:$A,0),MATCH('2021'!$A$1,GUL_1!$3:$3,0))</f>
        <v>1.4214641080312724E-2</v>
      </c>
      <c r="Y22" s="57">
        <f>INDEX(GUL_2!$A:$J,MATCH('2021'!$A22,GUL_2!$A:$A,0),MATCH('2021'!$A$1,GUL_2!$3:$3,0))</f>
        <v>25.8</v>
      </c>
      <c r="Z22" s="57">
        <f>INDEX(GUL_3!$A:$J,MATCH('2021'!$A22,GUL_3!$A:$A,0),MATCH('2021'!$A$1,GUL_3!$3:$3,0))/(B22/1000)</f>
        <v>0.66104737137080627</v>
      </c>
      <c r="AA22" s="101">
        <f>INDEX(GUL_4!$A:$J,MATCH('2021'!$A22,GUL_4!$A:$A,0),MATCH('2021'!$A$1,GUL_4!$3:$3,0))/B22/C22*10^6</f>
        <v>0.29246538953164725</v>
      </c>
      <c r="AB22" s="73">
        <f>INDEX(GUL_5!$A:$J,MATCH('2021'!$A22,GUL_5!$A:$A,0),MATCH('2021'!$A$1,GUL_5!$3:$3,0))</f>
        <v>2.2930745303812047E-2</v>
      </c>
      <c r="AC22" s="49">
        <f>INDEX(GUL_6!$A:$J,MATCH('2021'!$A22,GUL_6!$A:$A,0),MATCH('2021'!$A$1,GUL_6!$3:$3,0))</f>
        <v>3.7244353699000005E-2</v>
      </c>
      <c r="AD22" s="49">
        <f>INDEX(GUL_7!$A:$J,MATCH('2021'!$A22,GUL_7!$A:$A,0),MATCH('2021'!$A$1,GUL_7!$3:$3,0))</f>
        <v>0.1613</v>
      </c>
      <c r="AE22" s="103">
        <f>INDEX(GUL_8!$A:$J,MATCH('2021'!$A22,GUL_8!$A:$A,0),MATCH('2021'!$A$1,GUL_8!$3:$3,0))/(B22/1000)</f>
        <v>0.84810069028328672</v>
      </c>
      <c r="AF22" s="41">
        <f>INDEX(DES_1!$A:$J,MATCH('2021'!$A22,DES_1!$A:$A,0),MATCH('2021'!$A$1,DES_1!$3:$3,0))/(B22/1000)</f>
        <v>0.10130091578383703</v>
      </c>
      <c r="AG22" s="100">
        <f>INDEX(DES_2!$A:$J,MATCH('2021'!$A22,DES_2!$A:$A,0),MATCH('2021'!$A$1,DES_2!$3:$3,0))/(B22/1000)</f>
        <v>0.54125314886829201</v>
      </c>
      <c r="AH22" s="57">
        <f>1/INDEX(DES_3!$A:$J,MATCH('2021'!$A22,DES_3!$A:$A,0),MATCH('2021'!$A$1,DES_3!$3:$3,0))</f>
        <v>7.6045627376425855E-3</v>
      </c>
      <c r="AI22" s="80">
        <f>INDEX(DES_4!$A:$J,MATCH('2021'!$A22,DES_4!$A:$A,0),MATCH('2021'!$A$1,DES_4!$3:$3,0))</f>
        <v>0.97833781217400007</v>
      </c>
      <c r="AJ22" s="110">
        <f>INDEX(DES_5!$A:$J,MATCH('2021'!$A22,DES_5!$A:$A,0),MATCH('2021'!$A$1,DES_5!$3:$3,0))</f>
        <v>0.91958470009600002</v>
      </c>
      <c r="AK22" s="57">
        <v>23</v>
      </c>
    </row>
    <row r="23" spans="1:37" x14ac:dyDescent="0.3">
      <c r="A23" s="29" t="s">
        <v>22</v>
      </c>
      <c r="B23" s="33">
        <f>INDEX(Population!$A:$J,MATCH('2021'!$A23,Population!$A:$A,0),MATCH('2021'!$A$1,Population!$3:$3,0))</f>
        <v>2503227</v>
      </c>
      <c r="C23" s="14">
        <f>INDEX(Income!$A:$J,MATCH('2021'!$A23,Income!$A:$A,0),MATCH('2021'!$A$1,Income!$3:$3,0))</f>
        <v>27680</v>
      </c>
      <c r="D23" s="34">
        <f>INDEX(Livable_wage!$A:$J,MATCH('2021'!$A23,Livable_wage!$A:$A,0),MATCH('2021'!$A$1,Livable_wage!$3:$3,0))</f>
        <v>10158</v>
      </c>
      <c r="E23" s="41">
        <f>INDEX(AVA_1!$A:$J,MATCH('2021'!$A23,AVA_1!$A:$A,0),MATCH('2021'!$A$1,AVA_1!$3:$3,0))</f>
        <v>0.35199999999999998</v>
      </c>
      <c r="F23" s="15">
        <f>INDEX(AVA_2!$A:$J,MATCH('2021'!$A23,AVA_2!$A:$A,0),MATCH('2021'!$A$1,AVA_2!$3:$3,0))</f>
        <v>9.2338644404874777E-3</v>
      </c>
      <c r="G23" s="15">
        <f>INDEX(AVA_3!$A:$J,MATCH('2021'!$A23,AVA_3!$A:$A,0),MATCH('2021'!$A$1,AVA_3!$3:$3,0))</f>
        <v>1.4797194716506326E-2</v>
      </c>
      <c r="H23" s="87">
        <f>INDEX(AVA_4!$A:$J,MATCH('2021'!$A23,AVA_4!$A:$A,0),MATCH('2021'!$A$1,AVA_4!$3:$3,0))/(B23/1000)</f>
        <v>0.85809237436317209</v>
      </c>
      <c r="I23" s="89">
        <f>INDEX(AVA_5!$A:$J,MATCH('2021'!$A23,AVA_5!$A:$A,0),MATCH('2021'!$A$1,AVA_5!$3:$3,0))/(B23/1000)</f>
        <v>6.3689789220074733</v>
      </c>
      <c r="J23" s="93">
        <f>INDEX(IRA_1!$A:$J,MATCH('2021'!$A23,IRA_1!$A:$A,0),MATCH('2021'!$A$1,IRA_1!$3:$3,0))/(B23/1000)</f>
        <v>3.8749981523849016E-2</v>
      </c>
      <c r="K23" s="88">
        <f>INDEX(IRA_2!$A:$J,MATCH('2021'!$A23,IRA_2!$A:$A,0),MATCH('2021'!$A$1,IRA_2!$3:$3,0))/(B23/1000)</f>
        <v>9.4278305563179052E-2</v>
      </c>
      <c r="L23" s="15">
        <f>INDEX(IRA_3!$A:$J,MATCH('2021'!$A23,IRA_3!$A:$A,0),MATCH('2021'!$A$1,IRA_3!$3:$3,0))</f>
        <v>0.39801324503311253</v>
      </c>
      <c r="M23" s="96">
        <f>INDEX(IRA_4!$A:$J,MATCH('2021'!$A23,IRA_4!$A:$A,0),MATCH('2021'!$A$1,IRA_4!$3:$3,0))/(B23/1000)</f>
        <v>5.6259380391790277</v>
      </c>
      <c r="N23" s="61">
        <f>INDEX(INV_1!$A:$J,MATCH('2021'!$A23,INV_1!$A:$A,0),MATCH('2021'!$A$1,INV_1!$3:$3,0))</f>
        <v>9.4364139338318886E-2</v>
      </c>
      <c r="O23" s="80">
        <f>INDEX(INV_2!$A:$J,MATCH('2021'!$A23,INV_2!$A:$A,0),MATCH('2021'!$A$1,INV_2!$3:$3,0))/B23*10^6/C23</f>
        <v>0.46345788146768535</v>
      </c>
      <c r="P23" s="87">
        <f>INDEX(INV_3!$A:$J,MATCH('2021'!$A23,INV_3!$A:$A,0),MATCH('2021'!$A$1,INV_3!$3:$3,0))/B23*10^6/C23</f>
        <v>4.3873425985206502</v>
      </c>
      <c r="Q23" s="87">
        <f>INDEX(INV_4!$A:$J,MATCH('2021'!$A23,INV_4!$A:$A,0),MATCH('2021'!$A$1,INV_4!$3:$3,0))/B23*10^3/C23</f>
        <v>0.315360015661726</v>
      </c>
      <c r="R23" s="34">
        <f>INDEX(INV_5!$A:$J,MATCH('2021'!$A23,INV_5!$A:$A,0),MATCH('2021'!$A$1,INV_5!$3:$3,0))</f>
        <v>8.5400000000000004E-2</v>
      </c>
      <c r="S23" s="77">
        <f>INDEX(LUJ_1!$A:$J,MATCH('2021'!$A23,LUJ_1!$A:$A,0),MATCH('2021'!$A$1,LUJ_1!$3:$3,0))</f>
        <v>0.81770063049739239</v>
      </c>
      <c r="T23" s="73">
        <f>INDEX(LUJ_2!$A:$J,MATCH('2021'!$A23,LUJ_2!$A:$A,0),MATCH('2021'!$A$1,LUJ_2!$3:$3,0))</f>
        <v>0.23699999999999999</v>
      </c>
      <c r="U23" s="73">
        <f>INDEX(LUJ_3!$A:$J,MATCH('2021'!$A23,LUJ_3!$A:$A,0),MATCH('2021'!$A$1,LUJ_3!$3:$3,0))</f>
        <v>0.35177885845917584</v>
      </c>
      <c r="V23" s="14">
        <f>INDEX(LUJ_4!$A:$J,MATCH('2021'!$A23,LUJ_4!$A:$A,0),MATCH('2021'!$A$1,LUJ_4!$3:$3,0))</f>
        <v>56</v>
      </c>
      <c r="W23" s="34">
        <f>INDEX(LUJ_5!$A:$J,MATCH('2021'!$A23,LUJ_5!$A:$A,0),MATCH('2021'!$A$1,LUJ_5!$3:$3,0))</f>
        <v>40.5</v>
      </c>
      <c r="X23" s="98">
        <f>1/INDEX(GUL_1!$A:$J,MATCH('2021'!$A23,GUL_1!$A:$A,0),MATCH('2021'!$A$1,GUL_1!$3:$3,0))</f>
        <v>1.4293882218410521E-2</v>
      </c>
      <c r="Y23" s="57">
        <f>INDEX(GUL_2!$A:$J,MATCH('2021'!$A23,GUL_2!$A:$A,0),MATCH('2021'!$A$1,GUL_2!$3:$3,0))</f>
        <v>26.1</v>
      </c>
      <c r="Z23" s="57">
        <f>INDEX(GUL_3!$A:$J,MATCH('2021'!$A23,GUL_3!$A:$A,0),MATCH('2021'!$A$1,GUL_3!$3:$3,0))/(B23/1000)</f>
        <v>0.82373672064099668</v>
      </c>
      <c r="AA23" s="101">
        <f>INDEX(GUL_4!$A:$J,MATCH('2021'!$A23,GUL_4!$A:$A,0),MATCH('2021'!$A$1,GUL_4!$3:$3,0))/B23/C23*10^6</f>
        <v>0.23077278323128944</v>
      </c>
      <c r="AB23" s="73">
        <f>INDEX(GUL_5!$A:$J,MATCH('2021'!$A23,GUL_5!$A:$A,0),MATCH('2021'!$A$1,GUL_5!$3:$3,0))</f>
        <v>2.5490364166938773E-2</v>
      </c>
      <c r="AC23" s="49">
        <f>INDEX(GUL_6!$A:$J,MATCH('2021'!$A23,GUL_6!$A:$A,0),MATCH('2021'!$A$1,GUL_6!$3:$3,0))</f>
        <v>3.4694813869000002E-2</v>
      </c>
      <c r="AD23" s="49">
        <f>INDEX(GUL_7!$A:$J,MATCH('2021'!$A23,GUL_7!$A:$A,0),MATCH('2021'!$A$1,GUL_7!$3:$3,0))</f>
        <v>0.16829999999999998</v>
      </c>
      <c r="AE23" s="103">
        <f>INDEX(GUL_8!$A:$J,MATCH('2021'!$A23,GUL_8!$A:$A,0),MATCH('2021'!$A$1,GUL_8!$3:$3,0))/(B23/1000)</f>
        <v>2.126055687318809</v>
      </c>
      <c r="AF23" s="41">
        <f>INDEX(DES_1!$A:$J,MATCH('2021'!$A23,DES_1!$A:$A,0),MATCH('2021'!$A$1,DES_1!$3:$3,0))/(B23/1000)</f>
        <v>4.5141731053556074E-2</v>
      </c>
      <c r="AG23" s="100">
        <f>INDEX(DES_2!$A:$J,MATCH('2021'!$A23,DES_2!$A:$A,0),MATCH('2021'!$A$1,DES_2!$3:$3,0))/(B23/1000)</f>
        <v>0.38829878392970357</v>
      </c>
      <c r="AH23" s="57">
        <f>1/INDEX(DES_3!$A:$J,MATCH('2021'!$A23,DES_3!$A:$A,0),MATCH('2021'!$A$1,DES_3!$3:$3,0))</f>
        <v>9.6339113680154152E-3</v>
      </c>
      <c r="AI23" s="80">
        <f>INDEX(DES_4!$A:$J,MATCH('2021'!$A23,DES_4!$A:$A,0),MATCH('2021'!$A$1,DES_4!$3:$3,0))</f>
        <v>0.94764307089300004</v>
      </c>
      <c r="AJ23" s="110">
        <f>INDEX(DES_5!$A:$J,MATCH('2021'!$A23,DES_5!$A:$A,0),MATCH('2021'!$A$1,DES_5!$3:$3,0))</f>
        <v>0.49460940930600006</v>
      </c>
      <c r="AK23" s="57">
        <v>29</v>
      </c>
    </row>
    <row r="24" spans="1:37" x14ac:dyDescent="0.3">
      <c r="A24" s="29" t="s">
        <v>23</v>
      </c>
      <c r="B24" s="33">
        <f>INDEX(Population!$A:$J,MATCH('2021'!$A24,Population!$A:$A,0),MATCH('2021'!$A$1,Population!$3:$3,0))</f>
        <v>1867547</v>
      </c>
      <c r="C24" s="14">
        <f>INDEX(Income!$A:$J,MATCH('2021'!$A24,Income!$A:$A,0),MATCH('2021'!$A$1,Income!$3:$3,0))</f>
        <v>26514</v>
      </c>
      <c r="D24" s="34">
        <f>INDEX(Livable_wage!$A:$J,MATCH('2021'!$A24,Livable_wage!$A:$A,0),MATCH('2021'!$A$1,Livable_wage!$3:$3,0))</f>
        <v>9938</v>
      </c>
      <c r="E24" s="41">
        <f>INDEX(AVA_1!$A:$J,MATCH('2021'!$A24,AVA_1!$A:$A,0),MATCH('2021'!$A$1,AVA_1!$3:$3,0))</f>
        <v>0.36399999999999999</v>
      </c>
      <c r="F24" s="15">
        <f>INDEX(AVA_2!$A:$J,MATCH('2021'!$A24,AVA_2!$A:$A,0),MATCH('2021'!$A$1,AVA_2!$3:$3,0))</f>
        <v>9.3935440186092012E-3</v>
      </c>
      <c r="G24" s="15">
        <f>INDEX(AVA_3!$A:$J,MATCH('2021'!$A24,AVA_3!$A:$A,0),MATCH('2021'!$A$1,AVA_3!$3:$3,0))</f>
        <v>9.7367743720473444E-3</v>
      </c>
      <c r="H24" s="87">
        <f>INDEX(AVA_4!$A:$J,MATCH('2021'!$A24,AVA_4!$A:$A,0),MATCH('2021'!$A$1,AVA_4!$3:$3,0))/(B24/1000)</f>
        <v>0.641483186233064</v>
      </c>
      <c r="I24" s="89">
        <f>INDEX(AVA_5!$A:$J,MATCH('2021'!$A24,AVA_5!$A:$A,0),MATCH('2021'!$A$1,AVA_5!$3:$3,0))/(B24/1000)</f>
        <v>4.3083253058691424</v>
      </c>
      <c r="J24" s="93">
        <f>INDEX(IRA_1!$A:$J,MATCH('2021'!$A24,IRA_1!$A:$A,0),MATCH('2021'!$A$1,IRA_1!$3:$3,0))/(B24/1000)</f>
        <v>4.1766017133705334E-2</v>
      </c>
      <c r="K24" s="88">
        <f>INDEX(IRA_2!$A:$J,MATCH('2021'!$A24,IRA_2!$A:$A,0),MATCH('2021'!$A$1,IRA_2!$3:$3,0))/(B24/1000)</f>
        <v>0.14885836875859082</v>
      </c>
      <c r="L24" s="15">
        <f>INDEX(IRA_3!$A:$J,MATCH('2021'!$A24,IRA_3!$A:$A,0),MATCH('2021'!$A$1,IRA_3!$3:$3,0))</f>
        <v>0.37431693989071035</v>
      </c>
      <c r="M24" s="96">
        <f>INDEX(IRA_4!$A:$J,MATCH('2021'!$A24,IRA_4!$A:$A,0),MATCH('2021'!$A$1,IRA_4!$3:$3,0))/(B24/1000)</f>
        <v>3.6336434906323642</v>
      </c>
      <c r="N24" s="61">
        <f>INDEX(INV_1!$A:$J,MATCH('2021'!$A24,INV_1!$A:$A,0),MATCH('2021'!$A$1,INV_1!$3:$3,0))</f>
        <v>8.3777791819393085E-2</v>
      </c>
      <c r="O24" s="80">
        <f>INDEX(INV_2!$A:$J,MATCH('2021'!$A24,INV_2!$A:$A,0),MATCH('2021'!$A$1,INV_2!$3:$3,0))/B24*10^6/C24</f>
        <v>0.60852603345800715</v>
      </c>
      <c r="P24" s="87">
        <f>INDEX(INV_3!$A:$J,MATCH('2021'!$A24,INV_3!$A:$A,0),MATCH('2021'!$A$1,INV_3!$3:$3,0))/B24*10^6/C24</f>
        <v>6.1294154371107465</v>
      </c>
      <c r="Q24" s="87">
        <f>INDEX(INV_4!$A:$J,MATCH('2021'!$A24,INV_4!$A:$A,0),MATCH('2021'!$A$1,INV_4!$3:$3,0))/B24*10^3/C24</f>
        <v>0.30637993077029108</v>
      </c>
      <c r="R24" s="34">
        <f>INDEX(INV_5!$A:$J,MATCH('2021'!$A24,INV_5!$A:$A,0),MATCH('2021'!$A$1,INV_5!$3:$3,0))</f>
        <v>7.7200000000000005E-2</v>
      </c>
      <c r="S24" s="77">
        <f>INDEX(LUJ_1!$A:$J,MATCH('2021'!$A24,LUJ_1!$A:$A,0),MATCH('2021'!$A$1,LUJ_1!$3:$3,0))</f>
        <v>0.78842096379441307</v>
      </c>
      <c r="T24" s="73">
        <f>INDEX(LUJ_2!$A:$J,MATCH('2021'!$A24,LUJ_2!$A:$A,0),MATCH('2021'!$A$1,LUJ_2!$3:$3,0))</f>
        <v>0.19800000000000001</v>
      </c>
      <c r="U24" s="73">
        <f>INDEX(LUJ_3!$A:$J,MATCH('2021'!$A24,LUJ_3!$A:$A,0),MATCH('2021'!$A$1,LUJ_3!$3:$3,0))</f>
        <v>0.54987311044907872</v>
      </c>
      <c r="V24" s="14">
        <f>INDEX(LUJ_4!$A:$J,MATCH('2021'!$A24,LUJ_4!$A:$A,0),MATCH('2021'!$A$1,LUJ_4!$3:$3,0))</f>
        <v>49</v>
      </c>
      <c r="W24" s="34">
        <f>INDEX(LUJ_5!$A:$J,MATCH('2021'!$A24,LUJ_5!$A:$A,0),MATCH('2021'!$A$1,LUJ_5!$3:$3,0))</f>
        <v>67.599999999999994</v>
      </c>
      <c r="X24" s="98">
        <f>1/INDEX(GUL_1!$A:$J,MATCH('2021'!$A24,GUL_1!$A:$A,0),MATCH('2021'!$A$1,GUL_1!$3:$3,0))</f>
        <v>1.4660606949127694E-2</v>
      </c>
      <c r="Y24" s="57">
        <f>INDEX(GUL_2!$A:$J,MATCH('2021'!$A24,GUL_2!$A:$A,0),MATCH('2021'!$A$1,GUL_2!$3:$3,0))</f>
        <v>25.7</v>
      </c>
      <c r="Z24" s="57">
        <f>INDEX(GUL_3!$A:$J,MATCH('2021'!$A24,GUL_3!$A:$A,0),MATCH('2021'!$A$1,GUL_3!$3:$3,0))/(B24/1000)</f>
        <v>0.82514656926974261</v>
      </c>
      <c r="AA24" s="101">
        <f>INDEX(GUL_4!$A:$J,MATCH('2021'!$A24,GUL_4!$A:$A,0),MATCH('2021'!$A$1,GUL_4!$3:$3,0))/B24/C24*10^6</f>
        <v>0.31637340135235908</v>
      </c>
      <c r="AB24" s="73">
        <f>INDEX(GUL_5!$A:$J,MATCH('2021'!$A24,GUL_5!$A:$A,0),MATCH('2021'!$A$1,GUL_5!$3:$3,0))</f>
        <v>2.6630920362342398E-2</v>
      </c>
      <c r="AC24" s="49">
        <f>INDEX(GUL_6!$A:$J,MATCH('2021'!$A24,GUL_6!$A:$A,0),MATCH('2021'!$A$1,GUL_6!$3:$3,0))</f>
        <v>3.2823872572999999E-2</v>
      </c>
      <c r="AD24" s="49">
        <f>INDEX(GUL_7!$A:$J,MATCH('2021'!$A24,GUL_7!$A:$A,0),MATCH('2021'!$A$1,GUL_7!$3:$3,0))</f>
        <v>0.1641</v>
      </c>
      <c r="AE24" s="103">
        <f>INDEX(GUL_8!$A:$J,MATCH('2021'!$A24,GUL_8!$A:$A,0),MATCH('2021'!$A$1,GUL_8!$3:$3,0))/(B24/1000)</f>
        <v>2.632330002939685</v>
      </c>
      <c r="AF24" s="41">
        <f>INDEX(DES_1!$A:$J,MATCH('2021'!$A24,DES_1!$A:$A,0),MATCH('2021'!$A$1,DES_1!$3:$3,0))/(B24/1000)</f>
        <v>0.21150739445914882</v>
      </c>
      <c r="AG24" s="100">
        <f>INDEX(DES_2!$A:$J,MATCH('2021'!$A24,DES_2!$A:$A,0),MATCH('2021'!$A$1,DES_2!$3:$3,0))/(B24/1000)</f>
        <v>0.74536276730920292</v>
      </c>
      <c r="AH24" s="57">
        <f>1/INDEX(DES_3!$A:$J,MATCH('2021'!$A24,DES_3!$A:$A,0),MATCH('2021'!$A$1,DES_3!$3:$3,0))</f>
        <v>8.2508250825082501E-3</v>
      </c>
      <c r="AI24" s="80">
        <f>INDEX(DES_4!$A:$J,MATCH('2021'!$A24,DES_4!$A:$A,0),MATCH('2021'!$A$1,DES_4!$3:$3,0))</f>
        <v>0.79861331180299999</v>
      </c>
      <c r="AJ24" s="110">
        <f>INDEX(DES_5!$A:$J,MATCH('2021'!$A24,DES_5!$A:$A,0),MATCH('2021'!$A$1,DES_5!$3:$3,0))</f>
        <v>0.48542693613099996</v>
      </c>
      <c r="AK24" s="57">
        <v>30</v>
      </c>
    </row>
    <row r="25" spans="1:37" x14ac:dyDescent="0.3">
      <c r="A25" s="29" t="s">
        <v>24</v>
      </c>
      <c r="B25" s="33">
        <f>INDEX(Population!$A:$J,MATCH('2021'!$A25,Population!$A:$A,0),MATCH('2021'!$A$1,Population!$3:$3,0))</f>
        <v>3174117</v>
      </c>
      <c r="C25" s="14">
        <f>INDEX(Income!$A:$J,MATCH('2021'!$A25,Income!$A:$A,0),MATCH('2021'!$A$1,Income!$3:$3,0))</f>
        <v>32664</v>
      </c>
      <c r="D25" s="34">
        <f>INDEX(Livable_wage!$A:$J,MATCH('2021'!$A25,Livable_wage!$A:$A,0),MATCH('2021'!$A$1,Livable_wage!$3:$3,0))</f>
        <v>10979</v>
      </c>
      <c r="E25" s="41">
        <f>INDEX(AVA_1!$A:$J,MATCH('2021'!$A25,AVA_1!$A:$A,0),MATCH('2021'!$A$1,AVA_1!$3:$3,0))</f>
        <v>0.371</v>
      </c>
      <c r="F25" s="15">
        <f>INDEX(AVA_2!$A:$J,MATCH('2021'!$A25,AVA_2!$A:$A,0),MATCH('2021'!$A$1,AVA_2!$3:$3,0))</f>
        <v>1.7373766086977119E-2</v>
      </c>
      <c r="G25" s="15">
        <f>INDEX(AVA_3!$A:$J,MATCH('2021'!$A25,AVA_3!$A:$A,0),MATCH('2021'!$A$1,AVA_3!$3:$3,0))</f>
        <v>9.9971690671884744E-2</v>
      </c>
      <c r="H25" s="87">
        <f>INDEX(AVA_4!$A:$J,MATCH('2021'!$A25,AVA_4!$A:$A,0),MATCH('2021'!$A$1,AVA_4!$3:$3,0))/(B25/1000)</f>
        <v>1.1064494472005915</v>
      </c>
      <c r="I25" s="89">
        <f>INDEX(AVA_5!$A:$J,MATCH('2021'!$A25,AVA_5!$A:$A,0),MATCH('2021'!$A$1,AVA_5!$3:$3,0))/(B25/1000)</f>
        <v>5.0316355698293416</v>
      </c>
      <c r="J25" s="93">
        <f>INDEX(IRA_1!$A:$J,MATCH('2021'!$A25,IRA_1!$A:$A,0),MATCH('2021'!$A$1,IRA_1!$3:$3,0))/(B25/1000)</f>
        <v>3.3080066046714721E-2</v>
      </c>
      <c r="K25" s="88">
        <f>INDEX(IRA_2!$A:$J,MATCH('2021'!$A25,IRA_2!$A:$A,0),MATCH('2021'!$A$1,IRA_2!$3:$3,0))/(B25/1000)</f>
        <v>8.6323219969522233E-2</v>
      </c>
      <c r="L25" s="15">
        <f>INDEX(IRA_3!$A:$J,MATCH('2021'!$A25,IRA_3!$A:$A,0),MATCH('2021'!$A$1,IRA_3!$3:$3,0))</f>
        <v>0.38023187266653569</v>
      </c>
      <c r="M25" s="96">
        <f>INDEX(IRA_4!$A:$J,MATCH('2021'!$A25,IRA_4!$A:$A,0),MATCH('2021'!$A$1,IRA_4!$3:$3,0))/(B25/1000)</f>
        <v>3.5581549136342483</v>
      </c>
      <c r="N25" s="61">
        <f>INDEX(INV_1!$A:$J,MATCH('2021'!$A25,INV_1!$A:$A,0),MATCH('2021'!$A$1,INV_1!$3:$3,0))</f>
        <v>6.0675694324536025E-2</v>
      </c>
      <c r="O25" s="80">
        <f>INDEX(INV_2!$A:$J,MATCH('2021'!$A25,INV_2!$A:$A,0),MATCH('2021'!$A$1,INV_2!$3:$3,0))/B25*10^6/C25</f>
        <v>0.46571574245296266</v>
      </c>
      <c r="P25" s="87">
        <f>INDEX(INV_3!$A:$J,MATCH('2021'!$A25,INV_3!$A:$A,0),MATCH('2021'!$A$1,INV_3!$3:$3,0))/B25*10^6/C25</f>
        <v>4.3822512998900169</v>
      </c>
      <c r="Q25" s="87">
        <f>INDEX(INV_4!$A:$J,MATCH('2021'!$A25,INV_4!$A:$A,0),MATCH('2021'!$A$1,INV_4!$3:$3,0))/B25*10^3/C25</f>
        <v>0.25931836963060029</v>
      </c>
      <c r="R25" s="34">
        <f>INDEX(INV_5!$A:$J,MATCH('2021'!$A25,INV_5!$A:$A,0),MATCH('2021'!$A$1,INV_5!$3:$3,0))</f>
        <v>0.1232</v>
      </c>
      <c r="S25" s="77">
        <f>INDEX(LUJ_1!$A:$J,MATCH('2021'!$A25,LUJ_1!$A:$A,0),MATCH('2021'!$A$1,LUJ_1!$3:$3,0))</f>
        <v>0.71078556480016331</v>
      </c>
      <c r="T25" s="73">
        <f>INDEX(LUJ_2!$A:$J,MATCH('2021'!$A25,LUJ_2!$A:$A,0),MATCH('2021'!$A$1,LUJ_2!$3:$3,0))</f>
        <v>0.18600000000000003</v>
      </c>
      <c r="U25" s="73">
        <f>INDEX(LUJ_3!$A:$J,MATCH('2021'!$A25,LUJ_3!$A:$A,0),MATCH('2021'!$A$1,LUJ_3!$3:$3,0))</f>
        <v>0.35937796286500229</v>
      </c>
      <c r="V25" s="14">
        <f>INDEX(LUJ_4!$A:$J,MATCH('2021'!$A25,LUJ_4!$A:$A,0),MATCH('2021'!$A$1,LUJ_4!$3:$3,0))</f>
        <v>26</v>
      </c>
      <c r="W25" s="34">
        <f>INDEX(LUJ_5!$A:$J,MATCH('2021'!$A25,LUJ_5!$A:$A,0),MATCH('2021'!$A$1,LUJ_5!$3:$3,0))</f>
        <v>73.599999999999994</v>
      </c>
      <c r="X25" s="98">
        <f>1/INDEX(GUL_1!$A:$J,MATCH('2021'!$A25,GUL_1!$A:$A,0),MATCH('2021'!$A$1,GUL_1!$3:$3,0))</f>
        <v>1.4423770373575654E-2</v>
      </c>
      <c r="Y25" s="57">
        <f>INDEX(GUL_2!$A:$J,MATCH('2021'!$A25,GUL_2!$A:$A,0),MATCH('2021'!$A$1,GUL_2!$3:$3,0))</f>
        <v>25.7</v>
      </c>
      <c r="Z25" s="57">
        <f>INDEX(GUL_3!$A:$J,MATCH('2021'!$A25,GUL_3!$A:$A,0),MATCH('2021'!$A$1,GUL_3!$3:$3,0))/(B25/1000)</f>
        <v>0.7699779182682932</v>
      </c>
      <c r="AA25" s="101">
        <f>INDEX(GUL_4!$A:$J,MATCH('2021'!$A25,GUL_4!$A:$A,0),MATCH('2021'!$A$1,GUL_4!$3:$3,0))/B25/C25*10^6</f>
        <v>0.24591384985934345</v>
      </c>
      <c r="AB25" s="73">
        <f>INDEX(GUL_5!$A:$J,MATCH('2021'!$A25,GUL_5!$A:$A,0),MATCH('2021'!$A$1,GUL_5!$3:$3,0))</f>
        <v>3.4605209423640731E-2</v>
      </c>
      <c r="AC25" s="49">
        <f>INDEX(GUL_6!$A:$J,MATCH('2021'!$A25,GUL_6!$A:$A,0),MATCH('2021'!$A$1,GUL_6!$3:$3,0))</f>
        <v>3.1410080059999998E-2</v>
      </c>
      <c r="AD25" s="49">
        <f>INDEX(GUL_7!$A:$J,MATCH('2021'!$A25,GUL_7!$A:$A,0),MATCH('2021'!$A$1,GUL_7!$3:$3,0))</f>
        <v>0.14269999999999999</v>
      </c>
      <c r="AE25" s="103">
        <f>INDEX(GUL_8!$A:$J,MATCH('2021'!$A25,GUL_8!$A:$A,0),MATCH('2021'!$A$1,GUL_8!$3:$3,0))/(B25/1000)</f>
        <v>1.3676244448456059</v>
      </c>
      <c r="AF25" s="41">
        <f>INDEX(DES_1!$A:$J,MATCH('2021'!$A25,DES_1!$A:$A,0),MATCH('2021'!$A$1,DES_1!$3:$3,0))/(B25/1000)</f>
        <v>2.3628618604796231E-2</v>
      </c>
      <c r="AG25" s="100">
        <f>INDEX(DES_2!$A:$J,MATCH('2021'!$A25,DES_2!$A:$A,0),MATCH('2021'!$A$1,DES_2!$3:$3,0))/(B25/1000)</f>
        <v>0.44421802977016911</v>
      </c>
      <c r="AH25" s="57">
        <f>1/INDEX(DES_3!$A:$J,MATCH('2021'!$A25,DES_3!$A:$A,0),MATCH('2021'!$A$1,DES_3!$3:$3,0))</f>
        <v>8.658008658008658E-3</v>
      </c>
      <c r="AI25" s="80">
        <f>INDEX(DES_4!$A:$J,MATCH('2021'!$A25,DES_4!$A:$A,0),MATCH('2021'!$A$1,DES_4!$3:$3,0))</f>
        <v>0.98747139903500003</v>
      </c>
      <c r="AJ25" s="110">
        <f>INDEX(DES_5!$A:$J,MATCH('2021'!$A25,DES_5!$A:$A,0),MATCH('2021'!$A$1,DES_5!$3:$3,0))</f>
        <v>0.80664704834500001</v>
      </c>
      <c r="AK25" s="57">
        <v>31</v>
      </c>
    </row>
    <row r="26" spans="1:37" x14ac:dyDescent="0.3">
      <c r="A26" s="29" t="s">
        <v>25</v>
      </c>
      <c r="B26" s="33">
        <f>INDEX(Population!$A:$J,MATCH('2021'!$A26,Population!$A:$A,0),MATCH('2021'!$A$1,Population!$3:$3,0))</f>
        <v>963399</v>
      </c>
      <c r="C26" s="14">
        <f>INDEX(Income!$A:$J,MATCH('2021'!$A26,Income!$A:$A,0),MATCH('2021'!$A$1,Income!$3:$3,0))</f>
        <v>26833</v>
      </c>
      <c r="D26" s="34">
        <f>INDEX(Livable_wage!$A:$J,MATCH('2021'!$A26,Livable_wage!$A:$A,0),MATCH('2021'!$A$1,Livable_wage!$3:$3,0))</f>
        <v>11069</v>
      </c>
      <c r="E26" s="41">
        <f>INDEX(AVA_1!$A:$J,MATCH('2021'!$A26,AVA_1!$A:$A,0),MATCH('2021'!$A$1,AVA_1!$3:$3,0))</f>
        <v>0.35299999999999998</v>
      </c>
      <c r="F26" s="15">
        <f>INDEX(AVA_2!$A:$J,MATCH('2021'!$A26,AVA_2!$A:$A,0),MATCH('2021'!$A$1,AVA_2!$3:$3,0))</f>
        <v>1.0691621061401653E-2</v>
      </c>
      <c r="G26" s="15">
        <f>INDEX(AVA_3!$A:$J,MATCH('2021'!$A26,AVA_3!$A:$A,0),MATCH('2021'!$A$1,AVA_3!$3:$3,0))</f>
        <v>6.6796245951710621E-3</v>
      </c>
      <c r="H26" s="87">
        <f>INDEX(AVA_4!$A:$J,MATCH('2021'!$A26,AVA_4!$A:$A,0),MATCH('2021'!$A$1,AVA_4!$3:$3,0))/(B26/1000)</f>
        <v>1.0950810619483724</v>
      </c>
      <c r="I26" s="89">
        <f>INDEX(AVA_5!$A:$J,MATCH('2021'!$A26,AVA_5!$A:$A,0),MATCH('2021'!$A$1,AVA_5!$3:$3,0))/(B26/1000)</f>
        <v>3.9578616959328379</v>
      </c>
      <c r="J26" s="93">
        <f>INDEX(IRA_1!$A:$J,MATCH('2021'!$A26,IRA_1!$A:$A,0),MATCH('2021'!$A$1,IRA_1!$3:$3,0))/(B26/1000)</f>
        <v>2.9063762781568178E-2</v>
      </c>
      <c r="K26" s="88">
        <f>INDEX(IRA_2!$A:$J,MATCH('2021'!$A26,IRA_2!$A:$A,0),MATCH('2021'!$A$1,IRA_2!$3:$3,0))/(B26/1000)</f>
        <v>9.0305262928443972E-2</v>
      </c>
      <c r="L26" s="15">
        <f>INDEX(IRA_3!$A:$J,MATCH('2021'!$A26,IRA_3!$A:$A,0),MATCH('2021'!$A$1,IRA_3!$3:$3,0))</f>
        <v>0.40427698574338089</v>
      </c>
      <c r="M26" s="96">
        <f>INDEX(IRA_4!$A:$J,MATCH('2021'!$A26,IRA_4!$A:$A,0),MATCH('2021'!$A$1,IRA_4!$3:$3,0))/(B26/1000)</f>
        <v>4.3388045866769636</v>
      </c>
      <c r="N26" s="61">
        <f>INDEX(INV_1!$A:$J,MATCH('2021'!$A26,INV_1!$A:$A,0),MATCH('2021'!$A$1,INV_1!$3:$3,0))</f>
        <v>8.0755797779184957E-2</v>
      </c>
      <c r="O26" s="80">
        <f>INDEX(INV_2!$A:$J,MATCH('2021'!$A26,INV_2!$A:$A,0),MATCH('2021'!$A$1,INV_2!$3:$3,0))/B26*10^6/C26</f>
        <v>0.49572325708121756</v>
      </c>
      <c r="P26" s="87">
        <f>INDEX(INV_3!$A:$J,MATCH('2021'!$A26,INV_3!$A:$A,0),MATCH('2021'!$A$1,INV_3!$3:$3,0))/B26*10^6/C26</f>
        <v>5.2929715194462181</v>
      </c>
      <c r="Q26" s="87">
        <f>INDEX(INV_4!$A:$J,MATCH('2021'!$A26,INV_4!$A:$A,0),MATCH('2021'!$A$1,INV_4!$3:$3,0))/B26*10^3/C26</f>
        <v>0.27650425501962267</v>
      </c>
      <c r="R26" s="34">
        <f>INDEX(INV_5!$A:$J,MATCH('2021'!$A26,INV_5!$A:$A,0),MATCH('2021'!$A$1,INV_5!$3:$3,0))</f>
        <v>9.0700000000000003E-2</v>
      </c>
      <c r="S26" s="77">
        <f>INDEX(LUJ_1!$A:$J,MATCH('2021'!$A26,LUJ_1!$A:$A,0),MATCH('2021'!$A$1,LUJ_1!$3:$3,0))</f>
        <v>0.93195761293920798</v>
      </c>
      <c r="T26" s="73">
        <f>INDEX(LUJ_2!$A:$J,MATCH('2021'!$A26,LUJ_2!$A:$A,0),MATCH('2021'!$A$1,LUJ_2!$3:$3,0))</f>
        <v>0.23800000000000002</v>
      </c>
      <c r="U26" s="73">
        <f>INDEX(LUJ_3!$A:$J,MATCH('2021'!$A26,LUJ_3!$A:$A,0),MATCH('2021'!$A$1,LUJ_3!$3:$3,0))</f>
        <v>0.32359824019470185</v>
      </c>
      <c r="V26" s="14">
        <f>INDEX(LUJ_4!$A:$J,MATCH('2021'!$A26,LUJ_4!$A:$A,0),MATCH('2021'!$A$1,LUJ_4!$3:$3,0))</f>
        <v>57</v>
      </c>
      <c r="W26" s="34">
        <f>INDEX(LUJ_5!$A:$J,MATCH('2021'!$A26,LUJ_5!$A:$A,0),MATCH('2021'!$A$1,LUJ_5!$3:$3,0))</f>
        <v>16.3</v>
      </c>
      <c r="X26" s="98">
        <f>1/INDEX(GUL_1!$A:$J,MATCH('2021'!$A26,GUL_1!$A:$A,0),MATCH('2021'!$A$1,GUL_1!$3:$3,0))</f>
        <v>1.4306151645207437E-2</v>
      </c>
      <c r="Y26" s="57">
        <f>INDEX(GUL_2!$A:$J,MATCH('2021'!$A26,GUL_2!$A:$A,0),MATCH('2021'!$A$1,GUL_2!$3:$3,0))</f>
        <v>24.6</v>
      </c>
      <c r="Z26" s="57">
        <f>INDEX(GUL_3!$A:$J,MATCH('2021'!$A26,GUL_3!$A:$A,0),MATCH('2021'!$A$1,GUL_3!$3:$3,0))/(B26/1000)</f>
        <v>0.73386001023459646</v>
      </c>
      <c r="AA26" s="101">
        <f>INDEX(GUL_4!$A:$J,MATCH('2021'!$A26,GUL_4!$A:$A,0),MATCH('2021'!$A$1,GUL_4!$3:$3,0))/B26/C26*10^6</f>
        <v>0.35613828576070988</v>
      </c>
      <c r="AB26" s="73">
        <f>INDEX(GUL_5!$A:$J,MATCH('2021'!$A26,GUL_5!$A:$A,0),MATCH('2021'!$A$1,GUL_5!$3:$3,0))</f>
        <v>3.0960207085306113E-2</v>
      </c>
      <c r="AC26" s="49">
        <f>INDEX(GUL_6!$A:$J,MATCH('2021'!$A26,GUL_6!$A:$A,0),MATCH('2021'!$A$1,GUL_6!$3:$3,0))</f>
        <v>3.7362958864000005E-2</v>
      </c>
      <c r="AD26" s="49">
        <f>INDEX(GUL_7!$A:$J,MATCH('2021'!$A26,GUL_7!$A:$A,0),MATCH('2021'!$A$1,GUL_7!$3:$3,0))</f>
        <v>0.13320000000000001</v>
      </c>
      <c r="AE26" s="103">
        <f>INDEX(GUL_8!$A:$J,MATCH('2021'!$A26,GUL_8!$A:$A,0),MATCH('2021'!$A$1,GUL_8!$3:$3,0))/(B26/1000)</f>
        <v>2.1621363526430897</v>
      </c>
      <c r="AF26" s="41">
        <f>INDEX(DES_1!$A:$J,MATCH('2021'!$A26,DES_1!$A:$A,0),MATCH('2021'!$A$1,DES_1!$3:$3,0))/(B26/1000)</f>
        <v>1.7645855974523537E-2</v>
      </c>
      <c r="AG26" s="100">
        <f>INDEX(DES_2!$A:$J,MATCH('2021'!$A26,DES_2!$A:$A,0),MATCH('2021'!$A$1,DES_2!$3:$3,0))/(B26/1000)</f>
        <v>0.91031856997983185</v>
      </c>
      <c r="AH26" s="57">
        <f>1/INDEX(DES_3!$A:$J,MATCH('2021'!$A26,DES_3!$A:$A,0),MATCH('2021'!$A$1,DES_3!$3:$3,0))</f>
        <v>5.9488399762046406E-3</v>
      </c>
      <c r="AI26" s="80">
        <f>INDEX(DES_4!$A:$J,MATCH('2021'!$A26,DES_4!$A:$A,0),MATCH('2021'!$A$1,DES_4!$3:$3,0))</f>
        <v>0.80574748256800011</v>
      </c>
      <c r="AJ26" s="110">
        <f>INDEX(DES_5!$A:$J,MATCH('2021'!$A26,DES_5!$A:$A,0),MATCH('2021'!$A$1,DES_5!$3:$3,0))</f>
        <v>0.83229203715599998</v>
      </c>
      <c r="AK26" s="57">
        <v>33</v>
      </c>
    </row>
    <row r="27" spans="1:37" x14ac:dyDescent="0.3">
      <c r="A27" s="29" t="s">
        <v>26</v>
      </c>
      <c r="B27" s="33">
        <f>INDEX(Population!$A:$J,MATCH('2021'!$A27,Population!$A:$A,0),MATCH('2021'!$A$1,Population!$3:$3,0))</f>
        <v>494351</v>
      </c>
      <c r="C27" s="14">
        <f>INDEX(Income!$A:$J,MATCH('2021'!$A27,Income!$A:$A,0),MATCH('2021'!$A$1,Income!$3:$3,0))</f>
        <v>34901</v>
      </c>
      <c r="D27" s="34">
        <f>INDEX(Livable_wage!$A:$J,MATCH('2021'!$A27,Livable_wage!$A:$A,0),MATCH('2021'!$A$1,Livable_wage!$3:$3,0))</f>
        <v>9779</v>
      </c>
      <c r="E27" s="41">
        <f>INDEX(AVA_1!$A:$J,MATCH('2021'!$A27,AVA_1!$A:$A,0),MATCH('2021'!$A$1,AVA_1!$3:$3,0))</f>
        <v>0.41199999999999998</v>
      </c>
      <c r="F27" s="15">
        <f>INDEX(AVA_2!$A:$J,MATCH('2021'!$A27,AVA_2!$A:$A,0),MATCH('2021'!$A$1,AVA_2!$3:$3,0))</f>
        <v>7.3536656366160599E-3</v>
      </c>
      <c r="G27" s="15">
        <f>INDEX(AVA_3!$A:$J,MATCH('2021'!$A27,AVA_3!$A:$A,0),MATCH('2021'!$A$1,AVA_3!$3:$3,0))</f>
        <v>1.7132180288309852E-2</v>
      </c>
      <c r="H27" s="87">
        <f>INDEX(AVA_4!$A:$J,MATCH('2021'!$A27,AVA_4!$A:$A,0),MATCH('2021'!$A$1,AVA_4!$3:$3,0))/(B27/1000)</f>
        <v>0.72822751445835043</v>
      </c>
      <c r="I27" s="89">
        <f>INDEX(AVA_5!$A:$J,MATCH('2021'!$A27,AVA_5!$A:$A,0),MATCH('2021'!$A$1,AVA_5!$3:$3,0))/(B27/1000)</f>
        <v>2.6094819268090892</v>
      </c>
      <c r="J27" s="93">
        <f>INDEX(IRA_1!$A:$J,MATCH('2021'!$A27,IRA_1!$A:$A,0),MATCH('2021'!$A$1,IRA_1!$3:$3,0))/(B27/1000)</f>
        <v>3.0342813102431268E-2</v>
      </c>
      <c r="K27" s="88">
        <f>INDEX(IRA_2!$A:$J,MATCH('2021'!$A27,IRA_2!$A:$A,0),MATCH('2021'!$A$1,IRA_2!$3:$3,0))/(B27/1000)</f>
        <v>7.88913140663213E-2</v>
      </c>
      <c r="L27" s="15">
        <f>INDEX(IRA_3!$A:$J,MATCH('2021'!$A27,IRA_3!$A:$A,0),MATCH('2021'!$A$1,IRA_3!$3:$3,0))</f>
        <v>0.52247667514843088</v>
      </c>
      <c r="M27" s="96">
        <f>INDEX(IRA_4!$A:$J,MATCH('2021'!$A27,IRA_4!$A:$A,0),MATCH('2021'!$A$1,IRA_4!$3:$3,0))/(B27/1000)</f>
        <v>3.4712178189181371</v>
      </c>
      <c r="N27" s="61">
        <f>INDEX(INV_1!$A:$J,MATCH('2021'!$A27,INV_1!$A:$A,0),MATCH('2021'!$A$1,INV_1!$3:$3,0))</f>
        <v>6.2831901777812518E-2</v>
      </c>
      <c r="O27" s="80">
        <f>INDEX(INV_2!$A:$J,MATCH('2021'!$A27,INV_2!$A:$A,0),MATCH('2021'!$A$1,INV_2!$3:$3,0))/B27*10^6/C27</f>
        <v>0.37425303369215462</v>
      </c>
      <c r="P27" s="87">
        <f>INDEX(INV_3!$A:$J,MATCH('2021'!$A27,INV_3!$A:$A,0),MATCH('2021'!$A$1,INV_3!$3:$3,0))/B27*10^6/C27</f>
        <v>3.4075132997240511</v>
      </c>
      <c r="Q27" s="87">
        <f>INDEX(INV_4!$A:$J,MATCH('2021'!$A27,INV_4!$A:$A,0),MATCH('2021'!$A$1,INV_4!$3:$3,0))/B27*10^3/C27</f>
        <v>0.1676085376800148</v>
      </c>
      <c r="R27" s="34">
        <f>INDEX(INV_5!$A:$J,MATCH('2021'!$A27,INV_5!$A:$A,0),MATCH('2021'!$A$1,INV_5!$3:$3,0))</f>
        <v>0.20230000000000001</v>
      </c>
      <c r="S27" s="77">
        <f>INDEX(LUJ_1!$A:$J,MATCH('2021'!$A27,LUJ_1!$A:$A,0),MATCH('2021'!$A$1,LUJ_1!$3:$3,0))</f>
        <v>0.79632063074901449</v>
      </c>
      <c r="T27" s="73">
        <f>INDEX(LUJ_2!$A:$J,MATCH('2021'!$A27,LUJ_2!$A:$A,0),MATCH('2021'!$A$1,LUJ_2!$3:$3,0))</f>
        <v>0.18600000000000003</v>
      </c>
      <c r="U27" s="73">
        <f>INDEX(LUJ_3!$A:$J,MATCH('2021'!$A27,LUJ_3!$A:$A,0),MATCH('2021'!$A$1,LUJ_3!$3:$3,0))</f>
        <v>0.22499452834318232</v>
      </c>
      <c r="V27" s="14">
        <f>INDEX(LUJ_4!$A:$J,MATCH('2021'!$A27,LUJ_4!$A:$A,0),MATCH('2021'!$A$1,LUJ_4!$3:$3,0))</f>
        <v>10</v>
      </c>
      <c r="W27" s="34">
        <f>INDEX(LUJ_5!$A:$J,MATCH('2021'!$A27,LUJ_5!$A:$A,0),MATCH('2021'!$A$1,LUJ_5!$3:$3,0))</f>
        <v>11.7</v>
      </c>
      <c r="X27" s="98">
        <f>1/INDEX(GUL_1!$A:$J,MATCH('2021'!$A27,GUL_1!$A:$A,0),MATCH('2021'!$A$1,GUL_1!$3:$3,0))</f>
        <v>1.4040999719180006E-2</v>
      </c>
      <c r="Y27" s="57">
        <f>INDEX(GUL_2!$A:$J,MATCH('2021'!$A27,GUL_2!$A:$A,0),MATCH('2021'!$A$1,GUL_2!$3:$3,0))</f>
        <v>25.1</v>
      </c>
      <c r="Z27" s="57">
        <f>INDEX(GUL_3!$A:$J,MATCH('2021'!$A27,GUL_3!$A:$A,0),MATCH('2021'!$A$1,GUL_3!$3:$3,0))/(B27/1000)</f>
        <v>0.55021634425742039</v>
      </c>
      <c r="AA27" s="101">
        <f>INDEX(GUL_4!$A:$J,MATCH('2021'!$A27,GUL_4!$A:$A,0),MATCH('2021'!$A$1,GUL_4!$3:$3,0))/B27/C27*10^6</f>
        <v>0.22149271146540228</v>
      </c>
      <c r="AB27" s="73">
        <f>INDEX(GUL_5!$A:$J,MATCH('2021'!$A27,GUL_5!$A:$A,0),MATCH('2021'!$A$1,GUL_5!$3:$3,0))</f>
        <v>2.2854915235293066E-2</v>
      </c>
      <c r="AC27" s="49">
        <f>INDEX(GUL_6!$A:$J,MATCH('2021'!$A27,GUL_6!$A:$A,0),MATCH('2021'!$A$1,GUL_6!$3:$3,0))</f>
        <v>2.6067450960000002E-2</v>
      </c>
      <c r="AD27" s="49">
        <f>INDEX(GUL_7!$A:$J,MATCH('2021'!$A27,GUL_7!$A:$A,0),MATCH('2021'!$A$1,GUL_7!$3:$3,0))</f>
        <v>0.20319999999999999</v>
      </c>
      <c r="AE27" s="103">
        <f>INDEX(GUL_8!$A:$J,MATCH('2021'!$A27,GUL_8!$A:$A,0),MATCH('2021'!$A$1,GUL_8!$3:$3,0))/(B27/1000)</f>
        <v>1.1186383763762995</v>
      </c>
      <c r="AF27" s="41">
        <f>INDEX(DES_1!$A:$J,MATCH('2021'!$A27,DES_1!$A:$A,0),MATCH('2021'!$A$1,DES_1!$3:$3,0))/(B27/1000)</f>
        <v>0.11732554399606757</v>
      </c>
      <c r="AG27" s="100">
        <f>INDEX(DES_2!$A:$J,MATCH('2021'!$A27,DES_2!$A:$A,0),MATCH('2021'!$A$1,DES_2!$3:$3,0))/(B27/1000)</f>
        <v>0.40254798715892148</v>
      </c>
      <c r="AH27" s="57">
        <f>1/INDEX(DES_3!$A:$J,MATCH('2021'!$A27,DES_3!$A:$A,0),MATCH('2021'!$A$1,DES_3!$3:$3,0))</f>
        <v>6.9541029207232262E-3</v>
      </c>
      <c r="AI27" s="80">
        <f>INDEX(DES_4!$A:$J,MATCH('2021'!$A27,DES_4!$A:$A,0),MATCH('2021'!$A$1,DES_4!$3:$3,0))</f>
        <v>0.53351099942799995</v>
      </c>
      <c r="AJ27" s="110">
        <f>INDEX(DES_5!$A:$J,MATCH('2021'!$A27,DES_5!$A:$A,0),MATCH('2021'!$A$1,DES_5!$3:$3,0))</f>
        <v>0.36057245967900003</v>
      </c>
      <c r="AK27" s="57">
        <v>37</v>
      </c>
    </row>
    <row r="28" spans="1:37" x14ac:dyDescent="0.3">
      <c r="A28" s="29" t="s">
        <v>27</v>
      </c>
      <c r="B28" s="33">
        <f>INDEX(Population!$A:$J,MATCH('2021'!$A28,Population!$A:$A,0),MATCH('2021'!$A$1,Population!$3:$3,0))</f>
        <v>267661</v>
      </c>
      <c r="C28" s="14">
        <f>INDEX(Income!$A:$J,MATCH('2021'!$A28,Income!$A:$A,0),MATCH('2021'!$A$1,Income!$3:$3,0))</f>
        <v>21319</v>
      </c>
      <c r="D28" s="34">
        <f>INDEX(Livable_wage!$A:$J,MATCH('2021'!$A28,Livable_wage!$A:$A,0),MATCH('2021'!$A$1,Livable_wage!$3:$3,0))</f>
        <v>10631</v>
      </c>
      <c r="E28" s="41">
        <f>INDEX(AVA_1!$A:$J,MATCH('2021'!$A28,AVA_1!$A:$A,0),MATCH('2021'!$A$1,AVA_1!$3:$3,0))</f>
        <v>0.33700000000000002</v>
      </c>
      <c r="F28" s="15">
        <f>INDEX(AVA_2!$A:$J,MATCH('2021'!$A28,AVA_2!$A:$A,0),MATCH('2021'!$A$1,AVA_2!$3:$3,0))</f>
        <v>6.8757659060047034E-3</v>
      </c>
      <c r="G28" s="15">
        <f>INDEX(AVA_3!$A:$J,MATCH('2021'!$A28,AVA_3!$A:$A,0),MATCH('2021'!$A$1,AVA_3!$3:$3,0))</f>
        <v>1.4709138003981465E-2</v>
      </c>
      <c r="H28" s="87">
        <f>INDEX(AVA_4!$A:$J,MATCH('2021'!$A28,AVA_4!$A:$A,0),MATCH('2021'!$A$1,AVA_4!$3:$3,0))/(B28/1000)</f>
        <v>0.65007602900684069</v>
      </c>
      <c r="I28" s="89">
        <f>INDEX(AVA_5!$A:$J,MATCH('2021'!$A28,AVA_5!$A:$A,0),MATCH('2021'!$A$1,AVA_5!$3:$3,0))/(B28/1000)</f>
        <v>2.6077762542918093</v>
      </c>
      <c r="J28" s="93">
        <f>INDEX(IRA_1!$A:$J,MATCH('2021'!$A28,IRA_1!$A:$A,0),MATCH('2021'!$A$1,IRA_1!$3:$3,0))/(B28/1000)</f>
        <v>5.6041036983348343E-2</v>
      </c>
      <c r="K28" s="88">
        <f>INDEX(IRA_2!$A:$J,MATCH('2021'!$A28,IRA_2!$A:$A,0),MATCH('2021'!$A$1,IRA_2!$3:$3,0))/(B28/1000)</f>
        <v>0.18306738747893792</v>
      </c>
      <c r="L28" s="15">
        <f>INDEX(IRA_3!$A:$J,MATCH('2021'!$A28,IRA_3!$A:$A,0),MATCH('2021'!$A$1,IRA_3!$3:$3,0))</f>
        <v>0.36515388628064682</v>
      </c>
      <c r="M28" s="96">
        <f>INDEX(IRA_4!$A:$J,MATCH('2021'!$A28,IRA_4!$A:$A,0),MATCH('2021'!$A$1,IRA_4!$3:$3,0))/(B28/1000)</f>
        <v>2.5069023877217824</v>
      </c>
      <c r="N28" s="61">
        <f>INDEX(INV_1!$A:$J,MATCH('2021'!$A28,INV_1!$A:$A,0),MATCH('2021'!$A$1,INV_1!$3:$3,0))</f>
        <v>0.10865825044914609</v>
      </c>
      <c r="O28" s="80">
        <f>INDEX(INV_2!$A:$J,MATCH('2021'!$A28,INV_2!$A:$A,0),MATCH('2021'!$A$1,INV_2!$3:$3,0))/B28*10^6/C28</f>
        <v>0.25757448014759066</v>
      </c>
      <c r="P28" s="87">
        <f>INDEX(INV_3!$A:$J,MATCH('2021'!$A28,INV_3!$A:$A,0),MATCH('2021'!$A$1,INV_3!$3:$3,0))/B28*10^6/C28</f>
        <v>8.4677106993711675</v>
      </c>
      <c r="Q28" s="87">
        <f>INDEX(INV_4!$A:$J,MATCH('2021'!$A28,INV_4!$A:$A,0),MATCH('2021'!$A$1,INV_4!$3:$3,0))/B28*10^3/C28</f>
        <v>0.2670034493048406</v>
      </c>
      <c r="R28" s="34">
        <f>INDEX(INV_5!$A:$J,MATCH('2021'!$A28,INV_5!$A:$A,0),MATCH('2021'!$A$1,INV_5!$3:$3,0))</f>
        <v>6.7500000000000004E-2</v>
      </c>
      <c r="S28" s="77">
        <f>INDEX(LUJ_1!$A:$J,MATCH('2021'!$A28,LUJ_1!$A:$A,0),MATCH('2021'!$A$1,LUJ_1!$3:$3,0))</f>
        <v>0.9366980325064157</v>
      </c>
      <c r="T28" s="73">
        <f>INDEX(LUJ_2!$A:$J,MATCH('2021'!$A28,LUJ_2!$A:$A,0),MATCH('2021'!$A$1,LUJ_2!$3:$3,0))</f>
        <v>0.21100000000000002</v>
      </c>
      <c r="U28" s="73">
        <f>INDEX(LUJ_3!$A:$J,MATCH('2021'!$A28,LUJ_3!$A:$A,0),MATCH('2021'!$A$1,LUJ_3!$3:$3,0))</f>
        <v>0.16741405082212257</v>
      </c>
      <c r="V28" s="14">
        <f>INDEX(LUJ_4!$A:$J,MATCH('2021'!$A28,LUJ_4!$A:$A,0),MATCH('2021'!$A$1,LUJ_4!$3:$3,0))</f>
        <v>3</v>
      </c>
      <c r="W28" s="34">
        <f>INDEX(LUJ_5!$A:$J,MATCH('2021'!$A28,LUJ_5!$A:$A,0),MATCH('2021'!$A$1,LUJ_5!$3:$3,0))</f>
        <v>5.6</v>
      </c>
      <c r="X28" s="98">
        <f>1/INDEX(GUL_1!$A:$J,MATCH('2021'!$A28,GUL_1!$A:$A,0),MATCH('2021'!$A$1,GUL_1!$3:$3,0))</f>
        <v>1.4005602240896357E-2</v>
      </c>
      <c r="Y28" s="57">
        <f>INDEX(GUL_2!$A:$J,MATCH('2021'!$A28,GUL_2!$A:$A,0),MATCH('2021'!$A$1,GUL_2!$3:$3,0))</f>
        <v>25.4</v>
      </c>
      <c r="Z28" s="57">
        <f>INDEX(GUL_3!$A:$J,MATCH('2021'!$A28,GUL_3!$A:$A,0),MATCH('2021'!$A$1,GUL_3!$3:$3,0))/(B28/1000)</f>
        <v>0.51931360937902793</v>
      </c>
      <c r="AA28" s="101">
        <f>INDEX(GUL_4!$A:$J,MATCH('2021'!$A28,GUL_4!$A:$A,0),MATCH('2021'!$A$1,GUL_4!$3:$3,0))/B28/C28*10^6</f>
        <v>0.14750454470623794</v>
      </c>
      <c r="AB28" s="73">
        <f>INDEX(GUL_5!$A:$J,MATCH('2021'!$A28,GUL_5!$A:$A,0),MATCH('2021'!$A$1,GUL_5!$3:$3,0))</f>
        <v>2.224587212438351E-2</v>
      </c>
      <c r="AC28" s="49">
        <f>INDEX(GUL_6!$A:$J,MATCH('2021'!$A28,GUL_6!$A:$A,0),MATCH('2021'!$A$1,GUL_6!$3:$3,0))</f>
        <v>1.5920228557E-2</v>
      </c>
      <c r="AD28" s="49">
        <f>INDEX(GUL_7!$A:$J,MATCH('2021'!$A28,GUL_7!$A:$A,0),MATCH('2021'!$A$1,GUL_7!$3:$3,0))</f>
        <v>0.14699999999999999</v>
      </c>
      <c r="AE28" s="103">
        <f>INDEX(GUL_8!$A:$J,MATCH('2021'!$A28,GUL_8!$A:$A,0),MATCH('2021'!$A$1,GUL_8!$3:$3,0))/(B28/1000)</f>
        <v>2.3387792767717372</v>
      </c>
      <c r="AF28" s="41">
        <f>INDEX(DES_1!$A:$J,MATCH('2021'!$A28,DES_1!$A:$A,0),MATCH('2021'!$A$1,DES_1!$3:$3,0))/(B28/1000)</f>
        <v>0.28020518491674168</v>
      </c>
      <c r="AG28" s="100">
        <f>INDEX(DES_2!$A:$J,MATCH('2021'!$A28,DES_2!$A:$A,0),MATCH('2021'!$A$1,DES_2!$3:$3,0))/(B28/1000)</f>
        <v>0.81819913995688576</v>
      </c>
      <c r="AH28" s="57">
        <f>1/INDEX(DES_3!$A:$J,MATCH('2021'!$A28,DES_3!$A:$A,0),MATCH('2021'!$A$1,DES_3!$3:$3,0))</f>
        <v>9.4876660341555973E-3</v>
      </c>
      <c r="AI28" s="80">
        <f>INDEX(DES_4!$A:$J,MATCH('2021'!$A28,DES_4!$A:$A,0),MATCH('2021'!$A$1,DES_4!$3:$3,0))</f>
        <v>0.45981586954999998</v>
      </c>
      <c r="AJ28" s="110">
        <f>INDEX(DES_5!$A:$J,MATCH('2021'!$A28,DES_5!$A:$A,0),MATCH('2021'!$A$1,DES_5!$3:$3,0))</f>
        <v>0.158881030654</v>
      </c>
      <c r="AK28" s="57">
        <v>38</v>
      </c>
    </row>
    <row r="29" spans="1:37" x14ac:dyDescent="0.3">
      <c r="A29" s="29" t="s">
        <v>28</v>
      </c>
      <c r="B29" s="33">
        <f>INDEX(Population!$A:$J,MATCH('2021'!$A29,Population!$A:$A,0),MATCH('2021'!$A$1,Population!$3:$3,0))</f>
        <v>5823840</v>
      </c>
      <c r="C29" s="14">
        <f>INDEX(Income!$A:$J,MATCH('2021'!$A29,Income!$A:$A,0),MATCH('2021'!$A$1,Income!$3:$3,0))</f>
        <v>43255</v>
      </c>
      <c r="D29" s="34">
        <f>INDEX(Livable_wage!$A:$J,MATCH('2021'!$A29,Livable_wage!$A:$A,0),MATCH('2021'!$A$1,Livable_wage!$3:$3,0))</f>
        <v>11397</v>
      </c>
      <c r="E29" s="41">
        <f>INDEX(AVA_1!$A:$J,MATCH('2021'!$A29,AVA_1!$A:$A,0),MATCH('2021'!$A$1,AVA_1!$3:$3,0))</f>
        <v>0.41299999999999998</v>
      </c>
      <c r="F29" s="15">
        <f>INDEX(AVA_2!$A:$J,MATCH('2021'!$A29,AVA_2!$A:$A,0),MATCH('2021'!$A$1,AVA_2!$3:$3,0))</f>
        <v>1.1901025424161589E-2</v>
      </c>
      <c r="G29" s="15">
        <f>INDEX(AVA_3!$A:$J,MATCH('2021'!$A29,AVA_3!$A:$A,0),MATCH('2021'!$A$1,AVA_3!$3:$3,0))</f>
        <v>2.0510479116583425E-2</v>
      </c>
      <c r="H29" s="87">
        <f>INDEX(AVA_4!$A:$J,MATCH('2021'!$A29,AVA_4!$A:$A,0),MATCH('2021'!$A$1,AVA_4!$3:$3,0))/(B29/1000)</f>
        <v>0.85235858127970543</v>
      </c>
      <c r="I29" s="89">
        <f>INDEX(AVA_5!$A:$J,MATCH('2021'!$A29,AVA_5!$A:$A,0),MATCH('2021'!$A$1,AVA_5!$3:$3,0))/(B29/1000)</f>
        <v>4.9621898953267944</v>
      </c>
      <c r="J29" s="93">
        <f>INDEX(IRA_1!$A:$J,MATCH('2021'!$A29,IRA_1!$A:$A,0),MATCH('2021'!$A$1,IRA_1!$3:$3,0))/(B29/1000)</f>
        <v>3.7775763070414019E-2</v>
      </c>
      <c r="K29" s="88">
        <f>INDEX(IRA_2!$A:$J,MATCH('2021'!$A29,IRA_2!$A:$A,0),MATCH('2021'!$A$1,IRA_2!$3:$3,0))/(B29/1000)</f>
        <v>8.8257919173603663E-2</v>
      </c>
      <c r="L29" s="15">
        <f>INDEX(IRA_3!$A:$J,MATCH('2021'!$A29,IRA_3!$A:$A,0),MATCH('2021'!$A$1,IRA_3!$3:$3,0))</f>
        <v>0.45891650999234035</v>
      </c>
      <c r="M29" s="96">
        <f>INDEX(IRA_4!$A:$J,MATCH('2021'!$A29,IRA_4!$A:$A,0),MATCH('2021'!$A$1,IRA_4!$3:$3,0))/(B29/1000)</f>
        <v>5.565743564383637</v>
      </c>
      <c r="N29" s="61">
        <f>INDEX(INV_1!$A:$J,MATCH('2021'!$A29,INV_1!$A:$A,0),MATCH('2021'!$A$1,INV_1!$3:$3,0))</f>
        <v>8.2495120771636982E-2</v>
      </c>
      <c r="O29" s="80">
        <f>INDEX(INV_2!$A:$J,MATCH('2021'!$A29,INV_2!$A:$A,0),MATCH('2021'!$A$1,INV_2!$3:$3,0))/B29*10^6/C29</f>
        <v>0.56380587800286441</v>
      </c>
      <c r="P29" s="87">
        <f>INDEX(INV_3!$A:$J,MATCH('2021'!$A29,INV_3!$A:$A,0),MATCH('2021'!$A$1,INV_3!$3:$3,0))/B29*10^6/C29</f>
        <v>3.479299380427785</v>
      </c>
      <c r="Q29" s="87">
        <f>INDEX(INV_4!$A:$J,MATCH('2021'!$A29,INV_4!$A:$A,0),MATCH('2021'!$A$1,INV_4!$3:$3,0))/B29*10^3/C29</f>
        <v>0.28123322963892133</v>
      </c>
      <c r="R29" s="34">
        <f>INDEX(INV_5!$A:$J,MATCH('2021'!$A29,INV_5!$A:$A,0),MATCH('2021'!$A$1,INV_5!$3:$3,0))</f>
        <v>0.33</v>
      </c>
      <c r="S29" s="77">
        <f>INDEX(LUJ_1!$A:$J,MATCH('2021'!$A29,LUJ_1!$A:$A,0),MATCH('2021'!$A$1,LUJ_1!$3:$3,0))</f>
        <v>0.64816029997656432</v>
      </c>
      <c r="T29" s="73">
        <f>INDEX(LUJ_2!$A:$J,MATCH('2021'!$A29,LUJ_2!$A:$A,0),MATCH('2021'!$A$1,LUJ_2!$3:$3,0))</f>
        <v>0.19899999999999998</v>
      </c>
      <c r="U29" s="73">
        <f>INDEX(LUJ_3!$A:$J,MATCH('2021'!$A29,LUJ_3!$A:$A,0),MATCH('2021'!$A$1,LUJ_3!$3:$3,0))</f>
        <v>0.25189496480779644</v>
      </c>
      <c r="V29" s="14">
        <f>INDEX(LUJ_4!$A:$J,MATCH('2021'!$A29,LUJ_4!$A:$A,0),MATCH('2021'!$A$1,LUJ_4!$3:$3,0))</f>
        <v>85</v>
      </c>
      <c r="W29" s="34">
        <f>INDEX(LUJ_5!$A:$J,MATCH('2021'!$A29,LUJ_5!$A:$A,0),MATCH('2021'!$A$1,LUJ_5!$3:$3,0))</f>
        <v>43.1</v>
      </c>
      <c r="X29" s="98">
        <f>1/INDEX(GUL_1!$A:$J,MATCH('2021'!$A29,GUL_1!$A:$A,0),MATCH('2021'!$A$1,GUL_1!$3:$3,0))</f>
        <v>1.417836381681554E-2</v>
      </c>
      <c r="Y29" s="57">
        <f>INDEX(GUL_2!$A:$J,MATCH('2021'!$A29,GUL_2!$A:$A,0),MATCH('2021'!$A$1,GUL_2!$3:$3,0))</f>
        <v>26.200000000000003</v>
      </c>
      <c r="Z29" s="57">
        <f>INDEX(GUL_3!$A:$J,MATCH('2021'!$A29,GUL_3!$A:$A,0),MATCH('2021'!$A$1,GUL_3!$3:$3,0))/(B29/1000)</f>
        <v>0.65643973735542183</v>
      </c>
      <c r="AA29" s="101">
        <f>INDEX(GUL_4!$A:$J,MATCH('2021'!$A29,GUL_4!$A:$A,0),MATCH('2021'!$A$1,GUL_4!$3:$3,0))/B29/C29*10^6</f>
        <v>0.35055702500512331</v>
      </c>
      <c r="AB29" s="73">
        <f>INDEX(GUL_5!$A:$J,MATCH('2021'!$A29,GUL_5!$A:$A,0),MATCH('2021'!$A$1,GUL_5!$3:$3,0))</f>
        <v>3.1502039677873163E-2</v>
      </c>
      <c r="AC29" s="49">
        <f>INDEX(GUL_6!$A:$J,MATCH('2021'!$A29,GUL_6!$A:$A,0),MATCH('2021'!$A$1,GUL_6!$3:$3,0))</f>
        <v>3.2195553603999998E-2</v>
      </c>
      <c r="AD29" s="49">
        <f>INDEX(GUL_7!$A:$J,MATCH('2021'!$A29,GUL_7!$A:$A,0),MATCH('2021'!$A$1,GUL_7!$3:$3,0))</f>
        <v>0.1603</v>
      </c>
      <c r="AE29" s="103">
        <f>INDEX(GUL_8!$A:$J,MATCH('2021'!$A29,GUL_8!$A:$A,0),MATCH('2021'!$A$1,GUL_8!$3:$3,0))/(B29/1000)</f>
        <v>0.88463968790351377</v>
      </c>
      <c r="AF29" s="41">
        <f>INDEX(DES_1!$A:$J,MATCH('2021'!$A29,DES_1!$A:$A,0),MATCH('2021'!$A$1,DES_1!$3:$3,0))/(B29/1000)</f>
        <v>7.040028572213522E-2</v>
      </c>
      <c r="AG29" s="100">
        <f>INDEX(DES_2!$A:$J,MATCH('2021'!$A29,DES_2!$A:$A,0),MATCH('2021'!$A$1,DES_2!$3:$3,0))/(B29/1000)</f>
        <v>0.68854913596527378</v>
      </c>
      <c r="AH29" s="57">
        <f>1/INDEX(DES_3!$A:$J,MATCH('2021'!$A29,DES_3!$A:$A,0),MATCH('2021'!$A$1,DES_3!$3:$3,0))</f>
        <v>9.1074681238615673E-3</v>
      </c>
      <c r="AI29" s="80">
        <f>INDEX(DES_4!$A:$J,MATCH('2021'!$A29,DES_4!$A:$A,0),MATCH('2021'!$A$1,DES_4!$3:$3,0))</f>
        <v>0.89118624038799998</v>
      </c>
      <c r="AJ29" s="110">
        <f>INDEX(DES_5!$A:$J,MATCH('2021'!$A29,DES_5!$A:$A,0),MATCH('2021'!$A$1,DES_5!$3:$3,0))</f>
        <v>0.66326744417000005</v>
      </c>
      <c r="AK29" s="57">
        <v>39</v>
      </c>
    </row>
    <row r="30" spans="1:37" x14ac:dyDescent="0.3">
      <c r="A30" s="29" t="s">
        <v>29</v>
      </c>
      <c r="B30" s="33">
        <f>INDEX(Population!$A:$J,MATCH('2021'!$A30,Population!$A:$A,0),MATCH('2021'!$A$1,Population!$3:$3,0))</f>
        <v>4204454</v>
      </c>
      <c r="C30" s="14">
        <f>INDEX(Income!$A:$J,MATCH('2021'!$A30,Income!$A:$A,0),MATCH('2021'!$A$1,Income!$3:$3,0))</f>
        <v>35050</v>
      </c>
      <c r="D30" s="34">
        <f>INDEX(Livable_wage!$A:$J,MATCH('2021'!$A30,Livable_wage!$A:$A,0),MATCH('2021'!$A$1,Livable_wage!$3:$3,0))</f>
        <v>11053</v>
      </c>
      <c r="E30" s="41">
        <f>INDEX(AVA_1!$A:$J,MATCH('2021'!$A30,AVA_1!$A:$A,0),MATCH('2021'!$A$1,AVA_1!$3:$3,0))</f>
        <v>0.39600000000000002</v>
      </c>
      <c r="F30" s="15">
        <f>INDEX(AVA_2!$A:$J,MATCH('2021'!$A30,AVA_2!$A:$A,0),MATCH('2021'!$A$1,AVA_2!$3:$3,0))</f>
        <v>9.9312111130784309E-3</v>
      </c>
      <c r="G30" s="15">
        <f>INDEX(AVA_3!$A:$J,MATCH('2021'!$A30,AVA_3!$A:$A,0),MATCH('2021'!$A$1,AVA_3!$3:$3,0))</f>
        <v>1.2726606366530913E-2</v>
      </c>
      <c r="H30" s="87">
        <f>INDEX(AVA_4!$A:$J,MATCH('2021'!$A30,AVA_4!$A:$A,0),MATCH('2021'!$A$1,AVA_4!$3:$3,0))/(B30/1000)</f>
        <v>0.8077148661871435</v>
      </c>
      <c r="I30" s="89">
        <f>INDEX(AVA_5!$A:$J,MATCH('2021'!$A30,AVA_5!$A:$A,0),MATCH('2021'!$A$1,AVA_5!$3:$3,0))/(B30/1000)</f>
        <v>6.3751440734040621</v>
      </c>
      <c r="J30" s="93">
        <f>INDEX(IRA_1!$A:$J,MATCH('2021'!$A30,IRA_1!$A:$A,0),MATCH('2021'!$A$1,IRA_1!$3:$3,0))/(B30/1000)</f>
        <v>3.2346649529284899E-2</v>
      </c>
      <c r="K30" s="88">
        <f>INDEX(IRA_2!$A:$J,MATCH('2021'!$A30,IRA_2!$A:$A,0),MATCH('2021'!$A$1,IRA_2!$3:$3,0))/(B30/1000)</f>
        <v>7.9677408766988533E-2</v>
      </c>
      <c r="L30" s="15">
        <f>INDEX(IRA_3!$A:$J,MATCH('2021'!$A30,IRA_3!$A:$A,0),MATCH('2021'!$A$1,IRA_3!$3:$3,0))</f>
        <v>0.4210246410210956</v>
      </c>
      <c r="M30" s="96">
        <f>INDEX(IRA_4!$A:$J,MATCH('2021'!$A30,IRA_4!$A:$A,0),MATCH('2021'!$A$1,IRA_4!$3:$3,0))/(B30/1000)</f>
        <v>5.6970536483453031</v>
      </c>
      <c r="N30" s="61">
        <f>INDEX(INV_1!$A:$J,MATCH('2021'!$A30,INV_1!$A:$A,0),MATCH('2021'!$A$1,INV_1!$3:$3,0))</f>
        <v>7.4043658619320232E-2</v>
      </c>
      <c r="O30" s="80">
        <f>INDEX(INV_2!$A:$J,MATCH('2021'!$A30,INV_2!$A:$A,0),MATCH('2021'!$A$1,INV_2!$3:$3,0))/B30*10^6/C30</f>
        <v>0.55725891244239667</v>
      </c>
      <c r="P30" s="87">
        <f>INDEX(INV_3!$A:$J,MATCH('2021'!$A30,INV_3!$A:$A,0),MATCH('2021'!$A$1,INV_3!$3:$3,0))/B30*10^6/C30</f>
        <v>3.925922923527045</v>
      </c>
      <c r="Q30" s="87">
        <f>INDEX(INV_4!$A:$J,MATCH('2021'!$A30,INV_4!$A:$A,0),MATCH('2021'!$A$1,INV_4!$3:$3,0))/B30*10^3/C30</f>
        <v>0.23727060821086585</v>
      </c>
      <c r="R30" s="34">
        <f>INDEX(INV_5!$A:$J,MATCH('2021'!$A30,INV_5!$A:$A,0),MATCH('2021'!$A$1,INV_5!$3:$3,0))</f>
        <v>0.1439</v>
      </c>
      <c r="S30" s="77">
        <f>INDEX(LUJ_1!$A:$J,MATCH('2021'!$A30,LUJ_1!$A:$A,0),MATCH('2021'!$A$1,LUJ_1!$3:$3,0))</f>
        <v>0.70982699501246882</v>
      </c>
      <c r="T30" s="73">
        <f>INDEX(LUJ_2!$A:$J,MATCH('2021'!$A30,LUJ_2!$A:$A,0),MATCH('2021'!$A$1,LUJ_2!$3:$3,0))</f>
        <v>0.20699999999999999</v>
      </c>
      <c r="U30" s="73">
        <f>INDEX(LUJ_3!$A:$J,MATCH('2021'!$A30,LUJ_3!$A:$A,0),MATCH('2021'!$A$1,LUJ_3!$3:$3,0))</f>
        <v>0.25918494132980202</v>
      </c>
      <c r="V30" s="14">
        <f>INDEX(LUJ_4!$A:$J,MATCH('2021'!$A30,LUJ_4!$A:$A,0),MATCH('2021'!$A$1,LUJ_4!$3:$3,0))</f>
        <v>51</v>
      </c>
      <c r="W30" s="34">
        <f>INDEX(LUJ_5!$A:$J,MATCH('2021'!$A30,LUJ_5!$A:$A,0),MATCH('2021'!$A$1,LUJ_5!$3:$3,0))</f>
        <v>22.2</v>
      </c>
      <c r="X30" s="98">
        <f>1/INDEX(GUL_1!$A:$J,MATCH('2021'!$A30,GUL_1!$A:$A,0),MATCH('2021'!$A$1,GUL_1!$3:$3,0))</f>
        <v>1.4328700386874909E-2</v>
      </c>
      <c r="Y30" s="57">
        <f>INDEX(GUL_2!$A:$J,MATCH('2021'!$A30,GUL_2!$A:$A,0),MATCH('2021'!$A$1,GUL_2!$3:$3,0))</f>
        <v>26.200000000000003</v>
      </c>
      <c r="Z30" s="57">
        <f>INDEX(GUL_3!$A:$J,MATCH('2021'!$A30,GUL_3!$A:$A,0),MATCH('2021'!$A$1,GUL_3!$3:$3,0))/(B30/1000)</f>
        <v>0.69093394766597527</v>
      </c>
      <c r="AA30" s="101">
        <f>INDEX(GUL_4!$A:$J,MATCH('2021'!$A30,GUL_4!$A:$A,0),MATCH('2021'!$A$1,GUL_4!$3:$3,0))/B30/C30*10^6</f>
        <v>0.27665647992627007</v>
      </c>
      <c r="AB30" s="73">
        <f>INDEX(GUL_5!$A:$J,MATCH('2021'!$A30,GUL_5!$A:$A,0),MATCH('2021'!$A$1,GUL_5!$3:$3,0))</f>
        <v>3.7964285569091705E-2</v>
      </c>
      <c r="AC30" s="49">
        <f>INDEX(GUL_6!$A:$J,MATCH('2021'!$A30,GUL_6!$A:$A,0),MATCH('2021'!$A$1,GUL_6!$3:$3,0))</f>
        <v>3.9008649849000002E-2</v>
      </c>
      <c r="AD30" s="49">
        <f>INDEX(GUL_7!$A:$J,MATCH('2021'!$A30,GUL_7!$A:$A,0),MATCH('2021'!$A$1,GUL_7!$3:$3,0))</f>
        <v>0.1913</v>
      </c>
      <c r="AE30" s="103">
        <f>INDEX(GUL_8!$A:$J,MATCH('2021'!$A30,GUL_8!$A:$A,0),MATCH('2021'!$A$1,GUL_8!$3:$3,0))/(B30/1000)</f>
        <v>1.1133431356366368</v>
      </c>
      <c r="AF30" s="41">
        <f>INDEX(DES_1!$A:$J,MATCH('2021'!$A30,DES_1!$A:$A,0),MATCH('2021'!$A$1,DES_1!$3:$3,0))/(B30/1000)</f>
        <v>4.5190172136500964E-2</v>
      </c>
      <c r="AG30" s="100">
        <f>INDEX(DES_2!$A:$J,MATCH('2021'!$A30,DES_2!$A:$A,0),MATCH('2021'!$A$1,DES_2!$3:$3,0))/(B30/1000)</f>
        <v>0.68308512829489876</v>
      </c>
      <c r="AH30" s="57">
        <f>1/INDEX(DES_3!$A:$J,MATCH('2021'!$A30,DES_3!$A:$A,0),MATCH('2021'!$A$1,DES_3!$3:$3,0))</f>
        <v>7.4239049740163331E-3</v>
      </c>
      <c r="AI30" s="80">
        <f>INDEX(DES_4!$A:$J,MATCH('2021'!$A30,DES_4!$A:$A,0),MATCH('2021'!$A$1,DES_4!$3:$3,0))</f>
        <v>0.97517730897499999</v>
      </c>
      <c r="AJ30" s="110">
        <f>INDEX(DES_5!$A:$J,MATCH('2021'!$A30,DES_5!$A:$A,0),MATCH('2021'!$A$1,DES_5!$3:$3,0))</f>
        <v>0.66142372613099998</v>
      </c>
      <c r="AK30" s="57">
        <v>40</v>
      </c>
    </row>
    <row r="31" spans="1:37" x14ac:dyDescent="0.3">
      <c r="A31" s="29" t="s">
        <v>30</v>
      </c>
      <c r="B31" s="33">
        <f>INDEX(Population!$A:$J,MATCH('2021'!$A31,Population!$A:$A,0),MATCH('2021'!$A$1,Population!$3:$3,0))</f>
        <v>671913</v>
      </c>
      <c r="C31" s="14">
        <f>INDEX(Income!$A:$J,MATCH('2021'!$A31,Income!$A:$A,0),MATCH('2021'!$A$1,Income!$3:$3,0))</f>
        <v>51183</v>
      </c>
      <c r="D31" s="34">
        <f>INDEX(Livable_wage!$A:$J,MATCH('2021'!$A31,Livable_wage!$A:$A,0),MATCH('2021'!$A$1,Livable_wage!$3:$3,0))</f>
        <v>18625</v>
      </c>
      <c r="E31" s="41">
        <f>INDEX(AVA_1!$A:$J,MATCH('2021'!$A31,AVA_1!$A:$A,0),MATCH('2021'!$A$1,AVA_1!$3:$3,0))</f>
        <v>0.34200000000000003</v>
      </c>
      <c r="F31" s="15">
        <f>INDEX(AVA_2!$A:$J,MATCH('2021'!$A31,AVA_2!$A:$A,0),MATCH('2021'!$A$1,AVA_2!$3:$3,0))</f>
        <v>9.9884349520376458E-3</v>
      </c>
      <c r="G31" s="15">
        <f>INDEX(AVA_3!$A:$J,MATCH('2021'!$A31,AVA_3!$A:$A,0),MATCH('2021'!$A$1,AVA_3!$3:$3,0))</f>
        <v>2.1500926928597338E-2</v>
      </c>
      <c r="H31" s="87">
        <f>INDEX(AVA_4!$A:$J,MATCH('2021'!$A31,AVA_4!$A:$A,0),MATCH('2021'!$A$1,AVA_4!$3:$3,0))/(B31/1000)</f>
        <v>0.65633497193833135</v>
      </c>
      <c r="I31" s="89">
        <f>INDEX(AVA_5!$A:$J,MATCH('2021'!$A31,AVA_5!$A:$A,0),MATCH('2021'!$A$1,AVA_5!$3:$3,0))/(B31/1000)</f>
        <v>5.9129678991178913</v>
      </c>
      <c r="J31" s="93">
        <f>INDEX(IRA_1!$A:$J,MATCH('2021'!$A31,IRA_1!$A:$A,0),MATCH('2021'!$A$1,IRA_1!$3:$3,0))/(B31/1000)</f>
        <v>4.4648637546825257E-2</v>
      </c>
      <c r="K31" s="88">
        <f>INDEX(IRA_2!$A:$J,MATCH('2021'!$A31,IRA_2!$A:$A,0),MATCH('2021'!$A$1,IRA_2!$3:$3,0))/(B31/1000)</f>
        <v>0.16519995892325345</v>
      </c>
      <c r="L31" s="15">
        <f>INDEX(IRA_3!$A:$J,MATCH('2021'!$A31,IRA_3!$A:$A,0),MATCH('2021'!$A$1,IRA_3!$3:$3,0))</f>
        <v>0.345703125</v>
      </c>
      <c r="M31" s="96">
        <f>INDEX(IRA_4!$A:$J,MATCH('2021'!$A31,IRA_4!$A:$A,0),MATCH('2021'!$A$1,IRA_4!$3:$3,0))/(B31/1000)</f>
        <v>3.8993143457560726</v>
      </c>
      <c r="N31" s="61">
        <f>INDEX(INV_1!$A:$J,MATCH('2021'!$A31,INV_1!$A:$A,0),MATCH('2021'!$A$1,INV_1!$3:$3,0))</f>
        <v>7.0493678107326985E-2</v>
      </c>
      <c r="O31" s="80">
        <f>INDEX(INV_2!$A:$J,MATCH('2021'!$A31,INV_2!$A:$A,0),MATCH('2021'!$A$1,INV_2!$3:$3,0))/B31*10^6/C31</f>
        <v>0.31955457218348743</v>
      </c>
      <c r="P31" s="87">
        <f>INDEX(INV_3!$A:$J,MATCH('2021'!$A31,INV_3!$A:$A,0),MATCH('2021'!$A$1,INV_3!$3:$3,0))/B31*10^6/C31</f>
        <v>4.5192391997929233</v>
      </c>
      <c r="Q31" s="87">
        <f>INDEX(INV_4!$A:$J,MATCH('2021'!$A31,INV_4!$A:$A,0),MATCH('2021'!$A$1,INV_4!$3:$3,0))/B31*10^3/C31</f>
        <v>0.2433884178141843</v>
      </c>
      <c r="R31" s="34">
        <f>INDEX(INV_5!$A:$J,MATCH('2021'!$A31,INV_5!$A:$A,0),MATCH('2021'!$A$1,INV_5!$3:$3,0))</f>
        <v>6.88E-2</v>
      </c>
      <c r="S31" s="77">
        <f>INDEX(LUJ_1!$A:$J,MATCH('2021'!$A31,LUJ_1!$A:$A,0),MATCH('2021'!$A$1,LUJ_1!$3:$3,0))</f>
        <v>0.72965116279069764</v>
      </c>
      <c r="T31" s="73">
        <f>INDEX(LUJ_2!$A:$J,MATCH('2021'!$A31,LUJ_2!$A:$A,0),MATCH('2021'!$A$1,LUJ_2!$3:$3,0))</f>
        <v>0.20699999999999999</v>
      </c>
      <c r="U31" s="73">
        <f>INDEX(LUJ_3!$A:$J,MATCH('2021'!$A31,LUJ_3!$A:$A,0),MATCH('2021'!$A$1,LUJ_3!$3:$3,0))</f>
        <v>0.58153437396213881</v>
      </c>
      <c r="V31" s="14">
        <f>INDEX(LUJ_4!$A:$J,MATCH('2021'!$A31,LUJ_4!$A:$A,0),MATCH('2021'!$A$1,LUJ_4!$3:$3,0))</f>
        <v>11</v>
      </c>
      <c r="W31" s="34">
        <f>INDEX(LUJ_5!$A:$J,MATCH('2021'!$A31,LUJ_5!$A:$A,0),MATCH('2021'!$A$1,LUJ_5!$3:$3,0))</f>
        <v>45.6</v>
      </c>
      <c r="X31" s="98">
        <f>1/INDEX(GUL_1!$A:$J,MATCH('2021'!$A31,GUL_1!$A:$A,0),MATCH('2021'!$A$1,GUL_1!$3:$3,0))</f>
        <v>1.4643432420559379E-2</v>
      </c>
      <c r="Y31" s="57">
        <f>INDEX(GUL_2!$A:$J,MATCH('2021'!$A31,GUL_2!$A:$A,0),MATCH('2021'!$A$1,GUL_2!$3:$3,0))</f>
        <v>25.6</v>
      </c>
      <c r="Z31" s="57">
        <f>INDEX(GUL_3!$A:$J,MATCH('2021'!$A31,GUL_3!$A:$A,0),MATCH('2021'!$A$1,GUL_3!$3:$3,0))/(B31/1000)</f>
        <v>0.85576555298081747</v>
      </c>
      <c r="AA31" s="101">
        <f>INDEX(GUL_4!$A:$J,MATCH('2021'!$A31,GUL_4!$A:$A,0),MATCH('2021'!$A$1,GUL_4!$3:$3,0))/B31/C31*10^6</f>
        <v>0.68882901099185112</v>
      </c>
      <c r="AB31" s="73">
        <f>INDEX(GUL_5!$A:$J,MATCH('2021'!$A31,GUL_5!$A:$A,0),MATCH('2021'!$A$1,GUL_5!$3:$3,0))</f>
        <v>3.992336781661425E-2</v>
      </c>
      <c r="AC31" s="49">
        <f>INDEX(GUL_6!$A:$J,MATCH('2021'!$A31,GUL_6!$A:$A,0),MATCH('2021'!$A$1,GUL_6!$3:$3,0))</f>
        <v>6.2407049680999999E-2</v>
      </c>
      <c r="AD31" s="49">
        <f>INDEX(GUL_7!$A:$J,MATCH('2021'!$A31,GUL_7!$A:$A,0),MATCH('2021'!$A$1,GUL_7!$3:$3,0))</f>
        <v>0.27010000000000001</v>
      </c>
      <c r="AE31" s="103">
        <f>INDEX(GUL_8!$A:$J,MATCH('2021'!$A31,GUL_8!$A:$A,0),MATCH('2021'!$A$1,GUL_8!$3:$3,0))/(B31/1000)</f>
        <v>1.9317977178593062</v>
      </c>
      <c r="AF31" s="41">
        <f>INDEX(DES_1!$A:$J,MATCH('2021'!$A31,DES_1!$A:$A,0),MATCH('2021'!$A$1,DES_1!$3:$3,0))/(B31/1000)</f>
        <v>5.3578365056190312E-2</v>
      </c>
      <c r="AG31" s="100">
        <f>INDEX(DES_2!$A:$J,MATCH('2021'!$A31,DES_2!$A:$A,0),MATCH('2021'!$A$1,DES_2!$3:$3,0))/(B31/1000)</f>
        <v>0.61019804647327858</v>
      </c>
      <c r="AH31" s="57">
        <f>1/INDEX(DES_3!$A:$J,MATCH('2021'!$A31,DES_3!$A:$A,0),MATCH('2021'!$A$1,DES_3!$3:$3,0))</f>
        <v>6.5703022339027601E-3</v>
      </c>
      <c r="AI31" s="80">
        <f>INDEX(DES_4!$A:$J,MATCH('2021'!$A31,DES_4!$A:$A,0),MATCH('2021'!$A$1,DES_4!$3:$3,0))</f>
        <v>0.84920439452300001</v>
      </c>
      <c r="AJ31" s="110">
        <f>INDEX(DES_5!$A:$J,MATCH('2021'!$A31,DES_5!$A:$A,0),MATCH('2021'!$A$1,DES_5!$3:$3,0))</f>
        <v>0.65779261454700011</v>
      </c>
      <c r="AK31" s="57">
        <v>43</v>
      </c>
    </row>
    <row r="32" spans="1:37" x14ac:dyDescent="0.3">
      <c r="A32" s="29" t="s">
        <v>31</v>
      </c>
      <c r="B32" s="33">
        <f>INDEX(Population!$A:$J,MATCH('2021'!$A32,Population!$A:$A,0),MATCH('2021'!$A$1,Population!$3:$3,0))</f>
        <v>600993</v>
      </c>
      <c r="C32" s="14">
        <f>INDEX(Income!$A:$J,MATCH('2021'!$A32,Income!$A:$A,0),MATCH('2021'!$A$1,Income!$3:$3,0))</f>
        <v>29355</v>
      </c>
      <c r="D32" s="34">
        <f>INDEX(Livable_wage!$A:$J,MATCH('2021'!$A32,Livable_wage!$A:$A,0),MATCH('2021'!$A$1,Livable_wage!$3:$3,0))</f>
        <v>11807</v>
      </c>
      <c r="E32" s="41">
        <f>INDEX(AVA_1!$A:$J,MATCH('2021'!$A32,AVA_1!$A:$A,0),MATCH('2021'!$A$1,AVA_1!$3:$3,0))</f>
        <v>0.35599999999999998</v>
      </c>
      <c r="F32" s="15">
        <f>INDEX(AVA_2!$A:$J,MATCH('2021'!$A32,AVA_2!$A:$A,0),MATCH('2021'!$A$1,AVA_2!$3:$3,0))</f>
        <v>8.0383529257240429E-3</v>
      </c>
      <c r="G32" s="15">
        <f>INDEX(AVA_3!$A:$J,MATCH('2021'!$A32,AVA_3!$A:$A,0),MATCH('2021'!$A$1,AVA_3!$3:$3,0))</f>
        <v>8.878577067212963E-3</v>
      </c>
      <c r="H32" s="87">
        <f>INDEX(AVA_4!$A:$J,MATCH('2021'!$A32,AVA_4!$A:$A,0),MATCH('2021'!$A$1,AVA_4!$3:$3,0))/(B32/1000)</f>
        <v>0.54909125397467184</v>
      </c>
      <c r="I32" s="89">
        <f>INDEX(AVA_5!$A:$J,MATCH('2021'!$A32,AVA_5!$A:$A,0),MATCH('2021'!$A$1,AVA_5!$3:$3,0))/(B32/1000)</f>
        <v>4.6007191431514176</v>
      </c>
      <c r="J32" s="93">
        <f>INDEX(IRA_1!$A:$J,MATCH('2021'!$A32,IRA_1!$A:$A,0),MATCH('2021'!$A$1,IRA_1!$3:$3,0))/(B32/1000)</f>
        <v>5.3245212506634845E-2</v>
      </c>
      <c r="K32" s="88">
        <f>INDEX(IRA_2!$A:$J,MATCH('2021'!$A32,IRA_2!$A:$A,0),MATCH('2021'!$A$1,IRA_2!$3:$3,0))/(B32/1000)</f>
        <v>0.14808824728407818</v>
      </c>
      <c r="L32" s="15">
        <f>INDEX(IRA_3!$A:$J,MATCH('2021'!$A32,IRA_3!$A:$A,0),MATCH('2021'!$A$1,IRA_3!$3:$3,0))</f>
        <v>0.39427256456149318</v>
      </c>
      <c r="M32" s="96">
        <f>INDEX(IRA_4!$A:$J,MATCH('2021'!$A32,IRA_4!$A:$A,0),MATCH('2021'!$A$1,IRA_4!$3:$3,0))/(B32/1000)</f>
        <v>2.6256545417334309</v>
      </c>
      <c r="N32" s="61">
        <f>INDEX(INV_1!$A:$J,MATCH('2021'!$A32,INV_1!$A:$A,0),MATCH('2021'!$A$1,INV_1!$3:$3,0))</f>
        <v>6.7657774636354875E-2</v>
      </c>
      <c r="O32" s="80">
        <f>INDEX(INV_2!$A:$J,MATCH('2021'!$A32,INV_2!$A:$A,0),MATCH('2021'!$A$1,INV_2!$3:$3,0))/B32*10^6/C32</f>
        <v>0.38817221872094249</v>
      </c>
      <c r="P32" s="87">
        <f>INDEX(INV_3!$A:$J,MATCH('2021'!$A32,INV_3!$A:$A,0),MATCH('2021'!$A$1,INV_3!$3:$3,0))/B32*10^6/C32</f>
        <v>4.3470326523870861</v>
      </c>
      <c r="Q32" s="87">
        <f>INDEX(INV_4!$A:$J,MATCH('2021'!$A32,INV_4!$A:$A,0),MATCH('2021'!$A$1,INV_4!$3:$3,0))/B32*10^3/C32</f>
        <v>0.24885188090415067</v>
      </c>
      <c r="R32" s="34">
        <f>INDEX(INV_5!$A:$J,MATCH('2021'!$A32,INV_5!$A:$A,0),MATCH('2021'!$A$1,INV_5!$3:$3,0))</f>
        <v>6.3899999999999998E-2</v>
      </c>
      <c r="S32" s="77">
        <f>INDEX(LUJ_1!$A:$J,MATCH('2021'!$A32,LUJ_1!$A:$A,0),MATCH('2021'!$A$1,LUJ_1!$3:$3,0))</f>
        <v>0.80228758169934644</v>
      </c>
      <c r="T32" s="73">
        <f>INDEX(LUJ_2!$A:$J,MATCH('2021'!$A32,LUJ_2!$A:$A,0),MATCH('2021'!$A$1,LUJ_2!$3:$3,0))</f>
        <v>0.245</v>
      </c>
      <c r="U32" s="73">
        <f>INDEX(LUJ_3!$A:$J,MATCH('2021'!$A32,LUJ_3!$A:$A,0),MATCH('2021'!$A$1,LUJ_3!$3:$3,0))</f>
        <v>0.59869451335282786</v>
      </c>
      <c r="V32" s="14">
        <f>INDEX(LUJ_4!$A:$J,MATCH('2021'!$A32,LUJ_4!$A:$A,0),MATCH('2021'!$A$1,LUJ_4!$3:$3,0))</f>
        <v>8</v>
      </c>
      <c r="W32" s="34">
        <f>INDEX(LUJ_5!$A:$J,MATCH('2021'!$A32,LUJ_5!$A:$A,0),MATCH('2021'!$A$1,LUJ_5!$3:$3,0))</f>
        <v>19.2</v>
      </c>
      <c r="X32" s="98">
        <f>1/INDEX(GUL_1!$A:$J,MATCH('2021'!$A32,GUL_1!$A:$A,0),MATCH('2021'!$A$1,GUL_1!$3:$3,0))</f>
        <v>1.4773230905599056E-2</v>
      </c>
      <c r="Y32" s="57">
        <f>INDEX(GUL_2!$A:$J,MATCH('2021'!$A32,GUL_2!$A:$A,0),MATCH('2021'!$A$1,GUL_2!$3:$3,0))</f>
        <v>27</v>
      </c>
      <c r="Z32" s="57">
        <f>INDEX(GUL_3!$A:$J,MATCH('2021'!$A32,GUL_3!$A:$A,0),MATCH('2021'!$A$1,GUL_3!$3:$3,0))/(B32/1000)</f>
        <v>1.0266342536435531</v>
      </c>
      <c r="AA32" s="101">
        <f>INDEX(GUL_4!$A:$J,MATCH('2021'!$A32,GUL_4!$A:$A,0),MATCH('2021'!$A$1,GUL_4!$3:$3,0))/B32/C32*10^6</f>
        <v>0.37230667353858438</v>
      </c>
      <c r="AB32" s="73">
        <f>INDEX(GUL_5!$A:$J,MATCH('2021'!$A32,GUL_5!$A:$A,0),MATCH('2021'!$A$1,GUL_5!$3:$3,0))</f>
        <v>3.8260971107433261E-2</v>
      </c>
      <c r="AC32" s="49">
        <f>INDEX(GUL_6!$A:$J,MATCH('2021'!$A32,GUL_6!$A:$A,0),MATCH('2021'!$A$1,GUL_6!$3:$3,0))</f>
        <v>2.1872174942E-2</v>
      </c>
      <c r="AD32" s="49">
        <f>INDEX(GUL_7!$A:$J,MATCH('2021'!$A32,GUL_7!$A:$A,0),MATCH('2021'!$A$1,GUL_7!$3:$3,0))</f>
        <v>0.1961</v>
      </c>
      <c r="AE32" s="103">
        <f>INDEX(GUL_8!$A:$J,MATCH('2021'!$A32,GUL_8!$A:$A,0),MATCH('2021'!$A$1,GUL_8!$3:$3,0))/(B32/1000)</f>
        <v>2.2762328346586398</v>
      </c>
      <c r="AF32" s="41">
        <f>INDEX(DES_1!$A:$J,MATCH('2021'!$A32,DES_1!$A:$A,0),MATCH('2021'!$A$1,DES_1!$3:$3,0))/(B32/1000)</f>
        <v>0.15807172462907221</v>
      </c>
      <c r="AG32" s="100">
        <f>INDEX(DES_2!$A:$J,MATCH('2021'!$A32,DES_2!$A:$A,0),MATCH('2021'!$A$1,DES_2!$3:$3,0))/(B32/1000)</f>
        <v>0.33611040394813246</v>
      </c>
      <c r="AH32" s="57">
        <f>1/INDEX(DES_3!$A:$J,MATCH('2021'!$A32,DES_3!$A:$A,0),MATCH('2021'!$A$1,DES_3!$3:$3,0))</f>
        <v>9.0909090909090905E-3</v>
      </c>
      <c r="AI32" s="80">
        <f>INDEX(DES_4!$A:$J,MATCH('2021'!$A32,DES_4!$A:$A,0),MATCH('2021'!$A$1,DES_4!$3:$3,0))</f>
        <v>0.473003310417</v>
      </c>
      <c r="AJ32" s="110">
        <f>INDEX(DES_5!$A:$J,MATCH('2021'!$A32,DES_5!$A:$A,0),MATCH('2021'!$A$1,DES_5!$3:$3,0))</f>
        <v>0.25339479589300001</v>
      </c>
      <c r="AK32" s="57">
        <v>44</v>
      </c>
    </row>
    <row r="33" spans="1:37" x14ac:dyDescent="0.3">
      <c r="A33" s="29" t="s">
        <v>32</v>
      </c>
      <c r="B33" s="33">
        <f>INDEX(Population!$A:$J,MATCH('2021'!$A33,Population!$A:$A,0),MATCH('2021'!$A$1,Population!$3:$3,0))</f>
        <v>5598215</v>
      </c>
      <c r="C33" s="14">
        <f>INDEX(Income!$A:$J,MATCH('2021'!$A33,Income!$A:$A,0),MATCH('2021'!$A$1,Income!$3:$3,0))</f>
        <v>57928</v>
      </c>
      <c r="D33" s="34">
        <f>INDEX(Livable_wage!$A:$J,MATCH('2021'!$A33,Livable_wage!$A:$A,0),MATCH('2021'!$A$1,Livable_wage!$3:$3,0))</f>
        <v>11910.4</v>
      </c>
      <c r="E33" s="41">
        <f>INDEX(AVA_1!$A:$J,MATCH('2021'!$A33,AVA_1!$A:$A,0),MATCH('2021'!$A$1,AVA_1!$3:$3,0))</f>
        <v>0.40899999999999997</v>
      </c>
      <c r="F33" s="15">
        <f>INDEX(AVA_2!$A:$J,MATCH('2021'!$A33,AVA_2!$A:$A,0),MATCH('2021'!$A$1,AVA_2!$3:$3,0))</f>
        <v>2.0916498333221494E-2</v>
      </c>
      <c r="G33" s="15">
        <f>INDEX(AVA_3!$A:$J,MATCH('2021'!$A33,AVA_3!$A:$A,0),MATCH('2021'!$A$1,AVA_3!$3:$3,0))</f>
        <v>9.2818931940722091E-2</v>
      </c>
      <c r="H33" s="87">
        <f>INDEX(AVA_4!$A:$J,MATCH('2021'!$A33,AVA_4!$A:$A,0),MATCH('2021'!$A$1,AVA_4!$3:$3,0))/(B33/1000)</f>
        <v>0.55392656409230445</v>
      </c>
      <c r="I33" s="89">
        <f>INDEX(AVA_5!$A:$J,MATCH('2021'!$A33,AVA_5!$A:$A,0),MATCH('2021'!$A$1,AVA_5!$3:$3,0))/(B33/1000)</f>
        <v>4.0814795430329127</v>
      </c>
      <c r="J33" s="93">
        <f>INDEX(IRA_1!$A:$J,MATCH('2021'!$A33,IRA_1!$A:$A,0),MATCH('2021'!$A$1,IRA_1!$3:$3,0))/(B33/1000)</f>
        <v>2.3936201092669716E-2</v>
      </c>
      <c r="K33" s="88">
        <f>INDEX(IRA_2!$A:$J,MATCH('2021'!$A33,IRA_2!$A:$A,0),MATCH('2021'!$A$1,IRA_2!$3:$3,0))/(B33/1000)</f>
        <v>5.7339705602589393E-2</v>
      </c>
      <c r="L33" s="15">
        <f>INDEX(IRA_3!$A:$J,MATCH('2021'!$A33,IRA_3!$A:$A,0),MATCH('2021'!$A$1,IRA_3!$3:$3,0))</f>
        <v>0.60185607789441653</v>
      </c>
      <c r="M33" s="96">
        <f>INDEX(IRA_4!$A:$J,MATCH('2021'!$A33,IRA_4!$A:$A,0),MATCH('2021'!$A$1,IRA_4!$3:$3,0))/(B33/1000)</f>
        <v>3.6090075140022311</v>
      </c>
      <c r="N33" s="61">
        <f>INDEX(INV_1!$A:$J,MATCH('2021'!$A33,INV_1!$A:$A,0),MATCH('2021'!$A$1,INV_1!$3:$3,0))</f>
        <v>8.9458419242203033E-2</v>
      </c>
      <c r="O33" s="80">
        <f>INDEX(INV_2!$A:$J,MATCH('2021'!$A33,INV_2!$A:$A,0),MATCH('2021'!$A$1,INV_2!$3:$3,0))/B33*10^6/C33</f>
        <v>0.54834417591554174</v>
      </c>
      <c r="P33" s="87">
        <f>INDEX(INV_3!$A:$J,MATCH('2021'!$A33,INV_3!$A:$A,0),MATCH('2021'!$A$1,INV_3!$3:$3,0))/B33*10^6/C33</f>
        <v>4.2558528983280643</v>
      </c>
      <c r="Q33" s="87">
        <f>INDEX(INV_4!$A:$J,MATCH('2021'!$A33,INV_4!$A:$A,0),MATCH('2021'!$A$1,INV_4!$3:$3,0))/B33*10^3/C33</f>
        <v>0.30413620024373478</v>
      </c>
      <c r="R33" s="34">
        <f>INDEX(INV_5!$A:$J,MATCH('2021'!$A33,INV_5!$A:$A,0),MATCH('2021'!$A$1,INV_5!$3:$3,0))</f>
        <v>0.3256</v>
      </c>
      <c r="S33" s="77">
        <f>INDEX(LUJ_1!$A:$J,MATCH('2021'!$A33,LUJ_1!$A:$A,0),MATCH('2021'!$A$1,LUJ_1!$3:$3,0))</f>
        <v>0.51307746267161036</v>
      </c>
      <c r="T33" s="73">
        <f>INDEX(LUJ_2!$A:$J,MATCH('2021'!$A33,LUJ_2!$A:$A,0),MATCH('2021'!$A$1,LUJ_2!$3:$3,0))</f>
        <v>0.191</v>
      </c>
      <c r="U33" s="73">
        <f>INDEX(LUJ_3!$A:$J,MATCH('2021'!$A33,LUJ_3!$A:$A,0),MATCH('2021'!$A$1,LUJ_3!$3:$3,0))</f>
        <v>0.29486194162745799</v>
      </c>
      <c r="V33" s="14">
        <f>INDEX(LUJ_4!$A:$J,MATCH('2021'!$A33,LUJ_4!$A:$A,0),MATCH('2021'!$A$1,LUJ_4!$3:$3,0))</f>
        <v>68</v>
      </c>
      <c r="W33" s="34">
        <f>INDEX(LUJ_5!$A:$J,MATCH('2021'!$A33,LUJ_5!$A:$A,0),MATCH('2021'!$A$1,LUJ_5!$3:$3,0))</f>
        <v>40.799999999999997</v>
      </c>
      <c r="X33" s="98">
        <f>1/INDEX(GUL_1!$A:$J,MATCH('2021'!$A33,GUL_1!$A:$A,0),MATCH('2021'!$A$1,GUL_1!$3:$3,0))</f>
        <v>1.3791201213625705E-2</v>
      </c>
      <c r="Y33" s="57">
        <f>INDEX(GUL_2!$A:$J,MATCH('2021'!$A33,GUL_2!$A:$A,0),MATCH('2021'!$A$1,GUL_2!$3:$3,0))</f>
        <v>24.6</v>
      </c>
      <c r="Z33" s="57">
        <f>INDEX(GUL_3!$A:$J,MATCH('2021'!$A33,GUL_3!$A:$A,0),MATCH('2021'!$A$1,GUL_3!$3:$3,0))/(B33/1000)</f>
        <v>0.47604459635794621</v>
      </c>
      <c r="AA33" s="101">
        <f>INDEX(GUL_4!$A:$J,MATCH('2021'!$A33,GUL_4!$A:$A,0),MATCH('2021'!$A$1,GUL_4!$3:$3,0))/B33/C33*10^6</f>
        <v>0.3815048057241594</v>
      </c>
      <c r="AB33" s="73">
        <f>INDEX(GUL_5!$A:$J,MATCH('2021'!$A33,GUL_5!$A:$A,0),MATCH('2021'!$A$1,GUL_5!$3:$3,0))</f>
        <v>2.2396482443592037E-2</v>
      </c>
      <c r="AC33" s="49">
        <f>INDEX(GUL_6!$A:$J,MATCH('2021'!$A33,GUL_6!$A:$A,0),MATCH('2021'!$A$1,GUL_6!$3:$3,0))</f>
        <v>2.8376892285999999E-2</v>
      </c>
      <c r="AD33" s="49">
        <f>INDEX(GUL_7!$A:$J,MATCH('2021'!$A33,GUL_7!$A:$A,0),MATCH('2021'!$A$1,GUL_7!$3:$3,0))</f>
        <v>0.15179999999999999</v>
      </c>
      <c r="AE33" s="103">
        <f>INDEX(GUL_8!$A:$J,MATCH('2021'!$A33,GUL_8!$A:$A,0),MATCH('2021'!$A$1,GUL_8!$3:$3,0))/(B33/1000)</f>
        <v>0.43746086922349353</v>
      </c>
      <c r="AF33" s="41">
        <f>INDEX(DES_1!$A:$J,MATCH('2021'!$A33,DES_1!$A:$A,0),MATCH('2021'!$A$1,DES_1!$3:$3,0))/(B33/1000)</f>
        <v>7.0558204713466702E-2</v>
      </c>
      <c r="AG33" s="100">
        <f>INDEX(DES_2!$A:$J,MATCH('2021'!$A33,DES_2!$A:$A,0),MATCH('2021'!$A$1,DES_2!$3:$3,0))/(B33/1000)</f>
        <v>0.44139069328348413</v>
      </c>
      <c r="AH33" s="57">
        <f>1/INDEX(DES_3!$A:$J,MATCH('2021'!$A33,DES_3!$A:$A,0),MATCH('2021'!$A$1,DES_3!$3:$3,0))</f>
        <v>7.4294205052005948E-3</v>
      </c>
      <c r="AI33" s="80">
        <f>INDEX(DES_4!$A:$J,MATCH('2021'!$A33,DES_4!$A:$A,0),MATCH('2021'!$A$1,DES_4!$3:$3,0))</f>
        <v>1</v>
      </c>
      <c r="AJ33" s="110">
        <f>INDEX(DES_5!$A:$J,MATCH('2021'!$A33,DES_5!$A:$A,0),MATCH('2021'!$A$1,DES_5!$3:$3,0))</f>
        <v>0.95418825900200011</v>
      </c>
      <c r="AK33" s="57">
        <v>45</v>
      </c>
    </row>
    <row r="34" spans="1:37" x14ac:dyDescent="0.3">
      <c r="A34" s="29" t="s">
        <v>33</v>
      </c>
      <c r="B34" s="33">
        <f>INDEX(Population!$A:$J,MATCH('2021'!$A34,Population!$A:$A,0),MATCH('2021'!$A$1,Population!$3:$3,0))</f>
        <v>1991648</v>
      </c>
      <c r="C34" s="14">
        <f>INDEX(Income!$A:$J,MATCH('2021'!$A34,Income!$A:$A,0),MATCH('2021'!$A$1,Income!$3:$3,0))</f>
        <v>36855</v>
      </c>
      <c r="D34" s="34">
        <f>INDEX(Livable_wage!$A:$J,MATCH('2021'!$A34,Livable_wage!$A:$A,0),MATCH('2021'!$A$1,Livable_wage!$3:$3,0))</f>
        <v>11289</v>
      </c>
      <c r="E34" s="41">
        <f>INDEX(AVA_1!$A:$J,MATCH('2021'!$A34,AVA_1!$A:$A,0),MATCH('2021'!$A$1,AVA_1!$3:$3,0))</f>
        <v>0.35799999999999998</v>
      </c>
      <c r="F34" s="15">
        <f>INDEX(AVA_2!$A:$J,MATCH('2021'!$A34,AVA_2!$A:$A,0),MATCH('2021'!$A$1,AVA_2!$3:$3,0))</f>
        <v>6.1708418125270828E-3</v>
      </c>
      <c r="G34" s="15">
        <f>INDEX(AVA_3!$A:$J,MATCH('2021'!$A34,AVA_3!$A:$A,0),MATCH('2021'!$A$1,AVA_3!$3:$3,0))</f>
        <v>1.6997634374740049E-2</v>
      </c>
      <c r="H34" s="87">
        <f>INDEX(AVA_4!$A:$J,MATCH('2021'!$A34,AVA_4!$A:$A,0),MATCH('2021'!$A$1,AVA_4!$3:$3,0))/(B34/1000)</f>
        <v>0.45138498369189739</v>
      </c>
      <c r="I34" s="89">
        <f>INDEX(AVA_5!$A:$J,MATCH('2021'!$A34,AVA_5!$A:$A,0),MATCH('2021'!$A$1,AVA_5!$3:$3,0))/(B34/1000)</f>
        <v>6.2365438069377728</v>
      </c>
      <c r="J34" s="93">
        <f>INDEX(IRA_1!$A:$J,MATCH('2021'!$A34,IRA_1!$A:$A,0),MATCH('2021'!$A$1,IRA_1!$3:$3,0))/(B34/1000)</f>
        <v>7.0795642603512274E-2</v>
      </c>
      <c r="K34" s="88">
        <f>INDEX(IRA_2!$A:$J,MATCH('2021'!$A34,IRA_2!$A:$A,0),MATCH('2021'!$A$1,IRA_2!$3:$3,0))/(B34/1000)</f>
        <v>0.11749064091646717</v>
      </c>
      <c r="L34" s="15">
        <f>INDEX(IRA_3!$A:$J,MATCH('2021'!$A34,IRA_3!$A:$A,0),MATCH('2021'!$A$1,IRA_3!$3:$3,0))</f>
        <v>0.517075704453967</v>
      </c>
      <c r="M34" s="96">
        <f>INDEX(IRA_4!$A:$J,MATCH('2021'!$A34,IRA_4!$A:$A,0),MATCH('2021'!$A$1,IRA_4!$3:$3,0))/(B34/1000)</f>
        <v>4.9436446601005803</v>
      </c>
      <c r="N34" s="61">
        <f>INDEX(INV_1!$A:$J,MATCH('2021'!$A34,INV_1!$A:$A,0),MATCH('2021'!$A$1,INV_1!$3:$3,0))</f>
        <v>8.0720039015418604E-2</v>
      </c>
      <c r="O34" s="80">
        <f>INDEX(INV_2!$A:$J,MATCH('2021'!$A34,INV_2!$A:$A,0),MATCH('2021'!$A$1,INV_2!$3:$3,0))/B34*10^6/C34</f>
        <v>0.49142757721060071</v>
      </c>
      <c r="P34" s="87">
        <f>INDEX(INV_3!$A:$J,MATCH('2021'!$A34,INV_3!$A:$A,0),MATCH('2021'!$A$1,INV_3!$3:$3,0))/B34*10^6/C34</f>
        <v>5.4233397675612363</v>
      </c>
      <c r="Q34" s="87">
        <f>INDEX(INV_4!$A:$J,MATCH('2021'!$A34,INV_4!$A:$A,0),MATCH('2021'!$A$1,INV_4!$3:$3,0))/B34*10^3/C34</f>
        <v>4.0945364452999004E-2</v>
      </c>
      <c r="R34" s="34">
        <f>INDEX(INV_5!$A:$J,MATCH('2021'!$A34,INV_5!$A:$A,0),MATCH('2021'!$A$1,INV_5!$3:$3,0))</f>
        <v>0.1258</v>
      </c>
      <c r="S34" s="77">
        <f>INDEX(LUJ_1!$A:$J,MATCH('2021'!$A34,LUJ_1!$A:$A,0),MATCH('2021'!$A$1,LUJ_1!$3:$3,0))</f>
        <v>0.88020833333333337</v>
      </c>
      <c r="T34" s="73">
        <f>INDEX(LUJ_2!$A:$J,MATCH('2021'!$A34,LUJ_2!$A:$A,0),MATCH('2021'!$A$1,LUJ_2!$3:$3,0))</f>
        <v>0.22800000000000001</v>
      </c>
      <c r="U34" s="73">
        <f>INDEX(LUJ_3!$A:$J,MATCH('2021'!$A34,LUJ_3!$A:$A,0),MATCH('2021'!$A$1,LUJ_3!$3:$3,0))</f>
        <v>0.39875683048574645</v>
      </c>
      <c r="V34" s="14">
        <f>INDEX(LUJ_4!$A:$J,MATCH('2021'!$A34,LUJ_4!$A:$A,0),MATCH('2021'!$A$1,LUJ_4!$3:$3,0))</f>
        <v>42</v>
      </c>
      <c r="W34" s="34">
        <f>INDEX(LUJ_5!$A:$J,MATCH('2021'!$A34,LUJ_5!$A:$A,0),MATCH('2021'!$A$1,LUJ_5!$3:$3,0))</f>
        <v>49</v>
      </c>
      <c r="X34" s="98">
        <f>1/INDEX(GUL_1!$A:$J,MATCH('2021'!$A34,GUL_1!$A:$A,0),MATCH('2021'!$A$1,GUL_1!$3:$3,0))</f>
        <v>1.4251104460595696E-2</v>
      </c>
      <c r="Y34" s="57">
        <f>INDEX(GUL_2!$A:$J,MATCH('2021'!$A34,GUL_2!$A:$A,0),MATCH('2021'!$A$1,GUL_2!$3:$3,0))</f>
        <v>25.8</v>
      </c>
      <c r="Z34" s="57">
        <f>INDEX(GUL_3!$A:$J,MATCH('2021'!$A34,GUL_3!$A:$A,0),MATCH('2021'!$A$1,GUL_3!$3:$3,0))/(B34/1000)</f>
        <v>1.0272899628850078</v>
      </c>
      <c r="AA34" s="101">
        <f>INDEX(GUL_4!$A:$J,MATCH('2021'!$A34,GUL_4!$A:$A,0),MATCH('2021'!$A$1,GUL_4!$3:$3,0))/B34/C34*10^6</f>
        <v>0.25972237025595851</v>
      </c>
      <c r="AB34" s="73">
        <f>INDEX(GUL_5!$A:$J,MATCH('2021'!$A34,GUL_5!$A:$A,0),MATCH('2021'!$A$1,GUL_5!$3:$3,0))</f>
        <v>4.3255997945546729E-2</v>
      </c>
      <c r="AC34" s="49">
        <f>INDEX(GUL_6!$A:$J,MATCH('2021'!$A34,GUL_6!$A:$A,0),MATCH('2021'!$A$1,GUL_6!$3:$3,0))</f>
        <v>3.5274226178000002E-2</v>
      </c>
      <c r="AD34" s="49">
        <f>INDEX(GUL_7!$A:$J,MATCH('2021'!$A34,GUL_7!$A:$A,0),MATCH('2021'!$A$1,GUL_7!$3:$3,0))</f>
        <v>0.14800000000000002</v>
      </c>
      <c r="AE34" s="103">
        <f>INDEX(GUL_8!$A:$J,MATCH('2021'!$A34,GUL_8!$A:$A,0),MATCH('2021'!$A$1,GUL_8!$3:$3,0))/(B34/1000)</f>
        <v>1.1618518935072866</v>
      </c>
      <c r="AF34" s="41">
        <f>INDEX(DES_1!$A:$J,MATCH('2021'!$A34,DES_1!$A:$A,0),MATCH('2021'!$A$1,DES_1!$3:$3,0))/(B34/1000)</f>
        <v>0.1240178987451598</v>
      </c>
      <c r="AG34" s="100">
        <f>INDEX(DES_2!$A:$J,MATCH('2021'!$A34,DES_2!$A:$A,0),MATCH('2021'!$A$1,DES_2!$3:$3,0))/(B34/1000)</f>
        <v>0.32786918170279089</v>
      </c>
      <c r="AH34" s="57">
        <f>1/INDEX(DES_3!$A:$J,MATCH('2021'!$A34,DES_3!$A:$A,0),MATCH('2021'!$A$1,DES_3!$3:$3,0))</f>
        <v>7.3583517292126564E-3</v>
      </c>
      <c r="AI34" s="80">
        <f>INDEX(DES_4!$A:$J,MATCH('2021'!$A34,DES_4!$A:$A,0),MATCH('2021'!$A$1,DES_4!$3:$3,0))</f>
        <v>0.84922315466699994</v>
      </c>
      <c r="AJ34" s="110">
        <f>INDEX(DES_5!$A:$J,MATCH('2021'!$A34,DES_5!$A:$A,0),MATCH('2021'!$A$1,DES_5!$3:$3,0))</f>
        <v>0.64537655839699992</v>
      </c>
      <c r="AK34" s="57">
        <v>46</v>
      </c>
    </row>
    <row r="35" spans="1:37" x14ac:dyDescent="0.3">
      <c r="A35" s="29" t="s">
        <v>34</v>
      </c>
      <c r="B35" s="33">
        <f>INDEX(Population!$A:$J,MATCH('2021'!$A35,Population!$A:$A,0),MATCH('2021'!$A$1,Population!$3:$3,0))</f>
        <v>785082</v>
      </c>
      <c r="C35" s="14">
        <f>INDEX(Income!$A:$J,MATCH('2021'!$A35,Income!$A:$A,0),MATCH('2021'!$A$1,Income!$3:$3,0))</f>
        <v>22906</v>
      </c>
      <c r="D35" s="34">
        <f>INDEX(Livable_wage!$A:$J,MATCH('2021'!$A35,Livable_wage!$A:$A,0),MATCH('2021'!$A$1,Livable_wage!$3:$3,0))</f>
        <v>9716</v>
      </c>
      <c r="E35" s="41">
        <f>INDEX(AVA_1!$A:$J,MATCH('2021'!$A35,AVA_1!$A:$A,0),MATCH('2021'!$A$1,AVA_1!$3:$3,0))</f>
        <v>0.35799999999999998</v>
      </c>
      <c r="F35" s="15">
        <f>INDEX(AVA_2!$A:$J,MATCH('2021'!$A35,AVA_2!$A:$A,0),MATCH('2021'!$A$1,AVA_2!$3:$3,0))</f>
        <v>1.0641235639249628E-2</v>
      </c>
      <c r="G35" s="15">
        <f>INDEX(AVA_3!$A:$J,MATCH('2021'!$A35,AVA_3!$A:$A,0),MATCH('2021'!$A$1,AVA_3!$3:$3,0))</f>
        <v>4.6793407997685776E-2</v>
      </c>
      <c r="H35" s="87">
        <f>INDEX(AVA_4!$A:$J,MATCH('2021'!$A35,AVA_4!$A:$A,0),MATCH('2021'!$A$1,AVA_4!$3:$3,0))/(B35/1000)</f>
        <v>1.0852369561396134</v>
      </c>
      <c r="I35" s="89">
        <f>INDEX(AVA_5!$A:$J,MATCH('2021'!$A35,AVA_5!$A:$A,0),MATCH('2021'!$A$1,AVA_5!$3:$3,0))/(B35/1000)</f>
        <v>2.8888702071885484</v>
      </c>
      <c r="J35" s="93">
        <f>INDEX(IRA_1!$A:$J,MATCH('2021'!$A35,IRA_1!$A:$A,0),MATCH('2021'!$A$1,IRA_1!$3:$3,0))/(B35/1000)</f>
        <v>3.9486321174093918E-2</v>
      </c>
      <c r="K35" s="88">
        <f>INDEX(IRA_2!$A:$J,MATCH('2021'!$A35,IRA_2!$A:$A,0),MATCH('2021'!$A$1,IRA_2!$3:$3,0))/(B35/1000)</f>
        <v>8.2793899236003374E-2</v>
      </c>
      <c r="L35" s="15">
        <f>INDEX(IRA_3!$A:$J,MATCH('2021'!$A35,IRA_3!$A:$A,0),MATCH('2021'!$A$1,IRA_3!$3:$3,0))</f>
        <v>0.36847290640394093</v>
      </c>
      <c r="M35" s="96">
        <f>INDEX(IRA_4!$A:$J,MATCH('2021'!$A35,IRA_4!$A:$A,0),MATCH('2021'!$A$1,IRA_4!$3:$3,0))/(B35/1000)</f>
        <v>2.7691374913703282</v>
      </c>
      <c r="N35" s="61">
        <f>INDEX(INV_1!$A:$J,MATCH('2021'!$A35,INV_1!$A:$A,0),MATCH('2021'!$A$1,INV_1!$3:$3,0))</f>
        <v>7.7601385019272301E-2</v>
      </c>
      <c r="O35" s="80">
        <f>INDEX(INV_2!$A:$J,MATCH('2021'!$A35,INV_2!$A:$A,0),MATCH('2021'!$A$1,INV_2!$3:$3,0))/B35*10^6/C35</f>
        <v>0.31100765626331034</v>
      </c>
      <c r="P35" s="87">
        <f>INDEX(INV_3!$A:$J,MATCH('2021'!$A35,INV_3!$A:$A,0),MATCH('2021'!$A$1,INV_3!$3:$3,0))/B35*10^6/C35</f>
        <v>4.9935249464324878</v>
      </c>
      <c r="Q35" s="87">
        <f>INDEX(INV_4!$A:$J,MATCH('2021'!$A35,INV_4!$A:$A,0),MATCH('2021'!$A$1,INV_4!$3:$3,0))/B35*10^3/C35</f>
        <v>0.26136603033256134</v>
      </c>
      <c r="R35" s="34">
        <f>INDEX(INV_5!$A:$J,MATCH('2021'!$A35,INV_5!$A:$A,0),MATCH('2021'!$A$1,INV_5!$3:$3,0))</f>
        <v>4.2799999999999998E-2</v>
      </c>
      <c r="S35" s="77">
        <f>INDEX(LUJ_1!$A:$J,MATCH('2021'!$A35,LUJ_1!$A:$A,0),MATCH('2021'!$A$1,LUJ_1!$3:$3,0))</f>
        <v>0.69122126834671838</v>
      </c>
      <c r="T35" s="73">
        <f>INDEX(LUJ_2!$A:$J,MATCH('2021'!$A35,LUJ_2!$A:$A,0),MATCH('2021'!$A$1,LUJ_2!$3:$3,0))</f>
        <v>0.17199999999999999</v>
      </c>
      <c r="U35" s="73">
        <f>INDEX(LUJ_3!$A:$J,MATCH('2021'!$A35,LUJ_3!$A:$A,0),MATCH('2021'!$A$1,LUJ_3!$3:$3,0))</f>
        <v>0.40626590693257358</v>
      </c>
      <c r="V35" s="14">
        <f>INDEX(LUJ_4!$A:$J,MATCH('2021'!$A35,LUJ_4!$A:$A,0),MATCH('2021'!$A$1,LUJ_4!$3:$3,0))</f>
        <v>10</v>
      </c>
      <c r="W35" s="34">
        <f>INDEX(LUJ_5!$A:$J,MATCH('2021'!$A35,LUJ_5!$A:$A,0),MATCH('2021'!$A$1,LUJ_5!$3:$3,0))</f>
        <v>15.3</v>
      </c>
      <c r="X35" s="98">
        <f>1/INDEX(GUL_1!$A:$J,MATCH('2021'!$A35,GUL_1!$A:$A,0),MATCH('2021'!$A$1,GUL_1!$3:$3,0))</f>
        <v>1.4236902050113897E-2</v>
      </c>
      <c r="Y35" s="57">
        <f>INDEX(GUL_2!$A:$J,MATCH('2021'!$A35,GUL_2!$A:$A,0),MATCH('2021'!$A$1,GUL_2!$3:$3,0))</f>
        <v>26.700000000000003</v>
      </c>
      <c r="Z35" s="57">
        <f>INDEX(GUL_3!$A:$J,MATCH('2021'!$A35,GUL_3!$A:$A,0),MATCH('2021'!$A$1,GUL_3!$3:$3,0))/(B35/1000)</f>
        <v>0.80883270792095607</v>
      </c>
      <c r="AA35" s="101">
        <f>INDEX(GUL_4!$A:$J,MATCH('2021'!$A35,GUL_4!$A:$A,0),MATCH('2021'!$A$1,GUL_4!$3:$3,0))/B35/C35*10^6</f>
        <v>0.24509082802872778</v>
      </c>
      <c r="AB35" s="73">
        <f>INDEX(GUL_5!$A:$J,MATCH('2021'!$A35,GUL_5!$A:$A,0),MATCH('2021'!$A$1,GUL_5!$3:$3,0))</f>
        <v>3.7542858599081318E-2</v>
      </c>
      <c r="AC35" s="49">
        <f>INDEX(GUL_6!$A:$J,MATCH('2021'!$A35,GUL_6!$A:$A,0),MATCH('2021'!$A$1,GUL_6!$3:$3,0))</f>
        <v>2.6307780690999996E-2</v>
      </c>
      <c r="AD35" s="49">
        <f>INDEX(GUL_7!$A:$J,MATCH('2021'!$A35,GUL_7!$A:$A,0),MATCH('2021'!$A$1,GUL_7!$3:$3,0))</f>
        <v>0.14180000000000001</v>
      </c>
      <c r="AE35" s="103">
        <f>INDEX(GUL_8!$A:$J,MATCH('2021'!$A35,GUL_8!$A:$A,0),MATCH('2021'!$A$1,GUL_8!$3:$3,0))/(B35/1000)</f>
        <v>1.8749633796214917</v>
      </c>
      <c r="AF35" s="41">
        <f>INDEX(DES_1!$A:$J,MATCH('2021'!$A35,DES_1!$A:$A,0),MATCH('2021'!$A$1,DES_1!$3:$3,0))/(B35/1000)</f>
        <v>0.1337439910735439</v>
      </c>
      <c r="AG35" s="100">
        <f>INDEX(DES_2!$A:$J,MATCH('2021'!$A35,DES_2!$A:$A,0),MATCH('2021'!$A$1,DES_2!$3:$3,0))/(B35/1000)</f>
        <v>0.30824805561712026</v>
      </c>
      <c r="AH35" s="57">
        <f>1/INDEX(DES_3!$A:$J,MATCH('2021'!$A35,DES_3!$A:$A,0),MATCH('2021'!$A$1,DES_3!$3:$3,0))</f>
        <v>7.1633237822349575E-3</v>
      </c>
      <c r="AI35" s="80">
        <f>INDEX(DES_4!$A:$J,MATCH('2021'!$A35,DES_4!$A:$A,0),MATCH('2021'!$A$1,DES_4!$3:$3,0))</f>
        <v>0.80995126475000001</v>
      </c>
      <c r="AJ35" s="110">
        <f>INDEX(DES_5!$A:$J,MATCH('2021'!$A35,DES_5!$A:$A,0),MATCH('2021'!$A$1,DES_5!$3:$3,0))</f>
        <v>0.51467528725099998</v>
      </c>
      <c r="AK35" s="57">
        <v>48</v>
      </c>
    </row>
    <row r="36" spans="1:37" x14ac:dyDescent="0.3">
      <c r="A36" s="29" t="s">
        <v>35</v>
      </c>
      <c r="B36" s="33">
        <f>INDEX(Population!$A:$J,MATCH('2021'!$A36,Population!$A:$A,0),MATCH('2021'!$A$1,Population!$3:$3,0))</f>
        <v>3998887</v>
      </c>
      <c r="C36" s="14">
        <f>INDEX(Income!$A:$J,MATCH('2021'!$A36,Income!$A:$A,0),MATCH('2021'!$A$1,Income!$3:$3,0))</f>
        <v>39679</v>
      </c>
      <c r="D36" s="34">
        <f>INDEX(Livable_wage!$A:$J,MATCH('2021'!$A36,Livable_wage!$A:$A,0),MATCH('2021'!$A$1,Livable_wage!$3:$3,0))</f>
        <v>9955</v>
      </c>
      <c r="E36" s="41">
        <f>INDEX(AVA_1!$A:$J,MATCH('2021'!$A36,AVA_1!$A:$A,0),MATCH('2021'!$A$1,AVA_1!$3:$3,0))</f>
        <v>0.39100000000000001</v>
      </c>
      <c r="F36" s="15">
        <f>INDEX(AVA_2!$A:$J,MATCH('2021'!$A36,AVA_2!$A:$A,0),MATCH('2021'!$A$1,AVA_2!$3:$3,0))</f>
        <v>1.4409840414063632E-2</v>
      </c>
      <c r="G36" s="15">
        <f>INDEX(AVA_3!$A:$J,MATCH('2021'!$A36,AVA_3!$A:$A,0),MATCH('2021'!$A$1,AVA_3!$3:$3,0))</f>
        <v>0.17717178413745227</v>
      </c>
      <c r="H36" s="87">
        <f>INDEX(AVA_4!$A:$J,MATCH('2021'!$A36,AVA_4!$A:$A,0),MATCH('2021'!$A$1,AVA_4!$3:$3,0))/(B36/1000)</f>
        <v>0.72645213530664909</v>
      </c>
      <c r="I36" s="89">
        <f>INDEX(AVA_5!$A:$J,MATCH('2021'!$A36,AVA_5!$A:$A,0),MATCH('2021'!$A$1,AVA_5!$3:$3,0))/(B36/1000)</f>
        <v>4.8475988443784477</v>
      </c>
      <c r="J36" s="93">
        <f>INDEX(IRA_1!$A:$J,MATCH('2021'!$A36,IRA_1!$A:$A,0),MATCH('2021'!$A$1,IRA_1!$3:$3,0))/(B36/1000)</f>
        <v>5.2264542608980946E-2</v>
      </c>
      <c r="K36" s="88">
        <f>INDEX(IRA_2!$A:$J,MATCH('2021'!$A36,IRA_2!$A:$A,0),MATCH('2021'!$A$1,IRA_2!$3:$3,0))/(B36/1000)</f>
        <v>8.702421448768119E-2</v>
      </c>
      <c r="L36" s="15">
        <f>INDEX(IRA_3!$A:$J,MATCH('2021'!$A36,IRA_3!$A:$A,0),MATCH('2021'!$A$1,IRA_3!$3:$3,0))</f>
        <v>0.37934684803895624</v>
      </c>
      <c r="M36" s="96">
        <f>INDEX(IRA_4!$A:$J,MATCH('2021'!$A36,IRA_4!$A:$A,0),MATCH('2021'!$A$1,IRA_4!$3:$3,0))/(B36/1000)</f>
        <v>4.0666315402260675</v>
      </c>
      <c r="N36" s="61">
        <f>INDEX(INV_1!$A:$J,MATCH('2021'!$A36,INV_1!$A:$A,0),MATCH('2021'!$A$1,INV_1!$3:$3,0))</f>
        <v>7.6171986699522645E-2</v>
      </c>
      <c r="O36" s="80">
        <f>INDEX(INV_2!$A:$J,MATCH('2021'!$A36,INV_2!$A:$A,0),MATCH('2021'!$A$1,INV_2!$3:$3,0))/B36*10^6/C36</f>
        <v>0.44219525233551876</v>
      </c>
      <c r="P36" s="87">
        <f>INDEX(INV_3!$A:$J,MATCH('2021'!$A36,INV_3!$A:$A,0),MATCH('2021'!$A$1,INV_3!$3:$3,0))/B36*10^6/C36</f>
        <v>4.3584230943904085</v>
      </c>
      <c r="Q36" s="87">
        <f>INDEX(INV_4!$A:$J,MATCH('2021'!$A36,INV_4!$A:$A,0),MATCH('2021'!$A$1,INV_4!$3:$3,0))/B36*10^3/C36</f>
        <v>0.18756605016676317</v>
      </c>
      <c r="R36" s="34">
        <f>INDEX(INV_5!$A:$J,MATCH('2021'!$A36,INV_5!$A:$A,0),MATCH('2021'!$A$1,INV_5!$3:$3,0))</f>
        <v>0.15790000000000001</v>
      </c>
      <c r="S36" s="77">
        <f>INDEX(LUJ_1!$A:$J,MATCH('2021'!$A36,LUJ_1!$A:$A,0),MATCH('2021'!$A$1,LUJ_1!$3:$3,0))</f>
        <v>0.60355389670980564</v>
      </c>
      <c r="T36" s="73">
        <f>INDEX(LUJ_2!$A:$J,MATCH('2021'!$A36,LUJ_2!$A:$A,0),MATCH('2021'!$A$1,LUJ_2!$3:$3,0))</f>
        <v>0.156</v>
      </c>
      <c r="U36" s="73">
        <f>INDEX(LUJ_3!$A:$J,MATCH('2021'!$A36,LUJ_3!$A:$A,0),MATCH('2021'!$A$1,LUJ_3!$3:$3,0))</f>
        <v>0.38322308010814232</v>
      </c>
      <c r="V36" s="14">
        <f>INDEX(LUJ_4!$A:$J,MATCH('2021'!$A36,LUJ_4!$A:$A,0),MATCH('2021'!$A$1,LUJ_4!$3:$3,0))</f>
        <v>162</v>
      </c>
      <c r="W36" s="34">
        <f>INDEX(LUJ_5!$A:$J,MATCH('2021'!$A36,LUJ_5!$A:$A,0),MATCH('2021'!$A$1,LUJ_5!$3:$3,0))</f>
        <v>22.1</v>
      </c>
      <c r="X36" s="98">
        <f>1/INDEX(GUL_1!$A:$J,MATCH('2021'!$A36,GUL_1!$A:$A,0),MATCH('2021'!$A$1,GUL_1!$3:$3,0))</f>
        <v>1.4029180695847363E-2</v>
      </c>
      <c r="Y36" s="57">
        <f>INDEX(GUL_2!$A:$J,MATCH('2021'!$A36,GUL_2!$A:$A,0),MATCH('2021'!$A$1,GUL_2!$3:$3,0))</f>
        <v>25.1</v>
      </c>
      <c r="Z36" s="57">
        <f>INDEX(GUL_3!$A:$J,MATCH('2021'!$A36,GUL_3!$A:$A,0),MATCH('2021'!$A$1,GUL_3!$3:$3,0))/(B36/1000)</f>
        <v>0.67243710562463999</v>
      </c>
      <c r="AA36" s="101">
        <f>INDEX(GUL_4!$A:$J,MATCH('2021'!$A36,GUL_4!$A:$A,0),MATCH('2021'!$A$1,GUL_4!$3:$3,0))/B36/C36*10^6</f>
        <v>0.2936241919215985</v>
      </c>
      <c r="AB36" s="73">
        <f>INDEX(GUL_5!$A:$J,MATCH('2021'!$A36,GUL_5!$A:$A,0),MATCH('2021'!$A$1,GUL_5!$3:$3,0))</f>
        <v>2.7918560102529397E-2</v>
      </c>
      <c r="AC36" s="49">
        <f>INDEX(GUL_6!$A:$J,MATCH('2021'!$A36,GUL_6!$A:$A,0),MATCH('2021'!$A$1,GUL_6!$3:$3,0))</f>
        <v>1.8823117169000002E-2</v>
      </c>
      <c r="AD36" s="49">
        <f>INDEX(GUL_7!$A:$J,MATCH('2021'!$A36,GUL_7!$A:$A,0),MATCH('2021'!$A$1,GUL_7!$3:$3,0))</f>
        <v>0.15039999999999998</v>
      </c>
      <c r="AE36" s="103">
        <f>INDEX(GUL_8!$A:$J,MATCH('2021'!$A36,GUL_8!$A:$A,0),MATCH('2021'!$A$1,GUL_8!$3:$3,0))/(B36/1000)</f>
        <v>1.6634628585403888</v>
      </c>
      <c r="AF36" s="41">
        <f>INDEX(DES_1!$A:$J,MATCH('2021'!$A36,DES_1!$A:$A,0),MATCH('2021'!$A$1,DES_1!$3:$3,0))/(B36/1000)</f>
        <v>6.1767186719704756E-2</v>
      </c>
      <c r="AG36" s="100">
        <f>INDEX(DES_2!$A:$J,MATCH('2021'!$A36,DES_2!$A:$A,0),MATCH('2021'!$A$1,DES_2!$3:$3,0))/(B36/1000)</f>
        <v>0.50614083368697338</v>
      </c>
      <c r="AH36" s="57">
        <f>1/INDEX(DES_3!$A:$J,MATCH('2021'!$A36,DES_3!$A:$A,0),MATCH('2021'!$A$1,DES_3!$3:$3,0))</f>
        <v>8.5763293310463125E-3</v>
      </c>
      <c r="AI36" s="80">
        <f>INDEX(DES_4!$A:$J,MATCH('2021'!$A36,DES_4!$A:$A,0),MATCH('2021'!$A$1,DES_4!$3:$3,0))</f>
        <v>0.89599297316199999</v>
      </c>
      <c r="AJ36" s="110">
        <f>INDEX(DES_5!$A:$J,MATCH('2021'!$A36,DES_5!$A:$A,0),MATCH('2021'!$A$1,DES_5!$3:$3,0))</f>
        <v>0.68205831815500007</v>
      </c>
      <c r="AK36" s="57">
        <v>50</v>
      </c>
    </row>
    <row r="37" spans="1:37" x14ac:dyDescent="0.3">
      <c r="A37" s="29" t="s">
        <v>36</v>
      </c>
      <c r="B37" s="33">
        <f>INDEX(Population!$A:$J,MATCH('2021'!$A37,Population!$A:$A,0),MATCH('2021'!$A$1,Population!$3:$3,0))</f>
        <v>1160985</v>
      </c>
      <c r="C37" s="14">
        <f>INDEX(Income!$A:$J,MATCH('2021'!$A37,Income!$A:$A,0),MATCH('2021'!$A$1,Income!$3:$3,0))</f>
        <v>26649</v>
      </c>
      <c r="D37" s="34">
        <f>INDEX(Livable_wage!$A:$J,MATCH('2021'!$A37,Livable_wage!$A:$A,0),MATCH('2021'!$A$1,Livable_wage!$3:$3,0))</f>
        <v>10710</v>
      </c>
      <c r="E37" s="41">
        <f>INDEX(AVA_1!$A:$J,MATCH('2021'!$A37,AVA_1!$A:$A,0),MATCH('2021'!$A$1,AVA_1!$3:$3,0))</f>
        <v>0.33500000000000002</v>
      </c>
      <c r="F37" s="15">
        <f>INDEX(AVA_2!$A:$J,MATCH('2021'!$A37,AVA_2!$A:$A,0),MATCH('2021'!$A$1,AVA_2!$3:$3,0))</f>
        <v>9.5378749790514493E-3</v>
      </c>
      <c r="G37" s="15">
        <f>INDEX(AVA_3!$A:$J,MATCH('2021'!$A37,AVA_3!$A:$A,0),MATCH('2021'!$A$1,AVA_3!$3:$3,0))</f>
        <v>4.4661508734274461E-3</v>
      </c>
      <c r="H37" s="87">
        <f>INDEX(AVA_4!$A:$J,MATCH('2021'!$A37,AVA_4!$A:$A,0),MATCH('2021'!$A$1,AVA_4!$3:$3,0))/(B37/1000)</f>
        <v>0.74333432387154019</v>
      </c>
      <c r="I37" s="89">
        <f>INDEX(AVA_5!$A:$J,MATCH('2021'!$A37,AVA_5!$A:$A,0),MATCH('2021'!$A$1,AVA_5!$3:$3,0))/(B37/1000)</f>
        <v>5.9311705146922664</v>
      </c>
      <c r="J37" s="93">
        <f>INDEX(IRA_1!$A:$J,MATCH('2021'!$A37,IRA_1!$A:$A,0),MATCH('2021'!$A$1,IRA_1!$3:$3,0))/(B37/1000)</f>
        <v>3.8760190700138246E-2</v>
      </c>
      <c r="K37" s="88">
        <f>INDEX(IRA_2!$A:$J,MATCH('2021'!$A37,IRA_2!$A:$A,0),MATCH('2021'!$A$1,IRA_2!$3:$3,0))/(B37/1000)</f>
        <v>0.11455789695818638</v>
      </c>
      <c r="L37" s="15">
        <f>INDEX(IRA_3!$A:$J,MATCH('2021'!$A37,IRA_3!$A:$A,0),MATCH('2021'!$A$1,IRA_3!$3:$3,0))</f>
        <v>0.30828676732849836</v>
      </c>
      <c r="M37" s="96">
        <f>INDEX(IRA_4!$A:$J,MATCH('2021'!$A37,IRA_4!$A:$A,0),MATCH('2021'!$A$1,IRA_4!$3:$3,0))/(B37/1000)</f>
        <v>4.3351119954176847</v>
      </c>
      <c r="N37" s="61">
        <f>INDEX(INV_1!$A:$J,MATCH('2021'!$A37,INV_1!$A:$A,0),MATCH('2021'!$A$1,INV_1!$3:$3,0))</f>
        <v>6.7758252479470052E-2</v>
      </c>
      <c r="O37" s="80">
        <f>INDEX(INV_2!$A:$J,MATCH('2021'!$A37,INV_2!$A:$A,0),MATCH('2021'!$A$1,INV_2!$3:$3,0))/B37*10^6/C37</f>
        <v>0.52057814902018196</v>
      </c>
      <c r="P37" s="87">
        <f>INDEX(INV_3!$A:$J,MATCH('2021'!$A37,INV_3!$A:$A,0),MATCH('2021'!$A$1,INV_3!$3:$3,0))/B37*10^6/C37</f>
        <v>5.4098554280763835</v>
      </c>
      <c r="Q37" s="87">
        <f>INDEX(INV_4!$A:$J,MATCH('2021'!$A37,INV_4!$A:$A,0),MATCH('2021'!$A$1,INV_4!$3:$3,0))/B37*10^3/C37</f>
        <v>0.28715289011594636</v>
      </c>
      <c r="R37" s="34">
        <f>INDEX(INV_5!$A:$J,MATCH('2021'!$A37,INV_5!$A:$A,0),MATCH('2021'!$A$1,INV_5!$3:$3,0))</f>
        <v>4.3700000000000003E-2</v>
      </c>
      <c r="S37" s="77">
        <f>INDEX(LUJ_1!$A:$J,MATCH('2021'!$A37,LUJ_1!$A:$A,0),MATCH('2021'!$A$1,LUJ_1!$3:$3,0))</f>
        <v>0.84430562229697259</v>
      </c>
      <c r="T37" s="73">
        <f>INDEX(LUJ_2!$A:$J,MATCH('2021'!$A37,LUJ_2!$A:$A,0),MATCH('2021'!$A$1,LUJ_2!$3:$3,0))</f>
        <v>0.23800000000000002</v>
      </c>
      <c r="U37" s="73">
        <f>INDEX(LUJ_3!$A:$J,MATCH('2021'!$A37,LUJ_3!$A:$A,0),MATCH('2021'!$A$1,LUJ_3!$3:$3,0))</f>
        <v>0.51977782964921349</v>
      </c>
      <c r="V37" s="14">
        <f>INDEX(LUJ_4!$A:$J,MATCH('2021'!$A37,LUJ_4!$A:$A,0),MATCH('2021'!$A$1,LUJ_4!$3:$3,0))</f>
        <v>28</v>
      </c>
      <c r="W37" s="34">
        <f>INDEX(LUJ_5!$A:$J,MATCH('2021'!$A37,LUJ_5!$A:$A,0),MATCH('2021'!$A$1,LUJ_5!$3:$3,0))</f>
        <v>12.7</v>
      </c>
      <c r="X37" s="98">
        <f>1/INDEX(GUL_1!$A:$J,MATCH('2021'!$A37,GUL_1!$A:$A,0),MATCH('2021'!$A$1,GUL_1!$3:$3,0))</f>
        <v>1.4341029685931449E-2</v>
      </c>
      <c r="Y37" s="57">
        <f>INDEX(GUL_2!$A:$J,MATCH('2021'!$A37,GUL_2!$A:$A,0),MATCH('2021'!$A$1,GUL_2!$3:$3,0))</f>
        <v>26.1</v>
      </c>
      <c r="Z37" s="57">
        <f>INDEX(GUL_3!$A:$J,MATCH('2021'!$A37,GUL_3!$A:$A,0),MATCH('2021'!$A$1,GUL_3!$3:$3,0))/(B37/1000)</f>
        <v>0.94316464037003067</v>
      </c>
      <c r="AA37" s="101">
        <f>INDEX(GUL_4!$A:$J,MATCH('2021'!$A37,GUL_4!$A:$A,0),MATCH('2021'!$A$1,GUL_4!$3:$3,0))/B37/C37*10^6</f>
        <v>0.36223432124998595</v>
      </c>
      <c r="AB37" s="73">
        <f>INDEX(GUL_5!$A:$J,MATCH('2021'!$A37,GUL_5!$A:$A,0),MATCH('2021'!$A$1,GUL_5!$3:$3,0))</f>
        <v>3.5129727071144916E-2</v>
      </c>
      <c r="AC37" s="49">
        <f>INDEX(GUL_6!$A:$J,MATCH('2021'!$A37,GUL_6!$A:$A,0),MATCH('2021'!$A$1,GUL_6!$3:$3,0))</f>
        <v>4.0135237765999997E-2</v>
      </c>
      <c r="AD37" s="49">
        <f>INDEX(GUL_7!$A:$J,MATCH('2021'!$A37,GUL_7!$A:$A,0),MATCH('2021'!$A$1,GUL_7!$3:$3,0))</f>
        <v>0.17550000000000002</v>
      </c>
      <c r="AE37" s="103">
        <f>INDEX(GUL_8!$A:$J,MATCH('2021'!$A37,GUL_8!$A:$A,0),MATCH('2021'!$A$1,GUL_8!$3:$3,0))/(B37/1000)</f>
        <v>2.851888697959061</v>
      </c>
      <c r="AF37" s="41">
        <f>INDEX(DES_1!$A:$J,MATCH('2021'!$A37,DES_1!$A:$A,0),MATCH('2021'!$A$1,DES_1!$3:$3,0))/(B37/1000)</f>
        <v>0.24289719505419968</v>
      </c>
      <c r="AG37" s="100">
        <f>INDEX(DES_2!$A:$J,MATCH('2021'!$A37,DES_2!$A:$A,0),MATCH('2021'!$A$1,DES_2!$3:$3,0))/(B37/1000)</f>
        <v>0.30491350017442087</v>
      </c>
      <c r="AH37" s="57">
        <f>1/INDEX(DES_3!$A:$J,MATCH('2021'!$A37,DES_3!$A:$A,0),MATCH('2021'!$A$1,DES_3!$3:$3,0))</f>
        <v>7.7760497667185074E-3</v>
      </c>
      <c r="AI37" s="80">
        <f>INDEX(DES_4!$A:$J,MATCH('2021'!$A37,DES_4!$A:$A,0),MATCH('2021'!$A$1,DES_4!$3:$3,0))</f>
        <v>0.86659649975099995</v>
      </c>
      <c r="AJ37" s="110">
        <f>INDEX(DES_5!$A:$J,MATCH('2021'!$A37,DES_5!$A:$A,0),MATCH('2021'!$A$1,DES_5!$3:$3,0))</f>
        <v>0.51840266421499992</v>
      </c>
      <c r="AK37" s="57">
        <v>52</v>
      </c>
    </row>
    <row r="38" spans="1:37" x14ac:dyDescent="0.3">
      <c r="A38" s="29" t="s">
        <v>37</v>
      </c>
      <c r="B38" s="33">
        <f>INDEX(Population!$A:$J,MATCH('2021'!$A38,Population!$A:$A,0),MATCH('2021'!$A$1,Population!$3:$3,0))</f>
        <v>583596</v>
      </c>
      <c r="C38" s="14">
        <f>INDEX(Income!$A:$J,MATCH('2021'!$A38,Income!$A:$A,0),MATCH('2021'!$A$1,Income!$3:$3,0))</f>
        <v>28560</v>
      </c>
      <c r="D38" s="34">
        <f>INDEX(Livable_wage!$A:$J,MATCH('2021'!$A38,Livable_wage!$A:$A,0),MATCH('2021'!$A$1,Livable_wage!$3:$3,0))</f>
        <v>11241</v>
      </c>
      <c r="E38" s="41">
        <f>INDEX(AVA_1!$A:$J,MATCH('2021'!$A38,AVA_1!$A:$A,0),MATCH('2021'!$A$1,AVA_1!$3:$3,0))</f>
        <v>0.33300000000000002</v>
      </c>
      <c r="F38" s="15">
        <f>INDEX(AVA_2!$A:$J,MATCH('2021'!$A38,AVA_2!$A:$A,0),MATCH('2021'!$A$1,AVA_2!$3:$3,0))</f>
        <v>1.2080891646558657E-2</v>
      </c>
      <c r="G38" s="15">
        <f>INDEX(AVA_3!$A:$J,MATCH('2021'!$A38,AVA_3!$A:$A,0),MATCH('2021'!$A$1,AVA_3!$3:$3,0))</f>
        <v>1.5268680233816298E-2</v>
      </c>
      <c r="H38" s="87">
        <f>INDEX(AVA_4!$A:$J,MATCH('2021'!$A38,AVA_4!$A:$A,0),MATCH('2021'!$A$1,AVA_4!$3:$3,0))/(B38/1000)</f>
        <v>0.82420030294930058</v>
      </c>
      <c r="I38" s="89">
        <f>INDEX(AVA_5!$A:$J,MATCH('2021'!$A38,AVA_5!$A:$A,0),MATCH('2021'!$A$1,AVA_5!$3:$3,0))/(B38/1000)</f>
        <v>4.7018828093407086</v>
      </c>
      <c r="J38" s="93">
        <f>INDEX(IRA_1!$A:$J,MATCH('2021'!$A38,IRA_1!$A:$A,0),MATCH('2021'!$A$1,IRA_1!$3:$3,0))/(B38/1000)</f>
        <v>4.7978396013680695E-2</v>
      </c>
      <c r="K38" s="88">
        <f>INDEX(IRA_2!$A:$J,MATCH('2021'!$A38,IRA_2!$A:$A,0),MATCH('2021'!$A$1,IRA_2!$3:$3,0))/(B38/1000)</f>
        <v>9.595679202736139E-2</v>
      </c>
      <c r="L38" s="15">
        <f>INDEX(IRA_3!$A:$J,MATCH('2021'!$A38,IRA_3!$A:$A,0),MATCH('2021'!$A$1,IRA_3!$3:$3,0))</f>
        <v>0.35559131134352373</v>
      </c>
      <c r="M38" s="96">
        <f>INDEX(IRA_4!$A:$J,MATCH('2021'!$A38,IRA_4!$A:$A,0),MATCH('2021'!$A$1,IRA_4!$3:$3,0))/(B38/1000)</f>
        <v>3.3327850088074626</v>
      </c>
      <c r="N38" s="61">
        <f>INDEX(INV_1!$A:$J,MATCH('2021'!$A38,INV_1!$A:$A,0),MATCH('2021'!$A$1,INV_1!$3:$3,0))</f>
        <v>8.1878542387323339E-2</v>
      </c>
      <c r="O38" s="80">
        <f>INDEX(INV_2!$A:$J,MATCH('2021'!$A38,INV_2!$A:$A,0),MATCH('2021'!$A$1,INV_2!$3:$3,0))/B38*10^6/C38</f>
        <v>0.58950727651436718</v>
      </c>
      <c r="P38" s="87">
        <f>INDEX(INV_3!$A:$J,MATCH('2021'!$A38,INV_3!$A:$A,0),MATCH('2021'!$A$1,INV_3!$3:$3,0))/B38*10^6/C38</f>
        <v>4.5200535200063481</v>
      </c>
      <c r="Q38" s="87">
        <f>INDEX(INV_4!$A:$J,MATCH('2021'!$A38,INV_4!$A:$A,0),MATCH('2021'!$A$1,INV_4!$3:$3,0))/B38*10^3/C38</f>
        <v>0.32152473521022745</v>
      </c>
      <c r="R38" s="34">
        <f>INDEX(INV_5!$A:$J,MATCH('2021'!$A38,INV_5!$A:$A,0),MATCH('2021'!$A$1,INV_5!$3:$3,0))</f>
        <v>0.1429</v>
      </c>
      <c r="S38" s="77">
        <f>INDEX(LUJ_1!$A:$J,MATCH('2021'!$A38,LUJ_1!$A:$A,0),MATCH('2021'!$A$1,LUJ_1!$3:$3,0))</f>
        <v>0.79112426035502958</v>
      </c>
      <c r="T38" s="73">
        <f>INDEX(LUJ_2!$A:$J,MATCH('2021'!$A38,LUJ_2!$A:$A,0),MATCH('2021'!$A$1,LUJ_2!$3:$3,0))</f>
        <v>0.19699999999999998</v>
      </c>
      <c r="U38" s="73">
        <f>INDEX(LUJ_3!$A:$J,MATCH('2021'!$A38,LUJ_3!$A:$A,0),MATCH('2021'!$A$1,LUJ_3!$3:$3,0))</f>
        <v>0.47271251775207951</v>
      </c>
      <c r="V38" s="14">
        <f>INDEX(LUJ_4!$A:$J,MATCH('2021'!$A38,LUJ_4!$A:$A,0),MATCH('2021'!$A$1,LUJ_4!$3:$3,0))</f>
        <v>13</v>
      </c>
      <c r="W38" s="34">
        <f>INDEX(LUJ_5!$A:$J,MATCH('2021'!$A38,LUJ_5!$A:$A,0),MATCH('2021'!$A$1,LUJ_5!$3:$3,0))</f>
        <v>28.2</v>
      </c>
      <c r="X38" s="98">
        <f>1/INDEX(GUL_1!$A:$J,MATCH('2021'!$A38,GUL_1!$A:$A,0),MATCH('2021'!$A$1,GUL_1!$3:$3,0))</f>
        <v>1.4539110206455364E-2</v>
      </c>
      <c r="Y38" s="57">
        <f>INDEX(GUL_2!$A:$J,MATCH('2021'!$A38,GUL_2!$A:$A,0),MATCH('2021'!$A$1,GUL_2!$3:$3,0))</f>
        <v>26.1</v>
      </c>
      <c r="Z38" s="57">
        <f>INDEX(GUL_3!$A:$J,MATCH('2021'!$A38,GUL_3!$A:$A,0),MATCH('2021'!$A$1,GUL_3!$3:$3,0))/(B38/1000)</f>
        <v>1.0452436274409009</v>
      </c>
      <c r="AA38" s="101">
        <f>INDEX(GUL_4!$A:$J,MATCH('2021'!$A38,GUL_4!$A:$A,0),MATCH('2021'!$A$1,GUL_4!$3:$3,0))/B38/C38*10^6</f>
        <v>0.28352119400046194</v>
      </c>
      <c r="AB38" s="73">
        <f>INDEX(GUL_5!$A:$J,MATCH('2021'!$A38,GUL_5!$A:$A,0),MATCH('2021'!$A$1,GUL_5!$3:$3,0))</f>
        <v>3.2091590063664743E-2</v>
      </c>
      <c r="AC38" s="49">
        <f>INDEX(GUL_6!$A:$J,MATCH('2021'!$A38,GUL_6!$A:$A,0),MATCH('2021'!$A$1,GUL_6!$3:$3,0))</f>
        <v>5.3295472378000003E-2</v>
      </c>
      <c r="AD38" s="49">
        <f>INDEX(GUL_7!$A:$J,MATCH('2021'!$A38,GUL_7!$A:$A,0),MATCH('2021'!$A$1,GUL_7!$3:$3,0))</f>
        <v>0.23719999999999999</v>
      </c>
      <c r="AE38" s="103">
        <f>INDEX(GUL_8!$A:$J,MATCH('2021'!$A38,GUL_8!$A:$A,0),MATCH('2021'!$A$1,GUL_8!$3:$3,0))/(B38/1000)</f>
        <v>2.5599901301585342</v>
      </c>
      <c r="AF38" s="41">
        <f>INDEX(DES_1!$A:$J,MATCH('2021'!$A38,DES_1!$A:$A,0),MATCH('2021'!$A$1,DES_1!$3:$3,0))/(B38/1000)</f>
        <v>0.18848655576803131</v>
      </c>
      <c r="AG38" s="100">
        <f>INDEX(DES_2!$A:$J,MATCH('2021'!$A38,DES_2!$A:$A,0),MATCH('2021'!$A$1,DES_2!$3:$3,0))/(B38/1000)</f>
        <v>0.42323799340639756</v>
      </c>
      <c r="AH38" s="57">
        <f>1/INDEX(DES_3!$A:$J,MATCH('2021'!$A38,DES_3!$A:$A,0),MATCH('2021'!$A$1,DES_3!$3:$3,0))</f>
        <v>7.8369905956112863E-3</v>
      </c>
      <c r="AI38" s="80">
        <f>INDEX(DES_4!$A:$J,MATCH('2021'!$A38,DES_4!$A:$A,0),MATCH('2021'!$A$1,DES_4!$3:$3,0))</f>
        <v>0.65053636175200003</v>
      </c>
      <c r="AJ38" s="110">
        <f>INDEX(DES_5!$A:$J,MATCH('2021'!$A38,DES_5!$A:$A,0),MATCH('2021'!$A$1,DES_5!$3:$3,0))</f>
        <v>0.48694007540400003</v>
      </c>
      <c r="AK38" s="57">
        <v>53</v>
      </c>
    </row>
    <row r="39" spans="1:37" x14ac:dyDescent="0.3">
      <c r="A39" s="29" t="s">
        <v>38</v>
      </c>
      <c r="B39" s="33">
        <f>INDEX(Population!$A:$J,MATCH('2021'!$A39,Population!$A:$A,0),MATCH('2021'!$A$1,Population!$3:$3,0))</f>
        <v>1233938</v>
      </c>
      <c r="C39" s="14">
        <f>INDEX(Income!$A:$J,MATCH('2021'!$A39,Income!$A:$A,0),MATCH('2021'!$A$1,Income!$3:$3,0))</f>
        <v>30675</v>
      </c>
      <c r="D39" s="34">
        <f>INDEX(Livable_wage!$A:$J,MATCH('2021'!$A39,Livable_wage!$A:$A,0),MATCH('2021'!$A$1,Livable_wage!$3:$3,0))</f>
        <v>11234.14</v>
      </c>
      <c r="E39" s="41">
        <f>INDEX(AVA_1!$A:$J,MATCH('2021'!$A39,AVA_1!$A:$A,0),MATCH('2021'!$A$1,AVA_1!$3:$3,0))</f>
        <v>0.34100000000000003</v>
      </c>
      <c r="F39" s="15">
        <f>INDEX(AVA_2!$A:$J,MATCH('2021'!$A39,AVA_2!$A:$A,0),MATCH('2021'!$A$1,AVA_2!$3:$3,0))</f>
        <v>1.027796455585466E-2</v>
      </c>
      <c r="G39" s="15">
        <f>INDEX(AVA_3!$A:$J,MATCH('2021'!$A39,AVA_3!$A:$A,0),MATCH('2021'!$A$1,AVA_3!$3:$3,0))</f>
        <v>1.7132725224707799E-2</v>
      </c>
      <c r="H39" s="87">
        <f>INDEX(AVA_4!$A:$J,MATCH('2021'!$A39,AVA_4!$A:$A,0),MATCH('2021'!$A$1,AVA_4!$3:$3,0))/(B39/1000)</f>
        <v>0.57944564475686777</v>
      </c>
      <c r="I39" s="89">
        <f>INDEX(AVA_5!$A:$J,MATCH('2021'!$A39,AVA_5!$A:$A,0),MATCH('2021'!$A$1,AVA_5!$3:$3,0))/(B39/1000)</f>
        <v>7.331810836525011</v>
      </c>
      <c r="J39" s="93">
        <f>INDEX(IRA_1!$A:$J,MATCH('2021'!$A39,IRA_1!$A:$A,0),MATCH('2021'!$A$1,IRA_1!$3:$3,0))/(B39/1000)</f>
        <v>7.2937214025340008E-2</v>
      </c>
      <c r="K39" s="88">
        <f>INDEX(IRA_2!$A:$J,MATCH('2021'!$A39,IRA_2!$A:$A,0),MATCH('2021'!$A$1,IRA_2!$3:$3,0))/(B39/1000)</f>
        <v>0.11345788848386222</v>
      </c>
      <c r="L39" s="15">
        <f>INDEX(IRA_3!$A:$J,MATCH('2021'!$A39,IRA_3!$A:$A,0),MATCH('2021'!$A$1,IRA_3!$3:$3,0))</f>
        <v>0.43750876700799546</v>
      </c>
      <c r="M39" s="96">
        <f>INDEX(IRA_4!$A:$J,MATCH('2021'!$A39,IRA_4!$A:$A,0),MATCH('2021'!$A$1,IRA_4!$3:$3,0))/(B39/1000)</f>
        <v>5.8657728346156768</v>
      </c>
      <c r="N39" s="61">
        <f>INDEX(INV_1!$A:$J,MATCH('2021'!$A39,INV_1!$A:$A,0),MATCH('2021'!$A$1,INV_1!$3:$3,0))</f>
        <v>6.3040259514120289E-2</v>
      </c>
      <c r="O39" s="80">
        <f>INDEX(INV_2!$A:$J,MATCH('2021'!$A39,INV_2!$A:$A,0),MATCH('2021'!$A$1,INV_2!$3:$3,0))/B39*10^6/C39</f>
        <v>0.2669511716676411</v>
      </c>
      <c r="P39" s="87">
        <f>INDEX(INV_3!$A:$J,MATCH('2021'!$A39,INV_3!$A:$A,0),MATCH('2021'!$A$1,INV_3!$3:$3,0))/B39*10^6/C39</f>
        <v>4.901898601716792</v>
      </c>
      <c r="Q39" s="87">
        <f>INDEX(INV_4!$A:$J,MATCH('2021'!$A39,INV_4!$A:$A,0),MATCH('2021'!$A$1,INV_4!$3:$3,0))/B39*10^3/C39</f>
        <v>0.25156533716755208</v>
      </c>
      <c r="R39" s="34">
        <f>INDEX(INV_5!$A:$J,MATCH('2021'!$A39,INV_5!$A:$A,0),MATCH('2021'!$A$1,INV_5!$3:$3,0))</f>
        <v>6.2600000000000003E-2</v>
      </c>
      <c r="S39" s="77">
        <f>INDEX(LUJ_1!$A:$J,MATCH('2021'!$A39,LUJ_1!$A:$A,0),MATCH('2021'!$A$1,LUJ_1!$3:$3,0))</f>
        <v>0.75522346755223468</v>
      </c>
      <c r="T39" s="73">
        <f>INDEX(LUJ_2!$A:$J,MATCH('2021'!$A39,LUJ_2!$A:$A,0),MATCH('2021'!$A$1,LUJ_2!$3:$3,0))</f>
        <v>0.217</v>
      </c>
      <c r="U39" s="73">
        <f>INDEX(LUJ_3!$A:$J,MATCH('2021'!$A39,LUJ_3!$A:$A,0),MATCH('2021'!$A$1,LUJ_3!$3:$3,0))</f>
        <v>0.34462740130884528</v>
      </c>
      <c r="V39" s="14">
        <f>INDEX(LUJ_4!$A:$J,MATCH('2021'!$A39,LUJ_4!$A:$A,0),MATCH('2021'!$A$1,LUJ_4!$3:$3,0))</f>
        <v>16</v>
      </c>
      <c r="W39" s="34">
        <f>INDEX(LUJ_5!$A:$J,MATCH('2021'!$A39,LUJ_5!$A:$A,0),MATCH('2021'!$A$1,LUJ_5!$3:$3,0))</f>
        <v>36.799999999999997</v>
      </c>
      <c r="X39" s="98">
        <f>1/INDEX(GUL_1!$A:$J,MATCH('2021'!$A39,GUL_1!$A:$A,0),MATCH('2021'!$A$1,GUL_1!$3:$3,0))</f>
        <v>1.4734050390452334E-2</v>
      </c>
      <c r="Y39" s="57">
        <f>INDEX(GUL_2!$A:$J,MATCH('2021'!$A39,GUL_2!$A:$A,0),MATCH('2021'!$A$1,GUL_2!$3:$3,0))</f>
        <v>26.200000000000003</v>
      </c>
      <c r="Z39" s="57">
        <f>INDEX(GUL_3!$A:$J,MATCH('2021'!$A39,GUL_3!$A:$A,0),MATCH('2021'!$A$1,GUL_3!$3:$3,0))/(B39/1000)</f>
        <v>0.99275652423379446</v>
      </c>
      <c r="AA39" s="101">
        <f>INDEX(GUL_4!$A:$J,MATCH('2021'!$A39,GUL_4!$A:$A,0),MATCH('2021'!$A$1,GUL_4!$3:$3,0))/B39/C39*10^6</f>
        <v>0.28010320765714386</v>
      </c>
      <c r="AB39" s="73">
        <f>INDEX(GUL_5!$A:$J,MATCH('2021'!$A39,GUL_5!$A:$A,0),MATCH('2021'!$A$1,GUL_5!$3:$3,0))</f>
        <v>4.1674391588742435E-2</v>
      </c>
      <c r="AC39" s="49">
        <f>INDEX(GUL_6!$A:$J,MATCH('2021'!$A39,GUL_6!$A:$A,0),MATCH('2021'!$A$1,GUL_6!$3:$3,0))</f>
        <v>3.1169369830000002E-2</v>
      </c>
      <c r="AD39" s="49">
        <f>INDEX(GUL_7!$A:$J,MATCH('2021'!$A39,GUL_7!$A:$A,0),MATCH('2021'!$A$1,GUL_7!$3:$3,0))</f>
        <v>0.21640000000000001</v>
      </c>
      <c r="AE39" s="103">
        <f>INDEX(GUL_8!$A:$J,MATCH('2021'!$A39,GUL_8!$A:$A,0),MATCH('2021'!$A$1,GUL_8!$3:$3,0))/(B39/1000)</f>
        <v>1.85989895764617</v>
      </c>
      <c r="AF39" s="41">
        <f>INDEX(DES_1!$A:$J,MATCH('2021'!$A39,DES_1!$A:$A,0),MATCH('2021'!$A$1,DES_1!$3:$3,0))/(B39/1000)</f>
        <v>0.17261807319330466</v>
      </c>
      <c r="AG39" s="100">
        <f>INDEX(DES_2!$A:$J,MATCH('2021'!$A39,DES_2!$A:$A,0),MATCH('2021'!$A$1,DES_2!$3:$3,0))/(B39/1000)</f>
        <v>0.26905727840458754</v>
      </c>
      <c r="AH39" s="57">
        <f>1/INDEX(DES_3!$A:$J,MATCH('2021'!$A39,DES_3!$A:$A,0),MATCH('2021'!$A$1,DES_3!$3:$3,0))</f>
        <v>8.6655112651646445E-3</v>
      </c>
      <c r="AI39" s="80">
        <f>INDEX(DES_4!$A:$J,MATCH('2021'!$A39,DES_4!$A:$A,0),MATCH('2021'!$A$1,DES_4!$3:$3,0))</f>
        <v>0.78195258141699997</v>
      </c>
      <c r="AJ39" s="110">
        <f>INDEX(DES_5!$A:$J,MATCH('2021'!$A39,DES_5!$A:$A,0),MATCH('2021'!$A$1,DES_5!$3:$3,0))</f>
        <v>0.58601197529499993</v>
      </c>
      <c r="AK39" s="57">
        <v>54</v>
      </c>
    </row>
    <row r="40" spans="1:37" x14ac:dyDescent="0.3">
      <c r="A40" s="29" t="s">
        <v>39</v>
      </c>
      <c r="B40" s="33">
        <f>INDEX(Population!$A:$J,MATCH('2021'!$A40,Population!$A:$A,0),MATCH('2021'!$A$1,Population!$3:$3,0))</f>
        <v>1502152</v>
      </c>
      <c r="C40" s="14">
        <f>INDEX(Income!$A:$J,MATCH('2021'!$A40,Income!$A:$A,0),MATCH('2021'!$A$1,Income!$3:$3,0))</f>
        <v>32252</v>
      </c>
      <c r="D40" s="34">
        <f>INDEX(Livable_wage!$A:$J,MATCH('2021'!$A40,Livable_wage!$A:$A,0),MATCH('2021'!$A$1,Livable_wage!$3:$3,0))</f>
        <v>11134</v>
      </c>
      <c r="E40" s="41">
        <f>INDEX(AVA_1!$A:$J,MATCH('2021'!$A40,AVA_1!$A:$A,0),MATCH('2021'!$A$1,AVA_1!$3:$3,0))</f>
        <v>0.34699999999999998</v>
      </c>
      <c r="F40" s="15">
        <f>INDEX(AVA_2!$A:$J,MATCH('2021'!$A40,AVA_2!$A:$A,0),MATCH('2021'!$A$1,AVA_2!$3:$3,0))</f>
        <v>1.0408924936181212E-2</v>
      </c>
      <c r="G40" s="15">
        <f>INDEX(AVA_3!$A:$J,MATCH('2021'!$A40,AVA_3!$A:$A,0),MATCH('2021'!$A$1,AVA_3!$3:$3,0))</f>
        <v>1.9796988011843611E-2</v>
      </c>
      <c r="H40" s="87">
        <f>INDEX(AVA_4!$A:$J,MATCH('2021'!$A40,AVA_4!$A:$A,0),MATCH('2021'!$A$1,AVA_4!$3:$3,0))/(B40/1000)</f>
        <v>0.67969153587652908</v>
      </c>
      <c r="I40" s="89">
        <f>INDEX(AVA_5!$A:$J,MATCH('2021'!$A40,AVA_5!$A:$A,0),MATCH('2021'!$A$1,AVA_5!$3:$3,0))/(B40/1000)</f>
        <v>3.9949352662047515</v>
      </c>
      <c r="J40" s="93">
        <f>INDEX(IRA_1!$A:$J,MATCH('2021'!$A40,IRA_1!$A:$A,0),MATCH('2021'!$A$1,IRA_1!$3:$3,0))/(B40/1000)</f>
        <v>4.0608407138558546E-2</v>
      </c>
      <c r="K40" s="88">
        <f>INDEX(IRA_2!$A:$J,MATCH('2021'!$A40,IRA_2!$A:$A,0),MATCH('2021'!$A$1,IRA_2!$3:$3,0))/(B40/1000)</f>
        <v>9.0536776571212493E-2</v>
      </c>
      <c r="L40" s="15">
        <f>INDEX(IRA_3!$A:$J,MATCH('2021'!$A40,IRA_3!$A:$A,0),MATCH('2021'!$A$1,IRA_3!$3:$3,0))</f>
        <v>0.4315297261189045</v>
      </c>
      <c r="M40" s="96">
        <f>INDEX(IRA_4!$A:$J,MATCH('2021'!$A40,IRA_4!$A:$A,0),MATCH('2021'!$A$1,IRA_4!$3:$3,0))/(B40/1000)</f>
        <v>2.6069265959769718</v>
      </c>
      <c r="N40" s="61">
        <f>INDEX(INV_1!$A:$J,MATCH('2021'!$A40,INV_1!$A:$A,0),MATCH('2021'!$A$1,INV_1!$3:$3,0))</f>
        <v>8.3612120726956091E-2</v>
      </c>
      <c r="O40" s="80">
        <f>INDEX(INV_2!$A:$J,MATCH('2021'!$A40,INV_2!$A:$A,0),MATCH('2021'!$A$1,INV_2!$3:$3,0))/B40*10^6/C40</f>
        <v>0.28964247276951244</v>
      </c>
      <c r="P40" s="87">
        <f>INDEX(INV_3!$A:$J,MATCH('2021'!$A40,INV_3!$A:$A,0),MATCH('2021'!$A$1,INV_3!$3:$3,0))/B40*10^6/C40</f>
        <v>4.6260061600345361</v>
      </c>
      <c r="Q40" s="87">
        <f>INDEX(INV_4!$A:$J,MATCH('2021'!$A40,INV_4!$A:$A,0),MATCH('2021'!$A$1,INV_4!$3:$3,0))/B40*10^3/C40</f>
        <v>0.24480191603200013</v>
      </c>
      <c r="R40" s="34">
        <f>INDEX(INV_5!$A:$J,MATCH('2021'!$A40,INV_5!$A:$A,0),MATCH('2021'!$A$1,INV_5!$3:$3,0))</f>
        <v>6.9500000000000006E-2</v>
      </c>
      <c r="S40" s="77">
        <f>INDEX(LUJ_1!$A:$J,MATCH('2021'!$A40,LUJ_1!$A:$A,0),MATCH('2021'!$A$1,LUJ_1!$3:$3,0))</f>
        <v>0.69959220661531496</v>
      </c>
      <c r="T40" s="73">
        <f>INDEX(LUJ_2!$A:$J,MATCH('2021'!$A40,LUJ_2!$A:$A,0),MATCH('2021'!$A$1,LUJ_2!$3:$3,0))</f>
        <v>0.217</v>
      </c>
      <c r="U40" s="73">
        <f>INDEX(LUJ_3!$A:$J,MATCH('2021'!$A40,LUJ_3!$A:$A,0),MATCH('2021'!$A$1,LUJ_3!$3:$3,0))</f>
        <v>0.29555293191656828</v>
      </c>
      <c r="V40" s="14">
        <f>INDEX(LUJ_4!$A:$J,MATCH('2021'!$A40,LUJ_4!$A:$A,0),MATCH('2021'!$A$1,LUJ_4!$3:$3,0))</f>
        <v>20</v>
      </c>
      <c r="W40" s="34">
        <f>INDEX(LUJ_5!$A:$J,MATCH('2021'!$A40,LUJ_5!$A:$A,0),MATCH('2021'!$A$1,LUJ_5!$3:$3,0))</f>
        <v>42.6</v>
      </c>
      <c r="X40" s="98">
        <f>1/INDEX(GUL_1!$A:$J,MATCH('2021'!$A40,GUL_1!$A:$A,0),MATCH('2021'!$A$1,GUL_1!$3:$3,0))</f>
        <v>1.4499057561258518E-2</v>
      </c>
      <c r="Y40" s="57">
        <f>INDEX(GUL_2!$A:$J,MATCH('2021'!$A40,GUL_2!$A:$A,0),MATCH('2021'!$A$1,GUL_2!$3:$3,0))</f>
        <v>26.1</v>
      </c>
      <c r="Z40" s="57">
        <f>INDEX(GUL_3!$A:$J,MATCH('2021'!$A40,GUL_3!$A:$A,0),MATCH('2021'!$A$1,GUL_3!$3:$3,0))/(B40/1000)</f>
        <v>1.1357039766947685</v>
      </c>
      <c r="AA40" s="101">
        <f>INDEX(GUL_4!$A:$J,MATCH('2021'!$A40,GUL_4!$A:$A,0),MATCH('2021'!$A$1,GUL_4!$3:$3,0))/B40/C40*10^6</f>
        <v>0.20821733854443994</v>
      </c>
      <c r="AB40" s="73">
        <f>INDEX(GUL_5!$A:$J,MATCH('2021'!$A40,GUL_5!$A:$A,0),MATCH('2021'!$A$1,GUL_5!$3:$3,0))</f>
        <v>2.6598700831393925E-2</v>
      </c>
      <c r="AC40" s="49">
        <f>INDEX(GUL_6!$A:$J,MATCH('2021'!$A40,GUL_6!$A:$A,0),MATCH('2021'!$A$1,GUL_6!$3:$3,0))</f>
        <v>2.3911075273000001E-2</v>
      </c>
      <c r="AD40" s="49">
        <f>INDEX(GUL_7!$A:$J,MATCH('2021'!$A40,GUL_7!$A:$A,0),MATCH('2021'!$A$1,GUL_7!$3:$3,0))</f>
        <v>0.161</v>
      </c>
      <c r="AE40" s="103">
        <f>INDEX(GUL_8!$A:$J,MATCH('2021'!$A40,GUL_8!$A:$A,0),MATCH('2021'!$A$1,GUL_8!$3:$3,0))/(B40/1000)</f>
        <v>1.1823037881652456</v>
      </c>
      <c r="AF40" s="41">
        <f>INDEX(DES_1!$A:$J,MATCH('2021'!$A40,DES_1!$A:$A,0),MATCH('2021'!$A$1,DES_1!$3:$3,0))/(B40/1000)</f>
        <v>0.10451672001235561</v>
      </c>
      <c r="AG40" s="100">
        <f>INDEX(DES_2!$A:$J,MATCH('2021'!$A40,DES_2!$A:$A,0),MATCH('2021'!$A$1,DES_2!$3:$3,0))/(B40/1000)</f>
        <v>0.19039351543652039</v>
      </c>
      <c r="AH40" s="57">
        <f>1/INDEX(DES_3!$A:$J,MATCH('2021'!$A40,DES_3!$A:$A,0),MATCH('2021'!$A$1,DES_3!$3:$3,0))</f>
        <v>6.4061499039077515E-3</v>
      </c>
      <c r="AI40" s="80">
        <f>INDEX(DES_4!$A:$J,MATCH('2021'!$A40,DES_4!$A:$A,0),MATCH('2021'!$A$1,DES_4!$3:$3,0))</f>
        <v>0.76917576882299998</v>
      </c>
      <c r="AJ40" s="110">
        <f>INDEX(DES_5!$A:$J,MATCH('2021'!$A40,DES_5!$A:$A,0),MATCH('2021'!$A$1,DES_5!$3:$3,0))</f>
        <v>0.36744579868099997</v>
      </c>
      <c r="AK40" s="57">
        <v>65</v>
      </c>
    </row>
    <row r="41" spans="1:37" x14ac:dyDescent="0.3">
      <c r="A41" s="29" t="s">
        <v>40</v>
      </c>
      <c r="B41" s="33">
        <f>INDEX(Population!$A:$J,MATCH('2021'!$A41,Population!$A:$A,0),MATCH('2021'!$A$1,Population!$3:$3,0))</f>
        <v>1064630</v>
      </c>
      <c r="C41" s="14">
        <f>INDEX(Income!$A:$J,MATCH('2021'!$A41,Income!$A:$A,0),MATCH('2021'!$A$1,Income!$3:$3,0))</f>
        <v>35076</v>
      </c>
      <c r="D41" s="34">
        <f>INDEX(Livable_wage!$A:$J,MATCH('2021'!$A41,Livable_wage!$A:$A,0),MATCH('2021'!$A$1,Livable_wage!$3:$3,0))</f>
        <v>11618</v>
      </c>
      <c r="E41" s="41">
        <f>INDEX(AVA_1!$A:$J,MATCH('2021'!$A41,AVA_1!$A:$A,0),MATCH('2021'!$A$1,AVA_1!$3:$3,0))</f>
        <v>0.36199999999999999</v>
      </c>
      <c r="F41" s="15">
        <f>INDEX(AVA_2!$A:$J,MATCH('2021'!$A41,AVA_2!$A:$A,0),MATCH('2021'!$A$1,AVA_2!$3:$3,0))</f>
        <v>1.0096615756105442E-2</v>
      </c>
      <c r="G41" s="15">
        <f>INDEX(AVA_3!$A:$J,MATCH('2021'!$A41,AVA_3!$A:$A,0),MATCH('2021'!$A$1,AVA_3!$3:$3,0))</f>
        <v>2.2530349431466527E-2</v>
      </c>
      <c r="H41" s="87">
        <f>INDEX(AVA_4!$A:$J,MATCH('2021'!$A41,AVA_4!$A:$A,0),MATCH('2021'!$A$1,AVA_4!$3:$3,0))/(B41/1000)</f>
        <v>0.68192705446962787</v>
      </c>
      <c r="I41" s="89">
        <f>INDEX(AVA_5!$A:$J,MATCH('2021'!$A41,AVA_5!$A:$A,0),MATCH('2021'!$A$1,AVA_5!$3:$3,0))/(B41/1000)</f>
        <v>5.2957365469693691</v>
      </c>
      <c r="J41" s="93">
        <f>INDEX(IRA_1!$A:$J,MATCH('2021'!$A41,IRA_1!$A:$A,0),MATCH('2021'!$A$1,IRA_1!$3:$3,0))/(B41/1000)</f>
        <v>4.978255356320975E-2</v>
      </c>
      <c r="K41" s="88">
        <f>INDEX(IRA_2!$A:$J,MATCH('2021'!$A41,IRA_2!$A:$A,0),MATCH('2021'!$A$1,IRA_2!$3:$3,0))/(B41/1000)</f>
        <v>0.13056179142049348</v>
      </c>
      <c r="L41" s="15">
        <f>INDEX(IRA_3!$A:$J,MATCH('2021'!$A41,IRA_3!$A:$A,0),MATCH('2021'!$A$1,IRA_3!$3:$3,0))</f>
        <v>0.48563327032136105</v>
      </c>
      <c r="M41" s="96">
        <f>INDEX(IRA_4!$A:$J,MATCH('2021'!$A41,IRA_4!$A:$A,0),MATCH('2021'!$A$1,IRA_4!$3:$3,0))/(B41/1000)</f>
        <v>4.4174971586372722</v>
      </c>
      <c r="N41" s="61">
        <f>INDEX(INV_1!$A:$J,MATCH('2021'!$A41,INV_1!$A:$A,0),MATCH('2021'!$A$1,INV_1!$3:$3,0))</f>
        <v>6.4833546255903374E-2</v>
      </c>
      <c r="O41" s="80">
        <f>INDEX(INV_2!$A:$J,MATCH('2021'!$A41,INV_2!$A:$A,0),MATCH('2021'!$A$1,INV_2!$3:$3,0))/B41*10^6/C41</f>
        <v>0.43067784720723473</v>
      </c>
      <c r="P41" s="87">
        <f>INDEX(INV_3!$A:$J,MATCH('2021'!$A41,INV_3!$A:$A,0),MATCH('2021'!$A$1,INV_3!$3:$3,0))/B41*10^6/C41</f>
        <v>4.8408854279129292</v>
      </c>
      <c r="Q41" s="87">
        <f>INDEX(INV_4!$A:$J,MATCH('2021'!$A41,INV_4!$A:$A,0),MATCH('2021'!$A$1,INV_4!$3:$3,0))/B41*10^3/C41</f>
        <v>0.22969245764605109</v>
      </c>
      <c r="R41" s="34">
        <f>INDEX(INV_5!$A:$J,MATCH('2021'!$A41,INV_5!$A:$A,0),MATCH('2021'!$A$1,INV_5!$3:$3,0))</f>
        <v>8.5099999999999995E-2</v>
      </c>
      <c r="S41" s="77">
        <f>INDEX(LUJ_1!$A:$J,MATCH('2021'!$A41,LUJ_1!$A:$A,0),MATCH('2021'!$A$1,LUJ_1!$3:$3,0))</f>
        <v>0.74971509971509975</v>
      </c>
      <c r="T41" s="73">
        <f>INDEX(LUJ_2!$A:$J,MATCH('2021'!$A41,LUJ_2!$A:$A,0),MATCH('2021'!$A$1,LUJ_2!$3:$3,0))</f>
        <v>0.20699999999999999</v>
      </c>
      <c r="U41" s="73">
        <f>INDEX(LUJ_3!$A:$J,MATCH('2021'!$A41,LUJ_3!$A:$A,0),MATCH('2021'!$A$1,LUJ_3!$3:$3,0))</f>
        <v>0.36289300932857305</v>
      </c>
      <c r="V41" s="14">
        <f>INDEX(LUJ_4!$A:$J,MATCH('2021'!$A41,LUJ_4!$A:$A,0),MATCH('2021'!$A$1,LUJ_4!$3:$3,0))</f>
        <v>27</v>
      </c>
      <c r="W41" s="34">
        <f>INDEX(LUJ_5!$A:$J,MATCH('2021'!$A41,LUJ_5!$A:$A,0),MATCH('2021'!$A$1,LUJ_5!$3:$3,0))</f>
        <v>21.2</v>
      </c>
      <c r="X41" s="98">
        <f>1/INDEX(GUL_1!$A:$J,MATCH('2021'!$A41,GUL_1!$A:$A,0),MATCH('2021'!$A$1,GUL_1!$3:$3,0))</f>
        <v>1.4459224985540775E-2</v>
      </c>
      <c r="Y41" s="57">
        <f>INDEX(GUL_2!$A:$J,MATCH('2021'!$A41,GUL_2!$A:$A,0),MATCH('2021'!$A$1,GUL_2!$3:$3,0))</f>
        <v>26.5</v>
      </c>
      <c r="Z41" s="57">
        <f>INDEX(GUL_3!$A:$J,MATCH('2021'!$A41,GUL_3!$A:$A,0),MATCH('2021'!$A$1,GUL_3!$3:$3,0))/(B41/1000)</f>
        <v>0.8669678667706151</v>
      </c>
      <c r="AA41" s="101">
        <f>INDEX(GUL_4!$A:$J,MATCH('2021'!$A41,GUL_4!$A:$A,0),MATCH('2021'!$A$1,GUL_4!$3:$3,0))/B41/C41*10^6</f>
        <v>0.32448658033442529</v>
      </c>
      <c r="AB41" s="73">
        <f>INDEX(GUL_5!$A:$J,MATCH('2021'!$A41,GUL_5!$A:$A,0),MATCH('2021'!$A$1,GUL_5!$3:$3,0))</f>
        <v>3.6744503089722519E-2</v>
      </c>
      <c r="AC41" s="49">
        <f>INDEX(GUL_6!$A:$J,MATCH('2021'!$A41,GUL_6!$A:$A,0),MATCH('2021'!$A$1,GUL_6!$3:$3,0))</f>
        <v>2.1992348021999997E-2</v>
      </c>
      <c r="AD41" s="49">
        <f>INDEX(GUL_7!$A:$J,MATCH('2021'!$A41,GUL_7!$A:$A,0),MATCH('2021'!$A$1,GUL_7!$3:$3,0))</f>
        <v>0.19</v>
      </c>
      <c r="AE41" s="103">
        <f>INDEX(GUL_8!$A:$J,MATCH('2021'!$A41,GUL_8!$A:$A,0),MATCH('2021'!$A$1,GUL_8!$3:$3,0))/(B41/1000)</f>
        <v>1.7066962231009832</v>
      </c>
      <c r="AF41" s="41">
        <f>INDEX(DES_1!$A:$J,MATCH('2021'!$A41,DES_1!$A:$A,0),MATCH('2021'!$A$1,DES_1!$3:$3,0))/(B41/1000)</f>
        <v>0.11083662868790095</v>
      </c>
      <c r="AG41" s="100">
        <f>INDEX(DES_2!$A:$J,MATCH('2021'!$A41,DES_2!$A:$A,0),MATCH('2021'!$A$1,DES_2!$3:$3,0))/(B41/1000)</f>
        <v>0.30620966908691277</v>
      </c>
      <c r="AH41" s="57">
        <f>1/INDEX(DES_3!$A:$J,MATCH('2021'!$A41,DES_3!$A:$A,0),MATCH('2021'!$A$1,DES_3!$3:$3,0))</f>
        <v>7.4404761904761901E-3</v>
      </c>
      <c r="AI41" s="80">
        <f>INDEX(DES_4!$A:$J,MATCH('2021'!$A41,DES_4!$A:$A,0),MATCH('2021'!$A$1,DES_4!$3:$3,0))</f>
        <v>0.79196887894900003</v>
      </c>
      <c r="AJ41" s="110">
        <f>INDEX(DES_5!$A:$J,MATCH('2021'!$A41,DES_5!$A:$A,0),MATCH('2021'!$A$1,DES_5!$3:$3,0))</f>
        <v>0.47413183865599995</v>
      </c>
      <c r="AK41" s="57">
        <v>64</v>
      </c>
    </row>
    <row r="42" spans="1:37" x14ac:dyDescent="0.3">
      <c r="A42" s="29" t="s">
        <v>41</v>
      </c>
      <c r="B42" s="33">
        <f>INDEX(Population!$A:$J,MATCH('2021'!$A42,Population!$A:$A,0),MATCH('2021'!$A$1,Population!$3:$3,0))</f>
        <v>1199376</v>
      </c>
      <c r="C42" s="14">
        <f>INDEX(Income!$A:$J,MATCH('2021'!$A42,Income!$A:$A,0),MATCH('2021'!$A$1,Income!$3:$3,0))</f>
        <v>26849</v>
      </c>
      <c r="D42" s="34">
        <f>INDEX(Livable_wage!$A:$J,MATCH('2021'!$A42,Livable_wage!$A:$A,0),MATCH('2021'!$A$1,Livable_wage!$3:$3,0))</f>
        <v>10642</v>
      </c>
      <c r="E42" s="41">
        <f>INDEX(AVA_1!$A:$J,MATCH('2021'!$A42,AVA_1!$A:$A,0),MATCH('2021'!$A$1,AVA_1!$3:$3,0))</f>
        <v>0.35199999999999998</v>
      </c>
      <c r="F42" s="15">
        <f>INDEX(AVA_2!$A:$J,MATCH('2021'!$A42,AVA_2!$A:$A,0),MATCH('2021'!$A$1,AVA_2!$3:$3,0))</f>
        <v>1.315004923177273E-2</v>
      </c>
      <c r="G42" s="15">
        <f>INDEX(AVA_3!$A:$J,MATCH('2021'!$A42,AVA_3!$A:$A,0),MATCH('2021'!$A$1,AVA_3!$3:$3,0))</f>
        <v>0.14306765327367008</v>
      </c>
      <c r="H42" s="87">
        <f>INDEX(AVA_4!$A:$J,MATCH('2021'!$A42,AVA_4!$A:$A,0),MATCH('2021'!$A$1,AVA_4!$3:$3,0))/(B42/1000)</f>
        <v>0.73621616573951787</v>
      </c>
      <c r="I42" s="89">
        <f>INDEX(AVA_5!$A:$J,MATCH('2021'!$A42,AVA_5!$A:$A,0),MATCH('2021'!$A$1,AVA_5!$3:$3,0))/(B42/1000)</f>
        <v>3.2166726697882901</v>
      </c>
      <c r="J42" s="93">
        <f>INDEX(IRA_1!$A:$J,MATCH('2021'!$A42,IRA_1!$A:$A,0),MATCH('2021'!$A$1,IRA_1!$3:$3,0))/(B42/1000)</f>
        <v>7.2537719614199386E-2</v>
      </c>
      <c r="K42" s="88">
        <f>INDEX(IRA_2!$A:$J,MATCH('2021'!$A42,IRA_2!$A:$A,0),MATCH('2021'!$A$1,IRA_2!$3:$3,0))/(B42/1000)</f>
        <v>0.10422086151465429</v>
      </c>
      <c r="L42" s="15">
        <f>INDEX(IRA_3!$A:$J,MATCH('2021'!$A42,IRA_3!$A:$A,0),MATCH('2021'!$A$1,IRA_3!$3:$3,0))</f>
        <v>0.3869125326370757</v>
      </c>
      <c r="M42" s="96">
        <f>INDEX(IRA_4!$A:$J,MATCH('2021'!$A42,IRA_4!$A:$A,0),MATCH('2021'!$A$1,IRA_4!$3:$3,0))/(B42/1000)</f>
        <v>1.7334013687117302</v>
      </c>
      <c r="N42" s="61">
        <f>INDEX(INV_1!$A:$J,MATCH('2021'!$A42,INV_1!$A:$A,0),MATCH('2021'!$A$1,INV_1!$3:$3,0))</f>
        <v>6.9701112050845726E-2</v>
      </c>
      <c r="O42" s="80">
        <f>INDEX(INV_2!$A:$J,MATCH('2021'!$A42,INV_2!$A:$A,0),MATCH('2021'!$A$1,INV_2!$3:$3,0))/B42*10^6/C42</f>
        <v>0.36607335366421634</v>
      </c>
      <c r="P42" s="87">
        <f>INDEX(INV_3!$A:$J,MATCH('2021'!$A42,INV_3!$A:$A,0),MATCH('2021'!$A$1,INV_3!$3:$3,0))/B42*10^6/C42</f>
        <v>5.0859811473078524</v>
      </c>
      <c r="Q42" s="87">
        <f>INDEX(INV_4!$A:$J,MATCH('2021'!$A42,INV_4!$A:$A,0),MATCH('2021'!$A$1,INV_4!$3:$3,0))/B42*10^3/C42</f>
        <v>0.27269864899005181</v>
      </c>
      <c r="R42" s="34">
        <f>INDEX(INV_5!$A:$J,MATCH('2021'!$A42,INV_5!$A:$A,0),MATCH('2021'!$A$1,INV_5!$3:$3,0))</f>
        <v>7.0400000000000004E-2</v>
      </c>
      <c r="S42" s="77">
        <f>INDEX(LUJ_1!$A:$J,MATCH('2021'!$A42,LUJ_1!$A:$A,0),MATCH('2021'!$A$1,LUJ_1!$3:$3,0))</f>
        <v>0.77554636739515648</v>
      </c>
      <c r="T42" s="73">
        <f>INDEX(LUJ_2!$A:$J,MATCH('2021'!$A42,LUJ_2!$A:$A,0),MATCH('2021'!$A$1,LUJ_2!$3:$3,0))</f>
        <v>0.16399999999999998</v>
      </c>
      <c r="U42" s="73">
        <f>INDEX(LUJ_3!$A:$J,MATCH('2021'!$A42,LUJ_3!$A:$A,0),MATCH('2021'!$A$1,LUJ_3!$3:$3,0))</f>
        <v>0.38239119559779888</v>
      </c>
      <c r="V42" s="14">
        <f>INDEX(LUJ_4!$A:$J,MATCH('2021'!$A42,LUJ_4!$A:$A,0),MATCH('2021'!$A$1,LUJ_4!$3:$3,0))</f>
        <v>11</v>
      </c>
      <c r="W42" s="34">
        <f>INDEX(LUJ_5!$A:$J,MATCH('2021'!$A42,LUJ_5!$A:$A,0),MATCH('2021'!$A$1,LUJ_5!$3:$3,0))</f>
        <v>41.5</v>
      </c>
      <c r="X42" s="98">
        <f>1/INDEX(GUL_1!$A:$J,MATCH('2021'!$A42,GUL_1!$A:$A,0),MATCH('2021'!$A$1,GUL_1!$3:$3,0))</f>
        <v>1.4482259232440261E-2</v>
      </c>
      <c r="Y42" s="57">
        <f>INDEX(GUL_2!$A:$J,MATCH('2021'!$A42,GUL_2!$A:$A,0),MATCH('2021'!$A$1,GUL_2!$3:$3,0))</f>
        <v>25.7</v>
      </c>
      <c r="Z42" s="57">
        <f>INDEX(GUL_3!$A:$J,MATCH('2021'!$A42,GUL_3!$A:$A,0),MATCH('2021'!$A$1,GUL_3!$3:$3,0))/(B42/1000)</f>
        <v>0.85794613198863412</v>
      </c>
      <c r="AA42" s="101">
        <f>INDEX(GUL_4!$A:$J,MATCH('2021'!$A42,GUL_4!$A:$A,0),MATCH('2021'!$A$1,GUL_4!$3:$3,0))/B42/C42*10^6</f>
        <v>0.24727279579101569</v>
      </c>
      <c r="AB42" s="73">
        <f>INDEX(GUL_5!$A:$J,MATCH('2021'!$A42,GUL_5!$A:$A,0),MATCH('2021'!$A$1,GUL_5!$3:$3,0))</f>
        <v>1.6355485285405803E-2</v>
      </c>
      <c r="AC42" s="49">
        <f>INDEX(GUL_6!$A:$J,MATCH('2021'!$A42,GUL_6!$A:$A,0),MATCH('2021'!$A$1,GUL_6!$3:$3,0))</f>
        <v>1.3433723736E-2</v>
      </c>
      <c r="AD42" s="49">
        <f>INDEX(GUL_7!$A:$J,MATCH('2021'!$A42,GUL_7!$A:$A,0),MATCH('2021'!$A$1,GUL_7!$3:$3,0))</f>
        <v>0.13919999999999999</v>
      </c>
      <c r="AE42" s="103">
        <f>INDEX(GUL_8!$A:$J,MATCH('2021'!$A42,GUL_8!$A:$A,0),MATCH('2021'!$A$1,GUL_8!$3:$3,0))/(B42/1000)</f>
        <v>1.907658649164232</v>
      </c>
      <c r="AF42" s="41">
        <f>INDEX(DES_1!$A:$J,MATCH('2021'!$A42,DES_1!$A:$A,0),MATCH('2021'!$A$1,DES_1!$3:$3,0))/(B42/1000)</f>
        <v>0.10422086151465429</v>
      </c>
      <c r="AG42" s="100">
        <f>INDEX(DES_2!$A:$J,MATCH('2021'!$A42,DES_2!$A:$A,0),MATCH('2021'!$A$1,DES_2!$3:$3,0))/(B42/1000)</f>
        <v>0.49942636837822335</v>
      </c>
      <c r="AH42" s="57">
        <f>1/INDEX(DES_3!$A:$J,MATCH('2021'!$A42,DES_3!$A:$A,0),MATCH('2021'!$A$1,DES_3!$3:$3,0))</f>
        <v>7.9681274900398405E-3</v>
      </c>
      <c r="AI42" s="80">
        <f>INDEX(DES_4!$A:$J,MATCH('2021'!$A42,DES_4!$A:$A,0),MATCH('2021'!$A$1,DES_4!$3:$3,0))</f>
        <v>0.64223015205199996</v>
      </c>
      <c r="AJ42" s="110">
        <f>INDEX(DES_5!$A:$J,MATCH('2021'!$A42,DES_5!$A:$A,0),MATCH('2021'!$A$1,DES_5!$3:$3,0))</f>
        <v>0.333004912205</v>
      </c>
      <c r="AK42" s="57">
        <v>63</v>
      </c>
    </row>
    <row r="43" spans="1:37" x14ac:dyDescent="0.3">
      <c r="A43" s="29" t="s">
        <v>42</v>
      </c>
      <c r="B43" s="33">
        <f>INDEX(Population!$A:$J,MATCH('2021'!$A43,Population!$A:$A,0),MATCH('2021'!$A$1,Population!$3:$3,0))</f>
        <v>678070</v>
      </c>
      <c r="C43" s="14">
        <f>INDEX(Income!$A:$J,MATCH('2021'!$A43,Income!$A:$A,0),MATCH('2021'!$A$1,Income!$3:$3,0))</f>
        <v>23184</v>
      </c>
      <c r="D43" s="34">
        <f>INDEX(Livable_wage!$A:$J,MATCH('2021'!$A43,Livable_wage!$A:$A,0),MATCH('2021'!$A$1,Livable_wage!$3:$3,0))</f>
        <v>10184</v>
      </c>
      <c r="E43" s="41">
        <f>INDEX(AVA_1!$A:$J,MATCH('2021'!$A43,AVA_1!$A:$A,0),MATCH('2021'!$A$1,AVA_1!$3:$3,0))</f>
        <v>0.35699999999999998</v>
      </c>
      <c r="F43" s="15">
        <f>INDEX(AVA_2!$A:$J,MATCH('2021'!$A43,AVA_2!$A:$A,0),MATCH('2021'!$A$1,AVA_2!$3:$3,0))</f>
        <v>9.3832834666272291E-3</v>
      </c>
      <c r="G43" s="15">
        <f>INDEX(AVA_3!$A:$J,MATCH('2021'!$A43,AVA_3!$A:$A,0),MATCH('2021'!$A$1,AVA_3!$3:$3,0))</f>
        <v>7.0545728501398381E-3</v>
      </c>
      <c r="H43" s="87">
        <f>INDEX(AVA_4!$A:$J,MATCH('2021'!$A43,AVA_4!$A:$A,0),MATCH('2021'!$A$1,AVA_4!$3:$3,0))/(B43/1000)</f>
        <v>0.68282035778017014</v>
      </c>
      <c r="I43" s="89">
        <f>INDEX(AVA_5!$A:$J,MATCH('2021'!$A43,AVA_5!$A:$A,0),MATCH('2021'!$A$1,AVA_5!$3:$3,0))/(B43/1000)</f>
        <v>3.740026840886634</v>
      </c>
      <c r="J43" s="93">
        <f>INDEX(IRA_1!$A:$J,MATCH('2021'!$A43,IRA_1!$A:$A,0),MATCH('2021'!$A$1,IRA_1!$3:$3,0))/(B43/1000)</f>
        <v>6.4890055598979451E-2</v>
      </c>
      <c r="K43" s="88">
        <f>INDEX(IRA_2!$A:$J,MATCH('2021'!$A43,IRA_2!$A:$A,0),MATCH('2021'!$A$1,IRA_2!$3:$3,0))/(B43/1000)</f>
        <v>0.1268305632161871</v>
      </c>
      <c r="L43" s="15">
        <f>INDEX(IRA_3!$A:$J,MATCH('2021'!$A43,IRA_3!$A:$A,0),MATCH('2021'!$A$1,IRA_3!$3:$3,0))</f>
        <v>0.41694202463202168</v>
      </c>
      <c r="M43" s="96">
        <f>INDEX(IRA_4!$A:$J,MATCH('2021'!$A43,IRA_4!$A:$A,0),MATCH('2021'!$A$1,IRA_4!$3:$3,0))/(B43/1000)</f>
        <v>3.6825106552420839</v>
      </c>
      <c r="N43" s="61">
        <f>INDEX(INV_1!$A:$J,MATCH('2021'!$A43,INV_1!$A:$A,0),MATCH('2021'!$A$1,INV_1!$3:$3,0))</f>
        <v>9.3367785628407599E-2</v>
      </c>
      <c r="O43" s="80">
        <f>INDEX(INV_2!$A:$J,MATCH('2021'!$A43,INV_2!$A:$A,0),MATCH('2021'!$A$1,INV_2!$3:$3,0))/B43*10^6/C43</f>
        <v>0.46302823748232658</v>
      </c>
      <c r="P43" s="87">
        <f>INDEX(INV_3!$A:$J,MATCH('2021'!$A43,INV_3!$A:$A,0),MATCH('2021'!$A$1,INV_3!$3:$3,0))/B43*10^6/C43</f>
        <v>5.3134229073804375</v>
      </c>
      <c r="Q43" s="87">
        <f>INDEX(INV_4!$A:$J,MATCH('2021'!$A43,INV_4!$A:$A,0),MATCH('2021'!$A$1,INV_4!$3:$3,0))/B43*10^3/C43</f>
        <v>0.29318726971732367</v>
      </c>
      <c r="R43" s="34">
        <f>INDEX(INV_5!$A:$J,MATCH('2021'!$A43,INV_5!$A:$A,0),MATCH('2021'!$A$1,INV_5!$3:$3,0))</f>
        <v>7.2800000000000004E-2</v>
      </c>
      <c r="S43" s="77">
        <f>INDEX(LUJ_1!$A:$J,MATCH('2021'!$A43,LUJ_1!$A:$A,0),MATCH('2021'!$A$1,LUJ_1!$3:$3,0))</f>
        <v>0.80431979368149575</v>
      </c>
      <c r="T43" s="73">
        <f>INDEX(LUJ_2!$A:$J,MATCH('2021'!$A43,LUJ_2!$A:$A,0),MATCH('2021'!$A$1,LUJ_2!$3:$3,0))</f>
        <v>0.24399999999999999</v>
      </c>
      <c r="U43" s="73">
        <f>INDEX(LUJ_3!$A:$J,MATCH('2021'!$A43,LUJ_3!$A:$A,0),MATCH('2021'!$A$1,LUJ_3!$3:$3,0))</f>
        <v>0.54498513534658111</v>
      </c>
      <c r="V43" s="14">
        <f>INDEX(LUJ_4!$A:$J,MATCH('2021'!$A43,LUJ_4!$A:$A,0),MATCH('2021'!$A$1,LUJ_4!$3:$3,0))</f>
        <v>9</v>
      </c>
      <c r="W43" s="34">
        <f>INDEX(LUJ_5!$A:$J,MATCH('2021'!$A43,LUJ_5!$A:$A,0),MATCH('2021'!$A$1,LUJ_5!$3:$3,0))</f>
        <v>34.9</v>
      </c>
      <c r="X43" s="98">
        <f>1/INDEX(GUL_1!$A:$J,MATCH('2021'!$A43,GUL_1!$A:$A,0),MATCH('2021'!$A$1,GUL_1!$3:$3,0))</f>
        <v>1.439677512237259E-2</v>
      </c>
      <c r="Y43" s="57">
        <f>INDEX(GUL_2!$A:$J,MATCH('2021'!$A43,GUL_2!$A:$A,0),MATCH('2021'!$A$1,GUL_2!$3:$3,0))</f>
        <v>25.5</v>
      </c>
      <c r="Z43" s="57">
        <f>INDEX(GUL_3!$A:$J,MATCH('2021'!$A43,GUL_3!$A:$A,0),MATCH('2021'!$A$1,GUL_3!$3:$3,0))/(B43/1000)</f>
        <v>1.1370507469730262</v>
      </c>
      <c r="AA43" s="101">
        <f>INDEX(GUL_4!$A:$J,MATCH('2021'!$A43,GUL_4!$A:$A,0),MATCH('2021'!$A$1,GUL_4!$3:$3,0))/B43/C43*10^6</f>
        <v>0.35792975949693129</v>
      </c>
      <c r="AB43" s="73">
        <f>INDEX(GUL_5!$A:$J,MATCH('2021'!$A43,GUL_5!$A:$A,0),MATCH('2021'!$A$1,GUL_5!$3:$3,0))</f>
        <v>2.7315919747142405E-2</v>
      </c>
      <c r="AC43" s="49">
        <f>INDEX(GUL_6!$A:$J,MATCH('2021'!$A43,GUL_6!$A:$A,0),MATCH('2021'!$A$1,GUL_6!$3:$3,0))</f>
        <v>6.4759690332999997E-2</v>
      </c>
      <c r="AD43" s="49">
        <f>INDEX(GUL_7!$A:$J,MATCH('2021'!$A43,GUL_7!$A:$A,0),MATCH('2021'!$A$1,GUL_7!$3:$3,0))</f>
        <v>0.158</v>
      </c>
      <c r="AE43" s="103">
        <f>INDEX(GUL_8!$A:$J,MATCH('2021'!$A43,GUL_8!$A:$A,0),MATCH('2021'!$A$1,GUL_8!$3:$3,0))/(B43/1000)</f>
        <v>1.8906602563157195</v>
      </c>
      <c r="AF43" s="41">
        <f>INDEX(DES_1!$A:$J,MATCH('2021'!$A43,DES_1!$A:$A,0),MATCH('2021'!$A$1,DES_1!$3:$3,0))/(B43/1000)</f>
        <v>0.15337649505213324</v>
      </c>
      <c r="AG43" s="100">
        <f>INDEX(DES_2!$A:$J,MATCH('2021'!$A43,DES_2!$A:$A,0),MATCH('2021'!$A$1,DES_2!$3:$3,0))/(B43/1000)</f>
        <v>0.1784476528971935</v>
      </c>
      <c r="AH43" s="57">
        <f>1/INDEX(DES_3!$A:$J,MATCH('2021'!$A43,DES_3!$A:$A,0),MATCH('2021'!$A$1,DES_3!$3:$3,0))</f>
        <v>7.7459333849728895E-3</v>
      </c>
      <c r="AI43" s="80">
        <f>INDEX(DES_4!$A:$J,MATCH('2021'!$A43,DES_4!$A:$A,0),MATCH('2021'!$A$1,DES_4!$3:$3,0))</f>
        <v>0.81348401103900003</v>
      </c>
      <c r="AJ43" s="110">
        <f>INDEX(DES_5!$A:$J,MATCH('2021'!$A43,DES_5!$A:$A,0),MATCH('2021'!$A$1,DES_5!$3:$3,0))</f>
        <v>0.384417091243</v>
      </c>
      <c r="AK43" s="57">
        <v>60</v>
      </c>
    </row>
    <row r="44" spans="1:37" x14ac:dyDescent="0.3">
      <c r="A44" s="29" t="s">
        <v>43</v>
      </c>
      <c r="B44" s="33">
        <f>INDEX(Population!$A:$J,MATCH('2021'!$A44,Population!$A:$A,0),MATCH('2021'!$A$1,Population!$3:$3,0))</f>
        <v>893606</v>
      </c>
      <c r="C44" s="14">
        <f>INDEX(Income!$A:$J,MATCH('2021'!$A44,Income!$A:$A,0),MATCH('2021'!$A$1,Income!$3:$3,0))</f>
        <v>30731</v>
      </c>
      <c r="D44" s="34">
        <f>INDEX(Livable_wage!$A:$J,MATCH('2021'!$A44,Livable_wage!$A:$A,0),MATCH('2021'!$A$1,Livable_wage!$3:$3,0))</f>
        <v>11201</v>
      </c>
      <c r="E44" s="41">
        <f>INDEX(AVA_1!$A:$J,MATCH('2021'!$A44,AVA_1!$A:$A,0),MATCH('2021'!$A$1,AVA_1!$3:$3,0))</f>
        <v>0.38300000000000001</v>
      </c>
      <c r="F44" s="15">
        <f>INDEX(AVA_2!$A:$J,MATCH('2021'!$A44,AVA_2!$A:$A,0),MATCH('2021'!$A$1,AVA_2!$3:$3,0))</f>
        <v>8.2328967069984337E-3</v>
      </c>
      <c r="G44" s="15">
        <f>INDEX(AVA_3!$A:$J,MATCH('2021'!$A44,AVA_3!$A:$A,0),MATCH('2021'!$A$1,AVA_3!$3:$3,0))</f>
        <v>2.1689612961012576E-2</v>
      </c>
      <c r="H44" s="87">
        <f>INDEX(AVA_4!$A:$J,MATCH('2021'!$A44,AVA_4!$A:$A,0),MATCH('2021'!$A$1,AVA_4!$3:$3,0))/(B44/1000)</f>
        <v>0.85608198691593385</v>
      </c>
      <c r="I44" s="89">
        <f>INDEX(AVA_5!$A:$J,MATCH('2021'!$A44,AVA_5!$A:$A,0),MATCH('2021'!$A$1,AVA_5!$3:$3,0))/(B44/1000)</f>
        <v>5.4285669523257454</v>
      </c>
      <c r="J44" s="93">
        <f>INDEX(IRA_1!$A:$J,MATCH('2021'!$A44,IRA_1!$A:$A,0),MATCH('2021'!$A$1,IRA_1!$3:$3,0))/(B44/1000)</f>
        <v>6.4905562406698258E-2</v>
      </c>
      <c r="K44" s="88">
        <f>INDEX(IRA_2!$A:$J,MATCH('2021'!$A44,IRA_2!$A:$A,0),MATCH('2021'!$A$1,IRA_2!$3:$3,0))/(B44/1000)</f>
        <v>0.1163823877637348</v>
      </c>
      <c r="L44" s="15">
        <f>INDEX(IRA_3!$A:$J,MATCH('2021'!$A44,IRA_3!$A:$A,0),MATCH('2021'!$A$1,IRA_3!$3:$3,0))</f>
        <v>0.4195233431276526</v>
      </c>
      <c r="M44" s="96">
        <f>INDEX(IRA_4!$A:$J,MATCH('2021'!$A44,IRA_4!$A:$A,0),MATCH('2021'!$A$1,IRA_4!$3:$3,0))/(B44/1000)</f>
        <v>4.4997459730574771</v>
      </c>
      <c r="N44" s="61">
        <f>INDEX(INV_1!$A:$J,MATCH('2021'!$A44,INV_1!$A:$A,0),MATCH('2021'!$A$1,INV_1!$3:$3,0))</f>
        <v>8.0045925842952406E-2</v>
      </c>
      <c r="O44" s="80">
        <f>INDEX(INV_2!$A:$J,MATCH('2021'!$A44,INV_2!$A:$A,0),MATCH('2021'!$A$1,INV_2!$3:$3,0))/B44*10^6/C44</f>
        <v>0.3249822479079692</v>
      </c>
      <c r="P44" s="87">
        <f>INDEX(INV_3!$A:$J,MATCH('2021'!$A44,INV_3!$A:$A,0),MATCH('2021'!$A$1,INV_3!$3:$3,0))/B44*10^6/C44</f>
        <v>4.4530130781483725</v>
      </c>
      <c r="Q44" s="87">
        <f>INDEX(INV_4!$A:$J,MATCH('2021'!$A44,INV_4!$A:$A,0),MATCH('2021'!$A$1,INV_4!$3:$3,0))/B44*10^3/C44</f>
        <v>0.24739679401206024</v>
      </c>
      <c r="R44" s="34">
        <f>INDEX(INV_5!$A:$J,MATCH('2021'!$A44,INV_5!$A:$A,0),MATCH('2021'!$A$1,INV_5!$3:$3,0))</f>
        <v>5.3499999999999999E-2</v>
      </c>
      <c r="S44" s="77">
        <f>INDEX(LUJ_1!$A:$J,MATCH('2021'!$A44,LUJ_1!$A:$A,0),MATCH('2021'!$A$1,LUJ_1!$3:$3,0))</f>
        <v>0.75013779165901162</v>
      </c>
      <c r="T44" s="73">
        <f>INDEX(LUJ_2!$A:$J,MATCH('2021'!$A44,LUJ_2!$A:$A,0),MATCH('2021'!$A$1,LUJ_2!$3:$3,0))</f>
        <v>0.22699999999999998</v>
      </c>
      <c r="U44" s="73">
        <f>INDEX(LUJ_3!$A:$J,MATCH('2021'!$A44,LUJ_3!$A:$A,0),MATCH('2021'!$A$1,LUJ_3!$3:$3,0))</f>
        <v>0.52482500406967281</v>
      </c>
      <c r="V44" s="14">
        <f>INDEX(LUJ_4!$A:$J,MATCH('2021'!$A44,LUJ_4!$A:$A,0),MATCH('2021'!$A$1,LUJ_4!$3:$3,0))</f>
        <v>12</v>
      </c>
      <c r="W44" s="34">
        <f>INDEX(LUJ_5!$A:$J,MATCH('2021'!$A44,LUJ_5!$A:$A,0),MATCH('2021'!$A$1,LUJ_5!$3:$3,0))</f>
        <v>18.100000000000001</v>
      </c>
      <c r="X44" s="98">
        <f>1/INDEX(GUL_1!$A:$J,MATCH('2021'!$A44,GUL_1!$A:$A,0),MATCH('2021'!$A$1,GUL_1!$3:$3,0))</f>
        <v>1.4705882352941176E-2</v>
      </c>
      <c r="Y44" s="57">
        <f>INDEX(GUL_2!$A:$J,MATCH('2021'!$A44,GUL_2!$A:$A,0),MATCH('2021'!$A$1,GUL_2!$3:$3,0))</f>
        <v>26.400000000000002</v>
      </c>
      <c r="Z44" s="57">
        <f>INDEX(GUL_3!$A:$J,MATCH('2021'!$A44,GUL_3!$A:$A,0),MATCH('2021'!$A$1,GUL_3!$3:$3,0))/(B44/1000)</f>
        <v>0.84265324986627221</v>
      </c>
      <c r="AA44" s="101">
        <f>INDEX(GUL_4!$A:$J,MATCH('2021'!$A44,GUL_4!$A:$A,0),MATCH('2021'!$A$1,GUL_4!$3:$3,0))/B44/C44*10^6</f>
        <v>0.25832981762174223</v>
      </c>
      <c r="AB44" s="73">
        <f>INDEX(GUL_5!$A:$J,MATCH('2021'!$A44,GUL_5!$A:$A,0),MATCH('2021'!$A$1,GUL_5!$3:$3,0))</f>
        <v>1.3554950345940786E-2</v>
      </c>
      <c r="AC44" s="49">
        <f>INDEX(GUL_6!$A:$J,MATCH('2021'!$A44,GUL_6!$A:$A,0),MATCH('2021'!$A$1,GUL_6!$3:$3,0))</f>
        <v>3.5162715471E-2</v>
      </c>
      <c r="AD44" s="49">
        <f>INDEX(GUL_7!$A:$J,MATCH('2021'!$A44,GUL_7!$A:$A,0),MATCH('2021'!$A$1,GUL_7!$3:$3,0))</f>
        <v>0.2306</v>
      </c>
      <c r="AE44" s="103">
        <f>INDEX(GUL_8!$A:$J,MATCH('2021'!$A44,GUL_8!$A:$A,0),MATCH('2021'!$A$1,GUL_8!$3:$3,0))/(B44/1000)</f>
        <v>2.2291703502438436</v>
      </c>
      <c r="AF44" s="41">
        <f>INDEX(DES_1!$A:$J,MATCH('2021'!$A44,DES_1!$A:$A,0),MATCH('2021'!$A$1,DES_1!$3:$3,0))/(B44/1000)</f>
        <v>9.7358343610047388E-2</v>
      </c>
      <c r="AG44" s="100">
        <f>INDEX(DES_2!$A:$J,MATCH('2021'!$A44,DES_2!$A:$A,0),MATCH('2021'!$A$1,DES_2!$3:$3,0))/(B44/1000)</f>
        <v>0.52372074493680665</v>
      </c>
      <c r="AH44" s="57">
        <f>1/INDEX(DES_3!$A:$J,MATCH('2021'!$A44,DES_3!$A:$A,0),MATCH('2021'!$A$1,DES_3!$3:$3,0))</f>
        <v>7.3746312684365781E-3</v>
      </c>
      <c r="AI44" s="80">
        <f>INDEX(DES_4!$A:$J,MATCH('2021'!$A44,DES_4!$A:$A,0),MATCH('2021'!$A$1,DES_4!$3:$3,0))</f>
        <v>0.52246866964299998</v>
      </c>
      <c r="AJ44" s="110">
        <f>INDEX(DES_5!$A:$J,MATCH('2021'!$A44,DES_5!$A:$A,0),MATCH('2021'!$A$1,DES_5!$3:$3,0))</f>
        <v>0.45040236233900005</v>
      </c>
      <c r="AK44" s="57">
        <v>58</v>
      </c>
    </row>
    <row r="45" spans="1:37" x14ac:dyDescent="0.3">
      <c r="A45" s="29" t="s">
        <v>44</v>
      </c>
      <c r="B45" s="33">
        <f>INDEX(Population!$A:$J,MATCH('2021'!$A45,Population!$A:$A,0),MATCH('2021'!$A$1,Population!$3:$3,0))</f>
        <v>2537933</v>
      </c>
      <c r="C45" s="14">
        <f>INDEX(Income!$A:$J,MATCH('2021'!$A45,Income!$A:$A,0),MATCH('2021'!$A$1,Income!$3:$3,0))</f>
        <v>32750</v>
      </c>
      <c r="D45" s="34">
        <f>INDEX(Livable_wage!$A:$J,MATCH('2021'!$A45,Livable_wage!$A:$A,0),MATCH('2021'!$A$1,Livable_wage!$3:$3,0))</f>
        <v>10844</v>
      </c>
      <c r="E45" s="41">
        <f>INDEX(AVA_1!$A:$J,MATCH('2021'!$A45,AVA_1!$A:$A,0),MATCH('2021'!$A$1,AVA_1!$3:$3,0))</f>
        <v>0.38500000000000001</v>
      </c>
      <c r="F45" s="15">
        <f>INDEX(AVA_2!$A:$J,MATCH('2021'!$A45,AVA_2!$A:$A,0),MATCH('2021'!$A$1,AVA_2!$3:$3,0))</f>
        <v>1.1360309082174806E-2</v>
      </c>
      <c r="G45" s="15">
        <f>INDEX(AVA_3!$A:$J,MATCH('2021'!$A45,AVA_3!$A:$A,0),MATCH('2021'!$A$1,AVA_3!$3:$3,0))</f>
        <v>2.4497685085669487E-2</v>
      </c>
      <c r="H45" s="87">
        <f>INDEX(AVA_4!$A:$J,MATCH('2021'!$A45,AVA_4!$A:$A,0),MATCH('2021'!$A$1,AVA_4!$3:$3,0))/(B45/1000)</f>
        <v>0.72657552425536842</v>
      </c>
      <c r="I45" s="89">
        <f>INDEX(AVA_5!$A:$J,MATCH('2021'!$A45,AVA_5!$A:$A,0),MATCH('2021'!$A$1,AVA_5!$3:$3,0))/(B45/1000)</f>
        <v>5.6719385421128141</v>
      </c>
      <c r="J45" s="93">
        <f>INDEX(IRA_1!$A:$J,MATCH('2021'!$A45,IRA_1!$A:$A,0),MATCH('2021'!$A$1,IRA_1!$3:$3,0))/(B45/1000)</f>
        <v>6.4619515172386344E-2</v>
      </c>
      <c r="K45" s="88">
        <f>INDEX(IRA_2!$A:$J,MATCH('2021'!$A45,IRA_2!$A:$A,0),MATCH('2021'!$A$1,IRA_2!$3:$3,0))/(B45/1000)</f>
        <v>0.17533953812019465</v>
      </c>
      <c r="L45" s="15">
        <f>INDEX(IRA_3!$A:$J,MATCH('2021'!$A45,IRA_3!$A:$A,0),MATCH('2021'!$A$1,IRA_3!$3:$3,0))</f>
        <v>0.36573511543134873</v>
      </c>
      <c r="M45" s="96">
        <f>INDEX(IRA_4!$A:$J,MATCH('2021'!$A45,IRA_4!$A:$A,0),MATCH('2021'!$A$1,IRA_4!$3:$3,0))/(B45/1000)</f>
        <v>3.9744942045357385</v>
      </c>
      <c r="N45" s="61">
        <f>INDEX(INV_1!$A:$J,MATCH('2021'!$A45,INV_1!$A:$A,0),MATCH('2021'!$A$1,INV_1!$3:$3,0))</f>
        <v>6.8284507494555474E-2</v>
      </c>
      <c r="O45" s="80">
        <f>INDEX(INV_2!$A:$J,MATCH('2021'!$A45,INV_2!$A:$A,0),MATCH('2021'!$A$1,INV_2!$3:$3,0))/B45*10^6/C45</f>
        <v>0.33624528180413088</v>
      </c>
      <c r="P45" s="87">
        <f>INDEX(INV_3!$A:$J,MATCH('2021'!$A45,INV_3!$A:$A,0),MATCH('2021'!$A$1,INV_3!$3:$3,0))/B45*10^6/C45</f>
        <v>5.067260015222522</v>
      </c>
      <c r="Q45" s="87">
        <f>INDEX(INV_4!$A:$J,MATCH('2021'!$A45,INV_4!$A:$A,0),MATCH('2021'!$A$1,INV_4!$3:$3,0))/B45*10^3/C45</f>
        <v>0.24753034286123987</v>
      </c>
      <c r="R45" s="34">
        <f>INDEX(INV_5!$A:$J,MATCH('2021'!$A45,INV_5!$A:$A,0),MATCH('2021'!$A$1,INV_5!$3:$3,0))</f>
        <v>6.9500000000000006E-2</v>
      </c>
      <c r="S45" s="77">
        <f>INDEX(LUJ_1!$A:$J,MATCH('2021'!$A45,LUJ_1!$A:$A,0),MATCH('2021'!$A$1,LUJ_1!$3:$3,0))</f>
        <v>0.72761680213439228</v>
      </c>
      <c r="T45" s="73">
        <f>INDEX(LUJ_2!$A:$J,MATCH('2021'!$A45,LUJ_2!$A:$A,0),MATCH('2021'!$A$1,LUJ_2!$3:$3,0))</f>
        <v>0.28999999999999998</v>
      </c>
      <c r="U45" s="73">
        <f>INDEX(LUJ_3!$A:$J,MATCH('2021'!$A45,LUJ_3!$A:$A,0),MATCH('2021'!$A$1,LUJ_3!$3:$3,0))</f>
        <v>0.5378904352571432</v>
      </c>
      <c r="V45" s="14">
        <f>INDEX(LUJ_4!$A:$J,MATCH('2021'!$A45,LUJ_4!$A:$A,0),MATCH('2021'!$A$1,LUJ_4!$3:$3,0))</f>
        <v>49</v>
      </c>
      <c r="W45" s="34">
        <f>INDEX(LUJ_5!$A:$J,MATCH('2021'!$A45,LUJ_5!$A:$A,0),MATCH('2021'!$A$1,LUJ_5!$3:$3,0))</f>
        <v>90.1</v>
      </c>
      <c r="X45" s="98">
        <f>1/INDEX(GUL_1!$A:$J,MATCH('2021'!$A45,GUL_1!$A:$A,0),MATCH('2021'!$A$1,GUL_1!$3:$3,0))</f>
        <v>1.4594279042615295E-2</v>
      </c>
      <c r="Y45" s="57">
        <f>INDEX(GUL_2!$A:$J,MATCH('2021'!$A45,GUL_2!$A:$A,0),MATCH('2021'!$A$1,GUL_2!$3:$3,0))</f>
        <v>25.3</v>
      </c>
      <c r="Z45" s="57">
        <f>INDEX(GUL_3!$A:$J,MATCH('2021'!$A45,GUL_3!$A:$A,0),MATCH('2021'!$A$1,GUL_3!$3:$3,0))/(B45/1000)</f>
        <v>0.88891235505429023</v>
      </c>
      <c r="AA45" s="101">
        <f>INDEX(GUL_4!$A:$J,MATCH('2021'!$A45,GUL_4!$A:$A,0),MATCH('2021'!$A$1,GUL_4!$3:$3,0))/B45/C45*10^6</f>
        <v>0.28736362162460971</v>
      </c>
      <c r="AB45" s="73">
        <f>INDEX(GUL_5!$A:$J,MATCH('2021'!$A45,GUL_5!$A:$A,0),MATCH('2021'!$A$1,GUL_5!$3:$3,0))</f>
        <v>3.7703395157685608E-2</v>
      </c>
      <c r="AC45" s="49">
        <f>INDEX(GUL_6!$A:$J,MATCH('2021'!$A45,GUL_6!$A:$A,0),MATCH('2021'!$A$1,GUL_6!$3:$3,0))</f>
        <v>7.5661282888999995E-2</v>
      </c>
      <c r="AD45" s="49">
        <f>INDEX(GUL_7!$A:$J,MATCH('2021'!$A45,GUL_7!$A:$A,0),MATCH('2021'!$A$1,GUL_7!$3:$3,0))</f>
        <v>0.25079999999999997</v>
      </c>
      <c r="AE45" s="103">
        <f>INDEX(GUL_8!$A:$J,MATCH('2021'!$A45,GUL_8!$A:$A,0),MATCH('2021'!$A$1,GUL_8!$3:$3,0))/(B45/1000)</f>
        <v>2.5426203134598118</v>
      </c>
      <c r="AF45" s="41">
        <f>INDEX(DES_1!$A:$J,MATCH('2021'!$A45,DES_1!$A:$A,0),MATCH('2021'!$A$1,DES_1!$3:$3,0))/(B45/1000)</f>
        <v>0.25493186778374372</v>
      </c>
      <c r="AG45" s="100">
        <f>INDEX(DES_2!$A:$J,MATCH('2021'!$A45,DES_2!$A:$A,0),MATCH('2021'!$A$1,DES_2!$3:$3,0))/(B45/1000)</f>
        <v>0.446032263263057</v>
      </c>
      <c r="AH45" s="57">
        <f>1/INDEX(DES_3!$A:$J,MATCH('2021'!$A45,DES_3!$A:$A,0),MATCH('2021'!$A$1,DES_3!$3:$3,0))</f>
        <v>8.6430423509075184E-3</v>
      </c>
      <c r="AI45" s="80">
        <f>INDEX(DES_4!$A:$J,MATCH('2021'!$A45,DES_4!$A:$A,0),MATCH('2021'!$A$1,DES_4!$3:$3,0))</f>
        <v>0.93909269200099998</v>
      </c>
      <c r="AJ45" s="110">
        <f>INDEX(DES_5!$A:$J,MATCH('2021'!$A45,DES_5!$A:$A,0),MATCH('2021'!$A$1,DES_5!$3:$3,0))</f>
        <v>0.80135809411899994</v>
      </c>
      <c r="AK45" s="57">
        <v>56</v>
      </c>
    </row>
    <row r="46" spans="1:37" x14ac:dyDescent="0.3">
      <c r="A46" s="29" t="s">
        <v>45</v>
      </c>
      <c r="B46" s="33">
        <f>INDEX(Population!$A:$J,MATCH('2021'!$A46,Population!$A:$A,0),MATCH('2021'!$A$1,Population!$3:$3,0))</f>
        <v>931473</v>
      </c>
      <c r="C46" s="14">
        <f>INDEX(Income!$A:$J,MATCH('2021'!$A46,Income!$A:$A,0),MATCH('2021'!$A$1,Income!$3:$3,0))</f>
        <v>28680</v>
      </c>
      <c r="D46" s="34">
        <f>INDEX(Livable_wage!$A:$J,MATCH('2021'!$A46,Livable_wage!$A:$A,0),MATCH('2021'!$A$1,Livable_wage!$3:$3,0))</f>
        <v>10761</v>
      </c>
      <c r="E46" s="41">
        <f>INDEX(AVA_1!$A:$J,MATCH('2021'!$A46,AVA_1!$A:$A,0),MATCH('2021'!$A$1,AVA_1!$3:$3,0))</f>
        <v>0.35399999999999998</v>
      </c>
      <c r="F46" s="15">
        <f>INDEX(AVA_2!$A:$J,MATCH('2021'!$A46,AVA_2!$A:$A,0),MATCH('2021'!$A$1,AVA_2!$3:$3,0))</f>
        <v>1.1283754543550031E-2</v>
      </c>
      <c r="G46" s="15">
        <f>INDEX(AVA_3!$A:$J,MATCH('2021'!$A46,AVA_3!$A:$A,0),MATCH('2021'!$A$1,AVA_3!$3:$3,0))</f>
        <v>1.3385875231538735E-2</v>
      </c>
      <c r="H46" s="87">
        <f>INDEX(AVA_4!$A:$J,MATCH('2021'!$A46,AVA_4!$A:$A,0),MATCH('2021'!$A$1,AVA_4!$3:$3,0))/(B46/1000)</f>
        <v>0.61300756973095305</v>
      </c>
      <c r="I46" s="89">
        <f>INDEX(AVA_5!$A:$J,MATCH('2021'!$A46,AVA_5!$A:$A,0),MATCH('2021'!$A$1,AVA_5!$3:$3,0))/(B46/1000)</f>
        <v>4.8289107682133565</v>
      </c>
      <c r="J46" s="93">
        <f>INDEX(IRA_1!$A:$J,MATCH('2021'!$A46,IRA_1!$A:$A,0),MATCH('2021'!$A$1,IRA_1!$3:$3,0))/(B46/1000)</f>
        <v>5.2604852743987213E-2</v>
      </c>
      <c r="K46" s="88">
        <f>INDEX(IRA_2!$A:$J,MATCH('2021'!$A46,IRA_2!$A:$A,0),MATCH('2021'!$A$1,IRA_2!$3:$3,0))/(B46/1000)</f>
        <v>0.11916609499148124</v>
      </c>
      <c r="L46" s="15">
        <f>INDEX(IRA_3!$A:$J,MATCH('2021'!$A46,IRA_3!$A:$A,0),MATCH('2021'!$A$1,IRA_3!$3:$3,0))</f>
        <v>0.39826482131790952</v>
      </c>
      <c r="M46" s="96">
        <f>INDEX(IRA_4!$A:$J,MATCH('2021'!$A46,IRA_4!$A:$A,0),MATCH('2021'!$A$1,IRA_4!$3:$3,0))/(B46/1000)</f>
        <v>2.7665858269643886</v>
      </c>
      <c r="N46" s="61">
        <f>INDEX(INV_1!$A:$J,MATCH('2021'!$A46,INV_1!$A:$A,0),MATCH('2021'!$A$1,INV_1!$3:$3,0))</f>
        <v>8.3877046123938453E-2</v>
      </c>
      <c r="O46" s="80">
        <f>INDEX(INV_2!$A:$J,MATCH('2021'!$A46,INV_2!$A:$A,0),MATCH('2021'!$A$1,INV_2!$3:$3,0))/B46*10^6/C46</f>
        <v>0.60515213816548052</v>
      </c>
      <c r="P46" s="87">
        <f>INDEX(INV_3!$A:$J,MATCH('2021'!$A46,INV_3!$A:$A,0),MATCH('2021'!$A$1,INV_3!$3:$3,0))/B46*10^6/C46</f>
        <v>3.9149686433946655</v>
      </c>
      <c r="Q46" s="87">
        <f>INDEX(INV_4!$A:$J,MATCH('2021'!$A46,INV_4!$A:$A,0),MATCH('2021'!$A$1,INV_4!$3:$3,0))/B46*10^3/C46</f>
        <v>0.22971061951170244</v>
      </c>
      <c r="R46" s="34">
        <f>INDEX(INV_5!$A:$J,MATCH('2021'!$A46,INV_5!$A:$A,0),MATCH('2021'!$A$1,INV_5!$3:$3,0))</f>
        <v>7.0999999999999994E-2</v>
      </c>
      <c r="S46" s="77">
        <f>INDEX(LUJ_1!$A:$J,MATCH('2021'!$A46,LUJ_1!$A:$A,0),MATCH('2021'!$A$1,LUJ_1!$3:$3,0))</f>
        <v>0.81143711455802658</v>
      </c>
      <c r="T46" s="73">
        <f>INDEX(LUJ_2!$A:$J,MATCH('2021'!$A46,LUJ_2!$A:$A,0),MATCH('2021'!$A$1,LUJ_2!$3:$3,0))</f>
        <v>0.22600000000000001</v>
      </c>
      <c r="U46" s="73">
        <f>INDEX(LUJ_3!$A:$J,MATCH('2021'!$A46,LUJ_3!$A:$A,0),MATCH('2021'!$A$1,LUJ_3!$3:$3,0))</f>
        <v>0.29602801196627682</v>
      </c>
      <c r="V46" s="14">
        <f>INDEX(LUJ_4!$A:$J,MATCH('2021'!$A46,LUJ_4!$A:$A,0),MATCH('2021'!$A$1,LUJ_4!$3:$3,0))</f>
        <v>26</v>
      </c>
      <c r="W46" s="34">
        <f>INDEX(LUJ_5!$A:$J,MATCH('2021'!$A46,LUJ_5!$A:$A,0),MATCH('2021'!$A$1,LUJ_5!$3:$3,0))</f>
        <v>54.9</v>
      </c>
      <c r="X46" s="98">
        <f>1/INDEX(GUL_1!$A:$J,MATCH('2021'!$A46,GUL_1!$A:$A,0),MATCH('2021'!$A$1,GUL_1!$3:$3,0))</f>
        <v>1.4488554042306579E-2</v>
      </c>
      <c r="Y46" s="57">
        <f>INDEX(GUL_2!$A:$J,MATCH('2021'!$A46,GUL_2!$A:$A,0),MATCH('2021'!$A$1,GUL_2!$3:$3,0))</f>
        <v>25.6</v>
      </c>
      <c r="Z46" s="57">
        <f>INDEX(GUL_3!$A:$J,MATCH('2021'!$A46,GUL_3!$A:$A,0),MATCH('2021'!$A$1,GUL_3!$3:$3,0))/(B46/1000)</f>
        <v>1.1401296655941719</v>
      </c>
      <c r="AA46" s="101">
        <f>INDEX(GUL_4!$A:$J,MATCH('2021'!$A46,GUL_4!$A:$A,0),MATCH('2021'!$A$1,GUL_4!$3:$3,0))/B46/C46*10^6</f>
        <v>0.28357478897855976</v>
      </c>
      <c r="AB46" s="73">
        <f>INDEX(GUL_5!$A:$J,MATCH('2021'!$A46,GUL_5!$A:$A,0),MATCH('2021'!$A$1,GUL_5!$3:$3,0))</f>
        <v>4.533392616985709E-2</v>
      </c>
      <c r="AC46" s="49">
        <f>INDEX(GUL_6!$A:$J,MATCH('2021'!$A46,GUL_6!$A:$A,0),MATCH('2021'!$A$1,GUL_6!$3:$3,0))</f>
        <v>4.8869498693000002E-2</v>
      </c>
      <c r="AD46" s="49">
        <f>INDEX(GUL_7!$A:$J,MATCH('2021'!$A46,GUL_7!$A:$A,0),MATCH('2021'!$A$1,GUL_7!$3:$3,0))</f>
        <v>0.17710000000000001</v>
      </c>
      <c r="AE46" s="103">
        <f>INDEX(GUL_8!$A:$J,MATCH('2021'!$A46,GUL_8!$A:$A,0),MATCH('2021'!$A$1,GUL_8!$3:$3,0))/(B46/1000)</f>
        <v>1.9689244884178072</v>
      </c>
      <c r="AF46" s="41">
        <f>INDEX(DES_1!$A:$J,MATCH('2021'!$A46,DES_1!$A:$A,0),MATCH('2021'!$A$1,DES_1!$3:$3,0))/(B46/1000)</f>
        <v>0.14493173715180152</v>
      </c>
      <c r="AG46" s="100">
        <f>INDEX(DES_2!$A:$J,MATCH('2021'!$A46,DES_2!$A:$A,0),MATCH('2021'!$A$1,DES_2!$3:$3,0))/(B46/1000)</f>
        <v>0.29308417957364308</v>
      </c>
      <c r="AH46" s="57">
        <f>1/INDEX(DES_3!$A:$J,MATCH('2021'!$A46,DES_3!$A:$A,0),MATCH('2021'!$A$1,DES_3!$3:$3,0))</f>
        <v>9.5147478591817315E-3</v>
      </c>
      <c r="AI46" s="80">
        <f>INDEX(DES_4!$A:$J,MATCH('2021'!$A46,DES_4!$A:$A,0),MATCH('2021'!$A$1,DES_4!$3:$3,0))</f>
        <v>0.81586422437099992</v>
      </c>
      <c r="AJ46" s="110">
        <f>INDEX(DES_5!$A:$J,MATCH('2021'!$A46,DES_5!$A:$A,0),MATCH('2021'!$A$1,DES_5!$3:$3,0))</f>
        <v>0.56958283438300006</v>
      </c>
      <c r="AK46" s="57">
        <v>57</v>
      </c>
    </row>
    <row r="47" spans="1:37" x14ac:dyDescent="0.3">
      <c r="A47" s="29" t="s">
        <v>46</v>
      </c>
      <c r="B47" s="33">
        <f>INDEX(Population!$A:$J,MATCH('2021'!$A47,Population!$A:$A,0),MATCH('2021'!$A$1,Population!$3:$3,0))</f>
        <v>1189342</v>
      </c>
      <c r="C47" s="14">
        <f>INDEX(Income!$A:$J,MATCH('2021'!$A47,Income!$A:$A,0),MATCH('2021'!$A$1,Income!$3:$3,0))</f>
        <v>23651</v>
      </c>
      <c r="D47" s="34">
        <f>INDEX(Livable_wage!$A:$J,MATCH('2021'!$A47,Livable_wage!$A:$A,0),MATCH('2021'!$A$1,Livable_wage!$3:$3,0))</f>
        <v>9804</v>
      </c>
      <c r="E47" s="41">
        <f>INDEX(AVA_1!$A:$J,MATCH('2021'!$A47,AVA_1!$A:$A,0),MATCH('2021'!$A$1,AVA_1!$3:$3,0))</f>
        <v>0.34699999999999998</v>
      </c>
      <c r="F47" s="15">
        <f>INDEX(AVA_2!$A:$J,MATCH('2021'!$A47,AVA_2!$A:$A,0),MATCH('2021'!$A$1,AVA_2!$3:$3,0))</f>
        <v>1.3471430469526044E-2</v>
      </c>
      <c r="G47" s="15">
        <f>INDEX(AVA_3!$A:$J,MATCH('2021'!$A47,AVA_3!$A:$A,0),MATCH('2021'!$A$1,AVA_3!$3:$3,0))</f>
        <v>2.6307226047423301E-2</v>
      </c>
      <c r="H47" s="87">
        <f>INDEX(AVA_4!$A:$J,MATCH('2021'!$A47,AVA_4!$A:$A,0),MATCH('2021'!$A$1,AVA_4!$3:$3,0))/(B47/1000)</f>
        <v>0.78026337252026745</v>
      </c>
      <c r="I47" s="89">
        <f>INDEX(AVA_5!$A:$J,MATCH('2021'!$A47,AVA_5!$A:$A,0),MATCH('2021'!$A$1,AVA_5!$3:$3,0))/(B47/1000)</f>
        <v>2.8326587306258415</v>
      </c>
      <c r="J47" s="93">
        <f>INDEX(IRA_1!$A:$J,MATCH('2021'!$A47,IRA_1!$A:$A,0),MATCH('2021'!$A$1,IRA_1!$3:$3,0))/(B47/1000)</f>
        <v>3.5313644014925899E-2</v>
      </c>
      <c r="K47" s="88">
        <f>INDEX(IRA_2!$A:$J,MATCH('2021'!$A47,IRA_2!$A:$A,0),MATCH('2021'!$A$1,IRA_2!$3:$3,0))/(B47/1000)</f>
        <v>0.11014493728464982</v>
      </c>
      <c r="L47" s="15">
        <f>INDEX(IRA_3!$A:$J,MATCH('2021'!$A47,IRA_3!$A:$A,0),MATCH('2021'!$A$1,IRA_3!$3:$3,0))</f>
        <v>0.38420010797192727</v>
      </c>
      <c r="M47" s="96">
        <f>INDEX(IRA_4!$A:$J,MATCH('2021'!$A47,IRA_4!$A:$A,0),MATCH('2021'!$A$1,IRA_4!$3:$3,0))/(B47/1000)</f>
        <v>2.7014937671418311</v>
      </c>
      <c r="N47" s="61">
        <f>INDEX(INV_1!$A:$J,MATCH('2021'!$A47,INV_1!$A:$A,0),MATCH('2021'!$A$1,INV_1!$3:$3,0))</f>
        <v>7.7892121994973681E-2</v>
      </c>
      <c r="O47" s="80">
        <f>INDEX(INV_2!$A:$J,MATCH('2021'!$A47,INV_2!$A:$A,0),MATCH('2021'!$A$1,INV_2!$3:$3,0))/B47*10^6/C47</f>
        <v>0.50045851467975533</v>
      </c>
      <c r="P47" s="87">
        <f>INDEX(INV_3!$A:$J,MATCH('2021'!$A47,INV_3!$A:$A,0),MATCH('2021'!$A$1,INV_3!$3:$3,0))/B47*10^6/C47</f>
        <v>6.3110026823205807</v>
      </c>
      <c r="Q47" s="87">
        <f>INDEX(INV_4!$A:$J,MATCH('2021'!$A47,INV_4!$A:$A,0),MATCH('2021'!$A$1,INV_4!$3:$3,0))/B47*10^3/C47</f>
        <v>0.30658170455039524</v>
      </c>
      <c r="R47" s="34">
        <f>INDEX(INV_5!$A:$J,MATCH('2021'!$A47,INV_5!$A:$A,0),MATCH('2021'!$A$1,INV_5!$3:$3,0))</f>
        <v>7.4300000000000005E-2</v>
      </c>
      <c r="S47" s="77">
        <f>INDEX(LUJ_1!$A:$J,MATCH('2021'!$A47,LUJ_1!$A:$A,0),MATCH('2021'!$A$1,LUJ_1!$3:$3,0))</f>
        <v>0.76961662486563953</v>
      </c>
      <c r="T47" s="73">
        <f>INDEX(LUJ_2!$A:$J,MATCH('2021'!$A47,LUJ_2!$A:$A,0),MATCH('2021'!$A$1,LUJ_2!$3:$3,0))</f>
        <v>0.19699999999999998</v>
      </c>
      <c r="U47" s="73">
        <f>INDEX(LUJ_3!$A:$J,MATCH('2021'!$A47,LUJ_3!$A:$A,0),MATCH('2021'!$A$1,LUJ_3!$3:$3,0))</f>
        <v>0.47730801886494528</v>
      </c>
      <c r="V47" s="14">
        <f>INDEX(LUJ_4!$A:$J,MATCH('2021'!$A47,LUJ_4!$A:$A,0),MATCH('2021'!$A$1,LUJ_4!$3:$3,0))</f>
        <v>32</v>
      </c>
      <c r="W47" s="34">
        <f>INDEX(LUJ_5!$A:$J,MATCH('2021'!$A47,LUJ_5!$A:$A,0),MATCH('2021'!$A$1,LUJ_5!$3:$3,0))</f>
        <v>25.8</v>
      </c>
      <c r="X47" s="98">
        <f>1/INDEX(GUL_1!$A:$J,MATCH('2021'!$A47,GUL_1!$A:$A,0),MATCH('2021'!$A$1,GUL_1!$3:$3,0))</f>
        <v>1.4287755393627663E-2</v>
      </c>
      <c r="Y47" s="57">
        <f>INDEX(GUL_2!$A:$J,MATCH('2021'!$A47,GUL_2!$A:$A,0),MATCH('2021'!$A$1,GUL_2!$3:$3,0))</f>
        <v>24.4</v>
      </c>
      <c r="Z47" s="57">
        <f>INDEX(GUL_3!$A:$J,MATCH('2021'!$A47,GUL_3!$A:$A,0),MATCH('2021'!$A$1,GUL_3!$3:$3,0))/(B47/1000)</f>
        <v>0.74999453479318812</v>
      </c>
      <c r="AA47" s="101">
        <f>INDEX(GUL_4!$A:$J,MATCH('2021'!$A47,GUL_4!$A:$A,0),MATCH('2021'!$A$1,GUL_4!$3:$3,0))/B47/C47*10^6</f>
        <v>0.4005879650236755</v>
      </c>
      <c r="AB47" s="73">
        <f>INDEX(GUL_5!$A:$J,MATCH('2021'!$A47,GUL_5!$A:$A,0),MATCH('2021'!$A$1,GUL_5!$3:$3,0))</f>
        <v>2.5351726494706163E-2</v>
      </c>
      <c r="AC47" s="49">
        <f>INDEX(GUL_6!$A:$J,MATCH('2021'!$A47,GUL_6!$A:$A,0),MATCH('2021'!$A$1,GUL_6!$3:$3,0))</f>
        <v>3.2494080775000003E-2</v>
      </c>
      <c r="AD47" s="49">
        <f>INDEX(GUL_7!$A:$J,MATCH('2021'!$A47,GUL_7!$A:$A,0),MATCH('2021'!$A$1,GUL_7!$3:$3,0))</f>
        <v>0.17170000000000002</v>
      </c>
      <c r="AE47" s="103">
        <f>INDEX(GUL_8!$A:$J,MATCH('2021'!$A47,GUL_8!$A:$A,0),MATCH('2021'!$A$1,GUL_8!$3:$3,0))/(B47/1000)</f>
        <v>1.5445515251290207</v>
      </c>
      <c r="AF47" s="41">
        <f>INDEX(DES_1!$A:$J,MATCH('2021'!$A47,DES_1!$A:$A,0),MATCH('2021'!$A$1,DES_1!$3:$3,0))/(B47/1000)</f>
        <v>7.2308890125800648E-2</v>
      </c>
      <c r="AG47" s="100">
        <f>INDEX(DES_2!$A:$J,MATCH('2021'!$A47,DES_2!$A:$A,0),MATCH('2021'!$A$1,DES_2!$3:$3,0))/(B47/1000)</f>
        <v>0.23626509448081373</v>
      </c>
      <c r="AH47" s="57">
        <f>1/INDEX(DES_3!$A:$J,MATCH('2021'!$A47,DES_3!$A:$A,0),MATCH('2021'!$A$1,DES_3!$3:$3,0))</f>
        <v>7.6277650648360036E-3</v>
      </c>
      <c r="AI47" s="80">
        <f>INDEX(DES_4!$A:$J,MATCH('2021'!$A47,DES_4!$A:$A,0),MATCH('2021'!$A$1,DES_4!$3:$3,0))</f>
        <v>0.68976740414000004</v>
      </c>
      <c r="AJ47" s="110">
        <f>INDEX(DES_5!$A:$J,MATCH('2021'!$A47,DES_5!$A:$A,0),MATCH('2021'!$A$1,DES_5!$3:$3,0))</f>
        <v>0.31454975465000001</v>
      </c>
      <c r="AK47" s="57">
        <v>49</v>
      </c>
    </row>
    <row r="48" spans="1:37" x14ac:dyDescent="0.3">
      <c r="A48" s="29" t="s">
        <v>47</v>
      </c>
      <c r="B48" s="33">
        <f>INDEX(Population!$A:$J,MATCH('2021'!$A48,Population!$A:$A,0),MATCH('2021'!$A$1,Population!$3:$3,0))</f>
        <v>688096</v>
      </c>
      <c r="C48" s="14">
        <f>INDEX(Income!$A:$J,MATCH('2021'!$A48,Income!$A:$A,0),MATCH('2021'!$A$1,Income!$3:$3,0))</f>
        <v>25885</v>
      </c>
      <c r="D48" s="34">
        <f>INDEX(Livable_wage!$A:$J,MATCH('2021'!$A48,Livable_wage!$A:$A,0),MATCH('2021'!$A$1,Livable_wage!$3:$3,0))</f>
        <v>10596</v>
      </c>
      <c r="E48" s="41">
        <f>INDEX(AVA_1!$A:$J,MATCH('2021'!$A48,AVA_1!$A:$A,0),MATCH('2021'!$A$1,AVA_1!$3:$3,0))</f>
        <v>0.35099999999999998</v>
      </c>
      <c r="F48" s="15">
        <f>INDEX(AVA_2!$A:$J,MATCH('2021'!$A48,AVA_2!$A:$A,0),MATCH('2021'!$A$1,AVA_2!$3:$3,0))</f>
        <v>8.1393271807085436E-3</v>
      </c>
      <c r="G48" s="15">
        <f>INDEX(AVA_3!$A:$J,MATCH('2021'!$A48,AVA_3!$A:$A,0),MATCH('2021'!$A$1,AVA_3!$3:$3,0))</f>
        <v>9.8610255700488317E-3</v>
      </c>
      <c r="H48" s="87">
        <f>INDEX(AVA_4!$A:$J,MATCH('2021'!$A48,AVA_4!$A:$A,0),MATCH('2021'!$A$1,AVA_4!$3:$3,0))/(B48/1000)</f>
        <v>1.3210365995442497</v>
      </c>
      <c r="I48" s="89">
        <f>INDEX(AVA_5!$A:$J,MATCH('2021'!$A48,AVA_5!$A:$A,0),MATCH('2021'!$A$1,AVA_5!$3:$3,0))/(B48/1000)</f>
        <v>2.3339766544203133</v>
      </c>
      <c r="J48" s="93">
        <f>INDEX(IRA_1!$A:$J,MATCH('2021'!$A48,IRA_1!$A:$A,0),MATCH('2021'!$A$1,IRA_1!$3:$3,0))/(B48/1000)</f>
        <v>2.0345998232804724E-2</v>
      </c>
      <c r="K48" s="88">
        <f>INDEX(IRA_2!$A:$J,MATCH('2021'!$A48,IRA_2!$A:$A,0),MATCH('2021'!$A$1,IRA_2!$3:$3,0))/(B48/1000)</f>
        <v>4.795842440589685E-2</v>
      </c>
      <c r="L48" s="15">
        <f>INDEX(IRA_3!$A:$J,MATCH('2021'!$A48,IRA_3!$A:$A,0),MATCH('2021'!$A$1,IRA_3!$3:$3,0))</f>
        <v>0.4969194312796209</v>
      </c>
      <c r="M48" s="96">
        <f>INDEX(IRA_4!$A:$J,MATCH('2021'!$A48,IRA_4!$A:$A,0),MATCH('2021'!$A$1,IRA_4!$3:$3,0))/(B48/1000)</f>
        <v>3.6128679719108963</v>
      </c>
      <c r="N48" s="61">
        <f>INDEX(INV_1!$A:$J,MATCH('2021'!$A48,INV_1!$A:$A,0),MATCH('2021'!$A$1,INV_1!$3:$3,0))</f>
        <v>0.10648934539490652</v>
      </c>
      <c r="O48" s="80">
        <f>INDEX(INV_2!$A:$J,MATCH('2021'!$A48,INV_2!$A:$A,0),MATCH('2021'!$A$1,INV_2!$3:$3,0))/B48*10^6/C48</f>
        <v>0.34568516276136024</v>
      </c>
      <c r="P48" s="87">
        <f>INDEX(INV_3!$A:$J,MATCH('2021'!$A48,INV_3!$A:$A,0),MATCH('2021'!$A$1,INV_3!$3:$3,0))/B48*10^6/C48</f>
        <v>4.129835089292337</v>
      </c>
      <c r="Q48" s="87">
        <f>INDEX(INV_4!$A:$J,MATCH('2021'!$A48,INV_4!$A:$A,0),MATCH('2021'!$A$1,INV_4!$3:$3,0))/B48*10^3/C48</f>
        <v>0.3249645612786321</v>
      </c>
      <c r="R48" s="34">
        <f>INDEX(INV_5!$A:$J,MATCH('2021'!$A48,INV_5!$A:$A,0),MATCH('2021'!$A$1,INV_5!$3:$3,0))</f>
        <v>0.1893</v>
      </c>
      <c r="S48" s="77">
        <f>INDEX(LUJ_1!$A:$J,MATCH('2021'!$A48,LUJ_1!$A:$A,0),MATCH('2021'!$A$1,LUJ_1!$3:$3,0))</f>
        <v>1.0183058147882269</v>
      </c>
      <c r="T48" s="73">
        <f>INDEX(LUJ_2!$A:$J,MATCH('2021'!$A48,LUJ_2!$A:$A,0),MATCH('2021'!$A$1,LUJ_2!$3:$3,0))</f>
        <v>0.28399999999999997</v>
      </c>
      <c r="U48" s="73">
        <f>INDEX(LUJ_3!$A:$J,MATCH('2021'!$A48,LUJ_3!$A:$A,0),MATCH('2021'!$A$1,LUJ_3!$3:$3,0))</f>
        <v>0.2189692429545082</v>
      </c>
      <c r="V48" s="14">
        <f>INDEX(LUJ_4!$A:$J,MATCH('2021'!$A48,LUJ_4!$A:$A,0),MATCH('2021'!$A$1,LUJ_4!$3:$3,0))</f>
        <v>6</v>
      </c>
      <c r="W48" s="34">
        <f>INDEX(LUJ_5!$A:$J,MATCH('2021'!$A48,LUJ_5!$A:$A,0),MATCH('2021'!$A$1,LUJ_5!$3:$3,0))</f>
        <v>18.2</v>
      </c>
      <c r="X48" s="98">
        <f>1/INDEX(GUL_1!$A:$J,MATCH('2021'!$A48,GUL_1!$A:$A,0),MATCH('2021'!$A$1,GUL_1!$3:$3,0))</f>
        <v>1.3798813302056023E-2</v>
      </c>
      <c r="Y48" s="57">
        <f>INDEX(GUL_2!$A:$J,MATCH('2021'!$A48,GUL_2!$A:$A,0),MATCH('2021'!$A$1,GUL_2!$3:$3,0))</f>
        <v>25.3</v>
      </c>
      <c r="Z48" s="57">
        <f>INDEX(GUL_3!$A:$J,MATCH('2021'!$A48,GUL_3!$A:$A,0),MATCH('2021'!$A$1,GUL_3!$3:$3,0))/(B48/1000)</f>
        <v>0.60892666139608431</v>
      </c>
      <c r="AA48" s="101">
        <f>INDEX(GUL_4!$A:$J,MATCH('2021'!$A48,GUL_4!$A:$A,0),MATCH('2021'!$A$1,GUL_4!$3:$3,0))/B48/C48*10^6</f>
        <v>0.30003876805632534</v>
      </c>
      <c r="AB48" s="73">
        <f>INDEX(GUL_5!$A:$J,MATCH('2021'!$A48,GUL_5!$A:$A,0),MATCH('2021'!$A$1,GUL_5!$3:$3,0))</f>
        <v>1.2056841633134181E-2</v>
      </c>
      <c r="AC48" s="49">
        <f>INDEX(GUL_6!$A:$J,MATCH('2021'!$A48,GUL_6!$A:$A,0),MATCH('2021'!$A$1,GUL_6!$3:$3,0))</f>
        <v>4.7250540759999999E-3</v>
      </c>
      <c r="AD48" s="49">
        <f>INDEX(GUL_7!$A:$J,MATCH('2021'!$A48,GUL_7!$A:$A,0),MATCH('2021'!$A$1,GUL_7!$3:$3,0))</f>
        <v>7.5300000000000006E-2</v>
      </c>
      <c r="AE48" s="103">
        <f>INDEX(GUL_8!$A:$J,MATCH('2021'!$A48,GUL_8!$A:$A,0),MATCH('2021'!$A$1,GUL_8!$3:$3,0))/(B48/1000)</f>
        <v>0.39093382318746223</v>
      </c>
      <c r="AF48" s="41">
        <f>INDEX(DES_1!$A:$J,MATCH('2021'!$A48,DES_1!$A:$A,0),MATCH('2021'!$A$1,DES_1!$3:$3,0))/(B48/1000)</f>
        <v>7.2664279402874015E-3</v>
      </c>
      <c r="AG48" s="100">
        <f>INDEX(DES_2!$A:$J,MATCH('2021'!$A48,DES_2!$A:$A,0),MATCH('2021'!$A$1,DES_2!$3:$3,0))/(B48/1000)</f>
        <v>1.1887876110310189</v>
      </c>
      <c r="AH48" s="57">
        <f>1/INDEX(DES_3!$A:$J,MATCH('2021'!$A48,DES_3!$A:$A,0),MATCH('2021'!$A$1,DES_3!$3:$3,0))</f>
        <v>8.2169268693508633E-3</v>
      </c>
      <c r="AI48" s="80">
        <f>INDEX(DES_4!$A:$J,MATCH('2021'!$A48,DES_4!$A:$A,0),MATCH('2021'!$A$1,DES_4!$3:$3,0))</f>
        <v>0.63040095935999996</v>
      </c>
      <c r="AJ48" s="110">
        <f>INDEX(DES_5!$A:$J,MATCH('2021'!$A48,DES_5!$A:$A,0),MATCH('2021'!$A$1,DES_5!$3:$3,0))</f>
        <v>9.5717718032000007E-2</v>
      </c>
      <c r="AK48" s="57">
        <v>35</v>
      </c>
    </row>
    <row r="49" spans="1:37" x14ac:dyDescent="0.3">
      <c r="A49" s="29" t="s">
        <v>48</v>
      </c>
      <c r="B49" s="33">
        <f>INDEX(Population!$A:$J,MATCH('2021'!$A49,Population!$A:$A,0),MATCH('2021'!$A$1,Population!$3:$3,0))</f>
        <v>1171845</v>
      </c>
      <c r="C49" s="14">
        <f>INDEX(Income!$A:$J,MATCH('2021'!$A49,Income!$A:$A,0),MATCH('2021'!$A$1,Income!$3:$3,0))</f>
        <v>31609</v>
      </c>
      <c r="D49" s="34">
        <f>INDEX(Livable_wage!$A:$J,MATCH('2021'!$A49,Livable_wage!$A:$A,0),MATCH('2021'!$A$1,Livable_wage!$3:$3,0))</f>
        <v>11280</v>
      </c>
      <c r="E49" s="41">
        <f>INDEX(AVA_1!$A:$J,MATCH('2021'!$A49,AVA_1!$A:$A,0),MATCH('2021'!$A$1,AVA_1!$3:$3,0))</f>
        <v>0.375</v>
      </c>
      <c r="F49" s="15">
        <f>INDEX(AVA_2!$A:$J,MATCH('2021'!$A49,AVA_2!$A:$A,0),MATCH('2021'!$A$1,AVA_2!$3:$3,0))</f>
        <v>9.0433637232366533E-3</v>
      </c>
      <c r="G49" s="15">
        <f>INDEX(AVA_3!$A:$J,MATCH('2021'!$A49,AVA_3!$A:$A,0),MATCH('2021'!$A$1,AVA_3!$3:$3,0))</f>
        <v>2.1851943568400789E-3</v>
      </c>
      <c r="H49" s="87">
        <f>INDEX(AVA_4!$A:$J,MATCH('2021'!$A49,AVA_4!$A:$A,0),MATCH('2021'!$A$1,AVA_4!$3:$3,0))/(B49/1000)</f>
        <v>0.8320212997452735</v>
      </c>
      <c r="I49" s="89">
        <f>INDEX(AVA_5!$A:$J,MATCH('2021'!$A49,AVA_5!$A:$A,0),MATCH('2021'!$A$1,AVA_5!$3:$3,0))/(B49/1000)</f>
        <v>3.3758730890177455</v>
      </c>
      <c r="J49" s="93">
        <f>INDEX(IRA_1!$A:$J,MATCH('2021'!$A49,IRA_1!$A:$A,0),MATCH('2021'!$A$1,IRA_1!$3:$3,0))/(B49/1000)</f>
        <v>4.2667758961296078E-2</v>
      </c>
      <c r="K49" s="88">
        <f>INDEX(IRA_2!$A:$J,MATCH('2021'!$A49,IRA_2!$A:$A,0),MATCH('2021'!$A$1,IRA_2!$3:$3,0))/(B49/1000)</f>
        <v>8.5335517922592155E-2</v>
      </c>
      <c r="L49" s="15">
        <f>INDEX(IRA_3!$A:$J,MATCH('2021'!$A49,IRA_3!$A:$A,0),MATCH('2021'!$A$1,IRA_3!$3:$3,0))</f>
        <v>0.39861130792121302</v>
      </c>
      <c r="M49" s="96">
        <f>INDEX(IRA_4!$A:$J,MATCH('2021'!$A49,IRA_4!$A:$A,0),MATCH('2021'!$A$1,IRA_4!$3:$3,0))/(B49/1000)</f>
        <v>3.7248953573211474</v>
      </c>
      <c r="N49" s="61">
        <f>INDEX(INV_1!$A:$J,MATCH('2021'!$A49,INV_1!$A:$A,0),MATCH('2021'!$A$1,INV_1!$3:$3,0))</f>
        <v>8.9146635487536721E-2</v>
      </c>
      <c r="O49" s="80">
        <f>INDEX(INV_2!$A:$J,MATCH('2021'!$A49,INV_2!$A:$A,0),MATCH('2021'!$A$1,INV_2!$3:$3,0))/B49*10^6/C49</f>
        <v>0.48112270224240788</v>
      </c>
      <c r="P49" s="87">
        <f>INDEX(INV_3!$A:$J,MATCH('2021'!$A49,INV_3!$A:$A,0),MATCH('2021'!$A$1,INV_3!$3:$3,0))/B49*10^6/C49</f>
        <v>3.7086083384562887</v>
      </c>
      <c r="Q49" s="87">
        <f>INDEX(INV_4!$A:$J,MATCH('2021'!$A49,INV_4!$A:$A,0),MATCH('2021'!$A$1,INV_4!$3:$3,0))/B49*10^3/C49</f>
        <v>0.27642879349739991</v>
      </c>
      <c r="R49" s="34">
        <f>INDEX(INV_5!$A:$J,MATCH('2021'!$A49,INV_5!$A:$A,0),MATCH('2021'!$A$1,INV_5!$3:$3,0))</f>
        <v>5.5599999999999997E-2</v>
      </c>
      <c r="S49" s="77">
        <f>INDEX(LUJ_1!$A:$J,MATCH('2021'!$A49,LUJ_1!$A:$A,0),MATCH('2021'!$A$1,LUJ_1!$3:$3,0))</f>
        <v>0.77427434801827022</v>
      </c>
      <c r="T49" s="73">
        <f>INDEX(LUJ_2!$A:$J,MATCH('2021'!$A49,LUJ_2!$A:$A,0),MATCH('2021'!$A$1,LUJ_2!$3:$3,0))</f>
        <v>0.19600000000000001</v>
      </c>
      <c r="U49" s="73">
        <f>INDEX(LUJ_3!$A:$J,MATCH('2021'!$A49,LUJ_3!$A:$A,0),MATCH('2021'!$A$1,LUJ_3!$3:$3,0))</f>
        <v>0.49489850809506225</v>
      </c>
      <c r="V49" s="14">
        <f>INDEX(LUJ_4!$A:$J,MATCH('2021'!$A49,LUJ_4!$A:$A,0),MATCH('2021'!$A$1,LUJ_4!$3:$3,0))</f>
        <v>8</v>
      </c>
      <c r="W49" s="34">
        <f>INDEX(LUJ_5!$A:$J,MATCH('2021'!$A49,LUJ_5!$A:$A,0),MATCH('2021'!$A$1,LUJ_5!$3:$3,0))</f>
        <v>20.399999999999999</v>
      </c>
      <c r="X49" s="98">
        <f>1/INDEX(GUL_1!$A:$J,MATCH('2021'!$A49,GUL_1!$A:$A,0),MATCH('2021'!$A$1,GUL_1!$3:$3,0))</f>
        <v>1.45623998835008E-2</v>
      </c>
      <c r="Y49" s="57">
        <f>INDEX(GUL_2!$A:$J,MATCH('2021'!$A49,GUL_2!$A:$A,0),MATCH('2021'!$A$1,GUL_2!$3:$3,0))</f>
        <v>26.700000000000003</v>
      </c>
      <c r="Z49" s="57">
        <f>INDEX(GUL_3!$A:$J,MATCH('2021'!$A49,GUL_3!$A:$A,0),MATCH('2021'!$A$1,GUL_3!$3:$3,0))/(B49/1000)</f>
        <v>0.9378373419692877</v>
      </c>
      <c r="AA49" s="101">
        <f>INDEX(GUL_4!$A:$J,MATCH('2021'!$A49,GUL_4!$A:$A,0),MATCH('2021'!$A$1,GUL_4!$3:$3,0))/B49/C49*10^6</f>
        <v>0.3141906959018495</v>
      </c>
      <c r="AB49" s="73">
        <f>INDEX(GUL_5!$A:$J,MATCH('2021'!$A49,GUL_5!$A:$A,0),MATCH('2021'!$A$1,GUL_5!$3:$3,0))</f>
        <v>2.6063992734500975E-2</v>
      </c>
      <c r="AC49" s="49">
        <f>INDEX(GUL_6!$A:$J,MATCH('2021'!$A49,GUL_6!$A:$A,0),MATCH('2021'!$A$1,GUL_6!$3:$3,0))</f>
        <v>4.0020988727000002E-2</v>
      </c>
      <c r="AD49" s="49">
        <f>INDEX(GUL_7!$A:$J,MATCH('2021'!$A49,GUL_7!$A:$A,0),MATCH('2021'!$A$1,GUL_7!$3:$3,0))</f>
        <v>0.1517</v>
      </c>
      <c r="AE49" s="103">
        <f>INDEX(GUL_8!$A:$J,MATCH('2021'!$A49,GUL_8!$A:$A,0),MATCH('2021'!$A$1,GUL_8!$3:$3,0))/(B49/1000)</f>
        <v>2.1743489966676481</v>
      </c>
      <c r="AF49" s="41">
        <f>INDEX(DES_1!$A:$J,MATCH('2021'!$A49,DES_1!$A:$A,0),MATCH('2021'!$A$1,DES_1!$3:$3,0))/(B49/1000)</f>
        <v>0.14165695975150297</v>
      </c>
      <c r="AG49" s="100">
        <f>INDEX(DES_2!$A:$J,MATCH('2021'!$A49,DES_2!$A:$A,0),MATCH('2021'!$A$1,DES_2!$3:$3,0))/(B49/1000)</f>
        <v>0.35158233384107968</v>
      </c>
      <c r="AH49" s="57">
        <f>1/INDEX(DES_3!$A:$J,MATCH('2021'!$A49,DES_3!$A:$A,0),MATCH('2021'!$A$1,DES_3!$3:$3,0))</f>
        <v>6.5530799475753609E-3</v>
      </c>
      <c r="AI49" s="80">
        <f>INDEX(DES_4!$A:$J,MATCH('2021'!$A49,DES_4!$A:$A,0),MATCH('2021'!$A$1,DES_4!$3:$3,0))</f>
        <v>0.84982513461200004</v>
      </c>
      <c r="AJ49" s="110">
        <f>INDEX(DES_5!$A:$J,MATCH('2021'!$A49,DES_5!$A:$A,0),MATCH('2021'!$A$1,DES_5!$3:$3,0))</f>
        <v>0.46424052042600006</v>
      </c>
      <c r="AK49" s="57">
        <v>27</v>
      </c>
    </row>
    <row r="50" spans="1:37" x14ac:dyDescent="0.3">
      <c r="A50" s="29" t="s">
        <v>49</v>
      </c>
      <c r="B50" s="33">
        <f>INDEX(Population!$A:$J,MATCH('2021'!$A50,Population!$A:$A,0),MATCH('2021'!$A$1,Population!$3:$3,0))</f>
        <v>1269953</v>
      </c>
      <c r="C50" s="14">
        <f>INDEX(Income!$A:$J,MATCH('2021'!$A50,Income!$A:$A,0),MATCH('2021'!$A$1,Income!$3:$3,0))</f>
        <v>26416</v>
      </c>
      <c r="D50" s="34">
        <f>INDEX(Livable_wage!$A:$J,MATCH('2021'!$A50,Livable_wage!$A:$A,0),MATCH('2021'!$A$1,Livable_wage!$3:$3,0))</f>
        <v>9610</v>
      </c>
      <c r="E50" s="41">
        <f>INDEX(AVA_1!$A:$J,MATCH('2021'!$A50,AVA_1!$A:$A,0),MATCH('2021'!$A$1,AVA_1!$3:$3,0))</f>
        <v>0.35099999999999998</v>
      </c>
      <c r="F50" s="15">
        <f>INDEX(AVA_2!$A:$J,MATCH('2021'!$A50,AVA_2!$A:$A,0),MATCH('2021'!$A$1,AVA_2!$3:$3,0))</f>
        <v>8.6825805201968947E-3</v>
      </c>
      <c r="G50" s="15">
        <f>INDEX(AVA_3!$A:$J,MATCH('2021'!$A50,AVA_3!$A:$A,0),MATCH('2021'!$A$1,AVA_3!$3:$3,0))</f>
        <v>2.1500916222396173E-2</v>
      </c>
      <c r="H50" s="87">
        <f>INDEX(AVA_4!$A:$J,MATCH('2021'!$A50,AVA_4!$A:$A,0),MATCH('2021'!$A$1,AVA_4!$3:$3,0))/(B50/1000)</f>
        <v>0.54175233256663835</v>
      </c>
      <c r="I50" s="89">
        <f>INDEX(AVA_5!$A:$J,MATCH('2021'!$A50,AVA_5!$A:$A,0),MATCH('2021'!$A$1,AVA_5!$3:$3,0))/(B50/1000)</f>
        <v>3.6040703868568364</v>
      </c>
      <c r="J50" s="93">
        <f>INDEX(IRA_1!$A:$J,MATCH('2021'!$A50,IRA_1!$A:$A,0),MATCH('2021'!$A$1,IRA_1!$3:$3,0))/(B50/1000)</f>
        <v>3.8584105081054185E-2</v>
      </c>
      <c r="K50" s="88">
        <f>INDEX(IRA_2!$A:$J,MATCH('2021'!$A50,IRA_2!$A:$A,0),MATCH('2021'!$A$1,IRA_2!$3:$3,0))/(B50/1000)</f>
        <v>0.10866543879970361</v>
      </c>
      <c r="L50" s="15">
        <f>INDEX(IRA_3!$A:$J,MATCH('2021'!$A50,IRA_3!$A:$A,0),MATCH('2021'!$A$1,IRA_3!$3:$3,0))</f>
        <v>0.40912222681548849</v>
      </c>
      <c r="M50" s="96">
        <f>INDEX(IRA_4!$A:$J,MATCH('2021'!$A50,IRA_4!$A:$A,0),MATCH('2021'!$A$1,IRA_4!$3:$3,0))/(B50/1000)</f>
        <v>1.8441627367312019</v>
      </c>
      <c r="N50" s="61">
        <f>INDEX(INV_1!$A:$J,MATCH('2021'!$A50,INV_1!$A:$A,0),MATCH('2021'!$A$1,INV_1!$3:$3,0))</f>
        <v>8.1815323144393493E-2</v>
      </c>
      <c r="O50" s="80">
        <f>INDEX(INV_2!$A:$J,MATCH('2021'!$A50,INV_2!$A:$A,0),MATCH('2021'!$A$1,INV_2!$3:$3,0))/B50*10^6/C50</f>
        <v>0.40794905505640983</v>
      </c>
      <c r="P50" s="87">
        <f>INDEX(INV_3!$A:$J,MATCH('2021'!$A50,INV_3!$A:$A,0),MATCH('2021'!$A$1,INV_3!$3:$3,0))/B50*10^6/C50</f>
        <v>4.983027069231003</v>
      </c>
      <c r="Q50" s="87">
        <f>INDEX(INV_4!$A:$J,MATCH('2021'!$A50,INV_4!$A:$A,0),MATCH('2021'!$A$1,INV_4!$3:$3,0))/B50*10^3/C50</f>
        <v>0.30863005570064062</v>
      </c>
      <c r="R50" s="34">
        <f>INDEX(INV_5!$A:$J,MATCH('2021'!$A50,INV_5!$A:$A,0),MATCH('2021'!$A$1,INV_5!$3:$3,0))</f>
        <v>7.3200000000000001E-2</v>
      </c>
      <c r="S50" s="77">
        <f>INDEX(LUJ_1!$A:$J,MATCH('2021'!$A50,LUJ_1!$A:$A,0),MATCH('2021'!$A$1,LUJ_1!$3:$3,0))</f>
        <v>0.78362312379253973</v>
      </c>
      <c r="T50" s="73">
        <f>INDEX(LUJ_2!$A:$J,MATCH('2021'!$A50,LUJ_2!$A:$A,0),MATCH('2021'!$A$1,LUJ_2!$3:$3,0))</f>
        <v>0.14899999999999999</v>
      </c>
      <c r="U50" s="73">
        <f>INDEX(LUJ_3!$A:$J,MATCH('2021'!$A50,LUJ_3!$A:$A,0),MATCH('2021'!$A$1,LUJ_3!$3:$3,0))</f>
        <v>0.41020713218022636</v>
      </c>
      <c r="V50" s="14">
        <f>INDEX(LUJ_4!$A:$J,MATCH('2021'!$A50,LUJ_4!$A:$A,0),MATCH('2021'!$A$1,LUJ_4!$3:$3,0))</f>
        <v>32</v>
      </c>
      <c r="W50" s="34">
        <f>INDEX(LUJ_5!$A:$J,MATCH('2021'!$A50,LUJ_5!$A:$A,0),MATCH('2021'!$A$1,LUJ_5!$3:$3,0))</f>
        <v>26.6</v>
      </c>
      <c r="X50" s="98">
        <f>1/INDEX(GUL_1!$A:$J,MATCH('2021'!$A50,GUL_1!$A:$A,0),MATCH('2021'!$A$1,GUL_1!$3:$3,0))</f>
        <v>1.4291839359725597E-2</v>
      </c>
      <c r="Y50" s="57">
        <f>INDEX(GUL_2!$A:$J,MATCH('2021'!$A50,GUL_2!$A:$A,0),MATCH('2021'!$A$1,GUL_2!$3:$3,0))</f>
        <v>26.899999999999995</v>
      </c>
      <c r="Z50" s="57">
        <f>INDEX(GUL_3!$A:$J,MATCH('2021'!$A50,GUL_3!$A:$A,0),MATCH('2021'!$A$1,GUL_3!$3:$3,0))/(B50/1000)</f>
        <v>0.87641038684108785</v>
      </c>
      <c r="AA50" s="101">
        <f>INDEX(GUL_4!$A:$J,MATCH('2021'!$A50,GUL_4!$A:$A,0),MATCH('2021'!$A$1,GUL_4!$3:$3,0))/B50/C50*10^6</f>
        <v>0.30587730660080042</v>
      </c>
      <c r="AB50" s="73">
        <f>INDEX(GUL_5!$A:$J,MATCH('2021'!$A50,GUL_5!$A:$A,0),MATCH('2021'!$A$1,GUL_5!$3:$3,0))</f>
        <v>3.7733889931662441E-2</v>
      </c>
      <c r="AC50" s="49">
        <f>INDEX(GUL_6!$A:$J,MATCH('2021'!$A50,GUL_6!$A:$A,0),MATCH('2021'!$A$1,GUL_6!$3:$3,0))</f>
        <v>4.0846450627999999E-2</v>
      </c>
      <c r="AD50" s="49">
        <f>INDEX(GUL_7!$A:$J,MATCH('2021'!$A50,GUL_7!$A:$A,0),MATCH('2021'!$A$1,GUL_7!$3:$3,0))</f>
        <v>0.16930000000000001</v>
      </c>
      <c r="AE50" s="103">
        <f>INDEX(GUL_8!$A:$J,MATCH('2021'!$A50,GUL_8!$A:$A,0),MATCH('2021'!$A$1,GUL_8!$3:$3,0))/(B50/1000)</f>
        <v>1.9748762355772222</v>
      </c>
      <c r="AF50" s="41">
        <f>INDEX(DES_1!$A:$J,MATCH('2021'!$A50,DES_1!$A:$A,0),MATCH('2021'!$A$1,DES_1!$3:$3,0))/(B50/1000)</f>
        <v>0.1598484353357959</v>
      </c>
      <c r="AG50" s="100">
        <f>INDEX(DES_2!$A:$J,MATCH('2021'!$A50,DES_2!$A:$A,0),MATCH('2021'!$A$1,DES_2!$3:$3,0))/(B50/1000)</f>
        <v>0.55198893187385678</v>
      </c>
      <c r="AH50" s="57">
        <f>1/INDEX(DES_3!$A:$J,MATCH('2021'!$A50,DES_3!$A:$A,0),MATCH('2021'!$A$1,DES_3!$3:$3,0))</f>
        <v>6.8965517241379309E-3</v>
      </c>
      <c r="AI50" s="80">
        <f>INDEX(DES_4!$A:$J,MATCH('2021'!$A50,DES_4!$A:$A,0),MATCH('2021'!$A$1,DES_4!$3:$3,0))</f>
        <v>0.87881096034200001</v>
      </c>
      <c r="AJ50" s="110">
        <f>INDEX(DES_5!$A:$J,MATCH('2021'!$A50,DES_5!$A:$A,0),MATCH('2021'!$A$1,DES_5!$3:$3,0))</f>
        <v>0.50876544135699997</v>
      </c>
      <c r="AK50" s="57">
        <v>28</v>
      </c>
    </row>
    <row r="51" spans="1:37" x14ac:dyDescent="0.3">
      <c r="A51" s="29" t="s">
        <v>50</v>
      </c>
      <c r="B51" s="33">
        <f>INDEX(Population!$A:$J,MATCH('2021'!$A51,Population!$A:$A,0),MATCH('2021'!$A$1,Population!$3:$3,0))</f>
        <v>1540947</v>
      </c>
      <c r="C51" s="14">
        <f>INDEX(Income!$A:$J,MATCH('2021'!$A51,Income!$A:$A,0),MATCH('2021'!$A$1,Income!$3:$3,0))</f>
        <v>35612</v>
      </c>
      <c r="D51" s="34">
        <f>INDEX(Livable_wage!$A:$J,MATCH('2021'!$A51,Livable_wage!$A:$A,0),MATCH('2021'!$A$1,Livable_wage!$3:$3,0))</f>
        <v>9720</v>
      </c>
      <c r="E51" s="41">
        <f>INDEX(AVA_1!$A:$J,MATCH('2021'!$A51,AVA_1!$A:$A,0),MATCH('2021'!$A$1,AVA_1!$3:$3,0))</f>
        <v>0.377</v>
      </c>
      <c r="F51" s="15">
        <f>INDEX(AVA_2!$A:$J,MATCH('2021'!$A51,AVA_2!$A:$A,0),MATCH('2021'!$A$1,AVA_2!$3:$3,0))</f>
        <v>8.4599478481155368E-3</v>
      </c>
      <c r="G51" s="15">
        <f>INDEX(AVA_3!$A:$J,MATCH('2021'!$A51,AVA_3!$A:$A,0),MATCH('2021'!$A$1,AVA_3!$3:$3,0))</f>
        <v>1.1801798129139366E-2</v>
      </c>
      <c r="H51" s="87">
        <f>INDEX(AVA_4!$A:$J,MATCH('2021'!$A51,AVA_4!$A:$A,0),MATCH('2021'!$A$1,AVA_4!$3:$3,0))/(B51/1000)</f>
        <v>0.43739336914248189</v>
      </c>
      <c r="I51" s="89">
        <f>INDEX(AVA_5!$A:$J,MATCH('2021'!$A51,AVA_5!$A:$A,0),MATCH('2021'!$A$1,AVA_5!$3:$3,0))/(B51/1000)</f>
        <v>3.0721368093776102</v>
      </c>
      <c r="J51" s="93">
        <f>INDEX(IRA_1!$A:$J,MATCH('2021'!$A51,IRA_1!$A:$A,0),MATCH('2021'!$A$1,IRA_1!$3:$3,0))/(B51/1000)</f>
        <v>3.3745482485770119E-2</v>
      </c>
      <c r="K51" s="88">
        <f>INDEX(IRA_2!$A:$J,MATCH('2021'!$A51,IRA_2!$A:$A,0),MATCH('2021'!$A$1,IRA_2!$3:$3,0))/(B51/1000)</f>
        <v>8.1118948283101247E-2</v>
      </c>
      <c r="L51" s="15">
        <f>INDEX(IRA_3!$A:$J,MATCH('2021'!$A51,IRA_3!$A:$A,0),MATCH('2021'!$A$1,IRA_3!$3:$3,0))</f>
        <v>0.43696510862409477</v>
      </c>
      <c r="M51" s="96">
        <f>INDEX(IRA_4!$A:$J,MATCH('2021'!$A51,IRA_4!$A:$A,0),MATCH('2021'!$A$1,IRA_4!$3:$3,0))/(B51/1000)</f>
        <v>2.4692607857376019</v>
      </c>
      <c r="N51" s="61">
        <f>INDEX(INV_1!$A:$J,MATCH('2021'!$A51,INV_1!$A:$A,0),MATCH('2021'!$A$1,INV_1!$3:$3,0))</f>
        <v>7.2067569761211731E-2</v>
      </c>
      <c r="O51" s="80">
        <f>INDEX(INV_2!$A:$J,MATCH('2021'!$A51,INV_2!$A:$A,0),MATCH('2021'!$A$1,INV_2!$3:$3,0))/B51*10^6/C51</f>
        <v>0.58648942461687714</v>
      </c>
      <c r="P51" s="87">
        <f>INDEX(INV_3!$A:$J,MATCH('2021'!$A51,INV_3!$A:$A,0),MATCH('2021'!$A$1,INV_3!$3:$3,0))/B51*10^6/C51</f>
        <v>3.7212668336389574</v>
      </c>
      <c r="Q51" s="87">
        <f>INDEX(INV_4!$A:$J,MATCH('2021'!$A51,INV_4!$A:$A,0),MATCH('2021'!$A$1,INV_4!$3:$3,0))/B51*10^3/C51</f>
        <v>0.20088695979590268</v>
      </c>
      <c r="R51" s="34">
        <f>INDEX(INV_5!$A:$J,MATCH('2021'!$A51,INV_5!$A:$A,0),MATCH('2021'!$A$1,INV_5!$3:$3,0))</f>
        <v>7.1499999999999994E-2</v>
      </c>
      <c r="S51" s="77">
        <f>INDEX(LUJ_1!$A:$J,MATCH('2021'!$A51,LUJ_1!$A:$A,0),MATCH('2021'!$A$1,LUJ_1!$3:$3,0))</f>
        <v>0.69296330942729445</v>
      </c>
      <c r="T51" s="73">
        <f>INDEX(LUJ_2!$A:$J,MATCH('2021'!$A51,LUJ_2!$A:$A,0),MATCH('2021'!$A$1,LUJ_2!$3:$3,0))</f>
        <v>0.13900000000000001</v>
      </c>
      <c r="U51" s="73">
        <f>INDEX(LUJ_3!$A:$J,MATCH('2021'!$A51,LUJ_3!$A:$A,0),MATCH('2021'!$A$1,LUJ_3!$3:$3,0))</f>
        <v>0.22531645569620254</v>
      </c>
      <c r="V51" s="14">
        <f>INDEX(LUJ_4!$A:$J,MATCH('2021'!$A51,LUJ_4!$A:$A,0),MATCH('2021'!$A$1,LUJ_4!$3:$3,0))</f>
        <v>26</v>
      </c>
      <c r="W51" s="34">
        <f>INDEX(LUJ_5!$A:$J,MATCH('2021'!$A51,LUJ_5!$A:$A,0),MATCH('2021'!$A$1,LUJ_5!$3:$3,0))</f>
        <v>12.1</v>
      </c>
      <c r="X51" s="98">
        <f>1/INDEX(GUL_1!$A:$J,MATCH('2021'!$A51,GUL_1!$A:$A,0),MATCH('2021'!$A$1,GUL_1!$3:$3,0))</f>
        <v>1.4150275930380643E-2</v>
      </c>
      <c r="Y51" s="57">
        <f>INDEX(GUL_2!$A:$J,MATCH('2021'!$A51,GUL_2!$A:$A,0),MATCH('2021'!$A$1,GUL_2!$3:$3,0))</f>
        <v>25.900000000000002</v>
      </c>
      <c r="Z51" s="57">
        <f>INDEX(GUL_3!$A:$J,MATCH('2021'!$A51,GUL_3!$A:$A,0),MATCH('2021'!$A$1,GUL_3!$3:$3,0))/(B51/1000)</f>
        <v>0.69697400364840589</v>
      </c>
      <c r="AA51" s="101">
        <f>INDEX(GUL_4!$A:$J,MATCH('2021'!$A51,GUL_4!$A:$A,0),MATCH('2021'!$A$1,GUL_4!$3:$3,0))/B51/C51*10^6</f>
        <v>0.21579098070074029</v>
      </c>
      <c r="AB51" s="73">
        <f>INDEX(GUL_5!$A:$J,MATCH('2021'!$A51,GUL_5!$A:$A,0),MATCH('2021'!$A$1,GUL_5!$3:$3,0))</f>
        <v>3.3333926521005079E-2</v>
      </c>
      <c r="AC51" s="49">
        <f>INDEX(GUL_6!$A:$J,MATCH('2021'!$A51,GUL_6!$A:$A,0),MATCH('2021'!$A$1,GUL_6!$3:$3,0))</f>
        <v>3.2483948895000003E-2</v>
      </c>
      <c r="AD51" s="49">
        <f>INDEX(GUL_7!$A:$J,MATCH('2021'!$A51,GUL_7!$A:$A,0),MATCH('2021'!$A$1,GUL_7!$3:$3,0))</f>
        <v>0.18059999999999998</v>
      </c>
      <c r="AE51" s="103">
        <f>INDEX(GUL_8!$A:$J,MATCH('2021'!$A51,GUL_8!$A:$A,0),MATCH('2021'!$A$1,GUL_8!$3:$3,0))/(B51/1000)</f>
        <v>1.1700597100354524</v>
      </c>
      <c r="AF51" s="41">
        <f>INDEX(DES_1!$A:$J,MATCH('2021'!$A51,DES_1!$A:$A,0),MATCH('2021'!$A$1,DES_1!$3:$3,0))/(B51/1000)</f>
        <v>9.9289592698515922E-2</v>
      </c>
      <c r="AG51" s="100">
        <f>INDEX(DES_2!$A:$J,MATCH('2021'!$A51,DES_2!$A:$A,0),MATCH('2021'!$A$1,DES_2!$3:$3,0))/(B51/1000)</f>
        <v>0.43414861121115783</v>
      </c>
      <c r="AH51" s="57">
        <f>1/INDEX(DES_3!$A:$J,MATCH('2021'!$A51,DES_3!$A:$A,0),MATCH('2021'!$A$1,DES_3!$3:$3,0))</f>
        <v>7.5357950263752835E-3</v>
      </c>
      <c r="AI51" s="80">
        <f>INDEX(DES_4!$A:$J,MATCH('2021'!$A51,DES_4!$A:$A,0),MATCH('2021'!$A$1,DES_4!$3:$3,0))</f>
        <v>0.70052233414800003</v>
      </c>
      <c r="AJ51" s="110">
        <f>INDEX(DES_5!$A:$J,MATCH('2021'!$A51,DES_5!$A:$A,0),MATCH('2021'!$A$1,DES_5!$3:$3,0))</f>
        <v>0.38446011142199998</v>
      </c>
      <c r="AK51" s="57">
        <v>26</v>
      </c>
    </row>
    <row r="52" spans="1:37" x14ac:dyDescent="0.3">
      <c r="A52" s="29" t="s">
        <v>51</v>
      </c>
      <c r="B52" s="33">
        <f>INDEX(Population!$A:$J,MATCH('2021'!$A52,Population!$A:$A,0),MATCH('2021'!$A$1,Population!$3:$3,0))</f>
        <v>1144374</v>
      </c>
      <c r="C52" s="14">
        <f>INDEX(Income!$A:$J,MATCH('2021'!$A52,Income!$A:$A,0),MATCH('2021'!$A$1,Income!$3:$3,0))</f>
        <v>35231</v>
      </c>
      <c r="D52" s="34">
        <f>INDEX(Livable_wage!$A:$J,MATCH('2021'!$A52,Livable_wage!$A:$A,0),MATCH('2021'!$A$1,Livable_wage!$3:$3,0))</f>
        <v>9945</v>
      </c>
      <c r="E52" s="41">
        <f>INDEX(AVA_1!$A:$J,MATCH('2021'!$A52,AVA_1!$A:$A,0),MATCH('2021'!$A$1,AVA_1!$3:$3,0))</f>
        <v>0.38100000000000001</v>
      </c>
      <c r="F52" s="15">
        <f>INDEX(AVA_2!$A:$J,MATCH('2021'!$A52,AVA_2!$A:$A,0),MATCH('2021'!$A$1,AVA_2!$3:$3,0))</f>
        <v>9.7928257570485521E-3</v>
      </c>
      <c r="G52" s="15">
        <f>INDEX(AVA_3!$A:$J,MATCH('2021'!$A52,AVA_3!$A:$A,0),MATCH('2021'!$A$1,AVA_3!$3:$3,0))</f>
        <v>3.6714185783517628E-3</v>
      </c>
      <c r="H52" s="87">
        <f>INDEX(AVA_4!$A:$J,MATCH('2021'!$A52,AVA_4!$A:$A,0),MATCH('2021'!$A$1,AVA_4!$3:$3,0))/(B52/1000)</f>
        <v>0.54964548303264493</v>
      </c>
      <c r="I52" s="89">
        <f>INDEX(AVA_5!$A:$J,MATCH('2021'!$A52,AVA_5!$A:$A,0),MATCH('2021'!$A$1,AVA_5!$3:$3,0))/(B52/1000)</f>
        <v>4.0362678634781988</v>
      </c>
      <c r="J52" s="93">
        <f>INDEX(IRA_1!$A:$J,MATCH('2021'!$A52,IRA_1!$A:$A,0),MATCH('2021'!$A$1,IRA_1!$3:$3,0))/(B52/1000)</f>
        <v>3.3205927432814794E-2</v>
      </c>
      <c r="K52" s="88">
        <f>INDEX(IRA_2!$A:$J,MATCH('2021'!$A52,IRA_2!$A:$A,0),MATCH('2021'!$A$1,IRA_2!$3:$3,0))/(B52/1000)</f>
        <v>7.6897937212834264E-2</v>
      </c>
      <c r="L52" s="15">
        <f>INDEX(IRA_3!$A:$J,MATCH('2021'!$A52,IRA_3!$A:$A,0),MATCH('2021'!$A$1,IRA_3!$3:$3,0))</f>
        <v>0.40718842383693787</v>
      </c>
      <c r="M52" s="96">
        <f>INDEX(IRA_4!$A:$J,MATCH('2021'!$A52,IRA_4!$A:$A,0),MATCH('2021'!$A$1,IRA_4!$3:$3,0))/(B52/1000)</f>
        <v>3.2681623315454562</v>
      </c>
      <c r="N52" s="61">
        <f>INDEX(INV_1!$A:$J,MATCH('2021'!$A52,INV_1!$A:$A,0),MATCH('2021'!$A$1,INV_1!$3:$3,0))</f>
        <v>8.216562132237494E-2</v>
      </c>
      <c r="O52" s="80">
        <f>INDEX(INV_2!$A:$J,MATCH('2021'!$A52,INV_2!$A:$A,0),MATCH('2021'!$A$1,INV_2!$3:$3,0))/B52*10^6/C52</f>
        <v>0.47390355334803586</v>
      </c>
      <c r="P52" s="87">
        <f>INDEX(INV_3!$A:$J,MATCH('2021'!$A52,INV_3!$A:$A,0),MATCH('2021'!$A$1,INV_3!$3:$3,0))/B52*10^6/C52</f>
        <v>3.5842801176809251</v>
      </c>
      <c r="Q52" s="87">
        <f>INDEX(INV_4!$A:$J,MATCH('2021'!$A52,INV_4!$A:$A,0),MATCH('2021'!$A$1,INV_4!$3:$3,0))/B52*10^3/C52</f>
        <v>0.26211597479220666</v>
      </c>
      <c r="R52" s="34">
        <f>INDEX(INV_5!$A:$J,MATCH('2021'!$A52,INV_5!$A:$A,0),MATCH('2021'!$A$1,INV_5!$3:$3,0))</f>
        <v>6.3299999999999995E-2</v>
      </c>
      <c r="S52" s="77">
        <f>INDEX(LUJ_1!$A:$J,MATCH('2021'!$A52,LUJ_1!$A:$A,0),MATCH('2021'!$A$1,LUJ_1!$3:$3,0))</f>
        <v>0.76732452886184899</v>
      </c>
      <c r="T52" s="73">
        <f>INDEX(LUJ_2!$A:$J,MATCH('2021'!$A52,LUJ_2!$A:$A,0),MATCH('2021'!$A$1,LUJ_2!$3:$3,0))</f>
        <v>0.17300000000000001</v>
      </c>
      <c r="U52" s="73">
        <f>INDEX(LUJ_3!$A:$J,MATCH('2021'!$A52,LUJ_3!$A:$A,0),MATCH('2021'!$A$1,LUJ_3!$3:$3,0))</f>
        <v>0.36417033773861968</v>
      </c>
      <c r="V52" s="14">
        <f>INDEX(LUJ_4!$A:$J,MATCH('2021'!$A52,LUJ_4!$A:$A,0),MATCH('2021'!$A$1,LUJ_4!$3:$3,0))</f>
        <v>19</v>
      </c>
      <c r="W52" s="34">
        <f>INDEX(LUJ_5!$A:$J,MATCH('2021'!$A52,LUJ_5!$A:$A,0),MATCH('2021'!$A$1,LUJ_5!$3:$3,0))</f>
        <v>24.6</v>
      </c>
      <c r="X52" s="98">
        <f>1/INDEX(GUL_1!$A:$J,MATCH('2021'!$A52,GUL_1!$A:$A,0),MATCH('2021'!$A$1,GUL_1!$3:$3,0))</f>
        <v>1.4581510644502771E-2</v>
      </c>
      <c r="Y52" s="57">
        <f>INDEX(GUL_2!$A:$J,MATCH('2021'!$A52,GUL_2!$A:$A,0),MATCH('2021'!$A$1,GUL_2!$3:$3,0))</f>
        <v>26.200000000000003</v>
      </c>
      <c r="Z52" s="57">
        <f>INDEX(GUL_3!$A:$J,MATCH('2021'!$A52,GUL_3!$A:$A,0),MATCH('2021'!$A$1,GUL_3!$3:$3,0))/(B52/1000)</f>
        <v>0.74975488782513411</v>
      </c>
      <c r="AA52" s="101">
        <f>INDEX(GUL_4!$A:$J,MATCH('2021'!$A52,GUL_4!$A:$A,0),MATCH('2021'!$A$1,GUL_4!$3:$3,0))/B52/C52*10^6</f>
        <v>0.21921257683102513</v>
      </c>
      <c r="AB52" s="73">
        <f>INDEX(GUL_5!$A:$J,MATCH('2021'!$A52,GUL_5!$A:$A,0),MATCH('2021'!$A$1,GUL_5!$3:$3,0))</f>
        <v>2.8135017196947984E-2</v>
      </c>
      <c r="AC52" s="49">
        <f>INDEX(GUL_6!$A:$J,MATCH('2021'!$A52,GUL_6!$A:$A,0),MATCH('2021'!$A$1,GUL_6!$3:$3,0))</f>
        <v>3.9242380223000001E-2</v>
      </c>
      <c r="AD52" s="49">
        <f>INDEX(GUL_7!$A:$J,MATCH('2021'!$A52,GUL_7!$A:$A,0),MATCH('2021'!$A$1,GUL_7!$3:$3,0))</f>
        <v>0.15920000000000001</v>
      </c>
      <c r="AE52" s="103">
        <f>INDEX(GUL_8!$A:$J,MATCH('2021'!$A52,GUL_8!$A:$A,0),MATCH('2021'!$A$1,GUL_8!$3:$3,0))/(B52/1000)</f>
        <v>1.6594225314451394</v>
      </c>
      <c r="AF52" s="41">
        <f>INDEX(DES_1!$A:$J,MATCH('2021'!$A52,DES_1!$A:$A,0),MATCH('2021'!$A$1,DES_1!$3:$3,0))/(B52/1000)</f>
        <v>2.0972164694409344E-2</v>
      </c>
      <c r="AG52" s="100">
        <f>INDEX(DES_2!$A:$J,MATCH('2021'!$A52,DES_2!$A:$A,0),MATCH('2021'!$A$1,DES_2!$3:$3,0))/(B52/1000)</f>
        <v>0.5714914879226547</v>
      </c>
      <c r="AH52" s="57">
        <f>1/INDEX(DES_3!$A:$J,MATCH('2021'!$A52,DES_3!$A:$A,0),MATCH('2021'!$A$1,DES_3!$3:$3,0))</f>
        <v>7.9808459696727851E-3</v>
      </c>
      <c r="AI52" s="80">
        <f>INDEX(DES_4!$A:$J,MATCH('2021'!$A52,DES_4!$A:$A,0),MATCH('2021'!$A$1,DES_4!$3:$3,0))</f>
        <v>0.74276962225499998</v>
      </c>
      <c r="AJ52" s="110">
        <f>INDEX(DES_5!$A:$J,MATCH('2021'!$A52,DES_5!$A:$A,0),MATCH('2021'!$A$1,DES_5!$3:$3,0))</f>
        <v>0.41768012953099998</v>
      </c>
      <c r="AK52" s="57">
        <v>6</v>
      </c>
    </row>
    <row r="53" spans="1:37" x14ac:dyDescent="0.3">
      <c r="A53" s="29" t="s">
        <v>52</v>
      </c>
      <c r="B53" s="33">
        <f>INDEX(Population!$A:$J,MATCH('2021'!$A53,Population!$A:$A,0),MATCH('2021'!$A$1,Population!$3:$3,0))</f>
        <v>584937</v>
      </c>
      <c r="C53" s="14">
        <f>INDEX(Income!$A:$J,MATCH('2021'!$A53,Income!$A:$A,0),MATCH('2021'!$A$1,Income!$3:$3,0))</f>
        <v>29300</v>
      </c>
      <c r="D53" s="34">
        <f>INDEX(Livable_wage!$A:$J,MATCH('2021'!$A53,Livable_wage!$A:$A,0),MATCH('2021'!$A$1,Livable_wage!$3:$3,0))</f>
        <v>11408</v>
      </c>
      <c r="E53" s="41">
        <f>INDEX(AVA_1!$A:$J,MATCH('2021'!$A53,AVA_1!$A:$A,0),MATCH('2021'!$A$1,AVA_1!$3:$3,0))</f>
        <v>0.34399999999999997</v>
      </c>
      <c r="F53" s="15">
        <f>INDEX(AVA_2!$A:$J,MATCH('2021'!$A53,AVA_2!$A:$A,0),MATCH('2021'!$A$1,AVA_2!$3:$3,0))</f>
        <v>1.1171188924880837E-2</v>
      </c>
      <c r="G53" s="15">
        <f>INDEX(AVA_3!$A:$J,MATCH('2021'!$A53,AVA_3!$A:$A,0),MATCH('2021'!$A$1,AVA_3!$3:$3,0))</f>
        <v>2.8715037860258849E-2</v>
      </c>
      <c r="H53" s="87">
        <f>INDEX(AVA_4!$A:$J,MATCH('2021'!$A53,AVA_4!$A:$A,0),MATCH('2021'!$A$1,AVA_4!$3:$3,0))/(B53/1000)</f>
        <v>0.9317242711608259</v>
      </c>
      <c r="I53" s="89">
        <f>INDEX(AVA_5!$A:$J,MATCH('2021'!$A53,AVA_5!$A:$A,0),MATCH('2021'!$A$1,AVA_5!$3:$3,0))/(B53/1000)</f>
        <v>7.3819915649035703</v>
      </c>
      <c r="J53" s="93">
        <f>INDEX(IRA_1!$A:$J,MATCH('2021'!$A53,IRA_1!$A:$A,0),MATCH('2021'!$A$1,IRA_1!$3:$3,0))/(B53/1000)</f>
        <v>7.6931361838967274E-2</v>
      </c>
      <c r="K53" s="88">
        <f>INDEX(IRA_2!$A:$J,MATCH('2021'!$A53,IRA_2!$A:$A,0),MATCH('2021'!$A$1,IRA_2!$3:$3,0))/(B53/1000)</f>
        <v>9.7446391662691881E-2</v>
      </c>
      <c r="L53" s="15">
        <f>INDEX(IRA_3!$A:$J,MATCH('2021'!$A53,IRA_3!$A:$A,0),MATCH('2021'!$A$1,IRA_3!$3:$3,0))</f>
        <v>0.44913393510612343</v>
      </c>
      <c r="M53" s="96">
        <f>INDEX(IRA_4!$A:$J,MATCH('2021'!$A53,IRA_4!$A:$A,0),MATCH('2021'!$A$1,IRA_4!$3:$3,0))/(B53/1000)</f>
        <v>5.73053166409374</v>
      </c>
      <c r="N53" s="61">
        <f>INDEX(INV_1!$A:$J,MATCH('2021'!$A53,INV_1!$A:$A,0),MATCH('2021'!$A$1,INV_1!$3:$3,0))</f>
        <v>6.1506155229082607E-2</v>
      </c>
      <c r="O53" s="80">
        <f>INDEX(INV_2!$A:$J,MATCH('2021'!$A53,INV_2!$A:$A,0),MATCH('2021'!$A$1,INV_2!$3:$3,0))/B53*10^6/C53</f>
        <v>0.4879864316320694</v>
      </c>
      <c r="P53" s="87">
        <f>INDEX(INV_3!$A:$J,MATCH('2021'!$A53,INV_3!$A:$A,0),MATCH('2021'!$A$1,INV_3!$3:$3,0))/B53*10^6/C53</f>
        <v>4.6267343711662861</v>
      </c>
      <c r="Q53" s="87">
        <f>INDEX(INV_4!$A:$J,MATCH('2021'!$A53,INV_4!$A:$A,0),MATCH('2021'!$A$1,INV_4!$3:$3,0))/B53*10^3/C53</f>
        <v>0.26050499437992625</v>
      </c>
      <c r="R53" s="34">
        <f>INDEX(INV_5!$A:$J,MATCH('2021'!$A53,INV_5!$A:$A,0),MATCH('2021'!$A$1,INV_5!$3:$3,0))</f>
        <v>4.4999999999999998E-2</v>
      </c>
      <c r="S53" s="77">
        <f>INDEX(LUJ_1!$A:$J,MATCH('2021'!$A53,LUJ_1!$A:$A,0),MATCH('2021'!$A$1,LUJ_1!$3:$3,0))</f>
        <v>0.82109679352712017</v>
      </c>
      <c r="T53" s="73">
        <f>INDEX(LUJ_2!$A:$J,MATCH('2021'!$A53,LUJ_2!$A:$A,0),MATCH('2021'!$A$1,LUJ_2!$3:$3,0))</f>
        <v>0.25600000000000001</v>
      </c>
      <c r="U53" s="73">
        <f>INDEX(LUJ_3!$A:$J,MATCH('2021'!$A53,LUJ_3!$A:$A,0),MATCH('2021'!$A$1,LUJ_3!$3:$3,0))</f>
        <v>0.47611777535441657</v>
      </c>
      <c r="V53" s="14">
        <f>INDEX(LUJ_4!$A:$J,MATCH('2021'!$A53,LUJ_4!$A:$A,0),MATCH('2021'!$A$1,LUJ_4!$3:$3,0))</f>
        <v>7</v>
      </c>
      <c r="W53" s="34">
        <f>INDEX(LUJ_5!$A:$J,MATCH('2021'!$A53,LUJ_5!$A:$A,0),MATCH('2021'!$A$1,LUJ_5!$3:$3,0))</f>
        <v>50.3</v>
      </c>
      <c r="X53" s="98">
        <f>1/INDEX(GUL_1!$A:$J,MATCH('2021'!$A53,GUL_1!$A:$A,0),MATCH('2021'!$A$1,GUL_1!$3:$3,0))</f>
        <v>1.478415138971023E-2</v>
      </c>
      <c r="Y53" s="57">
        <f>INDEX(GUL_2!$A:$J,MATCH('2021'!$A53,GUL_2!$A:$A,0),MATCH('2021'!$A$1,GUL_2!$3:$3,0))</f>
        <v>25.7</v>
      </c>
      <c r="Z53" s="57">
        <f>INDEX(GUL_3!$A:$J,MATCH('2021'!$A53,GUL_3!$A:$A,0),MATCH('2021'!$A$1,GUL_3!$3:$3,0))/(B53/1000)</f>
        <v>1.2958660505319377</v>
      </c>
      <c r="AA53" s="101">
        <f>INDEX(GUL_4!$A:$J,MATCH('2021'!$A53,GUL_4!$A:$A,0),MATCH('2021'!$A$1,GUL_4!$3:$3,0))/B53/C53*10^6</f>
        <v>0.30368779074664914</v>
      </c>
      <c r="AB53" s="73">
        <f>INDEX(GUL_5!$A:$J,MATCH('2021'!$A53,GUL_5!$A:$A,0),MATCH('2021'!$A$1,GUL_5!$3:$3,0))</f>
        <v>2.0227383561442533E-2</v>
      </c>
      <c r="AC53" s="49">
        <f>INDEX(GUL_6!$A:$J,MATCH('2021'!$A53,GUL_6!$A:$A,0),MATCH('2021'!$A$1,GUL_6!$3:$3,0))</f>
        <v>4.8944906360999997E-2</v>
      </c>
      <c r="AD53" s="49">
        <f>INDEX(GUL_7!$A:$J,MATCH('2021'!$A53,GUL_7!$A:$A,0),MATCH('2021'!$A$1,GUL_7!$3:$3,0))</f>
        <v>0.19289999999999999</v>
      </c>
      <c r="AE53" s="103">
        <f>INDEX(GUL_8!$A:$J,MATCH('2021'!$A53,GUL_8!$A:$A,0),MATCH('2021'!$A$1,GUL_8!$3:$3,0))/(B53/1000)</f>
        <v>2.5831841719706565</v>
      </c>
      <c r="AF53" s="41">
        <f>INDEX(DES_1!$A:$J,MATCH('2021'!$A53,DES_1!$A:$A,0),MATCH('2021'!$A$1,DES_1!$3:$3,0))/(B53/1000)</f>
        <v>0.13676686549149739</v>
      </c>
      <c r="AG53" s="100">
        <f>INDEX(DES_2!$A:$J,MATCH('2021'!$A53,DES_2!$A:$A,0),MATCH('2021'!$A$1,DES_2!$3:$3,0))/(B53/1000)</f>
        <v>0.4154293539304233</v>
      </c>
      <c r="AH53" s="57">
        <f>1/INDEX(DES_3!$A:$J,MATCH('2021'!$A53,DES_3!$A:$A,0),MATCH('2021'!$A$1,DES_3!$3:$3,0))</f>
        <v>6.5703022339027601E-3</v>
      </c>
      <c r="AI53" s="80">
        <f>INDEX(DES_4!$A:$J,MATCH('2021'!$A53,DES_4!$A:$A,0),MATCH('2021'!$A$1,DES_4!$3:$3,0))</f>
        <v>0.62128534420900006</v>
      </c>
      <c r="AJ53" s="110">
        <f>INDEX(DES_5!$A:$J,MATCH('2021'!$A53,DES_5!$A:$A,0),MATCH('2021'!$A$1,DES_5!$3:$3,0))</f>
        <v>0.39660380429299996</v>
      </c>
      <c r="AK53" s="57">
        <v>4</v>
      </c>
    </row>
    <row r="54" spans="1:37" x14ac:dyDescent="0.3">
      <c r="A54" s="29" t="s">
        <v>53</v>
      </c>
      <c r="B54" s="33">
        <f>INDEX(Population!$A:$J,MATCH('2021'!$A54,Population!$A:$A,0),MATCH('2021'!$A$1,Population!$3:$3,0))</f>
        <v>1026656</v>
      </c>
      <c r="C54" s="14">
        <f>INDEX(Income!$A:$J,MATCH('2021'!$A54,Income!$A:$A,0),MATCH('2021'!$A$1,Income!$3:$3,0))</f>
        <v>39741</v>
      </c>
      <c r="D54" s="34">
        <f>INDEX(Livable_wage!$A:$J,MATCH('2021'!$A54,Livable_wage!$A:$A,0),MATCH('2021'!$A$1,Livable_wage!$3:$3,0))</f>
        <v>14194.964058068135</v>
      </c>
      <c r="E54" s="41">
        <f>INDEX(AVA_1!$A:$J,MATCH('2021'!$A54,AVA_1!$A:$A,0),MATCH('2021'!$A$1,AVA_1!$3:$3,0))</f>
        <v>0.37</v>
      </c>
      <c r="F54" s="15">
        <f>INDEX(AVA_2!$A:$J,MATCH('2021'!$A54,AVA_2!$A:$A,0),MATCH('2021'!$A$1,AVA_2!$3:$3,0))</f>
        <v>1.1356345619553943E-2</v>
      </c>
      <c r="G54" s="15">
        <f>INDEX(AVA_3!$A:$J,MATCH('2021'!$A54,AVA_3!$A:$A,0),MATCH('2021'!$A$1,AVA_3!$3:$3,0))</f>
        <v>7.9746709761343987E-3</v>
      </c>
      <c r="H54" s="87">
        <f>INDEX(AVA_4!$A:$J,MATCH('2021'!$A54,AVA_4!$A:$A,0),MATCH('2021'!$A$1,AVA_4!$3:$3,0))/(B54/1000)</f>
        <v>1.043192656547081</v>
      </c>
      <c r="I54" s="89">
        <f>INDEX(AVA_5!$A:$J,MATCH('2021'!$A54,AVA_5!$A:$A,0),MATCH('2021'!$A$1,AVA_5!$3:$3,0))/(B54/1000)</f>
        <v>6.0546083595673723</v>
      </c>
      <c r="J54" s="93">
        <f>INDEX(IRA_1!$A:$J,MATCH('2021'!$A54,IRA_1!$A:$A,0),MATCH('2021'!$A$1,IRA_1!$3:$3,0))/(B54/1000)</f>
        <v>0.12565065611071286</v>
      </c>
      <c r="K54" s="88">
        <f>INDEX(IRA_2!$A:$J,MATCH('2021'!$A54,IRA_2!$A:$A,0),MATCH('2021'!$A$1,IRA_2!$3:$3,0))/(B54/1000)</f>
        <v>0.14123523361281676</v>
      </c>
      <c r="L54" s="15">
        <f>INDEX(IRA_3!$A:$J,MATCH('2021'!$A54,IRA_3!$A:$A,0),MATCH('2021'!$A$1,IRA_3!$3:$3,0))</f>
        <v>0.36551273677335072</v>
      </c>
      <c r="M54" s="96">
        <f>INDEX(IRA_4!$A:$J,MATCH('2021'!$A54,IRA_4!$A:$A,0),MATCH('2021'!$A$1,IRA_4!$3:$3,0))/(B54/1000)</f>
        <v>3.9672490103793288</v>
      </c>
      <c r="N54" s="61">
        <f>INDEX(INV_1!$A:$J,MATCH('2021'!$A54,INV_1!$A:$A,0),MATCH('2021'!$A$1,INV_1!$3:$3,0))</f>
        <v>7.2245380356997568E-2</v>
      </c>
      <c r="O54" s="80">
        <f>INDEX(INV_2!$A:$J,MATCH('2021'!$A54,INV_2!$A:$A,0),MATCH('2021'!$A$1,INV_2!$3:$3,0))/B54*10^6/C54</f>
        <v>0.60398863580760276</v>
      </c>
      <c r="P54" s="87">
        <f>INDEX(INV_3!$A:$J,MATCH('2021'!$A54,INV_3!$A:$A,0),MATCH('2021'!$A$1,INV_3!$3:$3,0))/B54*10^6/C54</f>
        <v>5.0928011845562029</v>
      </c>
      <c r="Q54" s="87">
        <f>INDEX(INV_4!$A:$J,MATCH('2021'!$A54,INV_4!$A:$A,0),MATCH('2021'!$A$1,INV_4!$3:$3,0))/B54*10^3/C54</f>
        <v>0.25004918258504727</v>
      </c>
      <c r="R54" s="34">
        <f>INDEX(INV_5!$A:$J,MATCH('2021'!$A54,INV_5!$A:$A,0),MATCH('2021'!$A$1,INV_5!$3:$3,0))</f>
        <v>3.6499999999999998E-2</v>
      </c>
      <c r="S54" s="77">
        <f>INDEX(LUJ_1!$A:$J,MATCH('2021'!$A54,LUJ_1!$A:$A,0),MATCH('2021'!$A$1,LUJ_1!$3:$3,0))</f>
        <v>0.79530719357826485</v>
      </c>
      <c r="T54" s="73">
        <f>INDEX(LUJ_2!$A:$J,MATCH('2021'!$A54,LUJ_2!$A:$A,0),MATCH('2021'!$A$1,LUJ_2!$3:$3,0))</f>
        <v>0.26</v>
      </c>
      <c r="U54" s="73">
        <f>INDEX(LUJ_3!$A:$J,MATCH('2021'!$A54,LUJ_3!$A:$A,0),MATCH('2021'!$A$1,LUJ_3!$3:$3,0))</f>
        <v>0.57267892754265459</v>
      </c>
      <c r="V54" s="14">
        <f>INDEX(LUJ_4!$A:$J,MATCH('2021'!$A54,LUJ_4!$A:$A,0),MATCH('2021'!$A$1,LUJ_4!$3:$3,0))</f>
        <v>33</v>
      </c>
      <c r="W54" s="34">
        <f>INDEX(LUJ_5!$A:$J,MATCH('2021'!$A54,LUJ_5!$A:$A,0),MATCH('2021'!$A$1,LUJ_5!$3:$3,0))</f>
        <v>21.9</v>
      </c>
      <c r="X54" s="98">
        <f>1/INDEX(GUL_1!$A:$J,MATCH('2021'!$A54,GUL_1!$A:$A,0),MATCH('2021'!$A$1,GUL_1!$3:$3,0))</f>
        <v>1.4367816091954025E-2</v>
      </c>
      <c r="Y54" s="57">
        <f>INDEX(GUL_2!$A:$J,MATCH('2021'!$A54,GUL_2!$A:$A,0),MATCH('2021'!$A$1,GUL_2!$3:$3,0))</f>
        <v>25.7</v>
      </c>
      <c r="Z54" s="57">
        <f>INDEX(GUL_3!$A:$J,MATCH('2021'!$A54,GUL_3!$A:$A,0),MATCH('2021'!$A$1,GUL_3!$3:$3,0))/(B54/1000)</f>
        <v>0.82208646323598167</v>
      </c>
      <c r="AA54" s="101">
        <f>INDEX(GUL_4!$A:$J,MATCH('2021'!$A54,GUL_4!$A:$A,0),MATCH('2021'!$A$1,GUL_4!$3:$3,0))/B54/C54*10^6</f>
        <v>0.43152316095077686</v>
      </c>
      <c r="AB54" s="73">
        <f>INDEX(GUL_5!$A:$J,MATCH('2021'!$A54,GUL_5!$A:$A,0),MATCH('2021'!$A$1,GUL_5!$3:$3,0))</f>
        <v>2.6169200122532755E-2</v>
      </c>
      <c r="AC54" s="49">
        <f>INDEX(GUL_6!$A:$J,MATCH('2021'!$A54,GUL_6!$A:$A,0),MATCH('2021'!$A$1,GUL_6!$3:$3,0))</f>
        <v>7.5222273724999997E-2</v>
      </c>
      <c r="AD54" s="49">
        <f>INDEX(GUL_7!$A:$J,MATCH('2021'!$A54,GUL_7!$A:$A,0),MATCH('2021'!$A$1,GUL_7!$3:$3,0))</f>
        <v>0.18170000000000003</v>
      </c>
      <c r="AE54" s="103">
        <f>INDEX(GUL_8!$A:$J,MATCH('2021'!$A54,GUL_8!$A:$A,0),MATCH('2021'!$A$1,GUL_8!$3:$3,0))/(B54/1000)</f>
        <v>2.9299005703955365</v>
      </c>
      <c r="AF54" s="41">
        <f>INDEX(DES_1!$A:$J,MATCH('2021'!$A54,DES_1!$A:$A,0),MATCH('2021'!$A$1,DES_1!$3:$3,0))/(B54/1000)</f>
        <v>0.27565221456846306</v>
      </c>
      <c r="AG54" s="100">
        <f>INDEX(DES_2!$A:$J,MATCH('2021'!$A54,DES_2!$A:$A,0),MATCH('2021'!$A$1,DES_2!$3:$3,0))/(B54/1000)</f>
        <v>0.38669232927095348</v>
      </c>
      <c r="AH54" s="57">
        <f>1/INDEX(DES_3!$A:$J,MATCH('2021'!$A54,DES_3!$A:$A,0),MATCH('2021'!$A$1,DES_3!$3:$3,0))</f>
        <v>7.9744816586921844E-3</v>
      </c>
      <c r="AI54" s="80">
        <f>INDEX(DES_4!$A:$J,MATCH('2021'!$A54,DES_4!$A:$A,0),MATCH('2021'!$A$1,DES_4!$3:$3,0))</f>
        <v>0.79201368028100005</v>
      </c>
      <c r="AJ54" s="110">
        <f>INDEX(DES_5!$A:$J,MATCH('2021'!$A54,DES_5!$A:$A,0),MATCH('2021'!$A$1,DES_5!$3:$3,0))</f>
        <v>0.59540352707599997</v>
      </c>
      <c r="AK54" s="57">
        <v>2</v>
      </c>
    </row>
    <row r="55" spans="1:37" x14ac:dyDescent="0.3">
      <c r="A55" s="29" t="s">
        <v>54</v>
      </c>
      <c r="B55" s="33">
        <f>INDEX(Population!$A:$J,MATCH('2021'!$A55,Population!$A:$A,0),MATCH('2021'!$A$1,Population!$3:$3,0))</f>
        <v>3126706</v>
      </c>
      <c r="C55" s="14">
        <f>INDEX(Income!$A:$J,MATCH('2021'!$A55,Income!$A:$A,0),MATCH('2021'!$A$1,Income!$3:$3,0))</f>
        <v>37525</v>
      </c>
      <c r="D55" s="34">
        <f>INDEX(Livable_wage!$A:$J,MATCH('2021'!$A55,Livable_wage!$A:$A,0),MATCH('2021'!$A$1,Livable_wage!$3:$3,0))</f>
        <v>10833</v>
      </c>
      <c r="E55" s="41">
        <f>INDEX(AVA_1!$A:$J,MATCH('2021'!$A55,AVA_1!$A:$A,0),MATCH('2021'!$A$1,AVA_1!$3:$3,0))</f>
        <v>0.38700000000000001</v>
      </c>
      <c r="F55" s="15">
        <f>INDEX(AVA_2!$A:$J,MATCH('2021'!$A55,AVA_2!$A:$A,0),MATCH('2021'!$A$1,AVA_2!$3:$3,0))</f>
        <v>1.3717246484085862E-2</v>
      </c>
      <c r="G55" s="15">
        <f>INDEX(AVA_3!$A:$J,MATCH('2021'!$A55,AVA_3!$A:$A,0),MATCH('2021'!$A$1,AVA_3!$3:$3,0))</f>
        <v>2.8516372311322105E-2</v>
      </c>
      <c r="H55" s="87">
        <f>INDEX(AVA_4!$A:$J,MATCH('2021'!$A55,AVA_4!$A:$A,0),MATCH('2021'!$A$1,AVA_4!$3:$3,0))/(B55/1000)</f>
        <v>0.82802796297445291</v>
      </c>
      <c r="I55" s="89">
        <f>INDEX(AVA_5!$A:$J,MATCH('2021'!$A55,AVA_5!$A:$A,0),MATCH('2021'!$A$1,AVA_5!$3:$3,0))/(B55/1000)</f>
        <v>4.609323678017696</v>
      </c>
      <c r="J55" s="93">
        <f>INDEX(IRA_1!$A:$J,MATCH('2021'!$A55,IRA_1!$A:$A,0),MATCH('2021'!$A$1,IRA_1!$3:$3,0))/(B55/1000)</f>
        <v>4.9892762543072483E-2</v>
      </c>
      <c r="K55" s="88">
        <f>INDEX(IRA_2!$A:$J,MATCH('2021'!$A55,IRA_2!$A:$A,0),MATCH('2021'!$A$1,IRA_2!$3:$3,0))/(B55/1000)</f>
        <v>0.10074500128889637</v>
      </c>
      <c r="L55" s="15">
        <f>INDEX(IRA_3!$A:$J,MATCH('2021'!$A55,IRA_3!$A:$A,0),MATCH('2021'!$A$1,IRA_3!$3:$3,0))</f>
        <v>0.44631395276375652</v>
      </c>
      <c r="M55" s="96">
        <f>INDEX(IRA_4!$A:$J,MATCH('2021'!$A55,IRA_4!$A:$A,0),MATCH('2021'!$A$1,IRA_4!$3:$3,0))/(B55/1000)</f>
        <v>3.9268162724605382</v>
      </c>
      <c r="N55" s="61">
        <f>INDEX(INV_1!$A:$J,MATCH('2021'!$A55,INV_1!$A:$A,0),MATCH('2021'!$A$1,INV_1!$3:$3,0))</f>
        <v>8.3983009061095182E-2</v>
      </c>
      <c r="O55" s="80">
        <f>INDEX(INV_2!$A:$J,MATCH('2021'!$A55,INV_2!$A:$A,0),MATCH('2021'!$A$1,INV_2!$3:$3,0))/B55*10^6/C55</f>
        <v>0.46778280315527149</v>
      </c>
      <c r="P55" s="87">
        <f>INDEX(INV_3!$A:$J,MATCH('2021'!$A55,INV_3!$A:$A,0),MATCH('2021'!$A$1,INV_3!$3:$3,0))/B55*10^6/C55</f>
        <v>3.6816271680684265</v>
      </c>
      <c r="Q55" s="87">
        <f>INDEX(INV_4!$A:$J,MATCH('2021'!$A55,INV_4!$A:$A,0),MATCH('2021'!$A$1,INV_4!$3:$3,0))/B55*10^3/C55</f>
        <v>0.21738963422982863</v>
      </c>
      <c r="R55" s="34">
        <f>INDEX(INV_5!$A:$J,MATCH('2021'!$A55,INV_5!$A:$A,0),MATCH('2021'!$A$1,INV_5!$3:$3,0))</f>
        <v>8.6099999999999996E-2</v>
      </c>
      <c r="S55" s="77">
        <f>INDEX(LUJ_1!$A:$J,MATCH('2021'!$A55,LUJ_1!$A:$A,0),MATCH('2021'!$A$1,LUJ_1!$3:$3,0))</f>
        <v>0.70250705274924152</v>
      </c>
      <c r="T55" s="73">
        <f>INDEX(LUJ_2!$A:$J,MATCH('2021'!$A55,LUJ_2!$A:$A,0),MATCH('2021'!$A$1,LUJ_2!$3:$3,0))</f>
        <v>0.16899999999999998</v>
      </c>
      <c r="U55" s="73">
        <f>INDEX(LUJ_3!$A:$J,MATCH('2021'!$A55,LUJ_3!$A:$A,0),MATCH('2021'!$A$1,LUJ_3!$3:$3,0))</f>
        <v>0.41150743181121668</v>
      </c>
      <c r="V55" s="14">
        <f>INDEX(LUJ_4!$A:$J,MATCH('2021'!$A55,LUJ_4!$A:$A,0),MATCH('2021'!$A$1,LUJ_4!$3:$3,0))</f>
        <v>75</v>
      </c>
      <c r="W55" s="34">
        <f>INDEX(LUJ_5!$A:$J,MATCH('2021'!$A55,LUJ_5!$A:$A,0),MATCH('2021'!$A$1,LUJ_5!$3:$3,0))</f>
        <v>55.8</v>
      </c>
      <c r="X55" s="98">
        <f>1/INDEX(GUL_1!$A:$J,MATCH('2021'!$A55,GUL_1!$A:$A,0),MATCH('2021'!$A$1,GUL_1!$3:$3,0))</f>
        <v>1.4507471347744086E-2</v>
      </c>
      <c r="Y55" s="57">
        <f>INDEX(GUL_2!$A:$J,MATCH('2021'!$A55,GUL_2!$A:$A,0),MATCH('2021'!$A$1,GUL_2!$3:$3,0))</f>
        <v>25.4</v>
      </c>
      <c r="Z55" s="57">
        <f>INDEX(GUL_3!$A:$J,MATCH('2021'!$A55,GUL_3!$A:$A,0),MATCH('2021'!$A$1,GUL_3!$3:$3,0))/(B55/1000)</f>
        <v>1.0407118545843452</v>
      </c>
      <c r="AA55" s="101">
        <f>INDEX(GUL_4!$A:$J,MATCH('2021'!$A55,GUL_4!$A:$A,0),MATCH('2021'!$A$1,GUL_4!$3:$3,0))/B55/C55*10^6</f>
        <v>0.22791938504212261</v>
      </c>
      <c r="AB55" s="73">
        <f>INDEX(GUL_5!$A:$J,MATCH('2021'!$A55,GUL_5!$A:$A,0),MATCH('2021'!$A$1,GUL_5!$3:$3,0))</f>
        <v>2.8260310212049649E-2</v>
      </c>
      <c r="AC55" s="49">
        <f>INDEX(GUL_6!$A:$J,MATCH('2021'!$A55,GUL_6!$A:$A,0),MATCH('2021'!$A$1,GUL_6!$3:$3,0))</f>
        <v>3.7653069745000003E-2</v>
      </c>
      <c r="AD55" s="49">
        <f>INDEX(GUL_7!$A:$J,MATCH('2021'!$A55,GUL_7!$A:$A,0),MATCH('2021'!$A$1,GUL_7!$3:$3,0))</f>
        <v>0.1769</v>
      </c>
      <c r="AE55" s="103">
        <f>INDEX(GUL_8!$A:$J,MATCH('2021'!$A55,GUL_8!$A:$A,0),MATCH('2021'!$A$1,GUL_8!$3:$3,0))/(B55/1000)</f>
        <v>1.7849455625185098</v>
      </c>
      <c r="AF55" s="41">
        <f>INDEX(DES_1!$A:$J,MATCH('2021'!$A55,DES_1!$A:$A,0),MATCH('2021'!$A$1,DES_1!$3:$3,0))/(B55/1000)</f>
        <v>8.0276175630199953E-2</v>
      </c>
      <c r="AG55" s="100">
        <f>INDEX(DES_2!$A:$J,MATCH('2021'!$A55,DES_2!$A:$A,0),MATCH('2021'!$A$1,DES_2!$3:$3,0))/(B55/1000)</f>
        <v>0.41193511638126512</v>
      </c>
      <c r="AH55" s="57">
        <f>1/INDEX(DES_3!$A:$J,MATCH('2021'!$A55,DES_3!$A:$A,0),MATCH('2021'!$A$1,DES_3!$3:$3,0))</f>
        <v>7.874015748031496E-3</v>
      </c>
      <c r="AI55" s="80">
        <f>INDEX(DES_4!$A:$J,MATCH('2021'!$A55,DES_4!$A:$A,0),MATCH('2021'!$A$1,DES_4!$3:$3,0))</f>
        <v>0.90276255817899997</v>
      </c>
      <c r="AJ55" s="110">
        <f>INDEX(DES_5!$A:$J,MATCH('2021'!$A55,DES_5!$A:$A,0),MATCH('2021'!$A$1,DES_5!$3:$3,0))</f>
        <v>0.65290863029700008</v>
      </c>
      <c r="AK55" s="57">
        <v>62</v>
      </c>
    </row>
    <row r="56" spans="1:37" x14ac:dyDescent="0.3">
      <c r="A56" s="29" t="s">
        <v>55</v>
      </c>
      <c r="B56" s="33">
        <f>INDEX(Population!$A:$J,MATCH('2021'!$A56,Population!$A:$A,0),MATCH('2021'!$A$1,Population!$3:$3,0))</f>
        <v>780364</v>
      </c>
      <c r="C56" s="14">
        <f>INDEX(Income!$A:$J,MATCH('2021'!$A56,Income!$A:$A,0),MATCH('2021'!$A$1,Income!$3:$3,0))</f>
        <v>23746</v>
      </c>
      <c r="D56" s="34">
        <f>INDEX(Livable_wage!$A:$J,MATCH('2021'!$A56,Livable_wage!$A:$A,0),MATCH('2021'!$A$1,Livable_wage!$3:$3,0))</f>
        <v>10696</v>
      </c>
      <c r="E56" s="41">
        <f>INDEX(AVA_1!$A:$J,MATCH('2021'!$A56,AVA_1!$A:$A,0),MATCH('2021'!$A$1,AVA_1!$3:$3,0))</f>
        <v>0.34799999999999998</v>
      </c>
      <c r="F56" s="15">
        <f>INDEX(AVA_2!$A:$J,MATCH('2021'!$A56,AVA_2!$A:$A,0),MATCH('2021'!$A$1,AVA_2!$3:$3,0))</f>
        <v>7.0499092974976585E-3</v>
      </c>
      <c r="G56" s="15">
        <f>INDEX(AVA_3!$A:$J,MATCH('2021'!$A56,AVA_3!$A:$A,0),MATCH('2021'!$A$1,AVA_3!$3:$3,0))</f>
        <v>2.2614977211268233E-2</v>
      </c>
      <c r="H56" s="87">
        <f>INDEX(AVA_4!$A:$J,MATCH('2021'!$A56,AVA_4!$A:$A,0),MATCH('2021'!$A$1,AVA_4!$3:$3,0))/(B56/1000)</f>
        <v>0.81372282678339847</v>
      </c>
      <c r="I56" s="89">
        <f>INDEX(AVA_5!$A:$J,MATCH('2021'!$A56,AVA_5!$A:$A,0),MATCH('2021'!$A$1,AVA_5!$3:$3,0))/(B56/1000)</f>
        <v>5.6473645632038378</v>
      </c>
      <c r="J56" s="93">
        <f>INDEX(IRA_1!$A:$J,MATCH('2021'!$A56,IRA_1!$A:$A,0),MATCH('2021'!$A$1,IRA_1!$3:$3,0))/(B56/1000)</f>
        <v>9.3546088748327705E-2</v>
      </c>
      <c r="K56" s="88">
        <f>INDEX(IRA_2!$A:$J,MATCH('2021'!$A56,IRA_2!$A:$A,0),MATCH('2021'!$A$1,IRA_2!$3:$3,0))/(B56/1000)</f>
        <v>0.13070823359355377</v>
      </c>
      <c r="L56" s="15">
        <f>INDEX(IRA_3!$A:$J,MATCH('2021'!$A56,IRA_3!$A:$A,0),MATCH('2021'!$A$1,IRA_3!$3:$3,0))</f>
        <v>0.33854242734044104</v>
      </c>
      <c r="M56" s="96">
        <f>INDEX(IRA_4!$A:$J,MATCH('2021'!$A56,IRA_4!$A:$A,0),MATCH('2021'!$A$1,IRA_4!$3:$3,0))/(B56/1000)</f>
        <v>4.7388141944015869</v>
      </c>
      <c r="N56" s="61">
        <f>INDEX(INV_1!$A:$J,MATCH('2021'!$A56,INV_1!$A:$A,0),MATCH('2021'!$A$1,INV_1!$3:$3,0))</f>
        <v>6.8483227977680056E-2</v>
      </c>
      <c r="O56" s="80">
        <f>INDEX(INV_2!$A:$J,MATCH('2021'!$A56,INV_2!$A:$A,0),MATCH('2021'!$A$1,INV_2!$3:$3,0))/B56*10^6/C56</f>
        <v>0.5427044630296507</v>
      </c>
      <c r="P56" s="87">
        <f>INDEX(INV_3!$A:$J,MATCH('2021'!$A56,INV_3!$A:$A,0),MATCH('2021'!$A$1,INV_3!$3:$3,0))/B56*10^6/C56</f>
        <v>5.9904945338656095</v>
      </c>
      <c r="Q56" s="87">
        <f>INDEX(INV_4!$A:$J,MATCH('2021'!$A56,INV_4!$A:$A,0),MATCH('2021'!$A$1,INV_4!$3:$3,0))/B56*10^3/C56</f>
        <v>0.2974888424987287</v>
      </c>
      <c r="R56" s="34">
        <f>INDEX(INV_5!$A:$J,MATCH('2021'!$A56,INV_5!$A:$A,0),MATCH('2021'!$A$1,INV_5!$3:$3,0))</f>
        <v>3.3500000000000002E-2</v>
      </c>
      <c r="S56" s="77">
        <f>INDEX(LUJ_1!$A:$J,MATCH('2021'!$A56,LUJ_1!$A:$A,0),MATCH('2021'!$A$1,LUJ_1!$3:$3,0))</f>
        <v>0.90913081650570671</v>
      </c>
      <c r="T56" s="73">
        <f>INDEX(LUJ_2!$A:$J,MATCH('2021'!$A56,LUJ_2!$A:$A,0),MATCH('2021'!$A$1,LUJ_2!$3:$3,0))</f>
        <v>0.24199999999999999</v>
      </c>
      <c r="U56" s="73">
        <f>INDEX(LUJ_3!$A:$J,MATCH('2021'!$A56,LUJ_3!$A:$A,0),MATCH('2021'!$A$1,LUJ_3!$3:$3,0))</f>
        <v>0.50152354570637114</v>
      </c>
      <c r="V56" s="14">
        <f>INDEX(LUJ_4!$A:$J,MATCH('2021'!$A56,LUJ_4!$A:$A,0),MATCH('2021'!$A$1,LUJ_4!$3:$3,0))</f>
        <v>116</v>
      </c>
      <c r="W56" s="34">
        <f>INDEX(LUJ_5!$A:$J,MATCH('2021'!$A56,LUJ_5!$A:$A,0),MATCH('2021'!$A$1,LUJ_5!$3:$3,0))</f>
        <v>64.3</v>
      </c>
      <c r="X56" s="98">
        <f>1/INDEX(GUL_1!$A:$J,MATCH('2021'!$A56,GUL_1!$A:$A,0),MATCH('2021'!$A$1,GUL_1!$3:$3,0))</f>
        <v>1.4643432420559379E-2</v>
      </c>
      <c r="Y56" s="57">
        <f>INDEX(GUL_2!$A:$J,MATCH('2021'!$A56,GUL_2!$A:$A,0),MATCH('2021'!$A$1,GUL_2!$3:$3,0))</f>
        <v>26</v>
      </c>
      <c r="Z56" s="57">
        <f>INDEX(GUL_3!$A:$J,MATCH('2021'!$A56,GUL_3!$A:$A,0),MATCH('2021'!$A$1,GUL_3!$3:$3,0))/(B56/1000)</f>
        <v>0.86882531741597502</v>
      </c>
      <c r="AA56" s="101">
        <f>INDEX(GUL_4!$A:$J,MATCH('2021'!$A56,GUL_4!$A:$A,0),MATCH('2021'!$A$1,GUL_4!$3:$3,0))/B56/C56*10^6</f>
        <v>0.20384205503049874</v>
      </c>
      <c r="AB56" s="73">
        <f>INDEX(GUL_5!$A:$J,MATCH('2021'!$A56,GUL_5!$A:$A,0),MATCH('2021'!$A$1,GUL_5!$3:$3,0))</f>
        <v>3.1844947411257027E-2</v>
      </c>
      <c r="AC56" s="49">
        <f>INDEX(GUL_6!$A:$J,MATCH('2021'!$A56,GUL_6!$A:$A,0),MATCH('2021'!$A$1,GUL_6!$3:$3,0))</f>
        <v>6.4526061613999999E-2</v>
      </c>
      <c r="AD56" s="49">
        <f>INDEX(GUL_7!$A:$J,MATCH('2021'!$A56,GUL_7!$A:$A,0),MATCH('2021'!$A$1,GUL_7!$3:$3,0))</f>
        <v>0.18960000000000002</v>
      </c>
      <c r="AE56" s="103">
        <f>INDEX(GUL_8!$A:$J,MATCH('2021'!$A56,GUL_8!$A:$A,0),MATCH('2021'!$A$1,GUL_8!$3:$3,0))/(B56/1000)</f>
        <v>3.6957112321942067</v>
      </c>
      <c r="AF56" s="41">
        <f>INDEX(DES_1!$A:$J,MATCH('2021'!$A56,DES_1!$A:$A,0),MATCH('2021'!$A$1,DES_1!$3:$3,0))/(B56/1000)</f>
        <v>0.27935681297445808</v>
      </c>
      <c r="AG56" s="100">
        <f>INDEX(DES_2!$A:$J,MATCH('2021'!$A56,DES_2!$A:$A,0),MATCH('2021'!$A$1,DES_2!$3:$3,0))/(B56/1000)</f>
        <v>0.53308456053841535</v>
      </c>
      <c r="AH56" s="57">
        <f>1/INDEX(DES_3!$A:$J,MATCH('2021'!$A56,DES_3!$A:$A,0),MATCH('2021'!$A$1,DES_3!$3:$3,0))</f>
        <v>8.9126559714795012E-3</v>
      </c>
      <c r="AI56" s="80">
        <f>INDEX(DES_4!$A:$J,MATCH('2021'!$A56,DES_4!$A:$A,0),MATCH('2021'!$A$1,DES_4!$3:$3,0))</f>
        <v>0.72153418133299996</v>
      </c>
      <c r="AJ56" s="110">
        <f>INDEX(DES_5!$A:$J,MATCH('2021'!$A56,DES_5!$A:$A,0),MATCH('2021'!$A$1,DES_5!$3:$3,0))</f>
        <v>0.52921659593999992</v>
      </c>
      <c r="AK56" s="57">
        <v>1</v>
      </c>
    </row>
    <row r="57" spans="1:37" x14ac:dyDescent="0.3">
      <c r="A57" s="29" t="s">
        <v>56</v>
      </c>
      <c r="B57" s="33">
        <f>INDEX(Population!$A:$J,MATCH('2021'!$A57,Population!$A:$A,0),MATCH('2021'!$A$1,Population!$3:$3,0))</f>
        <v>1084868</v>
      </c>
      <c r="C57" s="14">
        <f>INDEX(Income!$A:$J,MATCH('2021'!$A57,Income!$A:$A,0),MATCH('2021'!$A$1,Income!$3:$3,0))</f>
        <v>32715</v>
      </c>
      <c r="D57" s="34">
        <f>INDEX(Livable_wage!$A:$J,MATCH('2021'!$A57,Livable_wage!$A:$A,0),MATCH('2021'!$A$1,Livable_wage!$3:$3,0))</f>
        <v>10459</v>
      </c>
      <c r="E57" s="41">
        <f>INDEX(AVA_1!$A:$J,MATCH('2021'!$A57,AVA_1!$A:$A,0),MATCH('2021'!$A$1,AVA_1!$3:$3,0))</f>
        <v>0.36799999999999999</v>
      </c>
      <c r="F57" s="15">
        <f>INDEX(AVA_2!$A:$J,MATCH('2021'!$A57,AVA_2!$A:$A,0),MATCH('2021'!$A$1,AVA_2!$3:$3,0))</f>
        <v>8.2456203070599803E-3</v>
      </c>
      <c r="G57" s="15">
        <f>INDEX(AVA_3!$A:$J,MATCH('2021'!$A57,AVA_3!$A:$A,0),MATCH('2021'!$A$1,AVA_3!$3:$3,0))</f>
        <v>7.7692384085165682E-3</v>
      </c>
      <c r="H57" s="87">
        <f>INDEX(AVA_4!$A:$J,MATCH('2021'!$A57,AVA_4!$A:$A,0),MATCH('2021'!$A$1,AVA_4!$3:$3,0))/(B57/1000)</f>
        <v>0.72819919105365816</v>
      </c>
      <c r="I57" s="89">
        <f>INDEX(AVA_5!$A:$J,MATCH('2021'!$A57,AVA_5!$A:$A,0),MATCH('2021'!$A$1,AVA_5!$3:$3,0))/(B57/1000)</f>
        <v>4.7028762946275497</v>
      </c>
      <c r="J57" s="93">
        <f>INDEX(IRA_1!$A:$J,MATCH('2021'!$A57,IRA_1!$A:$A,0),MATCH('2021'!$A$1,IRA_1!$3:$3,0))/(B57/1000)</f>
        <v>5.3462725419129338E-2</v>
      </c>
      <c r="K57" s="88">
        <f>INDEX(IRA_2!$A:$J,MATCH('2021'!$A57,IRA_2!$A:$A,0),MATCH('2021'!$A$1,IRA_2!$3:$3,0))/(B57/1000)</f>
        <v>8.5724714896190143E-2</v>
      </c>
      <c r="L57" s="15">
        <f>INDEX(IRA_3!$A:$J,MATCH('2021'!$A57,IRA_3!$A:$A,0),MATCH('2021'!$A$1,IRA_3!$3:$3,0))</f>
        <v>0.38525004209462876</v>
      </c>
      <c r="M57" s="96">
        <f>INDEX(IRA_4!$A:$J,MATCH('2021'!$A57,IRA_4!$A:$A,0),MATCH('2021'!$A$1,IRA_4!$3:$3,0))/(B57/1000)</f>
        <v>3.7930881913744345</v>
      </c>
      <c r="N57" s="61">
        <f>INDEX(INV_1!$A:$J,MATCH('2021'!$A57,INV_1!$A:$A,0),MATCH('2021'!$A$1,INV_1!$3:$3,0))</f>
        <v>9.2839501052912887E-2</v>
      </c>
      <c r="O57" s="80">
        <f>INDEX(INV_2!$A:$J,MATCH('2021'!$A57,INV_2!$A:$A,0),MATCH('2021'!$A$1,INV_2!$3:$3,0))/B57*10^6/C57</f>
        <v>0.65914467534499055</v>
      </c>
      <c r="P57" s="87">
        <f>INDEX(INV_3!$A:$J,MATCH('2021'!$A57,INV_3!$A:$A,0),MATCH('2021'!$A$1,INV_3!$3:$3,0))/B57*10^6/C57</f>
        <v>3.9363275927444872</v>
      </c>
      <c r="Q57" s="87">
        <f>INDEX(INV_4!$A:$J,MATCH('2021'!$A57,INV_4!$A:$A,0),MATCH('2021'!$A$1,INV_4!$3:$3,0))/B57*10^3/C57</f>
        <v>0.22549357654399929</v>
      </c>
      <c r="R57" s="34">
        <f>INDEX(INV_5!$A:$J,MATCH('2021'!$A57,INV_5!$A:$A,0),MATCH('2021'!$A$1,INV_5!$3:$3,0))</f>
        <v>5.0299999999999997E-2</v>
      </c>
      <c r="S57" s="77">
        <f>INDEX(LUJ_1!$A:$J,MATCH('2021'!$A57,LUJ_1!$A:$A,0),MATCH('2021'!$A$1,LUJ_1!$3:$3,0))</f>
        <v>0.7042128603104213</v>
      </c>
      <c r="T57" s="73">
        <f>INDEX(LUJ_2!$A:$J,MATCH('2021'!$A57,LUJ_2!$A:$A,0),MATCH('2021'!$A$1,LUJ_2!$3:$3,0))</f>
        <v>0.182</v>
      </c>
      <c r="U57" s="73">
        <f>INDEX(LUJ_3!$A:$J,MATCH('2021'!$A57,LUJ_3!$A:$A,0),MATCH('2021'!$A$1,LUJ_3!$3:$3,0))</f>
        <v>0.38494912765008854</v>
      </c>
      <c r="V57" s="14">
        <f>INDEX(LUJ_4!$A:$J,MATCH('2021'!$A57,LUJ_4!$A:$A,0),MATCH('2021'!$A$1,LUJ_4!$3:$3,0))</f>
        <v>60</v>
      </c>
      <c r="W57" s="34">
        <f>INDEX(LUJ_5!$A:$J,MATCH('2021'!$A57,LUJ_5!$A:$A,0),MATCH('2021'!$A$1,LUJ_5!$3:$3,0))</f>
        <v>16</v>
      </c>
      <c r="X57" s="98">
        <f>1/INDEX(GUL_1!$A:$J,MATCH('2021'!$A57,GUL_1!$A:$A,0),MATCH('2021'!$A$1,GUL_1!$3:$3,0))</f>
        <v>1.4585764294049008E-2</v>
      </c>
      <c r="Y57" s="57">
        <f>INDEX(GUL_2!$A:$J,MATCH('2021'!$A57,GUL_2!$A:$A,0),MATCH('2021'!$A$1,GUL_2!$3:$3,0))</f>
        <v>26.200000000000003</v>
      </c>
      <c r="Z57" s="57">
        <f>INDEX(GUL_3!$A:$J,MATCH('2021'!$A57,GUL_3!$A:$A,0),MATCH('2021'!$A$1,GUL_3!$3:$3,0))/(B57/1000)</f>
        <v>0.83235932850816874</v>
      </c>
      <c r="AA57" s="101">
        <f>INDEX(GUL_4!$A:$J,MATCH('2021'!$A57,GUL_4!$A:$A,0),MATCH('2021'!$A$1,GUL_4!$3:$3,0))/B57/C57*10^6</f>
        <v>0.20214414068193295</v>
      </c>
      <c r="AB57" s="73">
        <f>INDEX(GUL_5!$A:$J,MATCH('2021'!$A57,GUL_5!$A:$A,0),MATCH('2021'!$A$1,GUL_5!$3:$3,0))</f>
        <v>3.4700360717446935E-2</v>
      </c>
      <c r="AC57" s="49">
        <f>INDEX(GUL_6!$A:$J,MATCH('2021'!$A57,GUL_6!$A:$A,0),MATCH('2021'!$A$1,GUL_6!$3:$3,0))</f>
        <v>3.6774020200999999E-2</v>
      </c>
      <c r="AD57" s="49">
        <f>INDEX(GUL_7!$A:$J,MATCH('2021'!$A57,GUL_7!$A:$A,0),MATCH('2021'!$A$1,GUL_7!$3:$3,0))</f>
        <v>0.15909999999999999</v>
      </c>
      <c r="AE57" s="103">
        <f>INDEX(GUL_8!$A:$J,MATCH('2021'!$A57,GUL_8!$A:$A,0),MATCH('2021'!$A$1,GUL_8!$3:$3,0))/(B57/1000)</f>
        <v>1.884100185460351</v>
      </c>
      <c r="AF57" s="41">
        <f>INDEX(DES_1!$A:$J,MATCH('2021'!$A57,DES_1!$A:$A,0),MATCH('2021'!$A$1,DES_1!$3:$3,0))/(B57/1000)</f>
        <v>8.0194088128693997E-2</v>
      </c>
      <c r="AG57" s="100">
        <f>INDEX(DES_2!$A:$J,MATCH('2021'!$A57,DES_2!$A:$A,0),MATCH('2021'!$A$1,DES_2!$3:$3,0))/(B57/1000)</f>
        <v>0.45074608155093526</v>
      </c>
      <c r="AH57" s="57">
        <f>1/INDEX(DES_3!$A:$J,MATCH('2021'!$A57,DES_3!$A:$A,0),MATCH('2021'!$A$1,DES_3!$3:$3,0))</f>
        <v>6.6979236436704613E-3</v>
      </c>
      <c r="AI57" s="80">
        <f>INDEX(DES_4!$A:$J,MATCH('2021'!$A57,DES_4!$A:$A,0),MATCH('2021'!$A$1,DES_4!$3:$3,0))</f>
        <v>0.61392830016</v>
      </c>
      <c r="AJ57" s="110">
        <f>INDEX(DES_5!$A:$J,MATCH('2021'!$A57,DES_5!$A:$A,0),MATCH('2021'!$A$1,DES_5!$3:$3,0))</f>
        <v>0.44046118083199998</v>
      </c>
      <c r="AK57" s="57">
        <v>5</v>
      </c>
    </row>
    <row r="58" spans="1:37" x14ac:dyDescent="0.3">
      <c r="A58" s="29" t="s">
        <v>57</v>
      </c>
      <c r="B58" s="33">
        <f>INDEX(Population!$A:$J,MATCH('2021'!$A58,Population!$A:$A,0),MATCH('2021'!$A$1,Population!$3:$3,0))</f>
        <v>1007620</v>
      </c>
      <c r="C58" s="14">
        <f>INDEX(Income!$A:$J,MATCH('2021'!$A58,Income!$A:$A,0),MATCH('2021'!$A$1,Income!$3:$3,0))</f>
        <v>29833</v>
      </c>
      <c r="D58" s="34">
        <f>INDEX(Livable_wage!$A:$J,MATCH('2021'!$A58,Livable_wage!$A:$A,0),MATCH('2021'!$A$1,Livable_wage!$3:$3,0))</f>
        <v>13613.32</v>
      </c>
      <c r="E58" s="41">
        <f>INDEX(AVA_1!$A:$J,MATCH('2021'!$A58,AVA_1!$A:$A,0),MATCH('2021'!$A$1,AVA_1!$3:$3,0))</f>
        <v>0.35699999999999998</v>
      </c>
      <c r="F58" s="15">
        <f>INDEX(AVA_2!$A:$J,MATCH('2021'!$A58,AVA_2!$A:$A,0),MATCH('2021'!$A$1,AVA_2!$3:$3,0))</f>
        <v>8.1732175634971413E-3</v>
      </c>
      <c r="G58" s="15">
        <f>INDEX(AVA_3!$A:$J,MATCH('2021'!$A58,AVA_3!$A:$A,0),MATCH('2021'!$A$1,AVA_3!$3:$3,0))</f>
        <v>8.7925093170252797E-3</v>
      </c>
      <c r="H58" s="87">
        <f>INDEX(AVA_4!$A:$J,MATCH('2021'!$A58,AVA_4!$A:$A,0),MATCH('2021'!$A$1,AVA_4!$3:$3,0))/(B58/1000)</f>
        <v>0.66096345844663662</v>
      </c>
      <c r="I58" s="89">
        <f>INDEX(AVA_5!$A:$J,MATCH('2021'!$A58,AVA_5!$A:$A,0),MATCH('2021'!$A$1,AVA_5!$3:$3,0))/(B58/1000)</f>
        <v>11.104909850846278</v>
      </c>
      <c r="J58" s="93">
        <f>INDEX(IRA_1!$A:$J,MATCH('2021'!$A58,IRA_1!$A:$A,0),MATCH('2021'!$A$1,IRA_1!$3:$3,0))/(B58/1000)</f>
        <v>0.15382783192076377</v>
      </c>
      <c r="K58" s="88">
        <f>INDEX(IRA_2!$A:$J,MATCH('2021'!$A58,IRA_2!$A:$A,0),MATCH('2021'!$A$1,IRA_2!$3:$3,0))/(B58/1000)</f>
        <v>0.33941366785097554</v>
      </c>
      <c r="L58" s="15">
        <f>INDEX(IRA_3!$A:$J,MATCH('2021'!$A58,IRA_3!$A:$A,0),MATCH('2021'!$A$1,IRA_3!$3:$3,0))</f>
        <v>0.31950722325622616</v>
      </c>
      <c r="M58" s="96">
        <f>INDEX(IRA_4!$A:$J,MATCH('2021'!$A58,IRA_4!$A:$A,0),MATCH('2021'!$A$1,IRA_4!$3:$3,0))/(B58/1000)</f>
        <v>7.3222047994283557</v>
      </c>
      <c r="N58" s="61">
        <f>INDEX(INV_1!$A:$J,MATCH('2021'!$A58,INV_1!$A:$A,0),MATCH('2021'!$A$1,INV_1!$3:$3,0))</f>
        <v>7.3184710885158266E-2</v>
      </c>
      <c r="O58" s="80">
        <f>INDEX(INV_2!$A:$J,MATCH('2021'!$A58,INV_2!$A:$A,0),MATCH('2021'!$A$1,INV_2!$3:$3,0))/B58*10^6/C58</f>
        <v>0.37290620307637429</v>
      </c>
      <c r="P58" s="87">
        <f>INDEX(INV_3!$A:$J,MATCH('2021'!$A58,INV_3!$A:$A,0),MATCH('2021'!$A$1,INV_3!$3:$3,0))/B58*10^6/C58</f>
        <v>5.4397278345549989</v>
      </c>
      <c r="Q58" s="87">
        <f>INDEX(INV_4!$A:$J,MATCH('2021'!$A58,INV_4!$A:$A,0),MATCH('2021'!$A$1,INV_4!$3:$3,0))/B58*10^3/C58</f>
        <v>0.34748686999166839</v>
      </c>
      <c r="R58" s="34">
        <f>INDEX(INV_5!$A:$J,MATCH('2021'!$A58,INV_5!$A:$A,0),MATCH('2021'!$A$1,INV_5!$3:$3,0))</f>
        <v>4.7500000000000001E-2</v>
      </c>
      <c r="S58" s="77">
        <f>INDEX(LUJ_1!$A:$J,MATCH('2021'!$A58,LUJ_1!$A:$A,0),MATCH('2021'!$A$1,LUJ_1!$3:$3,0))</f>
        <v>0.86561206386753398</v>
      </c>
      <c r="T58" s="73">
        <f>INDEX(LUJ_2!$A:$J,MATCH('2021'!$A58,LUJ_2!$A:$A,0),MATCH('2021'!$A$1,LUJ_2!$3:$3,0))</f>
        <v>0.33700000000000002</v>
      </c>
      <c r="U58" s="73">
        <f>INDEX(LUJ_3!$A:$J,MATCH('2021'!$A58,LUJ_3!$A:$A,0),MATCH('2021'!$A$1,LUJ_3!$3:$3,0))</f>
        <v>0.4811202800700175</v>
      </c>
      <c r="V58" s="14">
        <f>INDEX(LUJ_4!$A:$J,MATCH('2021'!$A58,LUJ_4!$A:$A,0),MATCH('2021'!$A$1,LUJ_4!$3:$3,0))</f>
        <v>45</v>
      </c>
      <c r="W58" s="34">
        <f>INDEX(LUJ_5!$A:$J,MATCH('2021'!$A58,LUJ_5!$A:$A,0),MATCH('2021'!$A$1,LUJ_5!$3:$3,0))</f>
        <v>35.9</v>
      </c>
      <c r="X58" s="98">
        <f>1/INDEX(GUL_1!$A:$J,MATCH('2021'!$A58,GUL_1!$A:$A,0),MATCH('2021'!$A$1,GUL_1!$3:$3,0))</f>
        <v>1.4965579167913801E-2</v>
      </c>
      <c r="Y58" s="57">
        <f>INDEX(GUL_2!$A:$J,MATCH('2021'!$A58,GUL_2!$A:$A,0),MATCH('2021'!$A$1,GUL_2!$3:$3,0))</f>
        <v>25.6</v>
      </c>
      <c r="Z58" s="57">
        <f>INDEX(GUL_3!$A:$J,MATCH('2021'!$A58,GUL_3!$A:$A,0),MATCH('2021'!$A$1,GUL_3!$3:$3,0))/(B58/1000)</f>
        <v>0.71653996546317067</v>
      </c>
      <c r="AA58" s="101">
        <f>INDEX(GUL_4!$A:$J,MATCH('2021'!$A58,GUL_4!$A:$A,0),MATCH('2021'!$A$1,GUL_4!$3:$3,0))/B58/C58*10^6</f>
        <v>0.34626003372220088</v>
      </c>
      <c r="AB58" s="73">
        <f>INDEX(GUL_5!$A:$J,MATCH('2021'!$A58,GUL_5!$A:$A,0),MATCH('2021'!$A$1,GUL_5!$3:$3,0))</f>
        <v>3.5349508491506851E-2</v>
      </c>
      <c r="AC58" s="49">
        <f>INDEX(GUL_6!$A:$J,MATCH('2021'!$A58,GUL_6!$A:$A,0),MATCH('2021'!$A$1,GUL_6!$3:$3,0))</f>
        <v>2.2060747162999998E-2</v>
      </c>
      <c r="AD58" s="49">
        <f>INDEX(GUL_7!$A:$J,MATCH('2021'!$A58,GUL_7!$A:$A,0),MATCH('2021'!$A$1,GUL_7!$3:$3,0))</f>
        <v>0.2656</v>
      </c>
      <c r="AE58" s="103">
        <f>INDEX(GUL_8!$A:$J,MATCH('2021'!$A58,GUL_8!$A:$A,0),MATCH('2021'!$A$1,GUL_8!$3:$3,0))/(B58/1000)</f>
        <v>5.1209781465234911</v>
      </c>
      <c r="AF58" s="41">
        <f>INDEX(DES_1!$A:$J,MATCH('2021'!$A58,DES_1!$A:$A,0),MATCH('2021'!$A$1,DES_1!$3:$3,0))/(B58/1000)</f>
        <v>0.27490522220678432</v>
      </c>
      <c r="AG58" s="100">
        <f>INDEX(DES_2!$A:$J,MATCH('2021'!$A58,DES_2!$A:$A,0),MATCH('2021'!$A$1,DES_2!$3:$3,0))/(B58/1000)</f>
        <v>1.0509914451876698</v>
      </c>
      <c r="AH58" s="57">
        <f>1/INDEX(DES_3!$A:$J,MATCH('2021'!$A58,DES_3!$A:$A,0),MATCH('2021'!$A$1,DES_3!$3:$3,0))</f>
        <v>8.1433224755700327E-3</v>
      </c>
      <c r="AI58" s="80">
        <f>INDEX(DES_4!$A:$J,MATCH('2021'!$A58,DES_4!$A:$A,0),MATCH('2021'!$A$1,DES_4!$3:$3,0))</f>
        <v>0.73550059796599998</v>
      </c>
      <c r="AJ58" s="110">
        <f>INDEX(DES_5!$A:$J,MATCH('2021'!$A58,DES_5!$A:$A,0),MATCH('2021'!$A$1,DES_5!$3:$3,0))</f>
        <v>0.62688635496300005</v>
      </c>
      <c r="AK58" s="57">
        <v>9</v>
      </c>
    </row>
    <row r="59" spans="1:37" x14ac:dyDescent="0.3">
      <c r="A59" s="29" t="s">
        <v>58</v>
      </c>
      <c r="B59" s="33">
        <f>INDEX(Population!$A:$J,MATCH('2021'!$A59,Population!$A:$A,0),MATCH('2021'!$A$1,Population!$3:$3,0))</f>
        <v>210976</v>
      </c>
      <c r="C59" s="14">
        <f>INDEX(Income!$A:$J,MATCH('2021'!$A59,Income!$A:$A,0),MATCH('2021'!$A$1,Income!$3:$3,0))</f>
        <v>23798</v>
      </c>
      <c r="D59" s="34">
        <f>INDEX(Livable_wage!$A:$J,MATCH('2021'!$A59,Livable_wage!$A:$A,0),MATCH('2021'!$A$1,Livable_wage!$3:$3,0))</f>
        <v>10838</v>
      </c>
      <c r="E59" s="41">
        <f>INDEX(AVA_1!$A:$J,MATCH('2021'!$A59,AVA_1!$A:$A,0),MATCH('2021'!$A$1,AVA_1!$3:$3,0))</f>
        <v>0.374</v>
      </c>
      <c r="F59" s="15">
        <f>INDEX(AVA_2!$A:$J,MATCH('2021'!$A59,AVA_2!$A:$A,0),MATCH('2021'!$A$1,AVA_2!$3:$3,0))</f>
        <v>7.1294486731125284E-3</v>
      </c>
      <c r="G59" s="15">
        <f>INDEX(AVA_3!$A:$J,MATCH('2021'!$A59,AVA_3!$A:$A,0),MATCH('2021'!$A$1,AVA_3!$3:$3,0))</f>
        <v>0.34374253952003586</v>
      </c>
      <c r="H59" s="87">
        <f>INDEX(AVA_4!$A:$J,MATCH('2021'!$A59,AVA_4!$A:$A,0),MATCH('2021'!$A$1,AVA_4!$3:$3,0))/(B59/1000)</f>
        <v>1.5973380858486272</v>
      </c>
      <c r="I59" s="89">
        <f>INDEX(AVA_5!$A:$J,MATCH('2021'!$A59,AVA_5!$A:$A,0),MATCH('2021'!$A$1,AVA_5!$3:$3,0))/(B59/1000)</f>
        <v>5.9959426664644324</v>
      </c>
      <c r="J59" s="93">
        <f>INDEX(IRA_1!$A:$J,MATCH('2021'!$A59,IRA_1!$A:$A,0),MATCH('2021'!$A$1,IRA_1!$3:$3,0))/(B59/1000)</f>
        <v>9.4797512513271648E-2</v>
      </c>
      <c r="K59" s="88">
        <f>INDEX(IRA_2!$A:$J,MATCH('2021'!$A59,IRA_2!$A:$A,0),MATCH('2021'!$A$1,IRA_2!$3:$3,0))/(B59/1000)</f>
        <v>0.20855452752919765</v>
      </c>
      <c r="L59" s="15">
        <f>INDEX(IRA_3!$A:$J,MATCH('2021'!$A59,IRA_3!$A:$A,0),MATCH('2021'!$A$1,IRA_3!$3:$3,0))</f>
        <v>0.33302034428794991</v>
      </c>
      <c r="M59" s="96">
        <f>INDEX(IRA_4!$A:$J,MATCH('2021'!$A59,IRA_4!$A:$A,0),MATCH('2021'!$A$1,IRA_4!$3:$3,0))/(B59/1000)</f>
        <v>6.5836872440467165</v>
      </c>
      <c r="N59" s="61">
        <f>INDEX(INV_1!$A:$J,MATCH('2021'!$A59,INV_1!$A:$A,0),MATCH('2021'!$A$1,INV_1!$3:$3,0))</f>
        <v>9.5479675077098328E-2</v>
      </c>
      <c r="O59" s="80">
        <f>INDEX(INV_2!$A:$J,MATCH('2021'!$A59,INV_2!$A:$A,0),MATCH('2021'!$A$1,INV_2!$3:$3,0))/B59*10^6/C59</f>
        <v>0.5640294227028535</v>
      </c>
      <c r="P59" s="87">
        <f>INDEX(INV_3!$A:$J,MATCH('2021'!$A59,INV_3!$A:$A,0),MATCH('2021'!$A$1,INV_3!$3:$3,0))/B59*10^6/C59</f>
        <v>5.6102536609669631</v>
      </c>
      <c r="Q59" s="87">
        <f>INDEX(INV_4!$A:$J,MATCH('2021'!$A59,INV_4!$A:$A,0),MATCH('2021'!$A$1,INV_4!$3:$3,0))/B59*10^3/C59</f>
        <v>0.25025443878617015</v>
      </c>
      <c r="R59" s="34">
        <f>INDEX(INV_5!$A:$J,MATCH('2021'!$A59,INV_5!$A:$A,0),MATCH('2021'!$A$1,INV_5!$3:$3,0))</f>
        <v>0.15279999999999999</v>
      </c>
      <c r="S59" s="77">
        <f>INDEX(LUJ_1!$A:$J,MATCH('2021'!$A59,LUJ_1!$A:$A,0),MATCH('2021'!$A$1,LUJ_1!$3:$3,0))</f>
        <v>0.8271276595744681</v>
      </c>
      <c r="T59" s="73">
        <f>INDEX(LUJ_2!$A:$J,MATCH('2021'!$A59,LUJ_2!$A:$A,0),MATCH('2021'!$A$1,LUJ_2!$3:$3,0))</f>
        <v>0.309</v>
      </c>
      <c r="U59" s="73">
        <f>INDEX(LUJ_3!$A:$J,MATCH('2021'!$A59,LUJ_3!$A:$A,0),MATCH('2021'!$A$1,LUJ_3!$3:$3,0))</f>
        <v>0.44612890233701324</v>
      </c>
      <c r="V59" s="14">
        <f>INDEX(LUJ_4!$A:$J,MATCH('2021'!$A59,LUJ_4!$A:$A,0),MATCH('2021'!$A$1,LUJ_4!$3:$3,0))</f>
        <v>18</v>
      </c>
      <c r="W59" s="34">
        <f>INDEX(LUJ_5!$A:$J,MATCH('2021'!$A59,LUJ_5!$A:$A,0),MATCH('2021'!$A$1,LUJ_5!$3:$3,0))</f>
        <v>24.9</v>
      </c>
      <c r="X59" s="98">
        <f>1/INDEX(GUL_1!$A:$J,MATCH('2021'!$A59,GUL_1!$A:$A,0),MATCH('2021'!$A$1,GUL_1!$3:$3,0))</f>
        <v>1.4736221632773357E-2</v>
      </c>
      <c r="Y59" s="57">
        <f>INDEX(GUL_2!$A:$J,MATCH('2021'!$A59,GUL_2!$A:$A,0),MATCH('2021'!$A$1,GUL_2!$3:$3,0))</f>
        <v>24.4</v>
      </c>
      <c r="Z59" s="57">
        <f>INDEX(GUL_3!$A:$J,MATCH('2021'!$A59,GUL_3!$A:$A,0),MATCH('2021'!$A$1,GUL_3!$3:$3,0))/(B59/1000)</f>
        <v>0.54034582132564846</v>
      </c>
      <c r="AA59" s="101">
        <f>INDEX(GUL_4!$A:$J,MATCH('2021'!$A59,GUL_4!$A:$A,0),MATCH('2021'!$A$1,GUL_4!$3:$3,0))/B59/C59*10^6</f>
        <v>0.41897449228463135</v>
      </c>
      <c r="AB59" s="73">
        <f>INDEX(GUL_5!$A:$J,MATCH('2021'!$A59,GUL_5!$A:$A,0),MATCH('2021'!$A$1,GUL_5!$3:$3,0))</f>
        <v>3.3709751484649567E-2</v>
      </c>
      <c r="AC59" s="49">
        <f>INDEX(GUL_6!$A:$J,MATCH('2021'!$A59,GUL_6!$A:$A,0),MATCH('2021'!$A$1,GUL_6!$3:$3,0))</f>
        <v>5.0155619542999998E-2</v>
      </c>
      <c r="AD59" s="49">
        <f>INDEX(GUL_7!$A:$J,MATCH('2021'!$A59,GUL_7!$A:$A,0),MATCH('2021'!$A$1,GUL_7!$3:$3,0))</f>
        <v>0.20039999999999999</v>
      </c>
      <c r="AE59" s="103">
        <f>INDEX(GUL_8!$A:$J,MATCH('2021'!$A59,GUL_8!$A:$A,0),MATCH('2021'!$A$1,GUL_8!$3:$3,0))/(B59/1000)</f>
        <v>5.9675034127104505</v>
      </c>
      <c r="AF59" s="41">
        <f>INDEX(DES_1!$A:$J,MATCH('2021'!$A59,DES_1!$A:$A,0),MATCH('2021'!$A$1,DES_1!$3:$3,0))/(B59/1000)</f>
        <v>0.47398756256635827</v>
      </c>
      <c r="AG59" s="100">
        <f>INDEX(DES_2!$A:$J,MATCH('2021'!$A59,DES_2!$A:$A,0),MATCH('2021'!$A$1,DES_2!$3:$3,0))/(B59/1000)</f>
        <v>1.0285530107689975</v>
      </c>
      <c r="AH59" s="57">
        <f>1/INDEX(DES_3!$A:$J,MATCH('2021'!$A59,DES_3!$A:$A,0),MATCH('2021'!$A$1,DES_3!$3:$3,0))</f>
        <v>7.283321194464675E-3</v>
      </c>
      <c r="AI59" s="80">
        <f>INDEX(DES_4!$A:$J,MATCH('2021'!$A59,DES_4!$A:$A,0),MATCH('2021'!$A$1,DES_4!$3:$3,0))</f>
        <v>0.55192513881000005</v>
      </c>
      <c r="AJ59" s="110">
        <f>INDEX(DES_5!$A:$J,MATCH('2021'!$A59,DES_5!$A:$A,0),MATCH('2021'!$A$1,DES_5!$3:$3,0))</f>
        <v>0.33288251055700002</v>
      </c>
      <c r="AK59" s="57">
        <v>77</v>
      </c>
    </row>
    <row r="60" spans="1:37" x14ac:dyDescent="0.3">
      <c r="A60" s="29" t="s">
        <v>59</v>
      </c>
      <c r="B60" s="33">
        <f>INDEX(Population!$A:$J,MATCH('2021'!$A60,Population!$A:$A,0),MATCH('2021'!$A$1,Population!$3:$3,0))</f>
        <v>1104512</v>
      </c>
      <c r="C60" s="14">
        <f>INDEX(Income!$A:$J,MATCH('2021'!$A60,Income!$A:$A,0),MATCH('2021'!$A$1,Income!$3:$3,0))</f>
        <v>30496</v>
      </c>
      <c r="D60" s="34">
        <f>INDEX(Livable_wage!$A:$J,MATCH('2021'!$A60,Livable_wage!$A:$A,0),MATCH('2021'!$A$1,Livable_wage!$3:$3,0))</f>
        <v>10785</v>
      </c>
      <c r="E60" s="41">
        <f>INDEX(AVA_1!$A:$J,MATCH('2021'!$A60,AVA_1!$A:$A,0),MATCH('2021'!$A$1,AVA_1!$3:$3,0))</f>
        <v>0.36199999999999999</v>
      </c>
      <c r="F60" s="15">
        <f>INDEX(AVA_2!$A:$J,MATCH('2021'!$A60,AVA_2!$A:$A,0),MATCH('2021'!$A$1,AVA_2!$3:$3,0))</f>
        <v>1.1525576419582783E-2</v>
      </c>
      <c r="G60" s="15">
        <f>INDEX(AVA_3!$A:$J,MATCH('2021'!$A60,AVA_3!$A:$A,0),MATCH('2021'!$A$1,AVA_3!$3:$3,0))</f>
        <v>9.5114693543314876E-3</v>
      </c>
      <c r="H60" s="87">
        <f>INDEX(AVA_4!$A:$J,MATCH('2021'!$A60,AVA_4!$A:$A,0),MATCH('2021'!$A$1,AVA_4!$3:$3,0))/(B60/1000)</f>
        <v>0.74874695793255308</v>
      </c>
      <c r="I60" s="89">
        <f>INDEX(AVA_5!$A:$J,MATCH('2021'!$A60,AVA_5!$A:$A,0),MATCH('2021'!$A$1,AVA_5!$3:$3,0))/(B60/1000)</f>
        <v>2.3811420790358095</v>
      </c>
      <c r="J60" s="93">
        <f>INDEX(IRA_1!$A:$J,MATCH('2021'!$A60,IRA_1!$A:$A,0),MATCH('2021'!$A$1,IRA_1!$3:$3,0))/(B60/1000)</f>
        <v>4.4363483601807863E-2</v>
      </c>
      <c r="K60" s="88">
        <f>INDEX(IRA_2!$A:$J,MATCH('2021'!$A60,IRA_2!$A:$A,0),MATCH('2021'!$A$1,IRA_2!$3:$3,0))/(B60/1000)</f>
        <v>8.0578572256344891E-2</v>
      </c>
      <c r="L60" s="15">
        <f>INDEX(IRA_3!$A:$J,MATCH('2021'!$A60,IRA_3!$A:$A,0),MATCH('2021'!$A$1,IRA_3!$3:$3,0))</f>
        <v>0.42779891848588025</v>
      </c>
      <c r="M60" s="96">
        <f>INDEX(IRA_4!$A:$J,MATCH('2021'!$A60,IRA_4!$A:$A,0),MATCH('2021'!$A$1,IRA_4!$3:$3,0))/(B60/1000)</f>
        <v>2.4055872638776221</v>
      </c>
      <c r="N60" s="61">
        <f>INDEX(INV_1!$A:$J,MATCH('2021'!$A60,INV_1!$A:$A,0),MATCH('2021'!$A$1,INV_1!$3:$3,0))</f>
        <v>7.364537817546242E-2</v>
      </c>
      <c r="O60" s="80">
        <f>INDEX(INV_2!$A:$J,MATCH('2021'!$A60,INV_2!$A:$A,0),MATCH('2021'!$A$1,INV_2!$3:$3,0))/B60*10^6/C60</f>
        <v>0.37969887285865084</v>
      </c>
      <c r="P60" s="87">
        <f>INDEX(INV_3!$A:$J,MATCH('2021'!$A60,INV_3!$A:$A,0),MATCH('2021'!$A$1,INV_3!$3:$3,0))/B60*10^6/C60</f>
        <v>4.7437004119293427</v>
      </c>
      <c r="Q60" s="87">
        <f>INDEX(INV_4!$A:$J,MATCH('2021'!$A60,INV_4!$A:$A,0),MATCH('2021'!$A$1,INV_4!$3:$3,0))/B60*10^3/C60</f>
        <v>0.30700766313033484</v>
      </c>
      <c r="R60" s="34">
        <f>INDEX(INV_5!$A:$J,MATCH('2021'!$A60,INV_5!$A:$A,0),MATCH('2021'!$A$1,INV_5!$3:$3,0))</f>
        <v>6.5699999999999995E-2</v>
      </c>
      <c r="S60" s="77">
        <f>INDEX(LUJ_1!$A:$J,MATCH('2021'!$A60,LUJ_1!$A:$A,0),MATCH('2021'!$A$1,LUJ_1!$3:$3,0))</f>
        <v>0.78583223249669754</v>
      </c>
      <c r="T60" s="73">
        <f>INDEX(LUJ_2!$A:$J,MATCH('2021'!$A60,LUJ_2!$A:$A,0),MATCH('2021'!$A$1,LUJ_2!$3:$3,0))</f>
        <v>0.19</v>
      </c>
      <c r="U60" s="73">
        <f>INDEX(LUJ_3!$A:$J,MATCH('2021'!$A60,LUJ_3!$A:$A,0),MATCH('2021'!$A$1,LUJ_3!$3:$3,0))</f>
        <v>0.46334681496461072</v>
      </c>
      <c r="V60" s="14">
        <f>INDEX(LUJ_4!$A:$J,MATCH('2021'!$A60,LUJ_4!$A:$A,0),MATCH('2021'!$A$1,LUJ_4!$3:$3,0))</f>
        <v>14</v>
      </c>
      <c r="W60" s="34">
        <f>INDEX(LUJ_5!$A:$J,MATCH('2021'!$A60,LUJ_5!$A:$A,0),MATCH('2021'!$A$1,LUJ_5!$3:$3,0))</f>
        <v>22.8</v>
      </c>
      <c r="X60" s="98">
        <f>1/INDEX(GUL_1!$A:$J,MATCH('2021'!$A60,GUL_1!$A:$A,0),MATCH('2021'!$A$1,GUL_1!$3:$3,0))</f>
        <v>1.4575134819997086E-2</v>
      </c>
      <c r="Y60" s="57">
        <f>INDEX(GUL_2!$A:$J,MATCH('2021'!$A60,GUL_2!$A:$A,0),MATCH('2021'!$A$1,GUL_2!$3:$3,0))</f>
        <v>27.1</v>
      </c>
      <c r="Z60" s="57">
        <f>INDEX(GUL_3!$A:$J,MATCH('2021'!$A60,GUL_3!$A:$A,0),MATCH('2021'!$A$1,GUL_3!$3:$3,0))/(B60/1000)</f>
        <v>0.92620089233978453</v>
      </c>
      <c r="AA60" s="101">
        <f>INDEX(GUL_4!$A:$J,MATCH('2021'!$A60,GUL_4!$A:$A,0),MATCH('2021'!$A$1,GUL_4!$3:$3,0))/B60/C60*10^6</f>
        <v>0.29370993853072019</v>
      </c>
      <c r="AB60" s="73">
        <f>INDEX(GUL_5!$A:$J,MATCH('2021'!$A60,GUL_5!$A:$A,0),MATCH('2021'!$A$1,GUL_5!$3:$3,0))</f>
        <v>2.4700445021337159E-2</v>
      </c>
      <c r="AC60" s="49">
        <f>INDEX(GUL_6!$A:$J,MATCH('2021'!$A60,GUL_6!$A:$A,0),MATCH('2021'!$A$1,GUL_6!$3:$3,0))</f>
        <v>5.1358318744000001E-2</v>
      </c>
      <c r="AD60" s="49">
        <f>INDEX(GUL_7!$A:$J,MATCH('2021'!$A60,GUL_7!$A:$A,0),MATCH('2021'!$A$1,GUL_7!$3:$3,0))</f>
        <v>0.1303</v>
      </c>
      <c r="AE60" s="103">
        <f>INDEX(GUL_8!$A:$J,MATCH('2021'!$A60,GUL_8!$A:$A,0),MATCH('2021'!$A$1,GUL_8!$3:$3,0))/(B60/1000)</f>
        <v>1.27386574342334</v>
      </c>
      <c r="AF60" s="41">
        <f>INDEX(DES_1!$A:$J,MATCH('2021'!$A60,DES_1!$A:$A,0),MATCH('2021'!$A$1,DES_1!$3:$3,0))/(B60/1000)</f>
        <v>2.3539807625449067E-2</v>
      </c>
      <c r="AG60" s="100">
        <f>INDEX(DES_2!$A:$J,MATCH('2021'!$A60,DES_2!$A:$A,0),MATCH('2021'!$A$1,DES_2!$3:$3,0))/(B60/1000)</f>
        <v>0.5758199096071388</v>
      </c>
      <c r="AH60" s="57">
        <f>1/INDEX(DES_3!$A:$J,MATCH('2021'!$A60,DES_3!$A:$A,0),MATCH('2021'!$A$1,DES_3!$3:$3,0))</f>
        <v>8.3194675540765387E-3</v>
      </c>
      <c r="AI60" s="80">
        <f>INDEX(DES_4!$A:$J,MATCH('2021'!$A60,DES_4!$A:$A,0),MATCH('2021'!$A$1,DES_4!$3:$3,0))</f>
        <v>0.93965788031899999</v>
      </c>
      <c r="AJ60" s="110">
        <f>INDEX(DES_5!$A:$J,MATCH('2021'!$A60,DES_5!$A:$A,0),MATCH('2021'!$A$1,DES_5!$3:$3,0))</f>
        <v>0.54263972778199998</v>
      </c>
      <c r="AK60" s="57">
        <v>74</v>
      </c>
    </row>
    <row r="61" spans="1:37" x14ac:dyDescent="0.3">
      <c r="A61" s="29" t="s">
        <v>60</v>
      </c>
      <c r="B61" s="33">
        <f>INDEX(Population!$A:$J,MATCH('2021'!$A61,Population!$A:$A,0),MATCH('2021'!$A$1,Population!$3:$3,0))</f>
        <v>510010</v>
      </c>
      <c r="C61" s="14">
        <f>INDEX(Income!$A:$J,MATCH('2021'!$A61,Income!$A:$A,0),MATCH('2021'!$A$1,Income!$3:$3,0))</f>
        <v>96814</v>
      </c>
      <c r="D61" s="34">
        <f>INDEX(Livable_wage!$A:$J,MATCH('2021'!$A61,Livable_wage!$A:$A,0),MATCH('2021'!$A$1,Livable_wage!$3:$3,0))</f>
        <v>17029</v>
      </c>
      <c r="E61" s="41">
        <f>INDEX(AVA_1!$A:$J,MATCH('2021'!$A61,AVA_1!$A:$A,0),MATCH('2021'!$A$1,AVA_1!$3:$3,0))</f>
        <v>0.44</v>
      </c>
      <c r="F61" s="15">
        <f>INDEX(AVA_2!$A:$J,MATCH('2021'!$A61,AVA_2!$A:$A,0),MATCH('2021'!$A$1,AVA_2!$3:$3,0))</f>
        <v>7.3593254391305972E-3</v>
      </c>
      <c r="G61" s="15">
        <f>INDEX(AVA_3!$A:$J,MATCH('2021'!$A61,AVA_3!$A:$A,0),MATCH('2021'!$A$1,AVA_3!$3:$3,0))</f>
        <v>9.7557265551705533E-2</v>
      </c>
      <c r="H61" s="87">
        <f>INDEX(AVA_4!$A:$J,MATCH('2021'!$A61,AVA_4!$A:$A,0),MATCH('2021'!$A$1,AVA_4!$3:$3,0))/(B61/1000)</f>
        <v>0.73331895453030338</v>
      </c>
      <c r="I61" s="89">
        <f>INDEX(AVA_5!$A:$J,MATCH('2021'!$A61,AVA_5!$A:$A,0),MATCH('2021'!$A$1,AVA_5!$3:$3,0))/(B61/1000)</f>
        <v>3.3077782788572772</v>
      </c>
      <c r="J61" s="93">
        <f>INDEX(IRA_1!$A:$J,MATCH('2021'!$A61,IRA_1!$A:$A,0),MATCH('2021'!$A$1,IRA_1!$3:$3,0))/(B61/1000)</f>
        <v>8.4312072312307598E-2</v>
      </c>
      <c r="K61" s="88">
        <f>INDEX(IRA_2!$A:$J,MATCH('2021'!$A61,IRA_2!$A:$A,0),MATCH('2021'!$A$1,IRA_2!$3:$3,0))/(B61/1000)</f>
        <v>0.20195682437599263</v>
      </c>
      <c r="L61" s="15">
        <f>INDEX(IRA_3!$A:$J,MATCH('2021'!$A61,IRA_3!$A:$A,0),MATCH('2021'!$A$1,IRA_3!$3:$3,0))</f>
        <v>0.44561614944260319</v>
      </c>
      <c r="M61" s="96">
        <f>INDEX(IRA_4!$A:$J,MATCH('2021'!$A61,IRA_4!$A:$A,0),MATCH('2021'!$A$1,IRA_4!$3:$3,0))/(B61/1000)</f>
        <v>2.6156349875492637</v>
      </c>
      <c r="N61" s="61">
        <f>INDEX(INV_1!$A:$J,MATCH('2021'!$A61,INV_1!$A:$A,0),MATCH('2021'!$A$1,INV_1!$3:$3,0))</f>
        <v>8.7839107831833088E-2</v>
      </c>
      <c r="O61" s="80">
        <f>INDEX(INV_2!$A:$J,MATCH('2021'!$A61,INV_2!$A:$A,0),MATCH('2021'!$A$1,INV_2!$3:$3,0))/B61*10^6/C61</f>
        <v>0.20914519422102409</v>
      </c>
      <c r="P61" s="87">
        <f>INDEX(INV_3!$A:$J,MATCH('2021'!$A61,INV_3!$A:$A,0),MATCH('2021'!$A$1,INV_3!$3:$3,0))/B61*10^6/C61</f>
        <v>4.0076265111647169</v>
      </c>
      <c r="Q61" s="87">
        <f>INDEX(INV_4!$A:$J,MATCH('2021'!$A61,INV_4!$A:$A,0),MATCH('2021'!$A$1,INV_4!$3:$3,0))/B61*10^3/C61</f>
        <v>0.16557726212076465</v>
      </c>
      <c r="R61" s="34">
        <f>INDEX(INV_5!$A:$J,MATCH('2021'!$A61,INV_5!$A:$A,0),MATCH('2021'!$A$1,INV_5!$3:$3,0))</f>
        <v>7.5700000000000003E-2</v>
      </c>
      <c r="S61" s="77">
        <f>INDEX(LUJ_1!$A:$J,MATCH('2021'!$A61,LUJ_1!$A:$A,0),MATCH('2021'!$A$1,LUJ_1!$3:$3,0))</f>
        <v>0.74257425742574257</v>
      </c>
      <c r="T61" s="73">
        <f>INDEX(LUJ_2!$A:$J,MATCH('2021'!$A61,LUJ_2!$A:$A,0),MATCH('2021'!$A$1,LUJ_2!$3:$3,0))</f>
        <v>0.22800000000000001</v>
      </c>
      <c r="U61" s="73">
        <f>INDEX(LUJ_3!$A:$J,MATCH('2021'!$A61,LUJ_3!$A:$A,0),MATCH('2021'!$A$1,LUJ_3!$3:$3,0))</f>
        <v>0.41254697889563458</v>
      </c>
      <c r="V61" s="14">
        <f>INDEX(LUJ_4!$A:$J,MATCH('2021'!$A61,LUJ_4!$A:$A,0),MATCH('2021'!$A$1,LUJ_4!$3:$3,0))</f>
        <v>19</v>
      </c>
      <c r="W61" s="34">
        <f>INDEX(LUJ_5!$A:$J,MATCH('2021'!$A61,LUJ_5!$A:$A,0),MATCH('2021'!$A$1,LUJ_5!$3:$3,0))</f>
        <v>31.8</v>
      </c>
      <c r="X61" s="98">
        <f>1/INDEX(GUL_1!$A:$J,MATCH('2021'!$A61,GUL_1!$A:$A,0),MATCH('2021'!$A$1,GUL_1!$3:$3,0))</f>
        <v>1.3947001394700139E-2</v>
      </c>
      <c r="Y61" s="57">
        <f>INDEX(GUL_2!$A:$J,MATCH('2021'!$A61,GUL_2!$A:$A,0),MATCH('2021'!$A$1,GUL_2!$3:$3,0))</f>
        <v>24.8</v>
      </c>
      <c r="Z61" s="57">
        <f>INDEX(GUL_3!$A:$J,MATCH('2021'!$A61,GUL_3!$A:$A,0),MATCH('2021'!$A$1,GUL_3!$3:$3,0))/(B61/1000)</f>
        <v>0.4097958863551695</v>
      </c>
      <c r="AA61" s="101">
        <f>INDEX(GUL_4!$A:$J,MATCH('2021'!$A61,GUL_4!$A:$A,0),MATCH('2021'!$A$1,GUL_4!$3:$3,0))/B61/C61*10^6</f>
        <v>0.39798397930193774</v>
      </c>
      <c r="AB61" s="73">
        <f>INDEX(GUL_5!$A:$J,MATCH('2021'!$A61,GUL_5!$A:$A,0),MATCH('2021'!$A$1,GUL_5!$3:$3,0))</f>
        <v>3.2401143233958971E-2</v>
      </c>
      <c r="AC61" s="49">
        <f>INDEX(GUL_6!$A:$J,MATCH('2021'!$A61,GUL_6!$A:$A,0),MATCH('2021'!$A$1,GUL_6!$3:$3,0))</f>
        <v>2.3175399149000003E-2</v>
      </c>
      <c r="AD61" s="49">
        <f>INDEX(GUL_7!$A:$J,MATCH('2021'!$A61,GUL_7!$A:$A,0),MATCH('2021'!$A$1,GUL_7!$3:$3,0))</f>
        <v>0.1764</v>
      </c>
      <c r="AE61" s="103">
        <f>INDEX(GUL_8!$A:$J,MATCH('2021'!$A61,GUL_8!$A:$A,0),MATCH('2021'!$A$1,GUL_8!$3:$3,0))/(B61/1000)</f>
        <v>2.6175957334169917</v>
      </c>
      <c r="AF61" s="41">
        <f>INDEX(DES_1!$A:$J,MATCH('2021'!$A61,DES_1!$A:$A,0),MATCH('2021'!$A$1,DES_1!$3:$3,0))/(B61/1000)</f>
        <v>0.11176251446050077</v>
      </c>
      <c r="AG61" s="100">
        <f>INDEX(DES_2!$A:$J,MATCH('2021'!$A61,DES_2!$A:$A,0),MATCH('2021'!$A$1,DES_2!$3:$3,0))/(B61/1000)</f>
        <v>0.46469677065155585</v>
      </c>
      <c r="AH61" s="57">
        <f>1/INDEX(DES_3!$A:$J,MATCH('2021'!$A61,DES_3!$A:$A,0),MATCH('2021'!$A$1,DES_3!$3:$3,0))</f>
        <v>6.7024128686327079E-3</v>
      </c>
      <c r="AI61" s="80">
        <f>INDEX(DES_4!$A:$J,MATCH('2021'!$A61,DES_4!$A:$A,0),MATCH('2021'!$A$1,DES_4!$3:$3,0))</f>
        <v>0.77806943285499996</v>
      </c>
      <c r="AJ61" s="110">
        <f>INDEX(DES_5!$A:$J,MATCH('2021'!$A61,DES_5!$A:$A,0),MATCH('2021'!$A$1,DES_5!$3:$3,0))</f>
        <v>0.59453891755900001</v>
      </c>
      <c r="AK61" s="57">
        <v>70</v>
      </c>
    </row>
    <row r="62" spans="1:37" x14ac:dyDescent="0.3">
      <c r="A62" s="29" t="s">
        <v>61</v>
      </c>
      <c r="B62" s="33">
        <f>INDEX(Population!$A:$J,MATCH('2021'!$A62,Population!$A:$A,0),MATCH('2021'!$A$1,Population!$3:$3,0))</f>
        <v>2859356</v>
      </c>
      <c r="C62" s="14">
        <f>INDEX(Income!$A:$J,MATCH('2021'!$A62,Income!$A:$A,0),MATCH('2021'!$A$1,Income!$3:$3,0))</f>
        <v>36090</v>
      </c>
      <c r="D62" s="34">
        <f>INDEX(Livable_wage!$A:$J,MATCH('2021'!$A62,Livable_wage!$A:$A,0),MATCH('2021'!$A$1,Livable_wage!$3:$3,0))</f>
        <v>13409</v>
      </c>
      <c r="E62" s="41">
        <f>INDEX(AVA_1!$A:$J,MATCH('2021'!$A62,AVA_1!$A:$A,0),MATCH('2021'!$A$1,AVA_1!$3:$3,0))</f>
        <v>0.38600000000000001</v>
      </c>
      <c r="F62" s="15">
        <f>INDEX(AVA_2!$A:$J,MATCH('2021'!$A62,AVA_2!$A:$A,0),MATCH('2021'!$A$1,AVA_2!$3:$3,0))</f>
        <v>1.1862591516755758E-2</v>
      </c>
      <c r="G62" s="15">
        <f>INDEX(AVA_3!$A:$J,MATCH('2021'!$A62,AVA_3!$A:$A,0),MATCH('2021'!$A$1,AVA_3!$3:$3,0))</f>
        <v>6.0174596394126654E-3</v>
      </c>
      <c r="H62" s="87">
        <f>INDEX(AVA_4!$A:$J,MATCH('2021'!$A62,AVA_4!$A:$A,0),MATCH('2021'!$A$1,AVA_4!$3:$3,0))/(B62/1000)</f>
        <v>0.62426644321308711</v>
      </c>
      <c r="I62" s="89">
        <f>INDEX(AVA_5!$A:$J,MATCH('2021'!$A62,AVA_5!$A:$A,0),MATCH('2021'!$A$1,AVA_5!$3:$3,0))/(B62/1000)</f>
        <v>6.1342484111806987</v>
      </c>
      <c r="J62" s="93">
        <f>INDEX(IRA_1!$A:$J,MATCH('2021'!$A62,IRA_1!$A:$A,0),MATCH('2021'!$A$1,IRA_1!$3:$3,0))/(B62/1000)</f>
        <v>8.2885796661905681E-2</v>
      </c>
      <c r="K62" s="88">
        <f>INDEX(IRA_2!$A:$J,MATCH('2021'!$A62,IRA_2!$A:$A,0),MATCH('2021'!$A$1,IRA_2!$3:$3,0))/(B62/1000)</f>
        <v>0.23501795509198573</v>
      </c>
      <c r="L62" s="15">
        <f>INDEX(IRA_3!$A:$J,MATCH('2021'!$A62,IRA_3!$A:$A,0),MATCH('2021'!$A$1,IRA_3!$3:$3,0))</f>
        <v>0.33398803678243016</v>
      </c>
      <c r="M62" s="96">
        <f>INDEX(IRA_4!$A:$J,MATCH('2021'!$A62,IRA_4!$A:$A,0),MATCH('2021'!$A$1,IRA_4!$3:$3,0))/(B62/1000)</f>
        <v>5.5743321223380367</v>
      </c>
      <c r="N62" s="61">
        <f>INDEX(INV_1!$A:$J,MATCH('2021'!$A62,INV_1!$A:$A,0),MATCH('2021'!$A$1,INV_1!$3:$3,0))</f>
        <v>7.2050000320237131E-2</v>
      </c>
      <c r="O62" s="80">
        <f>INDEX(INV_2!$A:$J,MATCH('2021'!$A62,INV_2!$A:$A,0),MATCH('2021'!$A$1,INV_2!$3:$3,0))/B62*10^6/C62</f>
        <v>0.37106883001965396</v>
      </c>
      <c r="P62" s="87">
        <f>INDEX(INV_3!$A:$J,MATCH('2021'!$A62,INV_3!$A:$A,0),MATCH('2021'!$A$1,INV_3!$3:$3,0))/B62*10^6/C62</f>
        <v>5.1446710752193274</v>
      </c>
      <c r="Q62" s="87">
        <f>INDEX(INV_4!$A:$J,MATCH('2021'!$A62,INV_4!$A:$A,0),MATCH('2021'!$A$1,INV_4!$3:$3,0))/B62*10^3/C62</f>
        <v>0.23959910482932606</v>
      </c>
      <c r="R62" s="34">
        <f>INDEX(INV_5!$A:$J,MATCH('2021'!$A62,INV_5!$A:$A,0),MATCH('2021'!$A$1,INV_5!$3:$3,0))</f>
        <v>0.1168</v>
      </c>
      <c r="S62" s="77">
        <f>INDEX(LUJ_1!$A:$J,MATCH('2021'!$A62,LUJ_1!$A:$A,0),MATCH('2021'!$A$1,LUJ_1!$3:$3,0))</f>
        <v>0.74423279891440919</v>
      </c>
      <c r="T62" s="73">
        <f>INDEX(LUJ_2!$A:$J,MATCH('2021'!$A62,LUJ_2!$A:$A,0),MATCH('2021'!$A$1,LUJ_2!$3:$3,0))</f>
        <v>0.26700000000000002</v>
      </c>
      <c r="U62" s="73">
        <f>INDEX(LUJ_3!$A:$J,MATCH('2021'!$A62,LUJ_3!$A:$A,0),MATCH('2021'!$A$1,LUJ_3!$3:$3,0))</f>
        <v>0.62673378863620366</v>
      </c>
      <c r="V62" s="14">
        <f>INDEX(LUJ_4!$A:$J,MATCH('2021'!$A62,LUJ_4!$A:$A,0),MATCH('2021'!$A$1,LUJ_4!$3:$3,0))</f>
        <v>164</v>
      </c>
      <c r="W62" s="34">
        <f>INDEX(LUJ_5!$A:$J,MATCH('2021'!$A62,LUJ_5!$A:$A,0),MATCH('2021'!$A$1,LUJ_5!$3:$3,0))</f>
        <v>74.3</v>
      </c>
      <c r="X62" s="98">
        <f>1/INDEX(GUL_1!$A:$J,MATCH('2021'!$A62,GUL_1!$A:$A,0),MATCH('2021'!$A$1,GUL_1!$3:$3,0))</f>
        <v>1.4632718759145449E-2</v>
      </c>
      <c r="Y62" s="57">
        <f>INDEX(GUL_2!$A:$J,MATCH('2021'!$A62,GUL_2!$A:$A,0),MATCH('2021'!$A$1,GUL_2!$3:$3,0))</f>
        <v>25.5</v>
      </c>
      <c r="Z62" s="57">
        <f>INDEX(GUL_3!$A:$J,MATCH('2021'!$A62,GUL_3!$A:$A,0),MATCH('2021'!$A$1,GUL_3!$3:$3,0))/(B62/1000)</f>
        <v>0.97644364675122641</v>
      </c>
      <c r="AA62" s="101">
        <f>INDEX(GUL_4!$A:$J,MATCH('2021'!$A62,GUL_4!$A:$A,0),MATCH('2021'!$A$1,GUL_4!$3:$3,0))/B62/C62*10^6</f>
        <v>0.33082395988702229</v>
      </c>
      <c r="AB62" s="73">
        <f>INDEX(GUL_5!$A:$J,MATCH('2021'!$A62,GUL_5!$A:$A,0),MATCH('2021'!$A$1,GUL_5!$3:$3,0))</f>
        <v>3.3462458386904995E-2</v>
      </c>
      <c r="AC62" s="49">
        <f>INDEX(GUL_6!$A:$J,MATCH('2021'!$A62,GUL_6!$A:$A,0),MATCH('2021'!$A$1,GUL_6!$3:$3,0))</f>
        <v>3.2990520655000001E-2</v>
      </c>
      <c r="AD62" s="49">
        <f>INDEX(GUL_7!$A:$J,MATCH('2021'!$A62,GUL_7!$A:$A,0),MATCH('2021'!$A$1,GUL_7!$3:$3,0))</f>
        <v>0.20949999999999999</v>
      </c>
      <c r="AE62" s="103">
        <f>INDEX(GUL_8!$A:$J,MATCH('2021'!$A62,GUL_8!$A:$A,0),MATCH('2021'!$A$1,GUL_8!$3:$3,0))/(B62/1000)</f>
        <v>2.7072529618557462</v>
      </c>
      <c r="AF62" s="41">
        <f>INDEX(DES_1!$A:$J,MATCH('2021'!$A62,DES_1!$A:$A,0),MATCH('2021'!$A$1,DES_1!$3:$3,0))/(B62/1000)</f>
        <v>0.13639434893731314</v>
      </c>
      <c r="AG62" s="100">
        <f>INDEX(DES_2!$A:$J,MATCH('2021'!$A62,DES_2!$A:$A,0),MATCH('2021'!$A$1,DES_2!$3:$3,0))/(B62/1000)</f>
        <v>0.77534941434364935</v>
      </c>
      <c r="AH62" s="57">
        <f>1/INDEX(DES_3!$A:$J,MATCH('2021'!$A62,DES_3!$A:$A,0),MATCH('2021'!$A$1,DES_3!$3:$3,0))</f>
        <v>8.7412587412587402E-3</v>
      </c>
      <c r="AI62" s="80">
        <f>INDEX(DES_4!$A:$J,MATCH('2021'!$A62,DES_4!$A:$A,0),MATCH('2021'!$A$1,DES_4!$3:$3,0))</f>
        <v>0.95138323614700004</v>
      </c>
      <c r="AJ62" s="110">
        <f>INDEX(DES_5!$A:$J,MATCH('2021'!$A62,DES_5!$A:$A,0),MATCH('2021'!$A$1,DES_5!$3:$3,0))</f>
        <v>0.74002849725199993</v>
      </c>
      <c r="AK62" s="57">
        <v>69</v>
      </c>
    </row>
    <row r="63" spans="1:37" x14ac:dyDescent="0.3">
      <c r="A63" s="29" t="s">
        <v>62</v>
      </c>
      <c r="B63" s="33">
        <f>INDEX(Population!$A:$J,MATCH('2021'!$A63,Population!$A:$A,0),MATCH('2021'!$A$1,Population!$3:$3,0))</f>
        <v>992542</v>
      </c>
      <c r="C63" s="14">
        <f>INDEX(Income!$A:$J,MATCH('2021'!$A63,Income!$A:$A,0),MATCH('2021'!$A$1,Income!$3:$3,0))</f>
        <v>50369</v>
      </c>
      <c r="D63" s="34">
        <f>INDEX(Livable_wage!$A:$J,MATCH('2021'!$A63,Livable_wage!$A:$A,0),MATCH('2021'!$A$1,Livable_wage!$3:$3,0))</f>
        <v>18368</v>
      </c>
      <c r="E63" s="41">
        <f>INDEX(AVA_1!$A:$J,MATCH('2021'!$A63,AVA_1!$A:$A,0),MATCH('2021'!$A$1,AVA_1!$3:$3,0))</f>
        <v>0.40100000000000002</v>
      </c>
      <c r="F63" s="15">
        <f>INDEX(AVA_2!$A:$J,MATCH('2021'!$A63,AVA_2!$A:$A,0),MATCH('2021'!$A$1,AVA_2!$3:$3,0))</f>
        <v>1.130604717215291E-2</v>
      </c>
      <c r="G63" s="15">
        <f>INDEX(AVA_3!$A:$J,MATCH('2021'!$A63,AVA_3!$A:$A,0),MATCH('2021'!$A$1,AVA_3!$3:$3,0))</f>
        <v>1.4632109488443826E-2</v>
      </c>
      <c r="H63" s="87">
        <f>INDEX(AVA_4!$A:$J,MATCH('2021'!$A63,AVA_4!$A:$A,0),MATCH('2021'!$A$1,AVA_4!$3:$3,0))/(B63/1000)</f>
        <v>0.86847710222841956</v>
      </c>
      <c r="I63" s="89">
        <f>INDEX(AVA_5!$A:$J,MATCH('2021'!$A63,AVA_5!$A:$A,0),MATCH('2021'!$A$1,AVA_5!$3:$3,0))/(B63/1000)</f>
        <v>3.4094275103723568</v>
      </c>
      <c r="J63" s="93">
        <f>INDEX(IRA_1!$A:$J,MATCH('2021'!$A63,IRA_1!$A:$A,0),MATCH('2021'!$A$1,IRA_1!$3:$3,0))/(B63/1000)</f>
        <v>0.10377394608993876</v>
      </c>
      <c r="K63" s="88">
        <f>INDEX(IRA_2!$A:$J,MATCH('2021'!$A63,IRA_2!$A:$A,0),MATCH('2021'!$A$1,IRA_2!$3:$3,0))/(B63/1000)</f>
        <v>0.27202879072119868</v>
      </c>
      <c r="L63" s="15">
        <f>INDEX(IRA_3!$A:$J,MATCH('2021'!$A63,IRA_3!$A:$A,0),MATCH('2021'!$A$1,IRA_3!$3:$3,0))</f>
        <v>0.43995064436523168</v>
      </c>
      <c r="M63" s="96">
        <f>INDEX(IRA_4!$A:$J,MATCH('2021'!$A63,IRA_4!$A:$A,0),MATCH('2021'!$A$1,IRA_4!$3:$3,0))/(B63/1000)</f>
        <v>4.0088983639987026</v>
      </c>
      <c r="N63" s="61">
        <f>INDEX(INV_1!$A:$J,MATCH('2021'!$A63,INV_1!$A:$A,0),MATCH('2021'!$A$1,INV_1!$3:$3,0))</f>
        <v>8.9031743019138479E-2</v>
      </c>
      <c r="O63" s="80">
        <f>INDEX(INV_2!$A:$J,MATCH('2021'!$A63,INV_2!$A:$A,0),MATCH('2021'!$A$1,INV_2!$3:$3,0))/B63*10^6/C63</f>
        <v>0.20056210309955727</v>
      </c>
      <c r="P63" s="87">
        <f>INDEX(INV_3!$A:$J,MATCH('2021'!$A63,INV_3!$A:$A,0),MATCH('2021'!$A$1,INV_3!$3:$3,0))/B63*10^6/C63</f>
        <v>5.2559592530292614</v>
      </c>
      <c r="Q63" s="87">
        <f>INDEX(INV_4!$A:$J,MATCH('2021'!$A63,INV_4!$A:$A,0),MATCH('2021'!$A$1,INV_4!$3:$3,0))/B63*10^3/C63</f>
        <v>0.25246737827010374</v>
      </c>
      <c r="R63" s="34">
        <f>INDEX(INV_5!$A:$J,MATCH('2021'!$A63,INV_5!$A:$A,0),MATCH('2021'!$A$1,INV_5!$3:$3,0))</f>
        <v>0.105</v>
      </c>
      <c r="S63" s="77">
        <f>INDEX(LUJ_1!$A:$J,MATCH('2021'!$A63,LUJ_1!$A:$A,0),MATCH('2021'!$A$1,LUJ_1!$3:$3,0))</f>
        <v>0.75339528234453179</v>
      </c>
      <c r="T63" s="73">
        <f>INDEX(LUJ_2!$A:$J,MATCH('2021'!$A63,LUJ_2!$A:$A,0),MATCH('2021'!$A$1,LUJ_2!$3:$3,0))</f>
        <v>0.34299999999999997</v>
      </c>
      <c r="U63" s="73">
        <f>INDEX(LUJ_3!$A:$J,MATCH('2021'!$A63,LUJ_3!$A:$A,0),MATCH('2021'!$A$1,LUJ_3!$3:$3,0))</f>
        <v>0.57805699269113908</v>
      </c>
      <c r="V63" s="14">
        <f>INDEX(LUJ_4!$A:$J,MATCH('2021'!$A63,LUJ_4!$A:$A,0),MATCH('2021'!$A$1,LUJ_4!$3:$3,0))</f>
        <v>76</v>
      </c>
      <c r="W63" s="34">
        <f>INDEX(LUJ_5!$A:$J,MATCH('2021'!$A63,LUJ_5!$A:$A,0),MATCH('2021'!$A$1,LUJ_5!$3:$3,0))</f>
        <v>10.1</v>
      </c>
      <c r="X63" s="98">
        <f>1/INDEX(GUL_1!$A:$J,MATCH('2021'!$A63,GUL_1!$A:$A,0),MATCH('2021'!$A$1,GUL_1!$3:$3,0))</f>
        <v>1.4289797084881393E-2</v>
      </c>
      <c r="Y63" s="57">
        <f>INDEX(GUL_2!$A:$J,MATCH('2021'!$A63,GUL_2!$A:$A,0),MATCH('2021'!$A$1,GUL_2!$3:$3,0))</f>
        <v>24.6</v>
      </c>
      <c r="Z63" s="57">
        <f>INDEX(GUL_3!$A:$J,MATCH('2021'!$A63,GUL_3!$A:$A,0),MATCH('2021'!$A$1,GUL_3!$3:$3,0))/(B63/1000)</f>
        <v>0.43121600899508533</v>
      </c>
      <c r="AA63" s="101">
        <f>INDEX(GUL_4!$A:$J,MATCH('2021'!$A63,GUL_4!$A:$A,0),MATCH('2021'!$A$1,GUL_4!$3:$3,0))/B63/C63*10^6</f>
        <v>0.5470125745748019</v>
      </c>
      <c r="AB63" s="73">
        <f>INDEX(GUL_5!$A:$J,MATCH('2021'!$A63,GUL_5!$A:$A,0),MATCH('2021'!$A$1,GUL_5!$3:$3,0))</f>
        <v>2.2667501218291097E-2</v>
      </c>
      <c r="AC63" s="49">
        <f>INDEX(GUL_6!$A:$J,MATCH('2021'!$A63,GUL_6!$A:$A,0),MATCH('2021'!$A$1,GUL_6!$3:$3,0))</f>
        <v>2.0560707918999999E-2</v>
      </c>
      <c r="AD63" s="49">
        <f>INDEX(GUL_7!$A:$J,MATCH('2021'!$A63,GUL_7!$A:$A,0),MATCH('2021'!$A$1,GUL_7!$3:$3,0))</f>
        <v>0.24170000000000003</v>
      </c>
      <c r="AE63" s="103">
        <f>INDEX(GUL_8!$A:$J,MATCH('2021'!$A63,GUL_8!$A:$A,0),MATCH('2021'!$A$1,GUL_8!$3:$3,0))/(B63/1000)</f>
        <v>3.6048852340757369</v>
      </c>
      <c r="AF63" s="41">
        <f>INDEX(DES_1!$A:$J,MATCH('2021'!$A63,DES_1!$A:$A,0),MATCH('2021'!$A$1,DES_1!$3:$3,0))/(B63/1000)</f>
        <v>0.19646523774308794</v>
      </c>
      <c r="AG63" s="100">
        <f>INDEX(DES_2!$A:$J,MATCH('2021'!$A63,DES_2!$A:$A,0),MATCH('2021'!$A$1,DES_2!$3:$3,0))/(B63/1000)</f>
        <v>0.34456980158018502</v>
      </c>
      <c r="AH63" s="57">
        <f>1/INDEX(DES_3!$A:$J,MATCH('2021'!$A63,DES_3!$A:$A,0),MATCH('2021'!$A$1,DES_3!$3:$3,0))</f>
        <v>7.8988941548183266E-3</v>
      </c>
      <c r="AI63" s="80">
        <f>INDEX(DES_4!$A:$J,MATCH('2021'!$A63,DES_4!$A:$A,0),MATCH('2021'!$A$1,DES_4!$3:$3,0))</f>
        <v>0.59450164458900001</v>
      </c>
      <c r="AJ63" s="110">
        <f>INDEX(DES_5!$A:$J,MATCH('2021'!$A63,DES_5!$A:$A,0),MATCH('2021'!$A$1,DES_5!$3:$3,0))</f>
        <v>0.54813948477600005</v>
      </c>
      <c r="AK63" s="57">
        <v>67</v>
      </c>
    </row>
    <row r="64" spans="1:37" x14ac:dyDescent="0.3">
      <c r="A64" s="29" t="s">
        <v>63</v>
      </c>
      <c r="B64" s="33">
        <f>INDEX(Population!$A:$J,MATCH('2021'!$A64,Population!$A:$A,0),MATCH('2021'!$A$1,Population!$3:$3,0))</f>
        <v>3175870</v>
      </c>
      <c r="C64" s="14">
        <f>INDEX(Income!$A:$J,MATCH('2021'!$A64,Income!$A:$A,0),MATCH('2021'!$A$1,Income!$3:$3,0))</f>
        <v>30260</v>
      </c>
      <c r="D64" s="34">
        <f>INDEX(Livable_wage!$A:$J,MATCH('2021'!$A64,Livable_wage!$A:$A,0),MATCH('2021'!$A$1,Livable_wage!$3:$3,0))</f>
        <v>10628</v>
      </c>
      <c r="E64" s="41">
        <f>INDEX(AVA_1!$A:$J,MATCH('2021'!$A64,AVA_1!$A:$A,0),MATCH('2021'!$A$1,AVA_1!$3:$3,0))</f>
        <v>0.38300000000000001</v>
      </c>
      <c r="F64" s="15">
        <f>INDEX(AVA_2!$A:$J,MATCH('2021'!$A64,AVA_2!$A:$A,0),MATCH('2021'!$A$1,AVA_2!$3:$3,0))</f>
        <v>4.9961347543668669E-3</v>
      </c>
      <c r="G64" s="15">
        <f>INDEX(AVA_3!$A:$J,MATCH('2021'!$A64,AVA_3!$A:$A,0),MATCH('2021'!$A$1,AVA_3!$3:$3,0))</f>
        <v>3.2898579447190934E-2</v>
      </c>
      <c r="H64" s="87">
        <f>INDEX(AVA_4!$A:$J,MATCH('2021'!$A64,AVA_4!$A:$A,0),MATCH('2021'!$A$1,AVA_4!$3:$3,0))/(B64/1000)</f>
        <v>0.705948291334343</v>
      </c>
      <c r="I64" s="89">
        <f>INDEX(AVA_5!$A:$J,MATCH('2021'!$A64,AVA_5!$A:$A,0),MATCH('2021'!$A$1,AVA_5!$3:$3,0))/(B64/1000)</f>
        <v>0.48899986460402978</v>
      </c>
      <c r="J64" s="93">
        <f>INDEX(IRA_1!$A:$J,MATCH('2021'!$A64,IRA_1!$A:$A,0),MATCH('2021'!$A$1,IRA_1!$3:$3,0))/(B64/1000)</f>
        <v>1.9837084011625161E-2</v>
      </c>
      <c r="K64" s="88">
        <f>INDEX(IRA_2!$A:$J,MATCH('2021'!$A64,IRA_2!$A:$A,0),MATCH('2021'!$A$1,IRA_2!$3:$3,0))/(B64/1000)</f>
        <v>2.9913063192133181E-2</v>
      </c>
      <c r="L64" s="15">
        <f>INDEX(IRA_3!$A:$J,MATCH('2021'!$A64,IRA_3!$A:$A,0),MATCH('2021'!$A$1,IRA_3!$3:$3,0))</f>
        <v>0.58466064725575739</v>
      </c>
      <c r="M64" s="96">
        <f>INDEX(IRA_4!$A:$J,MATCH('2021'!$A64,IRA_4!$A:$A,0),MATCH('2021'!$A$1,IRA_4!$3:$3,0))/(B64/1000)</f>
        <v>1.3725372889948266</v>
      </c>
      <c r="N64" s="61">
        <f>INDEX(INV_1!$A:$J,MATCH('2021'!$A64,INV_1!$A:$A,0),MATCH('2021'!$A$1,INV_1!$3:$3,0))</f>
        <v>7.7372998529354906E-2</v>
      </c>
      <c r="O64" s="80">
        <f>INDEX(INV_2!$A:$J,MATCH('2021'!$A64,INV_2!$A:$A,0),MATCH('2021'!$A$1,INV_2!$3:$3,0))/B64*10^6/C64</f>
        <v>0.32186094095492879</v>
      </c>
      <c r="P64" s="87">
        <f>INDEX(INV_3!$A:$J,MATCH('2021'!$A64,INV_3!$A:$A,0),MATCH('2021'!$A$1,INV_3!$3:$3,0))/B64*10^6/C64</f>
        <v>1.1387504725690636</v>
      </c>
      <c r="Q64" s="87">
        <f>INDEX(INV_4!$A:$J,MATCH('2021'!$A64,INV_4!$A:$A,0),MATCH('2021'!$A$1,INV_4!$3:$3,0))/B64*10^3/C64</f>
        <v>0.18565235537636432</v>
      </c>
      <c r="R64" s="34">
        <f>INDEX(INV_5!$A:$J,MATCH('2021'!$A64,INV_5!$A:$A,0),MATCH('2021'!$A$1,INV_5!$3:$3,0))</f>
        <v>0.18379999999999999</v>
      </c>
      <c r="S64" s="77">
        <f>INDEX(LUJ_1!$A:$J,MATCH('2021'!$A64,LUJ_1!$A:$A,0),MATCH('2021'!$A$1,LUJ_1!$3:$3,0))</f>
        <v>0.72209044908285891</v>
      </c>
      <c r="T64" s="73">
        <f>INDEX(LUJ_2!$A:$J,MATCH('2021'!$A64,LUJ_2!$A:$A,0),MATCH('2021'!$A$1,LUJ_2!$3:$3,0))</f>
        <v>0.24100000000000002</v>
      </c>
      <c r="U64" s="73">
        <f>INDEX(LUJ_3!$A:$J,MATCH('2021'!$A64,LUJ_3!$A:$A,0),MATCH('2021'!$A$1,LUJ_3!$3:$3,0))</f>
        <v>0.11826354171444296</v>
      </c>
      <c r="V64" s="14">
        <f>INDEX(LUJ_4!$A:$J,MATCH('2021'!$A64,LUJ_4!$A:$A,0),MATCH('2021'!$A$1,LUJ_4!$3:$3,0))</f>
        <v>39</v>
      </c>
      <c r="W64" s="34">
        <f>INDEX(LUJ_5!$A:$J,MATCH('2021'!$A64,LUJ_5!$A:$A,0),MATCH('2021'!$A$1,LUJ_5!$3:$3,0))</f>
        <v>11.1</v>
      </c>
      <c r="X64" s="98">
        <f>1/INDEX(GUL_1!$A:$J,MATCH('2021'!$A64,GUL_1!$A:$A,0),MATCH('2021'!$A$1,GUL_1!$3:$3,0))</f>
        <v>1.305653479566523E-2</v>
      </c>
      <c r="Y64" s="57">
        <f>INDEX(GUL_2!$A:$J,MATCH('2021'!$A64,GUL_2!$A:$A,0),MATCH('2021'!$A$1,GUL_2!$3:$3,0))</f>
        <v>24.7</v>
      </c>
      <c r="Z64" s="57">
        <f>INDEX(GUL_3!$A:$J,MATCH('2021'!$A64,GUL_3!$A:$A,0),MATCH('2021'!$A$1,GUL_3!$3:$3,0))/(B64/1000)</f>
        <v>0.17349576651437246</v>
      </c>
      <c r="AA64" s="101">
        <f>INDEX(GUL_4!$A:$J,MATCH('2021'!$A64,GUL_4!$A:$A,0),MATCH('2021'!$A$1,GUL_4!$3:$3,0))/B64/C64*10^6</f>
        <v>0.75771910773533246</v>
      </c>
      <c r="AB64" s="73">
        <f>INDEX(GUL_5!$A:$J,MATCH('2021'!$A64,GUL_5!$A:$A,0),MATCH('2021'!$A$1,GUL_5!$3:$3,0))</f>
        <v>1.0038386103670478E-2</v>
      </c>
      <c r="AC64" s="49">
        <f>INDEX(GUL_6!$A:$J,MATCH('2021'!$A64,GUL_6!$A:$A,0),MATCH('2021'!$A$1,GUL_6!$3:$3,0))</f>
        <v>6.5887371500000002E-3</v>
      </c>
      <c r="AD64" s="49">
        <f>INDEX(GUL_7!$A:$J,MATCH('2021'!$A64,GUL_7!$A:$A,0),MATCH('2021'!$A$1,GUL_7!$3:$3,0))</f>
        <v>6.7400000000000002E-2</v>
      </c>
      <c r="AE64" s="103">
        <f>INDEX(GUL_8!$A:$J,MATCH('2021'!$A64,GUL_8!$A:$A,0),MATCH('2021'!$A$1,GUL_8!$3:$3,0))/(B64/1000)</f>
        <v>0.2245054111156943</v>
      </c>
      <c r="AF64" s="41">
        <f>INDEX(DES_1!$A:$J,MATCH('2021'!$A64,DES_1!$A:$A,0),MATCH('2021'!$A$1,DES_1!$3:$3,0))/(B64/1000)</f>
        <v>1.0390853529898894E-2</v>
      </c>
      <c r="AG64" s="100">
        <f>INDEX(DES_2!$A:$J,MATCH('2021'!$A64,DES_2!$A:$A,0),MATCH('2021'!$A$1,DES_2!$3:$3,0))/(B64/1000)</f>
        <v>0.62691482963723333</v>
      </c>
      <c r="AH64" s="57">
        <f>1/INDEX(DES_3!$A:$J,MATCH('2021'!$A64,DES_3!$A:$A,0),MATCH('2021'!$A$1,DES_3!$3:$3,0))</f>
        <v>8.6206896551724137E-3</v>
      </c>
      <c r="AI64" s="80">
        <f>INDEX(DES_4!$A:$J,MATCH('2021'!$A64,DES_4!$A:$A,0),MATCH('2021'!$A$1,DES_4!$3:$3,0))</f>
        <v>0.95426925631299997</v>
      </c>
      <c r="AJ64" s="110">
        <f>INDEX(DES_5!$A:$J,MATCH('2021'!$A64,DES_5!$A:$A,0),MATCH('2021'!$A$1,DES_5!$3:$3,0))</f>
        <v>0.47898234070900003</v>
      </c>
      <c r="AK64" s="57">
        <v>14</v>
      </c>
    </row>
    <row r="65" spans="1:37" x14ac:dyDescent="0.3">
      <c r="A65" s="29" t="s">
        <v>64</v>
      </c>
      <c r="B65" s="33">
        <f>INDEX(Population!$A:$J,MATCH('2021'!$A65,Population!$A:$A,0),MATCH('2021'!$A$1,Population!$3:$3,0))</f>
        <v>1864832</v>
      </c>
      <c r="C65" s="14">
        <f>INDEX(Income!$A:$J,MATCH('2021'!$A65,Income!$A:$A,0),MATCH('2021'!$A$1,Income!$3:$3,0))</f>
        <v>29976</v>
      </c>
      <c r="D65" s="34">
        <f>INDEX(Livable_wage!$A:$J,MATCH('2021'!$A65,Livable_wage!$A:$A,0),MATCH('2021'!$A$1,Livable_wage!$3:$3,0))</f>
        <v>10635</v>
      </c>
      <c r="E65" s="41">
        <f>INDEX(AVA_1!$A:$J,MATCH('2021'!$A65,AVA_1!$A:$A,0),MATCH('2021'!$A$1,AVA_1!$3:$3,0))</f>
        <v>0.373</v>
      </c>
      <c r="F65" s="15">
        <f>INDEX(AVA_2!$A:$J,MATCH('2021'!$A65,AVA_2!$A:$A,0),MATCH('2021'!$A$1,AVA_2!$3:$3,0))</f>
        <v>9.3473901984540281E-3</v>
      </c>
      <c r="G65" s="15">
        <f>INDEX(AVA_3!$A:$J,MATCH('2021'!$A65,AVA_3!$A:$A,0),MATCH('2021'!$A$1,AVA_3!$3:$3,0))</f>
        <v>6.1636074431652803E-3</v>
      </c>
      <c r="H65" s="87">
        <f>INDEX(AVA_4!$A:$J,MATCH('2021'!$A65,AVA_4!$A:$A,0),MATCH('2021'!$A$1,AVA_4!$3:$3,0))/(B65/1000)</f>
        <v>0.85155123893197882</v>
      </c>
      <c r="I65" s="89">
        <f>INDEX(AVA_5!$A:$J,MATCH('2021'!$A65,AVA_5!$A:$A,0),MATCH('2021'!$A$1,AVA_5!$3:$3,0))/(B65/1000)</f>
        <v>4.7226774315327065</v>
      </c>
      <c r="J65" s="93">
        <f>INDEX(IRA_1!$A:$J,MATCH('2021'!$A65,IRA_1!$A:$A,0),MATCH('2021'!$A$1,IRA_1!$3:$3,0))/(B65/1000)</f>
        <v>4.0218100075502777E-2</v>
      </c>
      <c r="K65" s="88">
        <f>INDEX(IRA_2!$A:$J,MATCH('2021'!$A65,IRA_2!$A:$A,0),MATCH('2021'!$A$1,IRA_2!$3:$3,0))/(B65/1000)</f>
        <v>0.14156771226576978</v>
      </c>
      <c r="L65" s="15">
        <f>INDEX(IRA_3!$A:$J,MATCH('2021'!$A65,IRA_3!$A:$A,0),MATCH('2021'!$A$1,IRA_3!$3:$3,0))</f>
        <v>0.31913927728345737</v>
      </c>
      <c r="M65" s="96">
        <f>INDEX(IRA_4!$A:$J,MATCH('2021'!$A65,IRA_4!$A:$A,0),MATCH('2021'!$A$1,IRA_4!$3:$3,0))/(B65/1000)</f>
        <v>2.836180417324456</v>
      </c>
      <c r="N65" s="61">
        <f>INDEX(INV_1!$A:$J,MATCH('2021'!$A65,INV_1!$A:$A,0),MATCH('2021'!$A$1,INV_1!$3:$3,0))</f>
        <v>7.0073623391538428E-2</v>
      </c>
      <c r="O65" s="80">
        <f>INDEX(INV_2!$A:$J,MATCH('2021'!$A65,INV_2!$A:$A,0),MATCH('2021'!$A$1,INV_2!$3:$3,0))/B65*10^6/C65</f>
        <v>0.44538695881315565</v>
      </c>
      <c r="P65" s="87">
        <f>INDEX(INV_3!$A:$J,MATCH('2021'!$A65,INV_3!$A:$A,0),MATCH('2021'!$A$1,INV_3!$3:$3,0))/B65*10^6/C65</f>
        <v>4.96923052089371</v>
      </c>
      <c r="Q65" s="87">
        <f>INDEX(INV_4!$A:$J,MATCH('2021'!$A65,INV_4!$A:$A,0),MATCH('2021'!$A$1,INV_4!$3:$3,0))/B65*10^3/C65</f>
        <v>0.23802167685082701</v>
      </c>
      <c r="R65" s="34">
        <f>INDEX(INV_5!$A:$J,MATCH('2021'!$A65,INV_5!$A:$A,0),MATCH('2021'!$A$1,INV_5!$3:$3,0))</f>
        <v>7.3400000000000007E-2</v>
      </c>
      <c r="S65" s="77">
        <f>INDEX(LUJ_1!$A:$J,MATCH('2021'!$A65,LUJ_1!$A:$A,0),MATCH('2021'!$A$1,LUJ_1!$3:$3,0))</f>
        <v>0.70794746590335078</v>
      </c>
      <c r="T65" s="73">
        <f>INDEX(LUJ_2!$A:$J,MATCH('2021'!$A65,LUJ_2!$A:$A,0),MATCH('2021'!$A$1,LUJ_2!$3:$3,0))</f>
        <v>0.22699999999999998</v>
      </c>
      <c r="U65" s="73">
        <f>INDEX(LUJ_3!$A:$J,MATCH('2021'!$A65,LUJ_3!$A:$A,0),MATCH('2021'!$A$1,LUJ_3!$3:$3,0))</f>
        <v>0.32877581631475711</v>
      </c>
      <c r="V65" s="14">
        <f>INDEX(LUJ_4!$A:$J,MATCH('2021'!$A65,LUJ_4!$A:$A,0),MATCH('2021'!$A$1,LUJ_4!$3:$3,0))</f>
        <v>34</v>
      </c>
      <c r="W65" s="34">
        <f>INDEX(LUJ_5!$A:$J,MATCH('2021'!$A65,LUJ_5!$A:$A,0),MATCH('2021'!$A$1,LUJ_5!$3:$3,0))</f>
        <v>49.3</v>
      </c>
      <c r="X65" s="98">
        <f>1/INDEX(GUL_1!$A:$J,MATCH('2021'!$A65,GUL_1!$A:$A,0),MATCH('2021'!$A$1,GUL_1!$3:$3,0))</f>
        <v>1.4488554042306579E-2</v>
      </c>
      <c r="Y65" s="57">
        <f>INDEX(GUL_2!$A:$J,MATCH('2021'!$A65,GUL_2!$A:$A,0),MATCH('2021'!$A$1,GUL_2!$3:$3,0))</f>
        <v>25.7</v>
      </c>
      <c r="Z65" s="57">
        <f>INDEX(GUL_3!$A:$J,MATCH('2021'!$A65,GUL_3!$A:$A,0),MATCH('2021'!$A$1,GUL_3!$3:$3,0))/(B65/1000)</f>
        <v>0.56251715972269889</v>
      </c>
      <c r="AA65" s="101">
        <f>INDEX(GUL_4!$A:$J,MATCH('2021'!$A65,GUL_4!$A:$A,0),MATCH('2021'!$A$1,GUL_4!$3:$3,0))/B65/C65*10^6</f>
        <v>0.31221513950126395</v>
      </c>
      <c r="AB65" s="73">
        <f>INDEX(GUL_5!$A:$J,MATCH('2021'!$A65,GUL_5!$A:$A,0),MATCH('2021'!$A$1,GUL_5!$3:$3,0))</f>
        <v>3.3225909609194262E-2</v>
      </c>
      <c r="AC65" s="49">
        <f>INDEX(GUL_6!$A:$J,MATCH('2021'!$A65,GUL_6!$A:$A,0),MATCH('2021'!$A$1,GUL_6!$3:$3,0))</f>
        <v>1.9066211643999999E-2</v>
      </c>
      <c r="AD65" s="49">
        <f>INDEX(GUL_7!$A:$J,MATCH('2021'!$A65,GUL_7!$A:$A,0),MATCH('2021'!$A$1,GUL_7!$3:$3,0))</f>
        <v>0.22550000000000001</v>
      </c>
      <c r="AE65" s="103">
        <f>INDEX(GUL_8!$A:$J,MATCH('2021'!$A65,GUL_8!$A:$A,0),MATCH('2021'!$A$1,GUL_8!$3:$3,0))/(B65/1000)</f>
        <v>1.9320775276271533</v>
      </c>
      <c r="AF65" s="41">
        <f>INDEX(DES_1!$A:$J,MATCH('2021'!$A65,DES_1!$A:$A,0),MATCH('2021'!$A$1,DES_1!$3:$3,0))/(B65/1000)</f>
        <v>0.15872743496465097</v>
      </c>
      <c r="AG65" s="100">
        <f>INDEX(DES_2!$A:$J,MATCH('2021'!$A65,DES_2!$A:$A,0),MATCH('2021'!$A$1,DES_2!$3:$3,0))/(B65/1000)</f>
        <v>0.60756143180726196</v>
      </c>
      <c r="AH65" s="57">
        <f>1/INDEX(DES_3!$A:$J,MATCH('2021'!$A65,DES_3!$A:$A,0),MATCH('2021'!$A$1,DES_3!$3:$3,0))</f>
        <v>8.8573959255978732E-3</v>
      </c>
      <c r="AI65" s="80">
        <f>INDEX(DES_4!$A:$J,MATCH('2021'!$A65,DES_4!$A:$A,0),MATCH('2021'!$A$1,DES_4!$3:$3,0))</f>
        <v>0.84452875717300002</v>
      </c>
      <c r="AJ65" s="110">
        <f>INDEX(DES_5!$A:$J,MATCH('2021'!$A65,DES_5!$A:$A,0),MATCH('2021'!$A$1,DES_5!$3:$3,0))</f>
        <v>0.71097828679000008</v>
      </c>
      <c r="AK65" s="57">
        <v>21</v>
      </c>
    </row>
    <row r="66" spans="1:37" x14ac:dyDescent="0.3">
      <c r="A66" s="29" t="s">
        <v>65</v>
      </c>
      <c r="B66" s="33">
        <f>INDEX(Population!$A:$J,MATCH('2021'!$A66,Population!$A:$A,0),MATCH('2021'!$A$1,Population!$3:$3,0))</f>
        <v>742395</v>
      </c>
      <c r="C66" s="14">
        <f>INDEX(Income!$A:$J,MATCH('2021'!$A66,Income!$A:$A,0),MATCH('2021'!$A$1,Income!$3:$3,0))</f>
        <v>39118</v>
      </c>
      <c r="D66" s="34">
        <f>INDEX(Livable_wage!$A:$J,MATCH('2021'!$A66,Livable_wage!$A:$A,0),MATCH('2021'!$A$1,Livable_wage!$3:$3,0))</f>
        <v>14567</v>
      </c>
      <c r="E66" s="41">
        <f>INDEX(AVA_1!$A:$J,MATCH('2021'!$A66,AVA_1!$A:$A,0),MATCH('2021'!$A$1,AVA_1!$3:$3,0))</f>
        <v>0.375</v>
      </c>
      <c r="F66" s="15">
        <f>INDEX(AVA_2!$A:$J,MATCH('2021'!$A66,AVA_2!$A:$A,0),MATCH('2021'!$A$1,AVA_2!$3:$3,0))</f>
        <v>1.07595608816829E-2</v>
      </c>
      <c r="G66" s="15">
        <f>INDEX(AVA_3!$A:$J,MATCH('2021'!$A66,AVA_3!$A:$A,0),MATCH('2021'!$A$1,AVA_3!$3:$3,0))</f>
        <v>9.3062205126863608E-3</v>
      </c>
      <c r="H66" s="87">
        <f>INDEX(AVA_4!$A:$J,MATCH('2021'!$A66,AVA_4!$A:$A,0),MATCH('2021'!$A$1,AVA_4!$3:$3,0))/(B66/1000)</f>
        <v>0.91460745290579815</v>
      </c>
      <c r="I66" s="89">
        <f>INDEX(AVA_5!$A:$J,MATCH('2021'!$A66,AVA_5!$A:$A,0),MATCH('2021'!$A$1,AVA_5!$3:$3,0))/(B66/1000)</f>
        <v>5.8984772257356264</v>
      </c>
      <c r="J66" s="93">
        <f>INDEX(IRA_1!$A:$J,MATCH('2021'!$A66,IRA_1!$A:$A,0),MATCH('2021'!$A$1,IRA_1!$3:$3,0))/(B66/1000)</f>
        <v>7.2737558846705602E-2</v>
      </c>
      <c r="K66" s="88">
        <f>INDEX(IRA_2!$A:$J,MATCH('2021'!$A66,IRA_2!$A:$A,0),MATCH('2021'!$A$1,IRA_2!$3:$3,0))/(B66/1000)</f>
        <v>0.24784649681099685</v>
      </c>
      <c r="L66" s="15">
        <f>INDEX(IRA_3!$A:$J,MATCH('2021'!$A66,IRA_3!$A:$A,0),MATCH('2021'!$A$1,IRA_3!$3:$3,0))</f>
        <v>0.33561202115310207</v>
      </c>
      <c r="M66" s="96">
        <f>INDEX(IRA_4!$A:$J,MATCH('2021'!$A66,IRA_4!$A:$A,0),MATCH('2021'!$A$1,IRA_4!$3:$3,0))/(B66/1000)</f>
        <v>5.8378625933633712</v>
      </c>
      <c r="N66" s="61">
        <f>INDEX(INV_1!$A:$J,MATCH('2021'!$A66,INV_1!$A:$A,0),MATCH('2021'!$A$1,INV_1!$3:$3,0))</f>
        <v>6.5907271947194937E-2</v>
      </c>
      <c r="O66" s="80">
        <f>INDEX(INV_2!$A:$J,MATCH('2021'!$A66,INV_2!$A:$A,0),MATCH('2021'!$A$1,INV_2!$3:$3,0))/B66*10^6/C66</f>
        <v>0.52943769130510077</v>
      </c>
      <c r="P66" s="87">
        <f>INDEX(INV_3!$A:$J,MATCH('2021'!$A66,INV_3!$A:$A,0),MATCH('2021'!$A$1,INV_3!$3:$3,0))/B66*10^6/C66</f>
        <v>5.6639219344221647</v>
      </c>
      <c r="Q66" s="87">
        <f>INDEX(INV_4!$A:$J,MATCH('2021'!$A66,INV_4!$A:$A,0),MATCH('2021'!$A$1,INV_4!$3:$3,0))/B66*10^3/C66</f>
        <v>0.26075902054419109</v>
      </c>
      <c r="R66" s="34">
        <f>INDEX(INV_5!$A:$J,MATCH('2021'!$A66,INV_5!$A:$A,0),MATCH('2021'!$A$1,INV_5!$3:$3,0))</f>
        <v>3.9699999999999999E-2</v>
      </c>
      <c r="S66" s="77">
        <f>INDEX(LUJ_1!$A:$J,MATCH('2021'!$A66,LUJ_1!$A:$A,0),MATCH('2021'!$A$1,LUJ_1!$3:$3,0))</f>
        <v>0.84855334538878846</v>
      </c>
      <c r="T66" s="73">
        <f>INDEX(LUJ_2!$A:$J,MATCH('2021'!$A66,LUJ_2!$A:$A,0),MATCH('2021'!$A$1,LUJ_2!$3:$3,0))</f>
        <v>0.29699999999999999</v>
      </c>
      <c r="U66" s="73">
        <f>INDEX(LUJ_3!$A:$J,MATCH('2021'!$A66,LUJ_3!$A:$A,0),MATCH('2021'!$A$1,LUJ_3!$3:$3,0))</f>
        <v>0.59986139986139986</v>
      </c>
      <c r="V66" s="14">
        <f>INDEX(LUJ_4!$A:$J,MATCH('2021'!$A66,LUJ_4!$A:$A,0),MATCH('2021'!$A$1,LUJ_4!$3:$3,0))</f>
        <v>36</v>
      </c>
      <c r="W66" s="34">
        <f>INDEX(LUJ_5!$A:$J,MATCH('2021'!$A66,LUJ_5!$A:$A,0),MATCH('2021'!$A$1,LUJ_5!$3:$3,0))</f>
        <v>33.700000000000003</v>
      </c>
      <c r="X66" s="98">
        <f>1/INDEX(GUL_1!$A:$J,MATCH('2021'!$A66,GUL_1!$A:$A,0),MATCH('2021'!$A$1,GUL_1!$3:$3,0))</f>
        <v>1.4637002341920375E-2</v>
      </c>
      <c r="Y66" s="57">
        <f>INDEX(GUL_2!$A:$J,MATCH('2021'!$A66,GUL_2!$A:$A,0),MATCH('2021'!$A$1,GUL_2!$3:$3,0))</f>
        <v>25</v>
      </c>
      <c r="Z66" s="57">
        <f>INDEX(GUL_3!$A:$J,MATCH('2021'!$A66,GUL_3!$A:$A,0),MATCH('2021'!$A$1,GUL_3!$3:$3,0))/(B66/1000)</f>
        <v>1.1004923255140457</v>
      </c>
      <c r="AA66" s="101">
        <f>INDEX(GUL_4!$A:$J,MATCH('2021'!$A66,GUL_4!$A:$A,0),MATCH('2021'!$A$1,GUL_4!$3:$3,0))/B66/C66*10^6</f>
        <v>0.41962352559019911</v>
      </c>
      <c r="AB66" s="73">
        <f>INDEX(GUL_5!$A:$J,MATCH('2021'!$A66,GUL_5!$A:$A,0),MATCH('2021'!$A$1,GUL_5!$3:$3,0))</f>
        <v>3.4052159523886738E-2</v>
      </c>
      <c r="AC66" s="49">
        <f>INDEX(GUL_6!$A:$J,MATCH('2021'!$A66,GUL_6!$A:$A,0),MATCH('2021'!$A$1,GUL_6!$3:$3,0))</f>
        <v>5.6847648228000001E-2</v>
      </c>
      <c r="AD66" s="49">
        <f>INDEX(GUL_7!$A:$J,MATCH('2021'!$A66,GUL_7!$A:$A,0),MATCH('2021'!$A$1,GUL_7!$3:$3,0))</f>
        <v>0.22579999999999997</v>
      </c>
      <c r="AE66" s="103">
        <f>INDEX(GUL_8!$A:$J,MATCH('2021'!$A66,GUL_8!$A:$A,0),MATCH('2021'!$A$1,GUL_8!$3:$3,0))/(B66/1000)</f>
        <v>4.6201819785962996</v>
      </c>
      <c r="AF66" s="41">
        <f>INDEX(DES_1!$A:$J,MATCH('2021'!$A66,DES_1!$A:$A,0),MATCH('2021'!$A$1,DES_1!$3:$3,0))/(B66/1000)</f>
        <v>0.2572754396244587</v>
      </c>
      <c r="AG66" s="100">
        <f>INDEX(DES_2!$A:$J,MATCH('2021'!$A66,DES_2!$A:$A,0),MATCH('2021'!$A$1,DES_2!$3:$3,0))/(B66/1000)</f>
        <v>0.53071478121485194</v>
      </c>
      <c r="AH66" s="57">
        <f>1/INDEX(DES_3!$A:$J,MATCH('2021'!$A66,DES_3!$A:$A,0),MATCH('2021'!$A$1,DES_3!$3:$3,0))</f>
        <v>9.4966761633428296E-3</v>
      </c>
      <c r="AI66" s="80">
        <f>INDEX(DES_4!$A:$J,MATCH('2021'!$A66,DES_4!$A:$A,0),MATCH('2021'!$A$1,DES_4!$3:$3,0))</f>
        <v>0.72097583948799993</v>
      </c>
      <c r="AJ66" s="110">
        <f>INDEX(DES_5!$A:$J,MATCH('2021'!$A66,DES_5!$A:$A,0),MATCH('2021'!$A$1,DES_5!$3:$3,0))</f>
        <v>0.64942575881799991</v>
      </c>
      <c r="AK66" s="57">
        <v>25</v>
      </c>
    </row>
    <row r="67" spans="1:37" x14ac:dyDescent="0.3">
      <c r="A67" s="29" t="s">
        <v>66</v>
      </c>
      <c r="B67" s="33">
        <f>INDEX(Population!$A:$J,MATCH('2021'!$A67,Population!$A:$A,0),MATCH('2021'!$A$1,Population!$3:$3,0))</f>
        <v>1505603</v>
      </c>
      <c r="C67" s="14">
        <f>INDEX(Income!$A:$J,MATCH('2021'!$A67,Income!$A:$A,0),MATCH('2021'!$A$1,Income!$3:$3,0))</f>
        <v>26397</v>
      </c>
      <c r="D67" s="34">
        <f>INDEX(Livable_wage!$A:$J,MATCH('2021'!$A67,Livable_wage!$A:$A,0),MATCH('2021'!$A$1,Livable_wage!$3:$3,0))</f>
        <v>11240</v>
      </c>
      <c r="E67" s="41">
        <f>INDEX(AVA_1!$A:$J,MATCH('2021'!$A67,AVA_1!$A:$A,0),MATCH('2021'!$A$1,AVA_1!$3:$3,0))</f>
        <v>0.371</v>
      </c>
      <c r="F67" s="15">
        <f>INDEX(AVA_2!$A:$J,MATCH('2021'!$A67,AVA_2!$A:$A,0),MATCH('2021'!$A$1,AVA_2!$3:$3,0))</f>
        <v>7.409425319873081E-3</v>
      </c>
      <c r="G67" s="15">
        <f>INDEX(AVA_3!$A:$J,MATCH('2021'!$A67,AVA_3!$A:$A,0),MATCH('2021'!$A$1,AVA_3!$3:$3,0))</f>
        <v>0.14301713566432109</v>
      </c>
      <c r="H67" s="87">
        <f>INDEX(AVA_4!$A:$J,MATCH('2021'!$A67,AVA_4!$A:$A,0),MATCH('2021'!$A$1,AVA_4!$3:$3,0))/(B67/1000)</f>
        <v>0.4343774554115527</v>
      </c>
      <c r="I67" s="89">
        <f>INDEX(AVA_5!$A:$J,MATCH('2021'!$A67,AVA_5!$A:$A,0),MATCH('2021'!$A$1,AVA_5!$3:$3,0))/(B67/1000)</f>
        <v>0.38854864130849898</v>
      </c>
      <c r="J67" s="93">
        <f>INDEX(IRA_1!$A:$J,MATCH('2021'!$A67,IRA_1!$A:$A,0),MATCH('2021'!$A$1,IRA_1!$3:$3,0))/(B67/1000)</f>
        <v>9.2985999629384367E-3</v>
      </c>
      <c r="K67" s="88">
        <f>INDEX(IRA_2!$A:$J,MATCH('2021'!$A67,IRA_2!$A:$A,0),MATCH('2021'!$A$1,IRA_2!$3:$3,0))/(B67/1000)</f>
        <v>4.6492999814692184E-3</v>
      </c>
      <c r="L67" s="15">
        <f>INDEX(IRA_3!$A:$J,MATCH('2021'!$A67,IRA_3!$A:$A,0),MATCH('2021'!$A$1,IRA_3!$3:$3,0))</f>
        <v>0.69071274298056151</v>
      </c>
      <c r="M67" s="96">
        <f>INDEX(IRA_4!$A:$J,MATCH('2021'!$A67,IRA_4!$A:$A,0),MATCH('2021'!$A$1,IRA_4!$3:$3,0))/(B67/1000)</f>
        <v>0.47622115524477565</v>
      </c>
      <c r="N67" s="61">
        <f>INDEX(INV_1!$A:$J,MATCH('2021'!$A67,INV_1!$A:$A,0),MATCH('2021'!$A$1,INV_1!$3:$3,0))</f>
        <v>0.12640240295247343</v>
      </c>
      <c r="O67" s="80">
        <f>INDEX(INV_2!$A:$J,MATCH('2021'!$A67,INV_2!$A:$A,0),MATCH('2021'!$A$1,INV_2!$3:$3,0))/B67*10^6/C67</f>
        <v>0.34843018155671379</v>
      </c>
      <c r="P67" s="87">
        <f>INDEX(INV_3!$A:$J,MATCH('2021'!$A67,INV_3!$A:$A,0),MATCH('2021'!$A$1,INV_3!$3:$3,0))/B67*10^6/C67</f>
        <v>1.2224922144814263</v>
      </c>
      <c r="Q67" s="87">
        <f>INDEX(INV_4!$A:$J,MATCH('2021'!$A67,INV_4!$A:$A,0),MATCH('2021'!$A$1,INV_4!$3:$3,0))/B67*10^3/C67</f>
        <v>0.21144099358496213</v>
      </c>
      <c r="R67" s="34">
        <f>INDEX(INV_5!$A:$J,MATCH('2021'!$A67,INV_5!$A:$A,0),MATCH('2021'!$A$1,INV_5!$3:$3,0))</f>
        <v>0.1137</v>
      </c>
      <c r="S67" s="77">
        <f>INDEX(LUJ_1!$A:$J,MATCH('2021'!$A67,LUJ_1!$A:$A,0),MATCH('2021'!$A$1,LUJ_1!$3:$3,0))</f>
        <v>0.50413113006396593</v>
      </c>
      <c r="T67" s="73">
        <f>INDEX(LUJ_2!$A:$J,MATCH('2021'!$A67,LUJ_2!$A:$A,0),MATCH('2021'!$A$1,LUJ_2!$3:$3,0))</f>
        <v>0.16300000000000001</v>
      </c>
      <c r="U67" s="73">
        <f>INDEX(LUJ_3!$A:$J,MATCH('2021'!$A67,LUJ_3!$A:$A,0),MATCH('2021'!$A$1,LUJ_3!$3:$3,0))</f>
        <v>0.13984712199459626</v>
      </c>
      <c r="V67" s="14">
        <f>INDEX(LUJ_4!$A:$J,MATCH('2021'!$A67,LUJ_4!$A:$A,0),MATCH('2021'!$A$1,LUJ_4!$3:$3,0))</f>
        <v>2</v>
      </c>
      <c r="W67" s="34">
        <f>INDEX(LUJ_5!$A:$J,MATCH('2021'!$A67,LUJ_5!$A:$A,0),MATCH('2021'!$A$1,LUJ_5!$3:$3,0))</f>
        <v>6.7</v>
      </c>
      <c r="X67" s="98">
        <f>1/INDEX(GUL_1!$A:$J,MATCH('2021'!$A67,GUL_1!$A:$A,0),MATCH('2021'!$A$1,GUL_1!$3:$3,0))</f>
        <v>1.3698630136986301E-2</v>
      </c>
      <c r="Y67" s="57">
        <f>INDEX(GUL_2!$A:$J,MATCH('2021'!$A67,GUL_2!$A:$A,0),MATCH('2021'!$A$1,GUL_2!$3:$3,0))</f>
        <v>24.4</v>
      </c>
      <c r="Z67" s="57">
        <f>INDEX(GUL_3!$A:$J,MATCH('2021'!$A67,GUL_3!$A:$A,0),MATCH('2021'!$A$1,GUL_3!$3:$3,0))/(B67/1000)</f>
        <v>0.10626971386215356</v>
      </c>
      <c r="AA67" s="101">
        <f>INDEX(GUL_4!$A:$J,MATCH('2021'!$A67,GUL_4!$A:$A,0),MATCH('2021'!$A$1,GUL_4!$3:$3,0))/B67/C67*10^6</f>
        <v>0.37525196895012869</v>
      </c>
      <c r="AB67" s="73">
        <f>INDEX(GUL_5!$A:$J,MATCH('2021'!$A67,GUL_5!$A:$A,0),MATCH('2021'!$A$1,GUL_5!$3:$3,0))</f>
        <v>8.0081635688722364E-4</v>
      </c>
      <c r="AC67" s="49">
        <f>INDEX(GUL_6!$A:$J,MATCH('2021'!$A67,GUL_6!$A:$A,0),MATCH('2021'!$A$1,GUL_6!$3:$3,0))</f>
        <v>1E-3</v>
      </c>
      <c r="AD67" s="49">
        <f>INDEX(GUL_7!$A:$J,MATCH('2021'!$A67,GUL_7!$A:$A,0),MATCH('2021'!$A$1,GUL_7!$3:$3,0))</f>
        <v>1E-3</v>
      </c>
      <c r="AE67" s="103">
        <f>INDEX(GUL_8!$A:$J,MATCH('2021'!$A67,GUL_8!$A:$A,0),MATCH('2021'!$A$1,GUL_8!$3:$3,0))/(B67/1000)</f>
        <v>9.5642742475938208E-2</v>
      </c>
      <c r="AF67" s="41">
        <f>INDEX(DES_1!$A:$J,MATCH('2021'!$A67,DES_1!$A:$A,0),MATCH('2021'!$A$1,DES_1!$3:$3,0))/(B67/1000)</f>
        <v>1.3283714232769197E-3</v>
      </c>
      <c r="AG67" s="100">
        <f>INDEX(DES_2!$A:$J,MATCH('2021'!$A67,DES_2!$A:$A,0),MATCH('2021'!$A$1,DES_2!$3:$3,0))/(B67/1000)</f>
        <v>0.23578592763165321</v>
      </c>
      <c r="AH67" s="57">
        <f>1/INDEX(DES_3!$A:$J,MATCH('2021'!$A67,DES_3!$A:$A,0),MATCH('2021'!$A$1,DES_3!$3:$3,0))</f>
        <v>8.4388185654008432E-3</v>
      </c>
      <c r="AI67" s="80">
        <f>INDEX(DES_4!$A:$J,MATCH('2021'!$A67,DES_4!$A:$A,0),MATCH('2021'!$A$1,DES_4!$3:$3,0))</f>
        <v>0.89631747938799999</v>
      </c>
      <c r="AJ67" s="110">
        <f>INDEX(DES_5!$A:$J,MATCH('2021'!$A67,DES_5!$A:$A,0),MATCH('2021'!$A$1,DES_5!$3:$3,0))</f>
        <v>0.34122266490100001</v>
      </c>
      <c r="AK67" s="57">
        <v>32</v>
      </c>
    </row>
    <row r="68" spans="1:37" x14ac:dyDescent="0.3">
      <c r="A68" s="29" t="s">
        <v>67</v>
      </c>
      <c r="B68" s="33">
        <f>INDEX(Population!$A:$J,MATCH('2021'!$A68,Population!$A:$A,0),MATCH('2021'!$A$1,Population!$3:$3,0))</f>
        <v>902476</v>
      </c>
      <c r="C68" s="14">
        <f>INDEX(Income!$A:$J,MATCH('2021'!$A68,Income!$A:$A,0),MATCH('2021'!$A$1,Income!$3:$3,0))</f>
        <v>25929</v>
      </c>
      <c r="D68" s="34">
        <f>INDEX(Livable_wage!$A:$J,MATCH('2021'!$A68,Livable_wage!$A:$A,0),MATCH('2021'!$A$1,Livable_wage!$3:$3,0))</f>
        <v>12576</v>
      </c>
      <c r="E68" s="41">
        <f>INDEX(AVA_1!$A:$J,MATCH('2021'!$A68,AVA_1!$A:$A,0),MATCH('2021'!$A$1,AVA_1!$3:$3,0))</f>
        <v>0.34699999999999998</v>
      </c>
      <c r="F68" s="15">
        <f>INDEX(AVA_2!$A:$J,MATCH('2021'!$A68,AVA_2!$A:$A,0),MATCH('2021'!$A$1,AVA_2!$3:$3,0))</f>
        <v>5.4962314511593441E-3</v>
      </c>
      <c r="G68" s="15">
        <f>INDEX(AVA_3!$A:$J,MATCH('2021'!$A68,AVA_3!$A:$A,0),MATCH('2021'!$A$1,AVA_3!$3:$3,0))</f>
        <v>1.874317541006805E-2</v>
      </c>
      <c r="H68" s="87">
        <f>INDEX(AVA_4!$A:$J,MATCH('2021'!$A68,AVA_4!$A:$A,0),MATCH('2021'!$A$1,AVA_4!$3:$3,0))/(B68/1000)</f>
        <v>0.69918756842287222</v>
      </c>
      <c r="I68" s="89">
        <f>INDEX(AVA_5!$A:$J,MATCH('2021'!$A68,AVA_5!$A:$A,0),MATCH('2021'!$A$1,AVA_5!$3:$3,0))/(B68/1000)</f>
        <v>1.7729003319755872</v>
      </c>
      <c r="J68" s="93">
        <f>INDEX(IRA_1!$A:$J,MATCH('2021'!$A68,IRA_1!$A:$A,0),MATCH('2021'!$A$1,IRA_1!$3:$3,0))/(B68/1000)</f>
        <v>2.7701567687118549E-2</v>
      </c>
      <c r="K68" s="88">
        <f>INDEX(IRA_2!$A:$J,MATCH('2021'!$A68,IRA_2!$A:$A,0),MATCH('2021'!$A$1,IRA_2!$3:$3,0))/(B68/1000)</f>
        <v>3.7674132054481224E-2</v>
      </c>
      <c r="L68" s="15">
        <f>INDEX(IRA_3!$A:$J,MATCH('2021'!$A68,IRA_3!$A:$A,0),MATCH('2021'!$A$1,IRA_3!$3:$3,0))</f>
        <v>0.50202611436289957</v>
      </c>
      <c r="M68" s="96">
        <f>INDEX(IRA_4!$A:$J,MATCH('2021'!$A68,IRA_4!$A:$A,0),MATCH('2021'!$A$1,IRA_4!$3:$3,0))/(B68/1000)</f>
        <v>2.4754120885209137</v>
      </c>
      <c r="N68" s="61">
        <f>INDEX(INV_1!$A:$J,MATCH('2021'!$A68,INV_1!$A:$A,0),MATCH('2021'!$A$1,INV_1!$3:$3,0))</f>
        <v>0.11107305467955386</v>
      </c>
      <c r="O68" s="80">
        <f>INDEX(INV_2!$A:$J,MATCH('2021'!$A68,INV_2!$A:$A,0),MATCH('2021'!$A$1,INV_2!$3:$3,0))/B68*10^6/C68</f>
        <v>0.58265734871913588</v>
      </c>
      <c r="P68" s="87">
        <f>INDEX(INV_3!$A:$J,MATCH('2021'!$A68,INV_3!$A:$A,0),MATCH('2021'!$A$1,INV_3!$3:$3,0))/B68*10^6/C68</f>
        <v>2.8334251877959367</v>
      </c>
      <c r="Q68" s="87">
        <f>INDEX(INV_4!$A:$J,MATCH('2021'!$A68,INV_4!$A:$A,0),MATCH('2021'!$A$1,INV_4!$3:$3,0))/B68*10^3/C68</f>
        <v>0.25251642707515071</v>
      </c>
      <c r="R68" s="34">
        <f>INDEX(INV_5!$A:$J,MATCH('2021'!$A68,INV_5!$A:$A,0),MATCH('2021'!$A$1,INV_5!$3:$3,0))</f>
        <v>0.12809999999999999</v>
      </c>
      <c r="S68" s="77">
        <f>INDEX(LUJ_1!$A:$J,MATCH('2021'!$A68,LUJ_1!$A:$A,0),MATCH('2021'!$A$1,LUJ_1!$3:$3,0))</f>
        <v>0.72909698996655514</v>
      </c>
      <c r="T68" s="73">
        <f>INDEX(LUJ_2!$A:$J,MATCH('2021'!$A68,LUJ_2!$A:$A,0),MATCH('2021'!$A$1,LUJ_2!$3:$3,0))</f>
        <v>0.10099999999999999</v>
      </c>
      <c r="U68" s="73">
        <f>INDEX(LUJ_3!$A:$J,MATCH('2021'!$A68,LUJ_3!$A:$A,0),MATCH('2021'!$A$1,LUJ_3!$3:$3,0))</f>
        <v>0.10198445142573119</v>
      </c>
      <c r="V68" s="14">
        <f>INDEX(LUJ_4!$A:$J,MATCH('2021'!$A68,LUJ_4!$A:$A,0),MATCH('2021'!$A$1,LUJ_4!$3:$3,0))</f>
        <v>25</v>
      </c>
      <c r="W68" s="34">
        <f>INDEX(LUJ_5!$A:$J,MATCH('2021'!$A68,LUJ_5!$A:$A,0),MATCH('2021'!$A$1,LUJ_5!$3:$3,0))</f>
        <v>23.7</v>
      </c>
      <c r="X68" s="98">
        <f>1/INDEX(GUL_1!$A:$J,MATCH('2021'!$A68,GUL_1!$A:$A,0),MATCH('2021'!$A$1,GUL_1!$3:$3,0))</f>
        <v>1.3555645926528399E-2</v>
      </c>
      <c r="Y68" s="57">
        <f>INDEX(GUL_2!$A:$J,MATCH('2021'!$A68,GUL_2!$A:$A,0),MATCH('2021'!$A$1,GUL_2!$3:$3,0))</f>
        <v>25.1</v>
      </c>
      <c r="Z68" s="57">
        <f>INDEX(GUL_3!$A:$J,MATCH('2021'!$A68,GUL_3!$A:$A,0),MATCH('2021'!$A$1,GUL_3!$3:$3,0))/(B68/1000)</f>
        <v>0.39114613574211393</v>
      </c>
      <c r="AA68" s="101">
        <f>INDEX(GUL_4!$A:$J,MATCH('2021'!$A68,GUL_4!$A:$A,0),MATCH('2021'!$A$1,GUL_4!$3:$3,0))/B68/C68*10^6</f>
        <v>0.26875296236263618</v>
      </c>
      <c r="AB68" s="73">
        <f>INDEX(GUL_5!$A:$J,MATCH('2021'!$A68,GUL_5!$A:$A,0),MATCH('2021'!$A$1,GUL_5!$3:$3,0))</f>
        <v>1.3569411662477906E-2</v>
      </c>
      <c r="AC68" s="49">
        <f>INDEX(GUL_6!$A:$J,MATCH('2021'!$A68,GUL_6!$A:$A,0),MATCH('2021'!$A$1,GUL_6!$3:$3,0))</f>
        <v>6.6087791839999997E-3</v>
      </c>
      <c r="AD68" s="49">
        <f>INDEX(GUL_7!$A:$J,MATCH('2021'!$A68,GUL_7!$A:$A,0),MATCH('2021'!$A$1,GUL_7!$3:$3,0))</f>
        <v>8.3000000000000004E-2</v>
      </c>
      <c r="AE68" s="103">
        <f>INDEX(GUL_8!$A:$J,MATCH('2021'!$A68,GUL_8!$A:$A,0),MATCH('2021'!$A$1,GUL_8!$3:$3,0))/(B68/1000)</f>
        <v>0.69253919217796378</v>
      </c>
      <c r="AF68" s="41">
        <f>INDEX(DES_1!$A:$J,MATCH('2021'!$A68,DES_1!$A:$A,0),MATCH('2021'!$A$1,DES_1!$3:$3,0))/(B68/1000)</f>
        <v>3.1025755809572775E-2</v>
      </c>
      <c r="AG68" s="100">
        <f>INDEX(DES_2!$A:$J,MATCH('2021'!$A68,DES_2!$A:$A,0),MATCH('2021'!$A$1,DES_2!$3:$3,0))/(B68/1000)</f>
        <v>0.83437121873601072</v>
      </c>
      <c r="AH68" s="57">
        <f>1/INDEX(DES_3!$A:$J,MATCH('2021'!$A68,DES_3!$A:$A,0),MATCH('2021'!$A$1,DES_3!$3:$3,0))</f>
        <v>8.658008658008658E-3</v>
      </c>
      <c r="AI68" s="80">
        <f>INDEX(DES_4!$A:$J,MATCH('2021'!$A68,DES_4!$A:$A,0),MATCH('2021'!$A$1,DES_4!$3:$3,0))</f>
        <v>0.55615159856100005</v>
      </c>
      <c r="AJ68" s="110">
        <f>INDEX(DES_5!$A:$J,MATCH('2021'!$A68,DES_5!$A:$A,0),MATCH('2021'!$A$1,DES_5!$3:$3,0))</f>
        <v>0.121882965993</v>
      </c>
      <c r="AK68" s="57">
        <v>36</v>
      </c>
    </row>
    <row r="69" spans="1:37" x14ac:dyDescent="0.3">
      <c r="A69" s="29" t="s">
        <v>68</v>
      </c>
      <c r="B69" s="33">
        <f>INDEX(Population!$A:$J,MATCH('2021'!$A69,Population!$A:$A,0),MATCH('2021'!$A$1,Population!$3:$3,0))</f>
        <v>2444309</v>
      </c>
      <c r="C69" s="14">
        <f>INDEX(Income!$A:$J,MATCH('2021'!$A69,Income!$A:$A,0),MATCH('2021'!$A$1,Income!$3:$3,0))</f>
        <v>26228</v>
      </c>
      <c r="D69" s="34">
        <f>INDEX(Livable_wage!$A:$J,MATCH('2021'!$A69,Livable_wage!$A:$A,0),MATCH('2021'!$A$1,Livable_wage!$3:$3,0))</f>
        <v>9844</v>
      </c>
      <c r="E69" s="41">
        <f>INDEX(AVA_1!$A:$J,MATCH('2021'!$A69,AVA_1!$A:$A,0),MATCH('2021'!$A$1,AVA_1!$3:$3,0))</f>
        <v>0.36699999999999999</v>
      </c>
      <c r="F69" s="15">
        <f>INDEX(AVA_2!$A:$J,MATCH('2021'!$A69,AVA_2!$A:$A,0),MATCH('2021'!$A$1,AVA_2!$3:$3,0))</f>
        <v>1.166035225084772E-2</v>
      </c>
      <c r="G69" s="15">
        <f>INDEX(AVA_3!$A:$J,MATCH('2021'!$A69,AVA_3!$A:$A,0),MATCH('2021'!$A$1,AVA_3!$3:$3,0))</f>
        <v>1.3622599014250792E-2</v>
      </c>
      <c r="H69" s="87">
        <f>INDEX(AVA_4!$A:$J,MATCH('2021'!$A69,AVA_4!$A:$A,0),MATCH('2021'!$A$1,AVA_4!$3:$3,0))/(B69/1000)</f>
        <v>0.74908696077296277</v>
      </c>
      <c r="I69" s="89">
        <f>INDEX(AVA_5!$A:$J,MATCH('2021'!$A69,AVA_5!$A:$A,0),MATCH('2021'!$A$1,AVA_5!$3:$3,0))/(B69/1000)</f>
        <v>4.4110625947865021</v>
      </c>
      <c r="J69" s="93">
        <f>INDEX(IRA_1!$A:$J,MATCH('2021'!$A69,IRA_1!$A:$A,0),MATCH('2021'!$A$1,IRA_1!$3:$3,0))/(B69/1000)</f>
        <v>3.2729086216186247E-2</v>
      </c>
      <c r="K69" s="88">
        <f>INDEX(IRA_2!$A:$J,MATCH('2021'!$A69,IRA_2!$A:$A,0),MATCH('2021'!$A$1,IRA_2!$3:$3,0))/(B69/1000)</f>
        <v>9.123232782761917E-2</v>
      </c>
      <c r="L69" s="15">
        <f>INDEX(IRA_3!$A:$J,MATCH('2021'!$A69,IRA_3!$A:$A,0),MATCH('2021'!$A$1,IRA_3!$3:$3,0))</f>
        <v>0.38102945937196508</v>
      </c>
      <c r="M69" s="96">
        <f>INDEX(IRA_4!$A:$J,MATCH('2021'!$A69,IRA_4!$A:$A,0),MATCH('2021'!$A$1,IRA_4!$3:$3,0))/(B69/1000)</f>
        <v>3.6705670191452877</v>
      </c>
      <c r="N69" s="61">
        <f>INDEX(INV_1!$A:$J,MATCH('2021'!$A69,INV_1!$A:$A,0),MATCH('2021'!$A$1,INV_1!$3:$3,0))</f>
        <v>8.6313875754242181E-2</v>
      </c>
      <c r="O69" s="80">
        <f>INDEX(INV_2!$A:$J,MATCH('2021'!$A69,INV_2!$A:$A,0),MATCH('2021'!$A$1,INV_2!$3:$3,0))/B69*10^6/C69</f>
        <v>0.54895567185692373</v>
      </c>
      <c r="P69" s="87">
        <f>INDEX(INV_3!$A:$J,MATCH('2021'!$A69,INV_3!$A:$A,0),MATCH('2021'!$A$1,INV_3!$3:$3,0))/B69*10^6/C69</f>
        <v>4.7100783865714124</v>
      </c>
      <c r="Q69" s="87">
        <f>INDEX(INV_4!$A:$J,MATCH('2021'!$A69,INV_4!$A:$A,0),MATCH('2021'!$A$1,INV_4!$3:$3,0))/B69*10^3/C69</f>
        <v>0.29198578765536465</v>
      </c>
      <c r="R69" s="34">
        <f>INDEX(INV_5!$A:$J,MATCH('2021'!$A69,INV_5!$A:$A,0),MATCH('2021'!$A$1,INV_5!$3:$3,0))</f>
        <v>7.4999999999999997E-2</v>
      </c>
      <c r="S69" s="77">
        <f>INDEX(LUJ_1!$A:$J,MATCH('2021'!$A69,LUJ_1!$A:$A,0),MATCH('2021'!$A$1,LUJ_1!$3:$3,0))</f>
        <v>0.81181102362204727</v>
      </c>
      <c r="T69" s="73">
        <f>INDEX(LUJ_2!$A:$J,MATCH('2021'!$A69,LUJ_2!$A:$A,0),MATCH('2021'!$A$1,LUJ_2!$3:$3,0))</f>
        <v>0.22500000000000001</v>
      </c>
      <c r="U69" s="73">
        <f>INDEX(LUJ_3!$A:$J,MATCH('2021'!$A69,LUJ_3!$A:$A,0),MATCH('2021'!$A$1,LUJ_3!$3:$3,0))</f>
        <v>0.45440130054297007</v>
      </c>
      <c r="V69" s="14">
        <f>INDEX(LUJ_4!$A:$J,MATCH('2021'!$A69,LUJ_4!$A:$A,0),MATCH('2021'!$A$1,LUJ_4!$3:$3,0))</f>
        <v>49</v>
      </c>
      <c r="W69" s="34">
        <f>INDEX(LUJ_5!$A:$J,MATCH('2021'!$A69,LUJ_5!$A:$A,0),MATCH('2021'!$A$1,LUJ_5!$3:$3,0))</f>
        <v>35.1</v>
      </c>
      <c r="X69" s="98">
        <f>1/INDEX(GUL_1!$A:$J,MATCH('2021'!$A69,GUL_1!$A:$A,0),MATCH('2021'!$A$1,GUL_1!$3:$3,0))</f>
        <v>1.4475969889982629E-2</v>
      </c>
      <c r="Y69" s="57">
        <f>INDEX(GUL_2!$A:$J,MATCH('2021'!$A69,GUL_2!$A:$A,0),MATCH('2021'!$A$1,GUL_2!$3:$3,0))</f>
        <v>26.200000000000003</v>
      </c>
      <c r="Z69" s="57">
        <f>INDEX(GUL_3!$A:$J,MATCH('2021'!$A69,GUL_3!$A:$A,0),MATCH('2021'!$A$1,GUL_3!$3:$3,0))/(B69/1000)</f>
        <v>0.98760017657342003</v>
      </c>
      <c r="AA69" s="101">
        <f>INDEX(GUL_4!$A:$J,MATCH('2021'!$A69,GUL_4!$A:$A,0),MATCH('2021'!$A$1,GUL_4!$3:$3,0))/B69/C69*10^6</f>
        <v>0.25472717241781007</v>
      </c>
      <c r="AB69" s="73">
        <f>INDEX(GUL_5!$A:$J,MATCH('2021'!$A69,GUL_5!$A:$A,0),MATCH('2021'!$A$1,GUL_5!$3:$3,0))</f>
        <v>1.9891327228376259E-2</v>
      </c>
      <c r="AC69" s="49">
        <f>INDEX(GUL_6!$A:$J,MATCH('2021'!$A69,GUL_6!$A:$A,0),MATCH('2021'!$A$1,GUL_6!$3:$3,0))</f>
        <v>3.0178255516000001E-2</v>
      </c>
      <c r="AD69" s="49">
        <f>INDEX(GUL_7!$A:$J,MATCH('2021'!$A69,GUL_7!$A:$A,0),MATCH('2021'!$A$1,GUL_7!$3:$3,0))</f>
        <v>0.22469999999999998</v>
      </c>
      <c r="AE69" s="103">
        <f>INDEX(GUL_8!$A:$J,MATCH('2021'!$A69,GUL_8!$A:$A,0),MATCH('2021'!$A$1,GUL_8!$3:$3,0))/(B69/1000)</f>
        <v>1.793144811069304</v>
      </c>
      <c r="AF69" s="41">
        <f>INDEX(DES_1!$A:$J,MATCH('2021'!$A69,DES_1!$A:$A,0),MATCH('2021'!$A$1,DES_1!$3:$3,0))/(B69/1000)</f>
        <v>0.1194611646890798</v>
      </c>
      <c r="AG69" s="100">
        <f>INDEX(DES_2!$A:$J,MATCH('2021'!$A69,DES_2!$A:$A,0),MATCH('2021'!$A$1,DES_2!$3:$3,0))/(B69/1000)</f>
        <v>0.45779809344890515</v>
      </c>
      <c r="AH69" s="57">
        <f>1/INDEX(DES_3!$A:$J,MATCH('2021'!$A69,DES_3!$A:$A,0),MATCH('2021'!$A$1,DES_3!$3:$3,0))</f>
        <v>7.8678206136900079E-3</v>
      </c>
      <c r="AI69" s="80">
        <f>INDEX(DES_4!$A:$J,MATCH('2021'!$A69,DES_4!$A:$A,0),MATCH('2021'!$A$1,DES_4!$3:$3,0))</f>
        <v>0.93767883897399995</v>
      </c>
      <c r="AJ69" s="110">
        <f>INDEX(DES_5!$A:$J,MATCH('2021'!$A69,DES_5!$A:$A,0),MATCH('2021'!$A$1,DES_5!$3:$3,0))</f>
        <v>0.54102439863100005</v>
      </c>
      <c r="AK69" s="57">
        <v>41</v>
      </c>
    </row>
    <row r="70" spans="1:37" x14ac:dyDescent="0.3">
      <c r="A70" s="29" t="s">
        <v>69</v>
      </c>
      <c r="B70" s="33">
        <f>INDEX(Population!$A:$J,MATCH('2021'!$A70,Population!$A:$A,0),MATCH('2021'!$A$1,Population!$3:$3,0))</f>
        <v>1026313</v>
      </c>
      <c r="C70" s="14">
        <f>INDEX(Income!$A:$J,MATCH('2021'!$A70,Income!$A:$A,0),MATCH('2021'!$A$1,Income!$3:$3,0))</f>
        <v>32033</v>
      </c>
      <c r="D70" s="34">
        <f>INDEX(Livable_wage!$A:$J,MATCH('2021'!$A70,Livable_wage!$A:$A,0),MATCH('2021'!$A$1,Livable_wage!$3:$3,0))</f>
        <v>12067</v>
      </c>
      <c r="E70" s="41">
        <f>INDEX(AVA_1!$A:$J,MATCH('2021'!$A70,AVA_1!$A:$A,0),MATCH('2021'!$A$1,AVA_1!$3:$3,0))</f>
        <v>0.35299999999999998</v>
      </c>
      <c r="F70" s="15">
        <f>INDEX(AVA_2!$A:$J,MATCH('2021'!$A70,AVA_2!$A:$A,0),MATCH('2021'!$A$1,AVA_2!$3:$3,0))</f>
        <v>1.2621189417109038E-2</v>
      </c>
      <c r="G70" s="15">
        <f>INDEX(AVA_3!$A:$J,MATCH('2021'!$A70,AVA_3!$A:$A,0),MATCH('2021'!$A$1,AVA_3!$3:$3,0))</f>
        <v>0.63775420557694795</v>
      </c>
      <c r="H70" s="87">
        <f>INDEX(AVA_4!$A:$J,MATCH('2021'!$A70,AVA_4!$A:$A,0),MATCH('2021'!$A$1,AVA_4!$3:$3,0))/(B70/1000)</f>
        <v>0.6421043093091483</v>
      </c>
      <c r="I70" s="89">
        <f>INDEX(AVA_5!$A:$J,MATCH('2021'!$A70,AVA_5!$A:$A,0),MATCH('2021'!$A$1,AVA_5!$3:$3,0))/(B70/1000)</f>
        <v>5.4447327472223384</v>
      </c>
      <c r="J70" s="93">
        <f>INDEX(IRA_1!$A:$J,MATCH('2021'!$A70,IRA_1!$A:$A,0),MATCH('2021'!$A$1,IRA_1!$3:$3,0))/(B70/1000)</f>
        <v>3.4102656791836404E-2</v>
      </c>
      <c r="K70" s="88">
        <f>INDEX(IRA_2!$A:$J,MATCH('2021'!$A70,IRA_2!$A:$A,0),MATCH('2021'!$A$1,IRA_2!$3:$3,0))/(B70/1000)</f>
        <v>8.9641269281398553E-2</v>
      </c>
      <c r="L70" s="15">
        <f>INDEX(IRA_3!$A:$J,MATCH('2021'!$A70,IRA_3!$A:$A,0),MATCH('2021'!$A$1,IRA_3!$3:$3,0))</f>
        <v>0.4026515151515152</v>
      </c>
      <c r="M70" s="96">
        <f>INDEX(IRA_4!$A:$J,MATCH('2021'!$A70,IRA_4!$A:$A,0),MATCH('2021'!$A$1,IRA_4!$3:$3,0))/(B70/1000)</f>
        <v>4.5200635673522598</v>
      </c>
      <c r="N70" s="61">
        <f>INDEX(INV_1!$A:$J,MATCH('2021'!$A70,INV_1!$A:$A,0),MATCH('2021'!$A$1,INV_1!$3:$3,0))</f>
        <v>8.0709887389389806E-2</v>
      </c>
      <c r="O70" s="80">
        <f>INDEX(INV_2!$A:$J,MATCH('2021'!$A70,INV_2!$A:$A,0),MATCH('2021'!$A$1,INV_2!$3:$3,0))/B70*10^6/C70</f>
        <v>0.41992984587360643</v>
      </c>
      <c r="P70" s="87">
        <f>INDEX(INV_3!$A:$J,MATCH('2021'!$A70,INV_3!$A:$A,0),MATCH('2021'!$A$1,INV_3!$3:$3,0))/B70*10^6/C70</f>
        <v>5.0439403649356969</v>
      </c>
      <c r="Q70" s="87">
        <f>INDEX(INV_4!$A:$J,MATCH('2021'!$A70,INV_4!$A:$A,0),MATCH('2021'!$A$1,INV_4!$3:$3,0))/B70*10^3/C70</f>
        <v>0.28630091911161987</v>
      </c>
      <c r="R70" s="34">
        <f>INDEX(INV_5!$A:$J,MATCH('2021'!$A70,INV_5!$A:$A,0),MATCH('2021'!$A$1,INV_5!$3:$3,0))</f>
        <v>0.29780000000000001</v>
      </c>
      <c r="S70" s="77">
        <f>INDEX(LUJ_1!$A:$J,MATCH('2021'!$A70,LUJ_1!$A:$A,0),MATCH('2021'!$A$1,LUJ_1!$3:$3,0))</f>
        <v>0.63465741097827488</v>
      </c>
      <c r="T70" s="73">
        <f>INDEX(LUJ_2!$A:$J,MATCH('2021'!$A70,LUJ_2!$A:$A,0),MATCH('2021'!$A$1,LUJ_2!$3:$3,0))</f>
        <v>0.19399999999999998</v>
      </c>
      <c r="U70" s="73">
        <f>INDEX(LUJ_3!$A:$J,MATCH('2021'!$A70,LUJ_3!$A:$A,0),MATCH('2021'!$A$1,LUJ_3!$3:$3,0))</f>
        <v>0.3879214110292476</v>
      </c>
      <c r="V70" s="14">
        <f>INDEX(LUJ_4!$A:$J,MATCH('2021'!$A70,LUJ_4!$A:$A,0),MATCH('2021'!$A$1,LUJ_4!$3:$3,0))</f>
        <v>17</v>
      </c>
      <c r="W70" s="34">
        <f>INDEX(LUJ_5!$A:$J,MATCH('2021'!$A70,LUJ_5!$A:$A,0),MATCH('2021'!$A$1,LUJ_5!$3:$3,0))</f>
        <v>40.299999999999997</v>
      </c>
      <c r="X70" s="98">
        <f>1/INDEX(GUL_1!$A:$J,MATCH('2021'!$A70,GUL_1!$A:$A,0),MATCH('2021'!$A$1,GUL_1!$3:$3,0))</f>
        <v>1.4086491055078181E-2</v>
      </c>
      <c r="Y70" s="57">
        <f>INDEX(GUL_2!$A:$J,MATCH('2021'!$A70,GUL_2!$A:$A,0),MATCH('2021'!$A$1,GUL_2!$3:$3,0))</f>
        <v>26.400000000000002</v>
      </c>
      <c r="Z70" s="57">
        <f>INDEX(GUL_3!$A:$J,MATCH('2021'!$A70,GUL_3!$A:$A,0),MATCH('2021'!$A$1,GUL_3!$3:$3,0))/(B70/1000)</f>
        <v>0.57487335734809941</v>
      </c>
      <c r="AA70" s="101">
        <f>INDEX(GUL_4!$A:$J,MATCH('2021'!$A70,GUL_4!$A:$A,0),MATCH('2021'!$A$1,GUL_4!$3:$3,0))/B70/C70*10^6</f>
        <v>0.52443608291903354</v>
      </c>
      <c r="AB70" s="73">
        <f>INDEX(GUL_5!$A:$J,MATCH('2021'!$A70,GUL_5!$A:$A,0),MATCH('2021'!$A$1,GUL_5!$3:$3,0))</f>
        <v>4.5624136286530385E-2</v>
      </c>
      <c r="AC70" s="49">
        <f>INDEX(GUL_6!$A:$J,MATCH('2021'!$A70,GUL_6!$A:$A,0),MATCH('2021'!$A$1,GUL_6!$3:$3,0))</f>
        <v>5.6705339682999997E-2</v>
      </c>
      <c r="AD70" s="49">
        <f>INDEX(GUL_7!$A:$J,MATCH('2021'!$A70,GUL_7!$A:$A,0),MATCH('2021'!$A$1,GUL_7!$3:$3,0))</f>
        <v>0.183</v>
      </c>
      <c r="AE70" s="103">
        <f>INDEX(GUL_8!$A:$J,MATCH('2021'!$A70,GUL_8!$A:$A,0),MATCH('2021'!$A$1,GUL_8!$3:$3,0))/(B70/1000)</f>
        <v>1.6759019909131034</v>
      </c>
      <c r="AF70" s="41">
        <f>INDEX(DES_1!$A:$J,MATCH('2021'!$A70,DES_1!$A:$A,0),MATCH('2021'!$A$1,DES_1!$3:$3,0))/(B70/1000)</f>
        <v>0.1471286050162085</v>
      </c>
      <c r="AG70" s="100">
        <f>INDEX(DES_2!$A:$J,MATCH('2021'!$A70,DES_2!$A:$A,0),MATCH('2021'!$A$1,DES_2!$3:$3,0))/(B70/1000)</f>
        <v>0.28841104029667358</v>
      </c>
      <c r="AH70" s="57">
        <f>1/INDEX(DES_3!$A:$J,MATCH('2021'!$A70,DES_3!$A:$A,0),MATCH('2021'!$A$1,DES_3!$3:$3,0))</f>
        <v>7.8247261345852897E-3</v>
      </c>
      <c r="AI70" s="80">
        <f>INDEX(DES_4!$A:$J,MATCH('2021'!$A70,DES_4!$A:$A,0),MATCH('2021'!$A$1,DES_4!$3:$3,0))</f>
        <v>0.699178947499</v>
      </c>
      <c r="AJ70" s="110">
        <f>INDEX(DES_5!$A:$J,MATCH('2021'!$A70,DES_5!$A:$A,0),MATCH('2021'!$A$1,DES_5!$3:$3,0))</f>
        <v>0.43239461270500001</v>
      </c>
      <c r="AK70" s="57">
        <v>47</v>
      </c>
    </row>
    <row r="71" spans="1:37" x14ac:dyDescent="0.3">
      <c r="A71" s="29" t="s">
        <v>70</v>
      </c>
      <c r="B71" s="33">
        <f>INDEX(Population!$A:$J,MATCH('2021'!$A71,Population!$A:$A,0),MATCH('2021'!$A$1,Population!$3:$3,0))</f>
        <v>715505</v>
      </c>
      <c r="C71" s="14">
        <f>INDEX(Income!$A:$J,MATCH('2021'!$A71,Income!$A:$A,0),MATCH('2021'!$A$1,Income!$3:$3,0))</f>
        <v>29846</v>
      </c>
      <c r="D71" s="34">
        <f>INDEX(Livable_wage!$A:$J,MATCH('2021'!$A71,Livable_wage!$A:$A,0),MATCH('2021'!$A$1,Livable_wage!$3:$3,0))</f>
        <v>10722</v>
      </c>
      <c r="E71" s="41">
        <f>INDEX(AVA_1!$A:$J,MATCH('2021'!$A71,AVA_1!$A:$A,0),MATCH('2021'!$A$1,AVA_1!$3:$3,0))</f>
        <v>0.36399999999999999</v>
      </c>
      <c r="F71" s="15">
        <f>INDEX(AVA_2!$A:$J,MATCH('2021'!$A71,AVA_2!$A:$A,0),MATCH('2021'!$A$1,AVA_2!$3:$3,0))</f>
        <v>1.2531307535371294E-2</v>
      </c>
      <c r="G71" s="15">
        <f>INDEX(AVA_3!$A:$J,MATCH('2021'!$A71,AVA_3!$A:$A,0),MATCH('2021'!$A$1,AVA_3!$3:$3,0))</f>
        <v>3.3029237917339208E-2</v>
      </c>
      <c r="H71" s="87">
        <f>INDEX(AVA_4!$A:$J,MATCH('2021'!$A71,AVA_4!$A:$A,0),MATCH('2021'!$A$1,AVA_4!$3:$3,0))/(B71/1000)</f>
        <v>0.80642343519612025</v>
      </c>
      <c r="I71" s="89">
        <f>INDEX(AVA_5!$A:$J,MATCH('2021'!$A71,AVA_5!$A:$A,0),MATCH('2021'!$A$1,AVA_5!$3:$3,0))/(B71/1000)</f>
        <v>3.6016519800700206</v>
      </c>
      <c r="J71" s="93">
        <f>INDEX(IRA_1!$A:$J,MATCH('2021'!$A71,IRA_1!$A:$A,0),MATCH('2021'!$A$1,IRA_1!$3:$3,0))/(B71/1000)</f>
        <v>4.1928428173108503E-2</v>
      </c>
      <c r="K71" s="88">
        <f>INDEX(IRA_2!$A:$J,MATCH('2021'!$A71,IRA_2!$A:$A,0),MATCH('2021'!$A$1,IRA_2!$3:$3,0))/(B71/1000)</f>
        <v>8.8049699163527853E-2</v>
      </c>
      <c r="L71" s="15">
        <f>INDEX(IRA_3!$A:$J,MATCH('2021'!$A71,IRA_3!$A:$A,0),MATCH('2021'!$A$1,IRA_3!$3:$3,0))</f>
        <v>0.40691823899371071</v>
      </c>
      <c r="M71" s="96">
        <f>INDEX(IRA_4!$A:$J,MATCH('2021'!$A71,IRA_4!$A:$A,0),MATCH('2021'!$A$1,IRA_4!$3:$3,0))/(B71/1000)</f>
        <v>3.9370794054548885</v>
      </c>
      <c r="N71" s="61">
        <f>INDEX(INV_1!$A:$J,MATCH('2021'!$A71,INV_1!$A:$A,0),MATCH('2021'!$A$1,INV_1!$3:$3,0))</f>
        <v>7.9648474381563958E-2</v>
      </c>
      <c r="O71" s="80">
        <f>INDEX(INV_2!$A:$J,MATCH('2021'!$A71,INV_2!$A:$A,0),MATCH('2021'!$A$1,INV_2!$3:$3,0))/B71*10^6/C71</f>
        <v>0.67433340267159059</v>
      </c>
      <c r="P71" s="87">
        <f>INDEX(INV_3!$A:$J,MATCH('2021'!$A71,INV_3!$A:$A,0),MATCH('2021'!$A$1,INV_3!$3:$3,0))/B71*10^6/C71</f>
        <v>4.5790294052887202</v>
      </c>
      <c r="Q71" s="87">
        <f>INDEX(INV_4!$A:$J,MATCH('2021'!$A71,INV_4!$A:$A,0),MATCH('2021'!$A$1,INV_4!$3:$3,0))/B71*10^3/C71</f>
        <v>0.26974753399037038</v>
      </c>
      <c r="R71" s="34">
        <f>INDEX(INV_5!$A:$J,MATCH('2021'!$A71,INV_5!$A:$A,0),MATCH('2021'!$A$1,INV_5!$3:$3,0))</f>
        <v>5.0500000000000003E-2</v>
      </c>
      <c r="S71" s="77">
        <f>INDEX(LUJ_1!$A:$J,MATCH('2021'!$A71,LUJ_1!$A:$A,0),MATCH('2021'!$A$1,LUJ_1!$3:$3,0))</f>
        <v>0.73955495004541327</v>
      </c>
      <c r="T71" s="73">
        <f>INDEX(LUJ_2!$A:$J,MATCH('2021'!$A71,LUJ_2!$A:$A,0),MATCH('2021'!$A$1,LUJ_2!$3:$3,0))</f>
        <v>0.183</v>
      </c>
      <c r="U71" s="73">
        <f>INDEX(LUJ_3!$A:$J,MATCH('2021'!$A71,LUJ_3!$A:$A,0),MATCH('2021'!$A$1,LUJ_3!$3:$3,0))</f>
        <v>0.45357543991014604</v>
      </c>
      <c r="V71" s="14">
        <f>INDEX(LUJ_4!$A:$J,MATCH('2021'!$A71,LUJ_4!$A:$A,0),MATCH('2021'!$A$1,LUJ_4!$3:$3,0))</f>
        <v>7</v>
      </c>
      <c r="W71" s="34">
        <f>INDEX(LUJ_5!$A:$J,MATCH('2021'!$A71,LUJ_5!$A:$A,0),MATCH('2021'!$A$1,LUJ_5!$3:$3,0))</f>
        <v>29.4</v>
      </c>
      <c r="X71" s="98">
        <f>1/INDEX(GUL_1!$A:$J,MATCH('2021'!$A71,GUL_1!$A:$A,0),MATCH('2021'!$A$1,GUL_1!$3:$3,0))</f>
        <v>1.4499057561258518E-2</v>
      </c>
      <c r="Y71" s="57">
        <f>INDEX(GUL_2!$A:$J,MATCH('2021'!$A71,GUL_2!$A:$A,0),MATCH('2021'!$A$1,GUL_2!$3:$3,0))</f>
        <v>27.800000000000004</v>
      </c>
      <c r="Z71" s="57">
        <f>INDEX(GUL_3!$A:$J,MATCH('2021'!$A71,GUL_3!$A:$A,0),MATCH('2021'!$A$1,GUL_3!$3:$3,0))/(B71/1000)</f>
        <v>0.91264211990132849</v>
      </c>
      <c r="AA71" s="101">
        <f>INDEX(GUL_4!$A:$J,MATCH('2021'!$A71,GUL_4!$A:$A,0),MATCH('2021'!$A$1,GUL_4!$3:$3,0))/B71/C71*10^6</f>
        <v>0.20725815163382755</v>
      </c>
      <c r="AB71" s="73">
        <f>INDEX(GUL_5!$A:$J,MATCH('2021'!$A71,GUL_5!$A:$A,0),MATCH('2021'!$A$1,GUL_5!$3:$3,0))</f>
        <v>3.3054065493182183E-2</v>
      </c>
      <c r="AC71" s="49">
        <f>INDEX(GUL_6!$A:$J,MATCH('2021'!$A71,GUL_6!$A:$A,0),MATCH('2021'!$A$1,GUL_6!$3:$3,0))</f>
        <v>4.8296343362999997E-2</v>
      </c>
      <c r="AD71" s="49">
        <f>INDEX(GUL_7!$A:$J,MATCH('2021'!$A71,GUL_7!$A:$A,0),MATCH('2021'!$A$1,GUL_7!$3:$3,0))</f>
        <v>0.1852</v>
      </c>
      <c r="AE71" s="103">
        <f>INDEX(GUL_8!$A:$J,MATCH('2021'!$A71,GUL_8!$A:$A,0),MATCH('2021'!$A$1,GUL_8!$3:$3,0))/(B71/1000)</f>
        <v>1.2620456880105659</v>
      </c>
      <c r="AF71" s="41">
        <f>INDEX(DES_1!$A:$J,MATCH('2021'!$A71,DES_1!$A:$A,0),MATCH('2021'!$A$1,DES_1!$3:$3,0))/(B71/1000)</f>
        <v>0.10202584188789736</v>
      </c>
      <c r="AG71" s="100">
        <f>INDEX(DES_2!$A:$J,MATCH('2021'!$A71,DES_2!$A:$A,0),MATCH('2021'!$A$1,DES_2!$3:$3,0))/(B71/1000)</f>
        <v>0.33822265392974193</v>
      </c>
      <c r="AH71" s="57">
        <f>1/INDEX(DES_3!$A:$J,MATCH('2021'!$A71,DES_3!$A:$A,0),MATCH('2021'!$A$1,DES_3!$3:$3,0))</f>
        <v>7.7339520494972922E-3</v>
      </c>
      <c r="AI71" s="80">
        <f>INDEX(DES_4!$A:$J,MATCH('2021'!$A71,DES_4!$A:$A,0),MATCH('2021'!$A$1,DES_4!$3:$3,0))</f>
        <v>0.61248238125199994</v>
      </c>
      <c r="AJ71" s="110">
        <f>INDEX(DES_5!$A:$J,MATCH('2021'!$A71,DES_5!$A:$A,0),MATCH('2021'!$A$1,DES_5!$3:$3,0))</f>
        <v>0.33973650028199998</v>
      </c>
      <c r="AK71" s="57">
        <v>51</v>
      </c>
    </row>
    <row r="72" spans="1:37" x14ac:dyDescent="0.3">
      <c r="A72" s="29" t="s">
        <v>71</v>
      </c>
      <c r="B72" s="33">
        <f>INDEX(Population!$A:$J,MATCH('2021'!$A72,Population!$A:$A,0),MATCH('2021'!$A$1,Population!$3:$3,0))</f>
        <v>536924</v>
      </c>
      <c r="C72" s="14">
        <f>INDEX(Income!$A:$J,MATCH('2021'!$A72,Income!$A:$A,0),MATCH('2021'!$A$1,Income!$3:$3,0))</f>
        <v>35373</v>
      </c>
      <c r="D72" s="34">
        <f>INDEX(Livable_wage!$A:$J,MATCH('2021'!$A72,Livable_wage!$A:$A,0),MATCH('2021'!$A$1,Livable_wage!$3:$3,0))</f>
        <v>14467</v>
      </c>
      <c r="E72" s="41">
        <f>INDEX(AVA_1!$A:$J,MATCH('2021'!$A72,AVA_1!$A:$A,0),MATCH('2021'!$A$1,AVA_1!$3:$3,0))</f>
        <v>0.34300000000000003</v>
      </c>
      <c r="F72" s="15">
        <f>INDEX(AVA_2!$A:$J,MATCH('2021'!$A72,AVA_2!$A:$A,0),MATCH('2021'!$A$1,AVA_2!$3:$3,0))</f>
        <v>1.0455846585848793E-2</v>
      </c>
      <c r="G72" s="15">
        <f>INDEX(AVA_3!$A:$J,MATCH('2021'!$A72,AVA_3!$A:$A,0),MATCH('2021'!$A$1,AVA_3!$3:$3,0))</f>
        <v>5.064539880484103E-3</v>
      </c>
      <c r="H72" s="87">
        <f>INDEX(AVA_4!$A:$J,MATCH('2021'!$A72,AVA_4!$A:$A,0),MATCH('2021'!$A$1,AVA_4!$3:$3,0))/(B72/1000)</f>
        <v>0.86976927833361894</v>
      </c>
      <c r="I72" s="89">
        <f>INDEX(AVA_5!$A:$J,MATCH('2021'!$A72,AVA_5!$A:$A,0),MATCH('2021'!$A$1,AVA_5!$3:$3,0))/(B72/1000)</f>
        <v>10.899121663401152</v>
      </c>
      <c r="J72" s="93">
        <f>INDEX(IRA_1!$A:$J,MATCH('2021'!$A72,IRA_1!$A:$A,0),MATCH('2021'!$A$1,IRA_1!$3:$3,0))/(B72/1000)</f>
        <v>0.1098851979051039</v>
      </c>
      <c r="K72" s="88">
        <f>INDEX(IRA_2!$A:$J,MATCH('2021'!$A72,IRA_2!$A:$A,0),MATCH('2021'!$A$1,IRA_2!$3:$3,0))/(B72/1000)</f>
        <v>0.18810855912568633</v>
      </c>
      <c r="L72" s="15">
        <f>INDEX(IRA_3!$A:$J,MATCH('2021'!$A72,IRA_3!$A:$A,0),MATCH('2021'!$A$1,IRA_3!$3:$3,0))</f>
        <v>0.33255418614534638</v>
      </c>
      <c r="M72" s="96">
        <f>INDEX(IRA_4!$A:$J,MATCH('2021'!$A72,IRA_4!$A:$A,0),MATCH('2021'!$A$1,IRA_4!$3:$3,0))/(B72/1000)</f>
        <v>7.3846577914192704</v>
      </c>
      <c r="N72" s="61">
        <f>INDEX(INV_1!$A:$J,MATCH('2021'!$A72,INV_1!$A:$A,0),MATCH('2021'!$A$1,INV_1!$3:$3,0))</f>
        <v>6.1142886010826673E-2</v>
      </c>
      <c r="O72" s="80">
        <f>INDEX(INV_2!$A:$J,MATCH('2021'!$A72,INV_2!$A:$A,0),MATCH('2021'!$A$1,INV_2!$3:$3,0))/B72*10^6/C72</f>
        <v>0.42407815638780888</v>
      </c>
      <c r="P72" s="87">
        <f>INDEX(INV_3!$A:$J,MATCH('2021'!$A72,INV_3!$A:$A,0),MATCH('2021'!$A$1,INV_3!$3:$3,0))/B72*10^6/C72</f>
        <v>5.5851189061569029</v>
      </c>
      <c r="Q72" s="87">
        <f>INDEX(INV_4!$A:$J,MATCH('2021'!$A72,INV_4!$A:$A,0),MATCH('2021'!$A$1,INV_4!$3:$3,0))/B72*10^3/C72</f>
        <v>0.33970326348547913</v>
      </c>
      <c r="R72" s="34">
        <f>INDEX(INV_5!$A:$J,MATCH('2021'!$A72,INV_5!$A:$A,0),MATCH('2021'!$A$1,INV_5!$3:$3,0))</f>
        <v>8.6599999999999996E-2</v>
      </c>
      <c r="S72" s="77">
        <f>INDEX(LUJ_1!$A:$J,MATCH('2021'!$A72,LUJ_1!$A:$A,0),MATCH('2021'!$A$1,LUJ_1!$3:$3,0))</f>
        <v>0.69380347420274824</v>
      </c>
      <c r="T72" s="73">
        <f>INDEX(LUJ_2!$A:$J,MATCH('2021'!$A72,LUJ_2!$A:$A,0),MATCH('2021'!$A$1,LUJ_2!$3:$3,0))</f>
        <v>0.254</v>
      </c>
      <c r="U72" s="73">
        <f>INDEX(LUJ_3!$A:$J,MATCH('2021'!$A72,LUJ_3!$A:$A,0),MATCH('2021'!$A$1,LUJ_3!$3:$3,0))</f>
        <v>0.37781225756400311</v>
      </c>
      <c r="V72" s="14">
        <f>INDEX(LUJ_4!$A:$J,MATCH('2021'!$A72,LUJ_4!$A:$A,0),MATCH('2021'!$A$1,LUJ_4!$3:$3,0))</f>
        <v>21</v>
      </c>
      <c r="W72" s="34">
        <f>INDEX(LUJ_5!$A:$J,MATCH('2021'!$A72,LUJ_5!$A:$A,0),MATCH('2021'!$A$1,LUJ_5!$3:$3,0))</f>
        <v>30.9</v>
      </c>
      <c r="X72" s="98">
        <f>1/INDEX(GUL_1!$A:$J,MATCH('2021'!$A72,GUL_1!$A:$A,0),MATCH('2021'!$A$1,GUL_1!$3:$3,0))</f>
        <v>1.4856633486851879E-2</v>
      </c>
      <c r="Y72" s="57">
        <f>INDEX(GUL_2!$A:$J,MATCH('2021'!$A72,GUL_2!$A:$A,0),MATCH('2021'!$A$1,GUL_2!$3:$3,0))</f>
        <v>25.8</v>
      </c>
      <c r="Z72" s="57">
        <f>INDEX(GUL_3!$A:$J,MATCH('2021'!$A72,GUL_3!$A:$A,0),MATCH('2021'!$A$1,GUL_3!$3:$3,0))/(B72/1000)</f>
        <v>1.082089830218057</v>
      </c>
      <c r="AA72" s="101">
        <f>INDEX(GUL_4!$A:$J,MATCH('2021'!$A72,GUL_4!$A:$A,0),MATCH('2021'!$A$1,GUL_4!$3:$3,0))/B72/C72*10^6</f>
        <v>0.35293669822167018</v>
      </c>
      <c r="AB72" s="73">
        <f>INDEX(GUL_5!$A:$J,MATCH('2021'!$A72,GUL_5!$A:$A,0),MATCH('2021'!$A$1,GUL_5!$3:$3,0))</f>
        <v>4.355248148849198E-2</v>
      </c>
      <c r="AC72" s="49">
        <f>INDEX(GUL_6!$A:$J,MATCH('2021'!$A72,GUL_6!$A:$A,0),MATCH('2021'!$A$1,GUL_6!$3:$3,0))</f>
        <v>5.8047318451000002E-2</v>
      </c>
      <c r="AD72" s="49">
        <f>INDEX(GUL_7!$A:$J,MATCH('2021'!$A72,GUL_7!$A:$A,0),MATCH('2021'!$A$1,GUL_7!$3:$3,0))</f>
        <v>0.152</v>
      </c>
      <c r="AE72" s="103">
        <f>INDEX(GUL_8!$A:$J,MATCH('2021'!$A72,GUL_8!$A:$A,0),MATCH('2021'!$A$1,GUL_8!$3:$3,0))/(B72/1000)</f>
        <v>3.616899225961216</v>
      </c>
      <c r="AF72" s="41">
        <f>INDEX(DES_1!$A:$J,MATCH('2021'!$A72,DES_1!$A:$A,0),MATCH('2021'!$A$1,DES_1!$3:$3,0))/(B72/1000)</f>
        <v>0.1005728929978917</v>
      </c>
      <c r="AG72" s="100">
        <f>INDEX(DES_2!$A:$J,MATCH('2021'!$A72,DES_2!$A:$A,0),MATCH('2021'!$A$1,DES_2!$3:$3,0))/(B72/1000)</f>
        <v>0.39856665002868191</v>
      </c>
      <c r="AH72" s="57">
        <f>1/INDEX(DES_3!$A:$J,MATCH('2021'!$A72,DES_3!$A:$A,0),MATCH('2021'!$A$1,DES_3!$3:$3,0))</f>
        <v>8.0385852090032149E-3</v>
      </c>
      <c r="AI72" s="80">
        <f>INDEX(DES_4!$A:$J,MATCH('2021'!$A72,DES_4!$A:$A,0),MATCH('2021'!$A$1,DES_4!$3:$3,0))</f>
        <v>0.59281208020100007</v>
      </c>
      <c r="AJ72" s="110">
        <f>INDEX(DES_5!$A:$J,MATCH('2021'!$A72,DES_5!$A:$A,0),MATCH('2021'!$A$1,DES_5!$3:$3,0))</f>
        <v>0.40215440226499999</v>
      </c>
      <c r="AK72" s="57">
        <v>83</v>
      </c>
    </row>
    <row r="73" spans="1:37" x14ac:dyDescent="0.3">
      <c r="A73" s="29" t="s">
        <v>72</v>
      </c>
      <c r="B73" s="33">
        <f>INDEX(Population!$A:$J,MATCH('2021'!$A73,Population!$A:$A,0),MATCH('2021'!$A$1,Population!$3:$3,0))</f>
        <v>2372103</v>
      </c>
      <c r="C73" s="14">
        <f>INDEX(Income!$A:$J,MATCH('2021'!$A73,Income!$A:$A,0),MATCH('2021'!$A$1,Income!$3:$3,0))</f>
        <v>30347</v>
      </c>
      <c r="D73" s="34">
        <f>INDEX(Livable_wage!$A:$J,MATCH('2021'!$A73,Livable_wage!$A:$A,0),MATCH('2021'!$A$1,Livable_wage!$3:$3,0))</f>
        <v>12243</v>
      </c>
      <c r="E73" s="41">
        <f>INDEX(AVA_1!$A:$J,MATCH('2021'!$A73,AVA_1!$A:$A,0),MATCH('2021'!$A$1,AVA_1!$3:$3,0))</f>
        <v>0.36599999999999999</v>
      </c>
      <c r="F73" s="15">
        <f>INDEX(AVA_2!$A:$J,MATCH('2021'!$A73,AVA_2!$A:$A,0),MATCH('2021'!$A$1,AVA_2!$3:$3,0))</f>
        <v>9.3011684592876984E-3</v>
      </c>
      <c r="G73" s="15">
        <f>INDEX(AVA_3!$A:$J,MATCH('2021'!$A73,AVA_3!$A:$A,0),MATCH('2021'!$A$1,AVA_3!$3:$3,0))</f>
        <v>3.2320638119620042E-2</v>
      </c>
      <c r="H73" s="87">
        <f>INDEX(AVA_4!$A:$J,MATCH('2021'!$A73,AVA_4!$A:$A,0),MATCH('2021'!$A$1,AVA_4!$3:$3,0))/(B73/1000)</f>
        <v>0.59019359614654165</v>
      </c>
      <c r="I73" s="89">
        <f>INDEX(AVA_5!$A:$J,MATCH('2021'!$A73,AVA_5!$A:$A,0),MATCH('2021'!$A$1,AVA_5!$3:$3,0))/(B73/1000)</f>
        <v>6.6594915988049417</v>
      </c>
      <c r="J73" s="93">
        <f>INDEX(IRA_1!$A:$J,MATCH('2021'!$A73,IRA_1!$A:$A,0),MATCH('2021'!$A$1,IRA_1!$3:$3,0))/(B73/1000)</f>
        <v>9.780351021856977E-2</v>
      </c>
      <c r="K73" s="88">
        <f>INDEX(IRA_2!$A:$J,MATCH('2021'!$A73,IRA_2!$A:$A,0),MATCH('2021'!$A$1,IRA_2!$3:$3,0))/(B73/1000)</f>
        <v>0.27275375479058034</v>
      </c>
      <c r="L73" s="15">
        <f>INDEX(IRA_3!$A:$J,MATCH('2021'!$A73,IRA_3!$A:$A,0),MATCH('2021'!$A$1,IRA_3!$3:$3,0))</f>
        <v>0.3502893856528434</v>
      </c>
      <c r="M73" s="96">
        <f>INDEX(IRA_4!$A:$J,MATCH('2021'!$A73,IRA_4!$A:$A,0),MATCH('2021'!$A$1,IRA_4!$3:$3,0))/(B73/1000)</f>
        <v>5.5452904026511494</v>
      </c>
      <c r="N73" s="61">
        <f>INDEX(INV_1!$A:$J,MATCH('2021'!$A73,INV_1!$A:$A,0),MATCH('2021'!$A$1,INV_1!$3:$3,0))</f>
        <v>9.672639078766776E-2</v>
      </c>
      <c r="O73" s="80">
        <f>INDEX(INV_2!$A:$J,MATCH('2021'!$A73,INV_2!$A:$A,0),MATCH('2021'!$A$1,INV_2!$3:$3,0))/B73*10^6/C73</f>
        <v>0.2980831206076574</v>
      </c>
      <c r="P73" s="87">
        <f>INDEX(INV_3!$A:$J,MATCH('2021'!$A73,INV_3!$A:$A,0),MATCH('2021'!$A$1,INV_3!$3:$3,0))/B73*10^6/C73</f>
        <v>5.8776813159398094</v>
      </c>
      <c r="Q73" s="87">
        <f>INDEX(INV_4!$A:$J,MATCH('2021'!$A73,INV_4!$A:$A,0),MATCH('2021'!$A$1,INV_4!$3:$3,0))/B73*10^3/C73</f>
        <v>0.26340077576275789</v>
      </c>
      <c r="R73" s="34">
        <f>INDEX(INV_5!$A:$J,MATCH('2021'!$A73,INV_5!$A:$A,0),MATCH('2021'!$A$1,INV_5!$3:$3,0))</f>
        <v>0.12540000000000001</v>
      </c>
      <c r="S73" s="77">
        <f>INDEX(LUJ_1!$A:$J,MATCH('2021'!$A73,LUJ_1!$A:$A,0),MATCH('2021'!$A$1,LUJ_1!$3:$3,0))</f>
        <v>0.70346256288842857</v>
      </c>
      <c r="T73" s="73">
        <f>INDEX(LUJ_2!$A:$J,MATCH('2021'!$A73,LUJ_2!$A:$A,0),MATCH('2021'!$A$1,LUJ_2!$3:$3,0))</f>
        <v>0.3</v>
      </c>
      <c r="U73" s="73">
        <f>INDEX(LUJ_3!$A:$J,MATCH('2021'!$A73,LUJ_3!$A:$A,0),MATCH('2021'!$A$1,LUJ_3!$3:$3,0))</f>
        <v>0.52528629690080086</v>
      </c>
      <c r="V73" s="14">
        <f>INDEX(LUJ_4!$A:$J,MATCH('2021'!$A73,LUJ_4!$A:$A,0),MATCH('2021'!$A$1,LUJ_4!$3:$3,0))</f>
        <v>104</v>
      </c>
      <c r="W73" s="34">
        <f>INDEX(LUJ_5!$A:$J,MATCH('2021'!$A73,LUJ_5!$A:$A,0),MATCH('2021'!$A$1,LUJ_5!$3:$3,0))</f>
        <v>82.9</v>
      </c>
      <c r="X73" s="98">
        <f>1/INDEX(GUL_1!$A:$J,MATCH('2021'!$A73,GUL_1!$A:$A,0),MATCH('2021'!$A$1,GUL_1!$3:$3,0))</f>
        <v>1.4970059880239521E-2</v>
      </c>
      <c r="Y73" s="57">
        <f>INDEX(GUL_2!$A:$J,MATCH('2021'!$A73,GUL_2!$A:$A,0),MATCH('2021'!$A$1,GUL_2!$3:$3,0))</f>
        <v>24.8</v>
      </c>
      <c r="Z73" s="57">
        <f>INDEX(GUL_3!$A:$J,MATCH('2021'!$A73,GUL_3!$A:$A,0),MATCH('2021'!$A$1,GUL_3!$3:$3,0))/(B73/1000)</f>
        <v>0.78242808174855816</v>
      </c>
      <c r="AA73" s="101">
        <f>INDEX(GUL_4!$A:$J,MATCH('2021'!$A73,GUL_4!$A:$A,0),MATCH('2021'!$A$1,GUL_4!$3:$3,0))/B73/C73*10^6</f>
        <v>0.27101010138180098</v>
      </c>
      <c r="AB73" s="73">
        <f>INDEX(GUL_5!$A:$J,MATCH('2021'!$A73,GUL_5!$A:$A,0),MATCH('2021'!$A$1,GUL_5!$3:$3,0))</f>
        <v>3.229128444227726E-2</v>
      </c>
      <c r="AC73" s="49">
        <f>INDEX(GUL_6!$A:$J,MATCH('2021'!$A73,GUL_6!$A:$A,0),MATCH('2021'!$A$1,GUL_6!$3:$3,0))</f>
        <v>3.5201739348E-2</v>
      </c>
      <c r="AD73" s="49">
        <f>INDEX(GUL_7!$A:$J,MATCH('2021'!$A73,GUL_7!$A:$A,0),MATCH('2021'!$A$1,GUL_7!$3:$3,0))</f>
        <v>0.20069999999999999</v>
      </c>
      <c r="AE73" s="103">
        <f>INDEX(GUL_8!$A:$J,MATCH('2021'!$A73,GUL_8!$A:$A,0),MATCH('2021'!$A$1,GUL_8!$3:$3,0))/(B73/1000)</f>
        <v>3.2637705866903755</v>
      </c>
      <c r="AF73" s="41">
        <f>INDEX(DES_1!$A:$J,MATCH('2021'!$A73,DES_1!$A:$A,0),MATCH('2021'!$A$1,DES_1!$3:$3,0))/(B73/1000)</f>
        <v>0.1353229602593142</v>
      </c>
      <c r="AG73" s="100">
        <f>INDEX(DES_2!$A:$J,MATCH('2021'!$A73,DES_2!$A:$A,0),MATCH('2021'!$A$1,DES_2!$3:$3,0))/(B73/1000)</f>
        <v>0.58724262816580897</v>
      </c>
      <c r="AH73" s="57">
        <f>1/INDEX(DES_3!$A:$J,MATCH('2021'!$A73,DES_3!$A:$A,0),MATCH('2021'!$A$1,DES_3!$3:$3,0))</f>
        <v>7.1890726096333572E-3</v>
      </c>
      <c r="AI73" s="80">
        <f>INDEX(DES_4!$A:$J,MATCH('2021'!$A73,DES_4!$A:$A,0),MATCH('2021'!$A$1,DES_4!$3:$3,0))</f>
        <v>0.92423840726399997</v>
      </c>
      <c r="AJ73" s="110">
        <f>INDEX(DES_5!$A:$J,MATCH('2021'!$A73,DES_5!$A:$A,0),MATCH('2021'!$A$1,DES_5!$3:$3,0))</f>
        <v>0.70064515435700003</v>
      </c>
      <c r="AK73" s="57">
        <v>82</v>
      </c>
    </row>
    <row r="74" spans="1:37" x14ac:dyDescent="0.3">
      <c r="A74" s="29" t="s">
        <v>73</v>
      </c>
      <c r="B74" s="33">
        <f>INDEX(Population!$A:$J,MATCH('2021'!$A74,Population!$A:$A,0),MATCH('2021'!$A$1,Population!$3:$3,0))</f>
        <v>768631</v>
      </c>
      <c r="C74" s="14">
        <f>INDEX(Income!$A:$J,MATCH('2021'!$A74,Income!$A:$A,0),MATCH('2021'!$A$1,Income!$3:$3,0))</f>
        <v>39626</v>
      </c>
      <c r="D74" s="34">
        <f>INDEX(Livable_wage!$A:$J,MATCH('2021'!$A74,Livable_wage!$A:$A,0),MATCH('2021'!$A$1,Livable_wage!$3:$3,0))</f>
        <v>14017</v>
      </c>
      <c r="E74" s="41">
        <f>INDEX(AVA_1!$A:$J,MATCH('2021'!$A74,AVA_1!$A:$A,0),MATCH('2021'!$A$1,AVA_1!$3:$3,0))</f>
        <v>0.39200000000000002</v>
      </c>
      <c r="F74" s="15">
        <f>INDEX(AVA_2!$A:$J,MATCH('2021'!$A74,AVA_2!$A:$A,0),MATCH('2021'!$A$1,AVA_2!$3:$3,0))</f>
        <v>1.1739294303113323E-2</v>
      </c>
      <c r="G74" s="15">
        <f>INDEX(AVA_3!$A:$J,MATCH('2021'!$A74,AVA_3!$A:$A,0),MATCH('2021'!$A$1,AVA_3!$3:$3,0))</f>
        <v>2.5802807957538672E-3</v>
      </c>
      <c r="H74" s="87">
        <f>INDEX(AVA_4!$A:$J,MATCH('2021'!$A74,AVA_4!$A:$A,0),MATCH('2021'!$A$1,AVA_4!$3:$3,0))/(B74/1000)</f>
        <v>0.61537981163913502</v>
      </c>
      <c r="I74" s="89">
        <f>INDEX(AVA_5!$A:$J,MATCH('2021'!$A74,AVA_5!$A:$A,0),MATCH('2021'!$A$1,AVA_5!$3:$3,0))/(B74/1000)</f>
        <v>9.1994728289647441</v>
      </c>
      <c r="J74" s="93">
        <f>INDEX(IRA_1!$A:$J,MATCH('2021'!$A74,IRA_1!$A:$A,0),MATCH('2021'!$A$1,IRA_1!$3:$3,0))/(B74/1000)</f>
        <v>0.14441259850305282</v>
      </c>
      <c r="K74" s="88">
        <f>INDEX(IRA_2!$A:$J,MATCH('2021'!$A74,IRA_2!$A:$A,0),MATCH('2021'!$A$1,IRA_2!$3:$3,0))/(B74/1000)</f>
        <v>0.27451403859589324</v>
      </c>
      <c r="L74" s="15">
        <f>INDEX(IRA_3!$A:$J,MATCH('2021'!$A74,IRA_3!$A:$A,0),MATCH('2021'!$A$1,IRA_3!$3:$3,0))</f>
        <v>0.30095582536812193</v>
      </c>
      <c r="M74" s="96">
        <f>INDEX(IRA_4!$A:$J,MATCH('2021'!$A74,IRA_4!$A:$A,0),MATCH('2021'!$A$1,IRA_4!$3:$3,0))/(B74/1000)</f>
        <v>7.5680007702005252</v>
      </c>
      <c r="N74" s="61">
        <f>INDEX(INV_1!$A:$J,MATCH('2021'!$A74,INV_1!$A:$A,0),MATCH('2021'!$A$1,INV_1!$3:$3,0))</f>
        <v>5.8520197730155932E-2</v>
      </c>
      <c r="O74" s="80">
        <f>INDEX(INV_2!$A:$J,MATCH('2021'!$A74,INV_2!$A:$A,0),MATCH('2021'!$A$1,INV_2!$3:$3,0))/B74*10^6/C74</f>
        <v>0.4241647270906112</v>
      </c>
      <c r="P74" s="87">
        <f>INDEX(INV_3!$A:$J,MATCH('2021'!$A74,INV_3!$A:$A,0),MATCH('2021'!$A$1,INV_3!$3:$3,0))/B74*10^6/C74</f>
        <v>4.7553379797927429</v>
      </c>
      <c r="Q74" s="87">
        <f>INDEX(INV_4!$A:$J,MATCH('2021'!$A74,INV_4!$A:$A,0),MATCH('2021'!$A$1,INV_4!$3:$3,0))/B74*10^3/C74</f>
        <v>0.27831233644831688</v>
      </c>
      <c r="R74" s="34">
        <f>INDEX(INV_5!$A:$J,MATCH('2021'!$A74,INV_5!$A:$A,0),MATCH('2021'!$A$1,INV_5!$3:$3,0))</f>
        <v>0.1056</v>
      </c>
      <c r="S74" s="77">
        <f>INDEX(LUJ_1!$A:$J,MATCH('2021'!$A74,LUJ_1!$A:$A,0),MATCH('2021'!$A$1,LUJ_1!$3:$3,0))</f>
        <v>0.79410148378823964</v>
      </c>
      <c r="T74" s="73">
        <f>INDEX(LUJ_2!$A:$J,MATCH('2021'!$A74,LUJ_2!$A:$A,0),MATCH('2021'!$A$1,LUJ_2!$3:$3,0))</f>
        <v>0.313</v>
      </c>
      <c r="U74" s="73">
        <f>INDEX(LUJ_3!$A:$J,MATCH('2021'!$A74,LUJ_3!$A:$A,0),MATCH('2021'!$A$1,LUJ_3!$3:$3,0))</f>
        <v>0.52610948882339459</v>
      </c>
      <c r="V74" s="14">
        <f>INDEX(LUJ_4!$A:$J,MATCH('2021'!$A74,LUJ_4!$A:$A,0),MATCH('2021'!$A$1,LUJ_4!$3:$3,0))</f>
        <v>28</v>
      </c>
      <c r="W74" s="34">
        <f>INDEX(LUJ_5!$A:$J,MATCH('2021'!$A74,LUJ_5!$A:$A,0),MATCH('2021'!$A$1,LUJ_5!$3:$3,0))</f>
        <v>20.5</v>
      </c>
      <c r="X74" s="98">
        <f>1/INDEX(GUL_1!$A:$J,MATCH('2021'!$A74,GUL_1!$A:$A,0),MATCH('2021'!$A$1,GUL_1!$3:$3,0))</f>
        <v>1.5082956259426848E-2</v>
      </c>
      <c r="Y74" s="57">
        <f>INDEX(GUL_2!$A:$J,MATCH('2021'!$A74,GUL_2!$A:$A,0),MATCH('2021'!$A$1,GUL_2!$3:$3,0))</f>
        <v>25.8</v>
      </c>
      <c r="Z74" s="57">
        <f>INDEX(GUL_3!$A:$J,MATCH('2021'!$A74,GUL_3!$A:$A,0),MATCH('2021'!$A$1,GUL_3!$3:$3,0))/(B74/1000)</f>
        <v>1.1513977448216375</v>
      </c>
      <c r="AA74" s="101">
        <f>INDEX(GUL_4!$A:$J,MATCH('2021'!$A74,GUL_4!$A:$A,0),MATCH('2021'!$A$1,GUL_4!$3:$3,0))/B74/C74*10^6</f>
        <v>0.30204080581428461</v>
      </c>
      <c r="AB74" s="73">
        <f>INDEX(GUL_5!$A:$J,MATCH('2021'!$A74,GUL_5!$A:$A,0),MATCH('2021'!$A$1,GUL_5!$3:$3,0))</f>
        <v>2.6741158471272043E-2</v>
      </c>
      <c r="AC74" s="49">
        <f>INDEX(GUL_6!$A:$J,MATCH('2021'!$A74,GUL_6!$A:$A,0),MATCH('2021'!$A$1,GUL_6!$3:$3,0))</f>
        <v>8.2486650379999998E-2</v>
      </c>
      <c r="AD74" s="49">
        <f>INDEX(GUL_7!$A:$J,MATCH('2021'!$A74,GUL_7!$A:$A,0),MATCH('2021'!$A$1,GUL_7!$3:$3,0))</f>
        <v>0.2402</v>
      </c>
      <c r="AE74" s="103">
        <f>INDEX(GUL_8!$A:$J,MATCH('2021'!$A74,GUL_8!$A:$A,0),MATCH('2021'!$A$1,GUL_8!$3:$3,0))/(B74/1000)</f>
        <v>3.7547275610793736</v>
      </c>
      <c r="AF74" s="41">
        <f>INDEX(DES_1!$A:$J,MATCH('2021'!$A74,DES_1!$A:$A,0),MATCH('2021'!$A$1,DES_1!$3:$3,0))/(B74/1000)</f>
        <v>0.27841708179867847</v>
      </c>
      <c r="AG74" s="100">
        <f>INDEX(DES_2!$A:$J,MATCH('2021'!$A74,DES_2!$A:$A,0),MATCH('2021'!$A$1,DES_2!$3:$3,0))/(B74/1000)</f>
        <v>1.5065746762750918</v>
      </c>
      <c r="AH74" s="57">
        <f>1/INDEX(DES_3!$A:$J,MATCH('2021'!$A74,DES_3!$A:$A,0),MATCH('2021'!$A$1,DES_3!$3:$3,0))</f>
        <v>8.130081300813009E-3</v>
      </c>
      <c r="AI74" s="80">
        <f>INDEX(DES_4!$A:$J,MATCH('2021'!$A74,DES_4!$A:$A,0),MATCH('2021'!$A$1,DES_4!$3:$3,0))</f>
        <v>0.45883754779399999</v>
      </c>
      <c r="AJ74" s="110">
        <f>INDEX(DES_5!$A:$J,MATCH('2021'!$A74,DES_5!$A:$A,0),MATCH('2021'!$A$1,DES_5!$3:$3,0))</f>
        <v>0.55128711247399997</v>
      </c>
      <c r="AK74" s="57">
        <v>81</v>
      </c>
    </row>
    <row r="75" spans="1:37" x14ac:dyDescent="0.3">
      <c r="A75" s="29" t="s">
        <v>74</v>
      </c>
      <c r="B75" s="33">
        <f>INDEX(Population!$A:$J,MATCH('2021'!$A75,Population!$A:$A,0),MATCH('2021'!$A$1,Population!$3:$3,0))</f>
        <v>151073</v>
      </c>
      <c r="C75" s="14">
        <f>INDEX(Income!$A:$J,MATCH('2021'!$A75,Income!$A:$A,0),MATCH('2021'!$A$1,Income!$3:$3,0))</f>
        <v>30297</v>
      </c>
      <c r="D75" s="34">
        <f>INDEX(Livable_wage!$A:$J,MATCH('2021'!$A75,Livable_wage!$A:$A,0),MATCH('2021'!$A$1,Livable_wage!$3:$3,0))</f>
        <v>16386</v>
      </c>
      <c r="E75" s="41">
        <f>INDEX(AVA_1!$A:$J,MATCH('2021'!$A75,AVA_1!$A:$A,0),MATCH('2021'!$A$1,AVA_1!$3:$3,0))</f>
        <v>0.32900000000000001</v>
      </c>
      <c r="F75" s="15">
        <f>INDEX(AVA_2!$A:$J,MATCH('2021'!$A75,AVA_2!$A:$A,0),MATCH('2021'!$A$1,AVA_2!$3:$3,0))</f>
        <v>7.8877323580965573E-3</v>
      </c>
      <c r="G75" s="15">
        <f>INDEX(AVA_3!$A:$J,MATCH('2021'!$A75,AVA_3!$A:$A,0),MATCH('2021'!$A$1,AVA_3!$3:$3,0))</f>
        <v>1.39007004214664E-2</v>
      </c>
      <c r="H75" s="87">
        <f>INDEX(AVA_4!$A:$J,MATCH('2021'!$A75,AVA_4!$A:$A,0),MATCH('2021'!$A$1,AVA_4!$3:$3,0))/(B75/1000)</f>
        <v>0.64869301595917206</v>
      </c>
      <c r="I75" s="89">
        <f>INDEX(AVA_5!$A:$J,MATCH('2021'!$A75,AVA_5!$A:$A,0),MATCH('2021'!$A$1,AVA_5!$3:$3,0))/(B75/1000)</f>
        <v>7.3739185691685476</v>
      </c>
      <c r="J75" s="93">
        <f>INDEX(IRA_1!$A:$J,MATCH('2021'!$A75,IRA_1!$A:$A,0),MATCH('2021'!$A$1,IRA_1!$3:$3,0))/(B75/1000)</f>
        <v>0.18534086170262057</v>
      </c>
      <c r="K75" s="88">
        <f>INDEX(IRA_2!$A:$J,MATCH('2021'!$A75,IRA_2!$A:$A,0),MATCH('2021'!$A$1,IRA_2!$3:$3,0))/(B75/1000)</f>
        <v>0.29124992553268947</v>
      </c>
      <c r="L75" s="15">
        <f>INDEX(IRA_3!$A:$J,MATCH('2021'!$A75,IRA_3!$A:$A,0),MATCH('2021'!$A$1,IRA_3!$3:$3,0))</f>
        <v>0.39905826957033552</v>
      </c>
      <c r="M75" s="96">
        <f>INDEX(IRA_4!$A:$J,MATCH('2021'!$A75,IRA_4!$A:$A,0),MATCH('2021'!$A$1,IRA_4!$3:$3,0))/(B75/1000)</f>
        <v>6.7583221356562717</v>
      </c>
      <c r="N75" s="61">
        <f>INDEX(INV_1!$A:$J,MATCH('2021'!$A75,INV_1!$A:$A,0),MATCH('2021'!$A$1,INV_1!$3:$3,0))</f>
        <v>8.2435517436765138E-2</v>
      </c>
      <c r="O75" s="80">
        <f>INDEX(INV_2!$A:$J,MATCH('2021'!$A75,INV_2!$A:$A,0),MATCH('2021'!$A$1,INV_2!$3:$3,0))/B75*10^6/C75</f>
        <v>0.21327819087637306</v>
      </c>
      <c r="P75" s="87">
        <f>INDEX(INV_3!$A:$J,MATCH('2021'!$A75,INV_3!$A:$A,0),MATCH('2021'!$A$1,INV_3!$3:$3,0))/B75*10^6/C75</f>
        <v>4.6619459104985861</v>
      </c>
      <c r="Q75" s="87">
        <f>INDEX(INV_4!$A:$J,MATCH('2021'!$A75,INV_4!$A:$A,0),MATCH('2021'!$A$1,INV_4!$3:$3,0))/B75*10^3/C75</f>
        <v>0.23234665843690983</v>
      </c>
      <c r="R75" s="34">
        <f>INDEX(INV_5!$A:$J,MATCH('2021'!$A75,INV_5!$A:$A,0),MATCH('2021'!$A$1,INV_5!$3:$3,0))</f>
        <v>6.4199999999999993E-2</v>
      </c>
      <c r="S75" s="77">
        <f>INDEX(LUJ_1!$A:$J,MATCH('2021'!$A75,LUJ_1!$A:$A,0),MATCH('2021'!$A$1,LUJ_1!$3:$3,0))</f>
        <v>1.1182432432432432</v>
      </c>
      <c r="T75" s="73">
        <f>INDEX(LUJ_2!$A:$J,MATCH('2021'!$A75,LUJ_2!$A:$A,0),MATCH('2021'!$A$1,LUJ_2!$3:$3,0))</f>
        <v>0.32799999999999996</v>
      </c>
      <c r="U75" s="73">
        <f>INDEX(LUJ_3!$A:$J,MATCH('2021'!$A75,LUJ_3!$A:$A,0),MATCH('2021'!$A$1,LUJ_3!$3:$3,0))</f>
        <v>0.63243950294310003</v>
      </c>
      <c r="V75" s="14">
        <f>INDEX(LUJ_4!$A:$J,MATCH('2021'!$A75,LUJ_4!$A:$A,0),MATCH('2021'!$A$1,LUJ_4!$3:$3,0))</f>
        <v>8</v>
      </c>
      <c r="W75" s="34">
        <f>INDEX(LUJ_5!$A:$J,MATCH('2021'!$A75,LUJ_5!$A:$A,0),MATCH('2021'!$A$1,LUJ_5!$3:$3,0))</f>
        <v>22.4</v>
      </c>
      <c r="X75" s="98">
        <f>1/INDEX(GUL_1!$A:$J,MATCH('2021'!$A75,GUL_1!$A:$A,0),MATCH('2021'!$A$1,GUL_1!$3:$3,0))</f>
        <v>1.5124016938898971E-2</v>
      </c>
      <c r="Y75" s="57">
        <f>INDEX(GUL_2!$A:$J,MATCH('2021'!$A75,GUL_2!$A:$A,0),MATCH('2021'!$A$1,GUL_2!$3:$3,0))</f>
        <v>25.2</v>
      </c>
      <c r="Z75" s="57">
        <f>INDEX(GUL_3!$A:$J,MATCH('2021'!$A75,GUL_3!$A:$A,0),MATCH('2021'!$A$1,GUL_3!$3:$3,0))/(B75/1000)</f>
        <v>0.92670430851310293</v>
      </c>
      <c r="AA75" s="101">
        <f>INDEX(GUL_4!$A:$J,MATCH('2021'!$A75,GUL_4!$A:$A,0),MATCH('2021'!$A$1,GUL_4!$3:$3,0))/B75/C75*10^6</f>
        <v>0.17803791840876335</v>
      </c>
      <c r="AB75" s="73">
        <f>INDEX(GUL_5!$A:$J,MATCH('2021'!$A75,GUL_5!$A:$A,0),MATCH('2021'!$A$1,GUL_5!$3:$3,0))</f>
        <v>6.4187311230241031E-2</v>
      </c>
      <c r="AC75" s="49">
        <f>INDEX(GUL_6!$A:$J,MATCH('2021'!$A75,GUL_6!$A:$A,0),MATCH('2021'!$A$1,GUL_6!$3:$3,0))</f>
        <v>0.111200547522</v>
      </c>
      <c r="AD75" s="49">
        <f>INDEX(GUL_7!$A:$J,MATCH('2021'!$A75,GUL_7!$A:$A,0),MATCH('2021'!$A$1,GUL_7!$3:$3,0))</f>
        <v>0.31040000000000001</v>
      </c>
      <c r="AE75" s="103">
        <f>INDEX(GUL_8!$A:$J,MATCH('2021'!$A75,GUL_8!$A:$A,0),MATCH('2021'!$A$1,GUL_8!$3:$3,0))/(B75/1000)</f>
        <v>3.4883797899028943</v>
      </c>
      <c r="AF75" s="41">
        <f>INDEX(DES_1!$A:$J,MATCH('2021'!$A75,DES_1!$A:$A,0),MATCH('2021'!$A$1,DES_1!$3:$3,0))/(B75/1000)</f>
        <v>0.29124992553268947</v>
      </c>
      <c r="AG75" s="100">
        <f>INDEX(DES_2!$A:$J,MATCH('2021'!$A75,DES_2!$A:$A,0),MATCH('2021'!$A$1,DES_2!$3:$3,0))/(B75/1000)</f>
        <v>1.7276416037279989</v>
      </c>
      <c r="AH75" s="57">
        <f>1/INDEX(DES_3!$A:$J,MATCH('2021'!$A75,DES_3!$A:$A,0),MATCH('2021'!$A$1,DES_3!$3:$3,0))</f>
        <v>8.9605734767025103E-3</v>
      </c>
      <c r="AI75" s="80">
        <f>INDEX(DES_4!$A:$J,MATCH('2021'!$A75,DES_4!$A:$A,0),MATCH('2021'!$A$1,DES_4!$3:$3,0))</f>
        <v>0.64235601492900007</v>
      </c>
      <c r="AJ75" s="110">
        <f>INDEX(DES_5!$A:$J,MATCH('2021'!$A75,DES_5!$A:$A,0),MATCH('2021'!$A$1,DES_5!$3:$3,0))</f>
        <v>0.52216789850300005</v>
      </c>
      <c r="AK75" s="57">
        <v>80</v>
      </c>
    </row>
    <row r="76" spans="1:37" x14ac:dyDescent="0.3">
      <c r="A76" s="29" t="s">
        <v>75</v>
      </c>
      <c r="B76" s="33">
        <f>INDEX(Population!$A:$J,MATCH('2021'!$A76,Population!$A:$A,0),MATCH('2021'!$A$1,Population!$3:$3,0))</f>
        <v>1293932</v>
      </c>
      <c r="C76" s="14">
        <f>INDEX(Income!$A:$J,MATCH('2021'!$A76,Income!$A:$A,0),MATCH('2021'!$A$1,Income!$3:$3,0))</f>
        <v>44101</v>
      </c>
      <c r="D76" s="34">
        <f>INDEX(Livable_wage!$A:$J,MATCH('2021'!$A76,Livable_wage!$A:$A,0),MATCH('2021'!$A$1,Livable_wage!$3:$3,0))</f>
        <v>16222</v>
      </c>
      <c r="E76" s="41">
        <f>INDEX(AVA_1!$A:$J,MATCH('2021'!$A76,AVA_1!$A:$A,0),MATCH('2021'!$A$1,AVA_1!$3:$3,0))</f>
        <v>0.36399999999999999</v>
      </c>
      <c r="F76" s="15">
        <f>INDEX(AVA_2!$A:$J,MATCH('2021'!$A76,AVA_2!$A:$A,0),MATCH('2021'!$A$1,AVA_2!$3:$3,0))</f>
        <v>1.424027300878431E-2</v>
      </c>
      <c r="G76" s="15">
        <f>INDEX(AVA_3!$A:$J,MATCH('2021'!$A76,AVA_3!$A:$A,0),MATCH('2021'!$A$1,AVA_3!$3:$3,0))</f>
        <v>8.697242597182582E-3</v>
      </c>
      <c r="H76" s="87">
        <f>INDEX(AVA_4!$A:$J,MATCH('2021'!$A76,AVA_4!$A:$A,0),MATCH('2021'!$A$1,AVA_4!$3:$3,0))/(B76/1000)</f>
        <v>0.59044833886170212</v>
      </c>
      <c r="I76" s="89">
        <f>INDEX(AVA_5!$A:$J,MATCH('2021'!$A76,AVA_5!$A:$A,0),MATCH('2021'!$A$1,AVA_5!$3:$3,0))/(B76/1000)</f>
        <v>6.4508799535060577</v>
      </c>
      <c r="J76" s="93">
        <f>INDEX(IRA_1!$A:$J,MATCH('2021'!$A76,IRA_1!$A:$A,0),MATCH('2021'!$A$1,IRA_1!$3:$3,0))/(B76/1000)</f>
        <v>0.12288126423954272</v>
      </c>
      <c r="K76" s="88">
        <f>INDEX(IRA_2!$A:$J,MATCH('2021'!$A76,IRA_2!$A:$A,0),MATCH('2021'!$A$1,IRA_2!$3:$3,0))/(B76/1000)</f>
        <v>0.19320953496783447</v>
      </c>
      <c r="L76" s="15">
        <f>INDEX(IRA_3!$A:$J,MATCH('2021'!$A76,IRA_3!$A:$A,0),MATCH('2021'!$A$1,IRA_3!$3:$3,0))</f>
        <v>0.3206370526719754</v>
      </c>
      <c r="M76" s="96">
        <f>INDEX(IRA_4!$A:$J,MATCH('2021'!$A76,IRA_4!$A:$A,0),MATCH('2021'!$A$1,IRA_4!$3:$3,0))/(B76/1000)</f>
        <v>6.0575053403115469</v>
      </c>
      <c r="N76" s="61">
        <f>INDEX(INV_1!$A:$J,MATCH('2021'!$A76,INV_1!$A:$A,0),MATCH('2021'!$A$1,INV_1!$3:$3,0))</f>
        <v>8.6765861546682116E-2</v>
      </c>
      <c r="O76" s="80">
        <f>INDEX(INV_2!$A:$J,MATCH('2021'!$A76,INV_2!$A:$A,0),MATCH('2021'!$A$1,INV_2!$3:$3,0))/B76*10^6/C76</f>
        <v>0.31361125180748944</v>
      </c>
      <c r="P76" s="87">
        <f>INDEX(INV_3!$A:$J,MATCH('2021'!$A76,INV_3!$A:$A,0),MATCH('2021'!$A$1,INV_3!$3:$3,0))/B76*10^6/C76</f>
        <v>4.4178527068189934</v>
      </c>
      <c r="Q76" s="87">
        <f>INDEX(INV_4!$A:$J,MATCH('2021'!$A76,INV_4!$A:$A,0),MATCH('2021'!$A$1,INV_4!$3:$3,0))/B76*10^3/C76</f>
        <v>0.31756598583532475</v>
      </c>
      <c r="R76" s="34">
        <f>INDEX(INV_5!$A:$J,MATCH('2021'!$A76,INV_5!$A:$A,0),MATCH('2021'!$A$1,INV_5!$3:$3,0))</f>
        <v>0.15029999999999999</v>
      </c>
      <c r="S76" s="77">
        <f>INDEX(LUJ_1!$A:$J,MATCH('2021'!$A76,LUJ_1!$A:$A,0),MATCH('2021'!$A$1,LUJ_1!$3:$3,0))</f>
        <v>0.81782555145000557</v>
      </c>
      <c r="T76" s="73">
        <f>INDEX(LUJ_2!$A:$J,MATCH('2021'!$A76,LUJ_2!$A:$A,0),MATCH('2021'!$A$1,LUJ_2!$3:$3,0))</f>
        <v>0.30099999999999999</v>
      </c>
      <c r="U76" s="73">
        <f>INDEX(LUJ_3!$A:$J,MATCH('2021'!$A76,LUJ_3!$A:$A,0),MATCH('2021'!$A$1,LUJ_3!$3:$3,0))</f>
        <v>0.53991676125614829</v>
      </c>
      <c r="V76" s="14">
        <f>INDEX(LUJ_4!$A:$J,MATCH('2021'!$A76,LUJ_4!$A:$A,0),MATCH('2021'!$A$1,LUJ_4!$3:$3,0))</f>
        <v>54</v>
      </c>
      <c r="W76" s="34">
        <f>INDEX(LUJ_5!$A:$J,MATCH('2021'!$A76,LUJ_5!$A:$A,0),MATCH('2021'!$A$1,LUJ_5!$3:$3,0))</f>
        <v>23.7</v>
      </c>
      <c r="X76" s="98">
        <f>1/INDEX(GUL_1!$A:$J,MATCH('2021'!$A76,GUL_1!$A:$A,0),MATCH('2021'!$A$1,GUL_1!$3:$3,0))</f>
        <v>1.4738393515106855E-2</v>
      </c>
      <c r="Y76" s="57">
        <f>INDEX(GUL_2!$A:$J,MATCH('2021'!$A76,GUL_2!$A:$A,0),MATCH('2021'!$A$1,GUL_2!$3:$3,0))</f>
        <v>25.5</v>
      </c>
      <c r="Z76" s="57">
        <f>INDEX(GUL_3!$A:$J,MATCH('2021'!$A76,GUL_3!$A:$A,0),MATCH('2021'!$A$1,GUL_3!$3:$3,0))/(B76/1000)</f>
        <v>0.92122306272663479</v>
      </c>
      <c r="AA76" s="101">
        <f>INDEX(GUL_4!$A:$J,MATCH('2021'!$A76,GUL_4!$A:$A,0),MATCH('2021'!$A$1,GUL_4!$3:$3,0))/B76/C76*10^6</f>
        <v>0.37434291541384995</v>
      </c>
      <c r="AB76" s="73">
        <f>INDEX(GUL_5!$A:$J,MATCH('2021'!$A76,GUL_5!$A:$A,0),MATCH('2021'!$A$1,GUL_5!$3:$3,0))</f>
        <v>2.3410286315769236E-2</v>
      </c>
      <c r="AC76" s="49">
        <f>INDEX(GUL_6!$A:$J,MATCH('2021'!$A76,GUL_6!$A:$A,0),MATCH('2021'!$A$1,GUL_6!$3:$3,0))</f>
        <v>6.3590577955999997E-2</v>
      </c>
      <c r="AD76" s="49">
        <f>INDEX(GUL_7!$A:$J,MATCH('2021'!$A76,GUL_7!$A:$A,0),MATCH('2021'!$A$1,GUL_7!$3:$3,0))</f>
        <v>0.2223</v>
      </c>
      <c r="AE76" s="103">
        <f>INDEX(GUL_8!$A:$J,MATCH('2021'!$A76,GUL_8!$A:$A,0),MATCH('2021'!$A$1,GUL_8!$3:$3,0))/(B76/1000)</f>
        <v>2.5202251741204327</v>
      </c>
      <c r="AF76" s="41">
        <f>INDEX(DES_1!$A:$J,MATCH('2021'!$A76,DES_1!$A:$A,0),MATCH('2021'!$A$1,DES_1!$3:$3,0))/(B76/1000)</f>
        <v>1.3138248377812745E-2</v>
      </c>
      <c r="AG76" s="100">
        <f>INDEX(DES_2!$A:$J,MATCH('2021'!$A76,DES_2!$A:$A,0),MATCH('2021'!$A$1,DES_2!$3:$3,0))/(B76/1000)</f>
        <v>0.65227539005140922</v>
      </c>
      <c r="AH76" s="57">
        <f>1/INDEX(DES_3!$A:$J,MATCH('2021'!$A76,DES_3!$A:$A,0),MATCH('2021'!$A$1,DES_3!$3:$3,0))</f>
        <v>8.9445438282647581E-3</v>
      </c>
      <c r="AI76" s="80">
        <f>INDEX(DES_4!$A:$J,MATCH('2021'!$A76,DES_4!$A:$A,0),MATCH('2021'!$A$1,DES_4!$3:$3,0))</f>
        <v>0.97679456547900001</v>
      </c>
      <c r="AJ76" s="110">
        <f>INDEX(DES_5!$A:$J,MATCH('2021'!$A76,DES_5!$A:$A,0),MATCH('2021'!$A$1,DES_5!$3:$3,0))</f>
        <v>0.77152918468500009</v>
      </c>
      <c r="AK76" s="57">
        <v>79</v>
      </c>
    </row>
    <row r="77" spans="1:37" x14ac:dyDescent="0.3">
      <c r="A77" s="29" t="s">
        <v>76</v>
      </c>
      <c r="B77" s="33">
        <f>INDEX(Population!$A:$J,MATCH('2021'!$A77,Population!$A:$A,0),MATCH('2021'!$A$1,Population!$3:$3,0))</f>
        <v>2607141</v>
      </c>
      <c r="C77" s="14">
        <f>INDEX(Income!$A:$J,MATCH('2021'!$A77,Income!$A:$A,0),MATCH('2021'!$A$1,Income!$3:$3,0))</f>
        <v>28048</v>
      </c>
      <c r="D77" s="34">
        <f>INDEX(Livable_wage!$A:$J,MATCH('2021'!$A77,Livable_wage!$A:$A,0),MATCH('2021'!$A$1,Livable_wage!$3:$3,0))</f>
        <v>10727</v>
      </c>
      <c r="E77" s="41">
        <f>INDEX(AVA_1!$A:$J,MATCH('2021'!$A77,AVA_1!$A:$A,0),MATCH('2021'!$A$1,AVA_1!$3:$3,0))</f>
        <v>0.35099999999999998</v>
      </c>
      <c r="F77" s="15">
        <f>INDEX(AVA_2!$A:$J,MATCH('2021'!$A77,AVA_2!$A:$A,0),MATCH('2021'!$A$1,AVA_2!$3:$3,0))</f>
        <v>1.0529301171850008E-2</v>
      </c>
      <c r="G77" s="15">
        <f>INDEX(AVA_3!$A:$J,MATCH('2021'!$A77,AVA_3!$A:$A,0),MATCH('2021'!$A$1,AVA_3!$3:$3,0))</f>
        <v>1.1344469941389877E-2</v>
      </c>
      <c r="H77" s="87">
        <f>INDEX(AVA_4!$A:$J,MATCH('2021'!$A77,AVA_4!$A:$A,0),MATCH('2021'!$A$1,AVA_4!$3:$3,0))/(B77/1000)</f>
        <v>0.52432914061801794</v>
      </c>
      <c r="I77" s="89">
        <f>INDEX(AVA_5!$A:$J,MATCH('2021'!$A77,AVA_5!$A:$A,0),MATCH('2021'!$A$1,AVA_5!$3:$3,0))/(B77/1000)</f>
        <v>7.772882249176396</v>
      </c>
      <c r="J77" s="93">
        <f>INDEX(IRA_1!$A:$J,MATCH('2021'!$A77,IRA_1!$A:$A,0),MATCH('2021'!$A$1,IRA_1!$3:$3,0))/(B77/1000)</f>
        <v>7.5945259577445176E-2</v>
      </c>
      <c r="K77" s="88">
        <f>INDEX(IRA_2!$A:$J,MATCH('2021'!$A77,IRA_2!$A:$A,0),MATCH('2021'!$A$1,IRA_2!$3:$3,0))/(B77/1000)</f>
        <v>0.2443289411658211</v>
      </c>
      <c r="L77" s="15">
        <f>INDEX(IRA_3!$A:$J,MATCH('2021'!$A77,IRA_3!$A:$A,0),MATCH('2021'!$A$1,IRA_3!$3:$3,0))</f>
        <v>0.30312570272093542</v>
      </c>
      <c r="M77" s="96">
        <f>INDEX(IRA_4!$A:$J,MATCH('2021'!$A77,IRA_4!$A:$A,0),MATCH('2021'!$A$1,IRA_4!$3:$3,0))/(B77/1000)</f>
        <v>6.0514563654209725</v>
      </c>
      <c r="N77" s="61">
        <f>INDEX(INV_1!$A:$J,MATCH('2021'!$A77,INV_1!$A:$A,0),MATCH('2021'!$A$1,INV_1!$3:$3,0))</f>
        <v>7.5734239222026267E-2</v>
      </c>
      <c r="O77" s="80">
        <f>INDEX(INV_2!$A:$J,MATCH('2021'!$A77,INV_2!$A:$A,0),MATCH('2021'!$A$1,INV_2!$3:$3,0))/B77*10^6/C77</f>
        <v>0.35649967500063462</v>
      </c>
      <c r="P77" s="87">
        <f>INDEX(INV_3!$A:$J,MATCH('2021'!$A77,INV_3!$A:$A,0),MATCH('2021'!$A$1,INV_3!$3:$3,0))/B77*10^6/C77</f>
        <v>5.260889196302351</v>
      </c>
      <c r="Q77" s="87">
        <f>INDEX(INV_4!$A:$J,MATCH('2021'!$A77,INV_4!$A:$A,0),MATCH('2021'!$A$1,INV_4!$3:$3,0))/B77*10^3/C77</f>
        <v>0.31070125795922349</v>
      </c>
      <c r="R77" s="34">
        <f>INDEX(INV_5!$A:$J,MATCH('2021'!$A77,INV_5!$A:$A,0),MATCH('2021'!$A$1,INV_5!$3:$3,0))</f>
        <v>7.8100000000000003E-2</v>
      </c>
      <c r="S77" s="77">
        <f>INDEX(LUJ_1!$A:$J,MATCH('2021'!$A77,LUJ_1!$A:$A,0),MATCH('2021'!$A$1,LUJ_1!$3:$3,0))</f>
        <v>0.79162255161461093</v>
      </c>
      <c r="T77" s="73">
        <f>INDEX(LUJ_2!$A:$J,MATCH('2021'!$A77,LUJ_2!$A:$A,0),MATCH('2021'!$A$1,LUJ_2!$3:$3,0))</f>
        <v>0.27699999999999997</v>
      </c>
      <c r="U77" s="73">
        <f>INDEX(LUJ_3!$A:$J,MATCH('2021'!$A77,LUJ_3!$A:$A,0),MATCH('2021'!$A$1,LUJ_3!$3:$3,0))</f>
        <v>0.62970974909730582</v>
      </c>
      <c r="V77" s="14">
        <f>INDEX(LUJ_4!$A:$J,MATCH('2021'!$A77,LUJ_4!$A:$A,0),MATCH('2021'!$A$1,LUJ_4!$3:$3,0))</f>
        <v>96</v>
      </c>
      <c r="W77" s="34">
        <f>INDEX(LUJ_5!$A:$J,MATCH('2021'!$A77,LUJ_5!$A:$A,0),MATCH('2021'!$A$1,LUJ_5!$3:$3,0))</f>
        <v>84.6</v>
      </c>
      <c r="X77" s="98">
        <f>1/INDEX(GUL_1!$A:$J,MATCH('2021'!$A77,GUL_1!$A:$A,0),MATCH('2021'!$A$1,GUL_1!$3:$3,0))</f>
        <v>1.4790711433219937E-2</v>
      </c>
      <c r="Y77" s="57">
        <f>INDEX(GUL_2!$A:$J,MATCH('2021'!$A77,GUL_2!$A:$A,0),MATCH('2021'!$A$1,GUL_2!$3:$3,0))</f>
        <v>25.5</v>
      </c>
      <c r="Z77" s="57">
        <f>INDEX(GUL_3!$A:$J,MATCH('2021'!$A77,GUL_3!$A:$A,0),MATCH('2021'!$A$1,GUL_3!$3:$3,0))/(B77/1000)</f>
        <v>0.94471300171337103</v>
      </c>
      <c r="AA77" s="101">
        <f>INDEX(GUL_4!$A:$J,MATCH('2021'!$A77,GUL_4!$A:$A,0),MATCH('2021'!$A$1,GUL_4!$3:$3,0))/B77/C77*10^6</f>
        <v>0.32637347522369098</v>
      </c>
      <c r="AB77" s="73">
        <f>INDEX(GUL_5!$A:$J,MATCH('2021'!$A77,GUL_5!$A:$A,0),MATCH('2021'!$A$1,GUL_5!$3:$3,0))</f>
        <v>2.9370270020134166E-2</v>
      </c>
      <c r="AC77" s="49">
        <f>INDEX(GUL_6!$A:$J,MATCH('2021'!$A77,GUL_6!$A:$A,0),MATCH('2021'!$A$1,GUL_6!$3:$3,0))</f>
        <v>3.6121101319000003E-2</v>
      </c>
      <c r="AD77" s="49">
        <f>INDEX(GUL_7!$A:$J,MATCH('2021'!$A77,GUL_7!$A:$A,0),MATCH('2021'!$A$1,GUL_7!$3:$3,0))</f>
        <v>0.23480000000000001</v>
      </c>
      <c r="AE77" s="103">
        <f>INDEX(GUL_8!$A:$J,MATCH('2021'!$A77,GUL_8!$A:$A,0),MATCH('2021'!$A$1,GUL_8!$3:$3,0))/(B77/1000)</f>
        <v>3.409481880726819</v>
      </c>
      <c r="AF77" s="41">
        <f>INDEX(DES_1!$A:$J,MATCH('2021'!$A77,DES_1!$A:$A,0),MATCH('2021'!$A$1,DES_1!$3:$3,0))/(B77/1000)</f>
        <v>0.19178095852890195</v>
      </c>
      <c r="AG77" s="100">
        <f>INDEX(DES_2!$A:$J,MATCH('2021'!$A77,DES_2!$A:$A,0),MATCH('2021'!$A$1,DES_2!$3:$3,0))/(B77/1000)</f>
        <v>0.66241143075882736</v>
      </c>
      <c r="AH77" s="57">
        <f>1/INDEX(DES_3!$A:$J,MATCH('2021'!$A77,DES_3!$A:$A,0),MATCH('2021'!$A$1,DES_3!$3:$3,0))</f>
        <v>8.8809946714031984E-3</v>
      </c>
      <c r="AI77" s="80">
        <f>INDEX(DES_4!$A:$J,MATCH('2021'!$A77,DES_4!$A:$A,0),MATCH('2021'!$A$1,DES_4!$3:$3,0))</f>
        <v>0.95755012886399993</v>
      </c>
      <c r="AJ77" s="110">
        <f>INDEX(DES_5!$A:$J,MATCH('2021'!$A77,DES_5!$A:$A,0),MATCH('2021'!$A$1,DES_5!$3:$3,0))</f>
        <v>0.75200041887199998</v>
      </c>
      <c r="AK77" s="57">
        <v>78</v>
      </c>
    </row>
    <row r="78" spans="1:37" x14ac:dyDescent="0.3">
      <c r="A78" s="29" t="s">
        <v>77</v>
      </c>
      <c r="B78" s="33">
        <f>INDEX(Population!$A:$J,MATCH('2021'!$A78,Population!$A:$A,0),MATCH('2021'!$A$1,Population!$3:$3,0))</f>
        <v>534668</v>
      </c>
      <c r="C78" s="14">
        <f>INDEX(Income!$A:$J,MATCH('2021'!$A78,Income!$A:$A,0),MATCH('2021'!$A$1,Income!$3:$3,0))</f>
        <v>26068</v>
      </c>
      <c r="D78" s="34">
        <f>INDEX(Livable_wage!$A:$J,MATCH('2021'!$A78,Livable_wage!$A:$A,0),MATCH('2021'!$A$1,Livable_wage!$3:$3,0))</f>
        <v>11784</v>
      </c>
      <c r="E78" s="41">
        <f>INDEX(AVA_1!$A:$J,MATCH('2021'!$A78,AVA_1!$A:$A,0),MATCH('2021'!$A$1,AVA_1!$3:$3,0))</f>
        <v>0.33200000000000002</v>
      </c>
      <c r="F78" s="15">
        <f>INDEX(AVA_2!$A:$J,MATCH('2021'!$A78,AVA_2!$A:$A,0),MATCH('2021'!$A$1,AVA_2!$3:$3,0))</f>
        <v>9.5797754399207426E-3</v>
      </c>
      <c r="G78" s="15">
        <f>INDEX(AVA_3!$A:$J,MATCH('2021'!$A78,AVA_3!$A:$A,0),MATCH('2021'!$A$1,AVA_3!$3:$3,0))</f>
        <v>7.0804828649583809E-3</v>
      </c>
      <c r="H78" s="87">
        <f>INDEX(AVA_4!$A:$J,MATCH('2021'!$A78,AVA_4!$A:$A,0),MATCH('2021'!$A$1,AVA_4!$3:$3,0))/(B78/1000)</f>
        <v>0.65835247293647647</v>
      </c>
      <c r="I78" s="89">
        <f>INDEX(AVA_5!$A:$J,MATCH('2021'!$A78,AVA_5!$A:$A,0),MATCH('2021'!$A$1,AVA_5!$3:$3,0))/(B78/1000)</f>
        <v>6.9875137468485118</v>
      </c>
      <c r="J78" s="93">
        <f>INDEX(IRA_1!$A:$J,MATCH('2021'!$A78,IRA_1!$A:$A,0),MATCH('2021'!$A$1,IRA_1!$3:$3,0))/(B78/1000)</f>
        <v>7.4812781015508686E-2</v>
      </c>
      <c r="K78" s="88">
        <f>INDEX(IRA_2!$A:$J,MATCH('2021'!$A78,IRA_2!$A:$A,0),MATCH('2021'!$A$1,IRA_2!$3:$3,0))/(B78/1000)</f>
        <v>0.23378994067346465</v>
      </c>
      <c r="L78" s="15">
        <f>INDEX(IRA_3!$A:$J,MATCH('2021'!$A78,IRA_3!$A:$A,0),MATCH('2021'!$A$1,IRA_3!$3:$3,0))</f>
        <v>0.25323846013501183</v>
      </c>
      <c r="M78" s="96">
        <f>INDEX(IRA_4!$A:$J,MATCH('2021'!$A78,IRA_4!$A:$A,0),MATCH('2021'!$A$1,IRA_4!$3:$3,0))/(B78/1000)</f>
        <v>6.6564671908548858</v>
      </c>
      <c r="N78" s="61">
        <f>INDEX(INV_1!$A:$J,MATCH('2021'!$A78,INV_1!$A:$A,0),MATCH('2021'!$A$1,INV_1!$3:$3,0))</f>
        <v>8.3696562447949499E-2</v>
      </c>
      <c r="O78" s="80">
        <f>INDEX(INV_2!$A:$J,MATCH('2021'!$A78,INV_2!$A:$A,0),MATCH('2021'!$A$1,INV_2!$3:$3,0))/B78*10^6/C78</f>
        <v>0.38495759677364561</v>
      </c>
      <c r="P78" s="87">
        <f>INDEX(INV_3!$A:$J,MATCH('2021'!$A78,INV_3!$A:$A,0),MATCH('2021'!$A$1,INV_3!$3:$3,0))/B78*10^6/C78</f>
        <v>5.6709396688140696</v>
      </c>
      <c r="Q78" s="87">
        <f>INDEX(INV_4!$A:$J,MATCH('2021'!$A78,INV_4!$A:$A,0),MATCH('2021'!$A$1,INV_4!$3:$3,0))/B78*10^3/C78</f>
        <v>0.31555051962975161</v>
      </c>
      <c r="R78" s="34">
        <f>INDEX(INV_5!$A:$J,MATCH('2021'!$A78,INV_5!$A:$A,0),MATCH('2021'!$A$1,INV_5!$3:$3,0))</f>
        <v>8.2799999999999999E-2</v>
      </c>
      <c r="S78" s="77">
        <f>INDEX(LUJ_1!$A:$J,MATCH('2021'!$A78,LUJ_1!$A:$A,0),MATCH('2021'!$A$1,LUJ_1!$3:$3,0))</f>
        <v>0.77764876632801161</v>
      </c>
      <c r="T78" s="73">
        <f>INDEX(LUJ_2!$A:$J,MATCH('2021'!$A78,LUJ_2!$A:$A,0),MATCH('2021'!$A$1,LUJ_2!$3:$3,0))</f>
        <v>0.255</v>
      </c>
      <c r="U78" s="73">
        <f>INDEX(LUJ_3!$A:$J,MATCH('2021'!$A78,LUJ_3!$A:$A,0),MATCH('2021'!$A$1,LUJ_3!$3:$3,0))</f>
        <v>0.41463878326996195</v>
      </c>
      <c r="V78" s="14">
        <f>INDEX(LUJ_4!$A:$J,MATCH('2021'!$A78,LUJ_4!$A:$A,0),MATCH('2021'!$A$1,LUJ_4!$3:$3,0))</f>
        <v>22</v>
      </c>
      <c r="W78" s="34">
        <f>INDEX(LUJ_5!$A:$J,MATCH('2021'!$A78,LUJ_5!$A:$A,0),MATCH('2021'!$A$1,LUJ_5!$3:$3,0))</f>
        <v>49.6</v>
      </c>
      <c r="X78" s="98">
        <f>1/INDEX(GUL_1!$A:$J,MATCH('2021'!$A78,GUL_1!$A:$A,0),MATCH('2021'!$A$1,GUL_1!$3:$3,0))</f>
        <v>1.4600671630895023E-2</v>
      </c>
      <c r="Y78" s="57">
        <f>INDEX(GUL_2!$A:$J,MATCH('2021'!$A78,GUL_2!$A:$A,0),MATCH('2021'!$A$1,GUL_2!$3:$3,0))</f>
        <v>25.5</v>
      </c>
      <c r="Z78" s="57">
        <f>INDEX(GUL_3!$A:$J,MATCH('2021'!$A78,GUL_3!$A:$A,0),MATCH('2021'!$A$1,GUL_3!$3:$3,0))/(B78/1000)</f>
        <v>0.90336433076226741</v>
      </c>
      <c r="AA78" s="101">
        <f>INDEX(GUL_4!$A:$J,MATCH('2021'!$A78,GUL_4!$A:$A,0),MATCH('2021'!$A$1,GUL_4!$3:$3,0))/B78/C78*10^6</f>
        <v>0.42003984308078302</v>
      </c>
      <c r="AB78" s="73">
        <f>INDEX(GUL_5!$A:$J,MATCH('2021'!$A78,GUL_5!$A:$A,0),MATCH('2021'!$A$1,GUL_5!$3:$3,0))</f>
        <v>4.472074707048921E-2</v>
      </c>
      <c r="AC78" s="49">
        <f>INDEX(GUL_6!$A:$J,MATCH('2021'!$A78,GUL_6!$A:$A,0),MATCH('2021'!$A$1,GUL_6!$3:$3,0))</f>
        <v>4.9522873076999999E-2</v>
      </c>
      <c r="AD78" s="49">
        <f>INDEX(GUL_7!$A:$J,MATCH('2021'!$A78,GUL_7!$A:$A,0),MATCH('2021'!$A$1,GUL_7!$3:$3,0))</f>
        <v>0.19010000000000002</v>
      </c>
      <c r="AE78" s="103">
        <f>INDEX(GUL_8!$A:$J,MATCH('2021'!$A78,GUL_8!$A:$A,0),MATCH('2021'!$A$1,GUL_8!$3:$3,0))/(B78/1000)</f>
        <v>4.1315358315814672</v>
      </c>
      <c r="AF78" s="41">
        <f>INDEX(DES_1!$A:$J,MATCH('2021'!$A78,DES_1!$A:$A,0),MATCH('2021'!$A$1,DES_1!$3:$3,0))/(B78/1000)</f>
        <v>0.21134610636881204</v>
      </c>
      <c r="AG78" s="100">
        <f>INDEX(DES_2!$A:$J,MATCH('2021'!$A78,DES_2!$A:$A,0),MATCH('2021'!$A$1,DES_2!$3:$3,0))/(B78/1000)</f>
        <v>1.1783013009942618</v>
      </c>
      <c r="AH78" s="57">
        <f>1/INDEX(DES_3!$A:$J,MATCH('2021'!$A78,DES_3!$A:$A,0),MATCH('2021'!$A$1,DES_3!$3:$3,0))</f>
        <v>7.2727272727272727E-3</v>
      </c>
      <c r="AI78" s="80">
        <f>INDEX(DES_4!$A:$J,MATCH('2021'!$A78,DES_4!$A:$A,0),MATCH('2021'!$A$1,DES_4!$3:$3,0))</f>
        <v>0.799330739766</v>
      </c>
      <c r="AJ78" s="110">
        <f>INDEX(DES_5!$A:$J,MATCH('2021'!$A78,DES_5!$A:$A,0),MATCH('2021'!$A$1,DES_5!$3:$3,0))</f>
        <v>0.51204883029999992</v>
      </c>
      <c r="AK78" s="57">
        <v>75</v>
      </c>
    </row>
    <row r="79" spans="1:37" x14ac:dyDescent="0.3">
      <c r="A79" s="29" t="s">
        <v>78</v>
      </c>
      <c r="B79" s="33">
        <f>INDEX(Population!$A:$J,MATCH('2021'!$A79,Population!$A:$A,0),MATCH('2021'!$A$1,Population!$3:$3,0))</f>
        <v>1213650</v>
      </c>
      <c r="C79" s="14">
        <f>INDEX(Income!$A:$J,MATCH('2021'!$A79,Income!$A:$A,0),MATCH('2021'!$A$1,Income!$3:$3,0))</f>
        <v>33131</v>
      </c>
      <c r="D79" s="34">
        <f>INDEX(Livable_wage!$A:$J,MATCH('2021'!$A79,Livable_wage!$A:$A,0),MATCH('2021'!$A$1,Livable_wage!$3:$3,0))</f>
        <v>10742</v>
      </c>
      <c r="E79" s="41">
        <f>INDEX(AVA_1!$A:$J,MATCH('2021'!$A79,AVA_1!$A:$A,0),MATCH('2021'!$A$1,AVA_1!$3:$3,0))</f>
        <v>0.35499999999999998</v>
      </c>
      <c r="F79" s="15">
        <f>INDEX(AVA_2!$A:$J,MATCH('2021'!$A79,AVA_2!$A:$A,0),MATCH('2021'!$A$1,AVA_2!$3:$3,0))</f>
        <v>1.3895132208536866E-2</v>
      </c>
      <c r="G79" s="15">
        <f>INDEX(AVA_3!$A:$J,MATCH('2021'!$A79,AVA_3!$A:$A,0),MATCH('2021'!$A$1,AVA_3!$3:$3,0))</f>
        <v>0.11066517717759493</v>
      </c>
      <c r="H79" s="87">
        <f>INDEX(AVA_4!$A:$J,MATCH('2021'!$A79,AVA_4!$A:$A,0),MATCH('2021'!$A$1,AVA_4!$3:$3,0))/(B79/1000)</f>
        <v>0.57677254562682811</v>
      </c>
      <c r="I79" s="89">
        <f>INDEX(AVA_5!$A:$J,MATCH('2021'!$A79,AVA_5!$A:$A,0),MATCH('2021'!$A$1,AVA_5!$3:$3,0))/(B79/1000)</f>
        <v>5.265933341572941</v>
      </c>
      <c r="J79" s="93">
        <f>INDEX(IRA_1!$A:$J,MATCH('2021'!$A79,IRA_1!$A:$A,0),MATCH('2021'!$A$1,IRA_1!$3:$3,0))/(B79/1000)</f>
        <v>9.7227371977093885E-2</v>
      </c>
      <c r="K79" s="88">
        <f>INDEX(IRA_2!$A:$J,MATCH('2021'!$A79,IRA_2!$A:$A,0),MATCH('2021'!$A$1,IRA_2!$3:$3,0))/(B79/1000)</f>
        <v>0.14172125406830635</v>
      </c>
      <c r="L79" s="15">
        <f>INDEX(IRA_3!$A:$J,MATCH('2021'!$A79,IRA_3!$A:$A,0),MATCH('2021'!$A$1,IRA_3!$3:$3,0))</f>
        <v>0.37903488751222691</v>
      </c>
      <c r="M79" s="96">
        <f>INDEX(IRA_4!$A:$J,MATCH('2021'!$A79,IRA_4!$A:$A,0),MATCH('2021'!$A$1,IRA_4!$3:$3,0))/(B79/1000)</f>
        <v>4.0069212705475215</v>
      </c>
      <c r="N79" s="61">
        <f>INDEX(INV_1!$A:$J,MATCH('2021'!$A79,INV_1!$A:$A,0),MATCH('2021'!$A$1,INV_1!$3:$3,0))</f>
        <v>5.7593223294286025E-2</v>
      </c>
      <c r="O79" s="80">
        <f>INDEX(INV_2!$A:$J,MATCH('2021'!$A79,INV_2!$A:$A,0),MATCH('2021'!$A$1,INV_2!$3:$3,0))/B79*10^6/C79</f>
        <v>0.36780446158978064</v>
      </c>
      <c r="P79" s="87">
        <f>INDEX(INV_3!$A:$J,MATCH('2021'!$A79,INV_3!$A:$A,0),MATCH('2021'!$A$1,INV_3!$3:$3,0))/B79*10^6/C79</f>
        <v>3.8747370559814698</v>
      </c>
      <c r="Q79" s="87">
        <f>INDEX(INV_4!$A:$J,MATCH('2021'!$A79,INV_4!$A:$A,0),MATCH('2021'!$A$1,INV_4!$3:$3,0))/B79*10^3/C79</f>
        <v>0.2197759555115793</v>
      </c>
      <c r="R79" s="34">
        <f>INDEX(INV_5!$A:$J,MATCH('2021'!$A79,INV_5!$A:$A,0),MATCH('2021'!$A$1,INV_5!$3:$3,0))</f>
        <v>9.0700000000000003E-2</v>
      </c>
      <c r="S79" s="77">
        <f>INDEX(LUJ_1!$A:$J,MATCH('2021'!$A79,LUJ_1!$A:$A,0),MATCH('2021'!$A$1,LUJ_1!$3:$3,0))</f>
        <v>0.70442790462974647</v>
      </c>
      <c r="T79" s="73">
        <f>INDEX(LUJ_2!$A:$J,MATCH('2021'!$A79,LUJ_2!$A:$A,0),MATCH('2021'!$A$1,LUJ_2!$3:$3,0))</f>
        <v>0.215</v>
      </c>
      <c r="U79" s="73">
        <f>INDEX(LUJ_3!$A:$J,MATCH('2021'!$A79,LUJ_3!$A:$A,0),MATCH('2021'!$A$1,LUJ_3!$3:$3,0))</f>
        <v>0.35916214343288833</v>
      </c>
      <c r="V79" s="14">
        <f>INDEX(LUJ_4!$A:$J,MATCH('2021'!$A79,LUJ_4!$A:$A,0),MATCH('2021'!$A$1,LUJ_4!$3:$3,0))</f>
        <v>15</v>
      </c>
      <c r="W79" s="34">
        <f>INDEX(LUJ_5!$A:$J,MATCH('2021'!$A79,LUJ_5!$A:$A,0),MATCH('2021'!$A$1,LUJ_5!$3:$3,0))</f>
        <v>37.4</v>
      </c>
      <c r="X79" s="98">
        <f>1/INDEX(GUL_1!$A:$J,MATCH('2021'!$A79,GUL_1!$A:$A,0),MATCH('2021'!$A$1,GUL_1!$3:$3,0))</f>
        <v>1.4478065730418417E-2</v>
      </c>
      <c r="Y79" s="57">
        <f>INDEX(GUL_2!$A:$J,MATCH('2021'!$A79,GUL_2!$A:$A,0),MATCH('2021'!$A$1,GUL_2!$3:$3,0))</f>
        <v>25.8</v>
      </c>
      <c r="Z79" s="57">
        <f>INDEX(GUL_3!$A:$J,MATCH('2021'!$A79,GUL_3!$A:$A,0),MATCH('2021'!$A$1,GUL_3!$3:$3,0))/(B79/1000)</f>
        <v>1.1486013265768549</v>
      </c>
      <c r="AA79" s="101">
        <f>INDEX(GUL_4!$A:$J,MATCH('2021'!$A79,GUL_4!$A:$A,0),MATCH('2021'!$A$1,GUL_4!$3:$3,0))/B79/C79*10^6</f>
        <v>0.37161648328080404</v>
      </c>
      <c r="AB79" s="73">
        <f>INDEX(GUL_5!$A:$J,MATCH('2021'!$A79,GUL_5!$A:$A,0),MATCH('2021'!$A$1,GUL_5!$3:$3,0))</f>
        <v>2.7009449302394243E-2</v>
      </c>
      <c r="AC79" s="49">
        <f>INDEX(GUL_6!$A:$J,MATCH('2021'!$A79,GUL_6!$A:$A,0),MATCH('2021'!$A$1,GUL_6!$3:$3,0))</f>
        <v>2.9443795213000001E-2</v>
      </c>
      <c r="AD79" s="49">
        <f>INDEX(GUL_7!$A:$J,MATCH('2021'!$A79,GUL_7!$A:$A,0),MATCH('2021'!$A$1,GUL_7!$3:$3,0))</f>
        <v>0.15029999999999999</v>
      </c>
      <c r="AE79" s="103">
        <f>INDEX(GUL_8!$A:$J,MATCH('2021'!$A79,GUL_8!$A:$A,0),MATCH('2021'!$A$1,GUL_8!$3:$3,0))/(B79/1000)</f>
        <v>1.7023029703786099</v>
      </c>
      <c r="AF79" s="41">
        <f>INDEX(DES_1!$A:$J,MATCH('2021'!$A79,DES_1!$A:$A,0),MATCH('2021'!$A$1,DES_1!$3:$3,0))/(B79/1000)</f>
        <v>7.662835249042145E-2</v>
      </c>
      <c r="AG79" s="100">
        <f>INDEX(DES_2!$A:$J,MATCH('2021'!$A79,DES_2!$A:$A,0),MATCH('2021'!$A$1,DES_2!$3:$3,0))/(B79/1000)</f>
        <v>0.34276768425822929</v>
      </c>
      <c r="AH79" s="57">
        <f>1/INDEX(DES_3!$A:$J,MATCH('2021'!$A79,DES_3!$A:$A,0),MATCH('2021'!$A$1,DES_3!$3:$3,0))</f>
        <v>7.7639751552795021E-3</v>
      </c>
      <c r="AI79" s="80">
        <f>INDEX(DES_4!$A:$J,MATCH('2021'!$A79,DES_4!$A:$A,0),MATCH('2021'!$A$1,DES_4!$3:$3,0))</f>
        <v>0.74873309989800008</v>
      </c>
      <c r="AJ79" s="110">
        <f>INDEX(DES_5!$A:$J,MATCH('2021'!$A79,DES_5!$A:$A,0),MATCH('2021'!$A$1,DES_5!$3:$3,0))</f>
        <v>0.65082262877800001</v>
      </c>
      <c r="AK79" s="57">
        <v>66</v>
      </c>
    </row>
    <row r="80" spans="1:37" x14ac:dyDescent="0.3">
      <c r="A80" s="29" t="s">
        <v>79</v>
      </c>
      <c r="B80" s="33">
        <f>INDEX(Population!$A:$J,MATCH('2021'!$A80,Population!$A:$A,0),MATCH('2021'!$A$1,Population!$3:$3,0))</f>
        <v>1454945</v>
      </c>
      <c r="C80" s="14">
        <f>INDEX(Income!$A:$J,MATCH('2021'!$A80,Income!$A:$A,0),MATCH('2021'!$A$1,Income!$3:$3,0))</f>
        <v>27700</v>
      </c>
      <c r="D80" s="34">
        <f>INDEX(Livable_wage!$A:$J,MATCH('2021'!$A80,Livable_wage!$A:$A,0),MATCH('2021'!$A$1,Livable_wage!$3:$3,0))</f>
        <v>10465</v>
      </c>
      <c r="E80" s="41">
        <f>INDEX(AVA_1!$A:$J,MATCH('2021'!$A80,AVA_1!$A:$A,0),MATCH('2021'!$A$1,AVA_1!$3:$3,0))</f>
        <v>0.34100000000000003</v>
      </c>
      <c r="F80" s="15">
        <f>INDEX(AVA_2!$A:$J,MATCH('2021'!$A80,AVA_2!$A:$A,0),MATCH('2021'!$A$1,AVA_2!$3:$3,0))</f>
        <v>9.7139143909225727E-3</v>
      </c>
      <c r="G80" s="15">
        <f>INDEX(AVA_3!$A:$J,MATCH('2021'!$A80,AVA_3!$A:$A,0),MATCH('2021'!$A$1,AVA_3!$3:$3,0))</f>
        <v>1.2273602930504784E-2</v>
      </c>
      <c r="H80" s="87">
        <f>INDEX(AVA_4!$A:$J,MATCH('2021'!$A80,AVA_4!$A:$A,0),MATCH('2021'!$A$1,AVA_4!$3:$3,0))/(B80/1000)</f>
        <v>0.87219791813436254</v>
      </c>
      <c r="I80" s="89">
        <f>INDEX(AVA_5!$A:$J,MATCH('2021'!$A80,AVA_5!$A:$A,0),MATCH('2021'!$A$1,AVA_5!$3:$3,0))/(B80/1000)</f>
        <v>7.1081724738735828</v>
      </c>
      <c r="J80" s="93">
        <f>INDEX(IRA_1!$A:$J,MATCH('2021'!$A80,IRA_1!$A:$A,0),MATCH('2021'!$A$1,IRA_1!$3:$3,0))/(B80/1000)</f>
        <v>4.3987917069030102E-2</v>
      </c>
      <c r="K80" s="88">
        <f>INDEX(IRA_2!$A:$J,MATCH('2021'!$A80,IRA_2!$A:$A,0),MATCH('2021'!$A$1,IRA_2!$3:$3,0))/(B80/1000)</f>
        <v>0.18076284670554557</v>
      </c>
      <c r="L80" s="15">
        <f>INDEX(IRA_3!$A:$J,MATCH('2021'!$A80,IRA_3!$A:$A,0),MATCH('2021'!$A$1,IRA_3!$3:$3,0))</f>
        <v>0.31263858093126384</v>
      </c>
      <c r="M80" s="96">
        <f>INDEX(IRA_4!$A:$J,MATCH('2021'!$A80,IRA_4!$A:$A,0),MATCH('2021'!$A$1,IRA_4!$3:$3,0))/(B80/1000)</f>
        <v>3.5767675066755102</v>
      </c>
      <c r="N80" s="61">
        <f>INDEX(INV_1!$A:$J,MATCH('2021'!$A80,INV_1!$A:$A,0),MATCH('2021'!$A$1,INV_1!$3:$3,0))</f>
        <v>9.4847128411234383E-2</v>
      </c>
      <c r="O80" s="80">
        <f>INDEX(INV_2!$A:$J,MATCH('2021'!$A80,INV_2!$A:$A,0),MATCH('2021'!$A$1,INV_2!$3:$3,0))/B80*10^6/C80</f>
        <v>0.27253442082617557</v>
      </c>
      <c r="P80" s="87">
        <f>INDEX(INV_3!$A:$J,MATCH('2021'!$A80,INV_3!$A:$A,0),MATCH('2021'!$A$1,INV_3!$3:$3,0))/B80*10^6/C80</f>
        <v>6.2369397689465682</v>
      </c>
      <c r="Q80" s="87">
        <f>INDEX(INV_4!$A:$J,MATCH('2021'!$A80,INV_4!$A:$A,0),MATCH('2021'!$A$1,INV_4!$3:$3,0))/B80*10^3/C80</f>
        <v>0.23799972415744916</v>
      </c>
      <c r="R80" s="34">
        <f>INDEX(INV_5!$A:$J,MATCH('2021'!$A80,INV_5!$A:$A,0),MATCH('2021'!$A$1,INV_5!$3:$3,0))</f>
        <v>6.1400000000000003E-2</v>
      </c>
      <c r="S80" s="77">
        <f>INDEX(LUJ_1!$A:$J,MATCH('2021'!$A80,LUJ_1!$A:$A,0),MATCH('2021'!$A$1,LUJ_1!$3:$3,0))</f>
        <v>0.71061991869918695</v>
      </c>
      <c r="T80" s="73">
        <f>INDEX(LUJ_2!$A:$J,MATCH('2021'!$A80,LUJ_2!$A:$A,0),MATCH('2021'!$A$1,LUJ_2!$3:$3,0))</f>
        <v>0.23</v>
      </c>
      <c r="U80" s="73">
        <f>INDEX(LUJ_3!$A:$J,MATCH('2021'!$A80,LUJ_3!$A:$A,0),MATCH('2021'!$A$1,LUJ_3!$3:$3,0))</f>
        <v>0.44618176741588722</v>
      </c>
      <c r="V80" s="14">
        <f>INDEX(LUJ_4!$A:$J,MATCH('2021'!$A80,LUJ_4!$A:$A,0),MATCH('2021'!$A$1,LUJ_4!$3:$3,0))</f>
        <v>75</v>
      </c>
      <c r="W80" s="34">
        <f>INDEX(LUJ_5!$A:$J,MATCH('2021'!$A80,LUJ_5!$A:$A,0),MATCH('2021'!$A$1,LUJ_5!$3:$3,0))</f>
        <v>44.2</v>
      </c>
      <c r="X80" s="98">
        <f>1/INDEX(GUL_1!$A:$J,MATCH('2021'!$A80,GUL_1!$A:$A,0),MATCH('2021'!$A$1,GUL_1!$3:$3,0))</f>
        <v>1.4287755393627663E-2</v>
      </c>
      <c r="Y80" s="57">
        <f>INDEX(GUL_2!$A:$J,MATCH('2021'!$A80,GUL_2!$A:$A,0),MATCH('2021'!$A$1,GUL_2!$3:$3,0))</f>
        <v>25.2</v>
      </c>
      <c r="Z80" s="57">
        <f>INDEX(GUL_3!$A:$J,MATCH('2021'!$A80,GUL_3!$A:$A,0),MATCH('2021'!$A$1,GUL_3!$3:$3,0))/(B80/1000)</f>
        <v>0.95604988504720112</v>
      </c>
      <c r="AA80" s="101">
        <f>INDEX(GUL_4!$A:$J,MATCH('2021'!$A80,GUL_4!$A:$A,0),MATCH('2021'!$A$1,GUL_4!$3:$3,0))/B80/C80*10^6</f>
        <v>0.33177777273529008</v>
      </c>
      <c r="AB80" s="73">
        <f>INDEX(GUL_5!$A:$J,MATCH('2021'!$A80,GUL_5!$A:$A,0),MATCH('2021'!$A$1,GUL_5!$3:$3,0))</f>
        <v>3.281458254900757E-2</v>
      </c>
      <c r="AC80" s="49">
        <f>INDEX(GUL_6!$A:$J,MATCH('2021'!$A80,GUL_6!$A:$A,0),MATCH('2021'!$A$1,GUL_6!$3:$3,0))</f>
        <v>2.0845777219000002E-2</v>
      </c>
      <c r="AD80" s="49">
        <f>INDEX(GUL_7!$A:$J,MATCH('2021'!$A80,GUL_7!$A:$A,0),MATCH('2021'!$A$1,GUL_7!$3:$3,0))</f>
        <v>0.19789999999999999</v>
      </c>
      <c r="AE80" s="103">
        <f>INDEX(GUL_8!$A:$J,MATCH('2021'!$A80,GUL_8!$A:$A,0),MATCH('2021'!$A$1,GUL_8!$3:$3,0))/(B80/1000)</f>
        <v>3.4063143280330186</v>
      </c>
      <c r="AF80" s="41">
        <f>INDEX(DES_1!$A:$J,MATCH('2021'!$A80,DES_1!$A:$A,0),MATCH('2021'!$A$1,DES_1!$3:$3,0))/(B80/1000)</f>
        <v>0.26392750241418061</v>
      </c>
      <c r="AG80" s="100">
        <f>INDEX(DES_2!$A:$J,MATCH('2021'!$A80,DES_2!$A:$A,0),MATCH('2021'!$A$1,DES_2!$3:$3,0))/(B80/1000)</f>
        <v>0.64813446556399046</v>
      </c>
      <c r="AH80" s="57">
        <f>1/INDEX(DES_3!$A:$J,MATCH('2021'!$A80,DES_3!$A:$A,0),MATCH('2021'!$A$1,DES_3!$3:$3,0))</f>
        <v>8.9928057553956831E-3</v>
      </c>
      <c r="AI80" s="80">
        <f>INDEX(DES_4!$A:$J,MATCH('2021'!$A80,DES_4!$A:$A,0),MATCH('2021'!$A$1,DES_4!$3:$3,0))</f>
        <v>0.81081303816600003</v>
      </c>
      <c r="AJ80" s="110">
        <f>INDEX(DES_5!$A:$J,MATCH('2021'!$A80,DES_5!$A:$A,0),MATCH('2021'!$A$1,DES_5!$3:$3,0))</f>
        <v>0.69888453320900001</v>
      </c>
      <c r="AK80" s="57">
        <v>59</v>
      </c>
    </row>
    <row r="81" spans="1:37" x14ac:dyDescent="0.3">
      <c r="A81" s="29" t="s">
        <v>80</v>
      </c>
      <c r="B81" s="33">
        <f>INDEX(Population!$A:$J,MATCH('2021'!$A81,Population!$A:$A,0),MATCH('2021'!$A$1,Population!$3:$3,0))</f>
        <v>1144246</v>
      </c>
      <c r="C81" s="14">
        <f>INDEX(Income!$A:$J,MATCH('2021'!$A81,Income!$A:$A,0),MATCH('2021'!$A$1,Income!$3:$3,0))</f>
        <v>31858</v>
      </c>
      <c r="D81" s="34">
        <f>INDEX(Livable_wage!$A:$J,MATCH('2021'!$A81,Livable_wage!$A:$A,0),MATCH('2021'!$A$1,Livable_wage!$3:$3,0))</f>
        <v>11767</v>
      </c>
      <c r="E81" s="41">
        <f>INDEX(AVA_1!$A:$J,MATCH('2021'!$A81,AVA_1!$A:$A,0),MATCH('2021'!$A$1,AVA_1!$3:$3,0))</f>
        <v>0.35899999999999999</v>
      </c>
      <c r="F81" s="15">
        <f>INDEX(AVA_2!$A:$J,MATCH('2021'!$A81,AVA_2!$A:$A,0),MATCH('2021'!$A$1,AVA_2!$3:$3,0))</f>
        <v>9.8537485663784102E-3</v>
      </c>
      <c r="G81" s="15">
        <f>INDEX(AVA_3!$A:$J,MATCH('2021'!$A81,AVA_3!$A:$A,0),MATCH('2021'!$A$1,AVA_3!$3:$3,0))</f>
        <v>0.34351291907954201</v>
      </c>
      <c r="H81" s="87">
        <f>INDEX(AVA_4!$A:$J,MATCH('2021'!$A81,AVA_4!$A:$A,0),MATCH('2021'!$A$1,AVA_4!$3:$3,0))/(B81/1000)</f>
        <v>0.99803713537124006</v>
      </c>
      <c r="I81" s="89">
        <f>INDEX(AVA_5!$A:$J,MATCH('2021'!$A81,AVA_5!$A:$A,0),MATCH('2021'!$A$1,AVA_5!$3:$3,0))/(B81/1000)</f>
        <v>6.0572639100333312</v>
      </c>
      <c r="J81" s="93">
        <f>INDEX(IRA_1!$A:$J,MATCH('2021'!$A81,IRA_1!$A:$A,0),MATCH('2021'!$A$1,IRA_1!$3:$3,0))/(B81/1000)</f>
        <v>6.379747012443128E-2</v>
      </c>
      <c r="K81" s="88">
        <f>INDEX(IRA_2!$A:$J,MATCH('2021'!$A81,IRA_2!$A:$A,0),MATCH('2021'!$A$1,IRA_2!$3:$3,0))/(B81/1000)</f>
        <v>0.16255245812526325</v>
      </c>
      <c r="L81" s="15">
        <f>INDEX(IRA_3!$A:$J,MATCH('2021'!$A81,IRA_3!$A:$A,0),MATCH('2021'!$A$1,IRA_3!$3:$3,0))</f>
        <v>0.34017250392054366</v>
      </c>
      <c r="M81" s="96">
        <f>INDEX(IRA_4!$A:$J,MATCH('2021'!$A81,IRA_4!$A:$A,0),MATCH('2021'!$A$1,IRA_4!$3:$3,0))/(B81/1000)</f>
        <v>3.1697729334426334</v>
      </c>
      <c r="N81" s="61">
        <f>INDEX(INV_1!$A:$J,MATCH('2021'!$A81,INV_1!$A:$A,0),MATCH('2021'!$A$1,INV_1!$3:$3,0))</f>
        <v>7.2426054879554155E-2</v>
      </c>
      <c r="O81" s="80">
        <f>INDEX(INV_2!$A:$J,MATCH('2021'!$A81,INV_2!$A:$A,0),MATCH('2021'!$A$1,INV_2!$3:$3,0))/B81*10^6/C81</f>
        <v>0.25890345188307817</v>
      </c>
      <c r="P81" s="87">
        <f>INDEX(INV_3!$A:$J,MATCH('2021'!$A81,INV_3!$A:$A,0),MATCH('2021'!$A$1,INV_3!$3:$3,0))/B81*10^6/C81</f>
        <v>4.7893489319833682</v>
      </c>
      <c r="Q81" s="87">
        <f>INDEX(INV_4!$A:$J,MATCH('2021'!$A81,INV_4!$A:$A,0),MATCH('2021'!$A$1,INV_4!$3:$3,0))/B81*10^3/C81</f>
        <v>0.25192915212543937</v>
      </c>
      <c r="R81" s="34">
        <f>INDEX(INV_5!$A:$J,MATCH('2021'!$A81,INV_5!$A:$A,0),MATCH('2021'!$A$1,INV_5!$3:$3,0))</f>
        <v>4.7100000000000003E-2</v>
      </c>
      <c r="S81" s="77">
        <f>INDEX(LUJ_1!$A:$J,MATCH('2021'!$A81,LUJ_1!$A:$A,0),MATCH('2021'!$A$1,LUJ_1!$3:$3,0))</f>
        <v>0.7782479235229588</v>
      </c>
      <c r="T81" s="73">
        <f>INDEX(LUJ_2!$A:$J,MATCH('2021'!$A81,LUJ_2!$A:$A,0),MATCH('2021'!$A$1,LUJ_2!$3:$3,0))</f>
        <v>0.26800000000000002</v>
      </c>
      <c r="U81" s="73">
        <f>INDEX(LUJ_3!$A:$J,MATCH('2021'!$A81,LUJ_3!$A:$A,0),MATCH('2021'!$A$1,LUJ_3!$3:$3,0))</f>
        <v>0.52842551551358641</v>
      </c>
      <c r="V81" s="14">
        <f>INDEX(LUJ_4!$A:$J,MATCH('2021'!$A81,LUJ_4!$A:$A,0),MATCH('2021'!$A$1,LUJ_4!$3:$3,0))</f>
        <v>20</v>
      </c>
      <c r="W81" s="34">
        <f>INDEX(LUJ_5!$A:$J,MATCH('2021'!$A81,LUJ_5!$A:$A,0),MATCH('2021'!$A$1,LUJ_5!$3:$3,0))</f>
        <v>26.7</v>
      </c>
      <c r="X81" s="98">
        <f>1/INDEX(GUL_1!$A:$J,MATCH('2021'!$A81,GUL_1!$A:$A,0),MATCH('2021'!$A$1,GUL_1!$3:$3,0))</f>
        <v>1.4475969889982629E-2</v>
      </c>
      <c r="Y81" s="57">
        <f>INDEX(GUL_2!$A:$J,MATCH('2021'!$A81,GUL_2!$A:$A,0),MATCH('2021'!$A$1,GUL_2!$3:$3,0))</f>
        <v>25</v>
      </c>
      <c r="Z81" s="57">
        <f>INDEX(GUL_3!$A:$J,MATCH('2021'!$A81,GUL_3!$A:$A,0),MATCH('2021'!$A$1,GUL_3!$3:$3,0))/(B81/1000)</f>
        <v>0.83024104956451661</v>
      </c>
      <c r="AA81" s="101">
        <f>INDEX(GUL_4!$A:$J,MATCH('2021'!$A81,GUL_4!$A:$A,0),MATCH('2021'!$A$1,GUL_4!$3:$3,0))/B81/C81*10^6</f>
        <v>0.27454210036085086</v>
      </c>
      <c r="AB81" s="73">
        <f>INDEX(GUL_5!$A:$J,MATCH('2021'!$A81,GUL_5!$A:$A,0),MATCH('2021'!$A$1,GUL_5!$3:$3,0))</f>
        <v>2.7444447809196002E-2</v>
      </c>
      <c r="AC81" s="49">
        <f>INDEX(GUL_6!$A:$J,MATCH('2021'!$A81,GUL_6!$A:$A,0),MATCH('2021'!$A$1,GUL_6!$3:$3,0))</f>
        <v>4.7009148370000003E-2</v>
      </c>
      <c r="AD81" s="49">
        <f>INDEX(GUL_7!$A:$J,MATCH('2021'!$A81,GUL_7!$A:$A,0),MATCH('2021'!$A$1,GUL_7!$3:$3,0))</f>
        <v>0.19109999999999999</v>
      </c>
      <c r="AE81" s="103">
        <f>INDEX(GUL_8!$A:$J,MATCH('2021'!$A81,GUL_8!$A:$A,0),MATCH('2021'!$A$1,GUL_8!$3:$3,0))/(B81/1000)</f>
        <v>2.5536466808710712</v>
      </c>
      <c r="AF81" s="41">
        <f>INDEX(DES_1!$A:$J,MATCH('2021'!$A81,DES_1!$A:$A,0),MATCH('2021'!$A$1,DES_1!$3:$3,0))/(B81/1000)</f>
        <v>0.1144858710452123</v>
      </c>
      <c r="AG81" s="100">
        <f>INDEX(DES_2!$A:$J,MATCH('2021'!$A81,DES_2!$A:$A,0),MATCH('2021'!$A$1,DES_2!$3:$3,0))/(B81/1000)</f>
        <v>0.3382139854541768</v>
      </c>
      <c r="AH81" s="57">
        <f>1/INDEX(DES_3!$A:$J,MATCH('2021'!$A81,DES_3!$A:$A,0),MATCH('2021'!$A$1,DES_3!$3:$3,0))</f>
        <v>8.368200836820083E-3</v>
      </c>
      <c r="AI81" s="80">
        <f>INDEX(DES_4!$A:$J,MATCH('2021'!$A81,DES_4!$A:$A,0),MATCH('2021'!$A$1,DES_4!$3:$3,0))</f>
        <v>0.73383244340599996</v>
      </c>
      <c r="AJ81" s="110">
        <f>INDEX(DES_5!$A:$J,MATCH('2021'!$A81,DES_5!$A:$A,0),MATCH('2021'!$A$1,DES_5!$3:$3,0))</f>
        <v>0.55966880654100004</v>
      </c>
      <c r="AK81" s="57">
        <v>55</v>
      </c>
    </row>
    <row r="82" spans="1:37" x14ac:dyDescent="0.3">
      <c r="A82" s="29" t="s">
        <v>81</v>
      </c>
      <c r="B82" s="33">
        <f>INDEX(Population!$A:$J,MATCH('2021'!$A82,Population!$A:$A,0),MATCH('2021'!$A$1,Population!$3:$3,0))</f>
        <v>507658</v>
      </c>
      <c r="C82" s="14">
        <f>INDEX(Income!$A:$J,MATCH('2021'!$A82,Income!$A:$A,0),MATCH('2021'!$A$1,Income!$3:$3,0))</f>
        <v>18139</v>
      </c>
      <c r="D82" s="34">
        <f>INDEX(Livable_wage!$A:$J,MATCH('2021'!$A82,Livable_wage!$A:$A,0),MATCH('2021'!$A$1,Livable_wage!$3:$3,0))</f>
        <v>10964</v>
      </c>
      <c r="E82" s="41">
        <f>INDEX(AVA_1!$A:$J,MATCH('2021'!$A82,AVA_1!$A:$A,0),MATCH('2021'!$A$1,AVA_1!$3:$3,0))</f>
        <v>0.32900000000000001</v>
      </c>
      <c r="F82" s="15">
        <f>INDEX(AVA_2!$A:$J,MATCH('2021'!$A82,AVA_2!$A:$A,0),MATCH('2021'!$A$1,AVA_2!$3:$3,0))</f>
        <v>5.8924292581969068E-3</v>
      </c>
      <c r="G82" s="15">
        <f>INDEX(AVA_3!$A:$J,MATCH('2021'!$A82,AVA_3!$A:$A,0),MATCH('2021'!$A$1,AVA_3!$3:$3,0))</f>
        <v>1.2927042008808884E-2</v>
      </c>
      <c r="H82" s="87">
        <f>INDEX(AVA_4!$A:$J,MATCH('2021'!$A82,AVA_4!$A:$A,0),MATCH('2021'!$A$1,AVA_4!$3:$3,0))/(B82/1000)</f>
        <v>0.43139278805810211</v>
      </c>
      <c r="I82" s="89">
        <f>INDEX(AVA_5!$A:$J,MATCH('2021'!$A82,AVA_5!$A:$A,0),MATCH('2021'!$A$1,AVA_5!$3:$3,0))/(B82/1000)</f>
        <v>0.48260837020198638</v>
      </c>
      <c r="J82" s="93">
        <f>INDEX(IRA_1!$A:$J,MATCH('2021'!$A82,IRA_1!$A:$A,0),MATCH('2021'!$A$1,IRA_1!$3:$3,0))/(B82/1000)</f>
        <v>2.166813090702796E-2</v>
      </c>
      <c r="K82" s="88">
        <f>INDEX(IRA_2!$A:$J,MATCH('2021'!$A82,IRA_2!$A:$A,0),MATCH('2021'!$A$1,IRA_2!$3:$3,0))/(B82/1000)</f>
        <v>1.9698300824570872E-2</v>
      </c>
      <c r="L82" s="15">
        <f>INDEX(IRA_3!$A:$J,MATCH('2021'!$A82,IRA_3!$A:$A,0),MATCH('2021'!$A$1,IRA_3!$3:$3,0))</f>
        <v>0.70577451879010078</v>
      </c>
      <c r="M82" s="96">
        <f>INDEX(IRA_4!$A:$J,MATCH('2021'!$A82,IRA_4!$A:$A,0),MATCH('2021'!$A$1,IRA_4!$3:$3,0))/(B82/1000)</f>
        <v>1.21735499095848</v>
      </c>
      <c r="N82" s="61">
        <f>INDEX(INV_1!$A:$J,MATCH('2021'!$A82,INV_1!$A:$A,0),MATCH('2021'!$A$1,INV_1!$3:$3,0))</f>
        <v>5.9050688429762195E-2</v>
      </c>
      <c r="O82" s="80">
        <f>INDEX(INV_2!$A:$J,MATCH('2021'!$A82,INV_2!$A:$A,0),MATCH('2021'!$A$1,INV_2!$3:$3,0))/B82*10^6/C82</f>
        <v>5.2735909843101003E-2</v>
      </c>
      <c r="P82" s="87">
        <f>INDEX(INV_3!$A:$J,MATCH('2021'!$A82,INV_3!$A:$A,0),MATCH('2021'!$A$1,INV_3!$3:$3,0))/B82*10^6/C82</f>
        <v>1.1020362576092686</v>
      </c>
      <c r="Q82" s="87">
        <f>INDEX(INV_4!$A:$J,MATCH('2021'!$A82,INV_4!$A:$A,0),MATCH('2021'!$A$1,INV_4!$3:$3,0))/B82*10^3/C82</f>
        <v>0.16677061039779925</v>
      </c>
      <c r="R82" s="34">
        <f>INDEX(INV_5!$A:$J,MATCH('2021'!$A82,INV_5!$A:$A,0),MATCH('2021'!$A$1,INV_5!$3:$3,0))</f>
        <v>8.9399999999999993E-2</v>
      </c>
      <c r="S82" s="77">
        <f>INDEX(LUJ_1!$A:$J,MATCH('2021'!$A82,LUJ_1!$A:$A,0),MATCH('2021'!$A$1,LUJ_1!$3:$3,0))</f>
        <v>1.0844884488448845</v>
      </c>
      <c r="T82" s="73">
        <f>INDEX(LUJ_2!$A:$J,MATCH('2021'!$A82,LUJ_2!$A:$A,0),MATCH('2021'!$A$1,LUJ_2!$3:$3,0))</f>
        <v>0.21600000000000003</v>
      </c>
      <c r="U82" s="73">
        <f>INDEX(LUJ_3!$A:$J,MATCH('2021'!$A82,LUJ_3!$A:$A,0),MATCH('2021'!$A$1,LUJ_3!$3:$3,0))</f>
        <v>9.8894637817497646E-2</v>
      </c>
      <c r="V82" s="14">
        <f>INDEX(LUJ_4!$A:$J,MATCH('2021'!$A82,LUJ_4!$A:$A,0),MATCH('2021'!$A$1,LUJ_4!$3:$3,0))</f>
        <v>4</v>
      </c>
      <c r="W82" s="34">
        <f>INDEX(LUJ_5!$A:$J,MATCH('2021'!$A82,LUJ_5!$A:$A,0),MATCH('2021'!$A$1,LUJ_5!$3:$3,0))</f>
        <v>6.8</v>
      </c>
      <c r="X82" s="98">
        <f>1/INDEX(GUL_1!$A:$J,MATCH('2021'!$A82,GUL_1!$A:$A,0),MATCH('2021'!$A$1,GUL_1!$3:$3,0))</f>
        <v>1.2419274714356682E-2</v>
      </c>
      <c r="Y82" s="57">
        <f>INDEX(GUL_2!$A:$J,MATCH('2021'!$A82,GUL_2!$A:$A,0),MATCH('2021'!$A$1,GUL_2!$3:$3,0))</f>
        <v>23.7</v>
      </c>
      <c r="Z82" s="57">
        <f>INDEX(GUL_3!$A:$J,MATCH('2021'!$A82,GUL_3!$A:$A,0),MATCH('2021'!$A$1,GUL_3!$3:$3,0))/(B82/1000)</f>
        <v>4.5306091896513002E-2</v>
      </c>
      <c r="AA82" s="101">
        <f>INDEX(GUL_4!$A:$J,MATCH('2021'!$A82,GUL_4!$A:$A,0),MATCH('2021'!$A$1,GUL_4!$3:$3,0))/B82/C82*10^6</f>
        <v>5.6773111461918553E-2</v>
      </c>
      <c r="AB82" s="73">
        <f>INDEX(GUL_5!$A:$J,MATCH('2021'!$A82,GUL_5!$A:$A,0),MATCH('2021'!$A$1,GUL_5!$3:$3,0))</f>
        <v>5.3893581839334912E-3</v>
      </c>
      <c r="AC82" s="49">
        <f>INDEX(GUL_6!$A:$J,MATCH('2021'!$A82,GUL_6!$A:$A,0),MATCH('2021'!$A$1,GUL_6!$3:$3,0))</f>
        <v>8.9999999999999998E-4</v>
      </c>
      <c r="AD82" s="49">
        <f>INDEX(GUL_7!$A:$J,MATCH('2021'!$A82,GUL_7!$A:$A,0),MATCH('2021'!$A$1,GUL_7!$3:$3,0))</f>
        <v>4.8799999999999996E-2</v>
      </c>
      <c r="AE82" s="103">
        <f>INDEX(GUL_8!$A:$J,MATCH('2021'!$A82,GUL_8!$A:$A,0),MATCH('2021'!$A$1,GUL_8!$3:$3,0))/(B82/1000)</f>
        <v>0.29744434245102014</v>
      </c>
      <c r="AF82" s="41">
        <f>INDEX(DES_1!$A:$J,MATCH('2021'!$A82,DES_1!$A:$A,0),MATCH('2021'!$A$1,DES_1!$3:$3,0))/(B82/1000)</f>
        <v>3.9396601649141745E-3</v>
      </c>
      <c r="AG82" s="100">
        <f>INDEX(DES_2!$A:$J,MATCH('2021'!$A82,DES_2!$A:$A,0),MATCH('2021'!$A$1,DES_2!$3:$3,0))/(B82/1000)</f>
        <v>0.39593584657387454</v>
      </c>
      <c r="AH82" s="57">
        <f>1/INDEX(DES_3!$A:$J,MATCH('2021'!$A82,DES_3!$A:$A,0),MATCH('2021'!$A$1,DES_3!$3:$3,0))</f>
        <v>1.0030090270812437E-2</v>
      </c>
      <c r="AI82" s="80">
        <f>INDEX(DES_4!$A:$J,MATCH('2021'!$A82,DES_4!$A:$A,0),MATCH('2021'!$A$1,DES_4!$3:$3,0))</f>
        <v>0.89937976826799992</v>
      </c>
      <c r="AJ82" s="110">
        <f>INDEX(DES_5!$A:$J,MATCH('2021'!$A82,DES_5!$A:$A,0),MATCH('2021'!$A$1,DES_5!$3:$3,0))</f>
        <v>6.5996111077E-2</v>
      </c>
      <c r="AK82" s="57">
        <v>34</v>
      </c>
    </row>
    <row r="83" spans="1:37" x14ac:dyDescent="0.3">
      <c r="A83" s="29" t="s">
        <v>82</v>
      </c>
      <c r="B83" s="33">
        <f>INDEX(Population!$A:$J,MATCH('2021'!$A83,Population!$A:$A,0),MATCH('2021'!$A$1,Population!$3:$3,0))</f>
        <v>3433528</v>
      </c>
      <c r="C83" s="14">
        <f>INDEX(Income!$A:$J,MATCH('2021'!$A83,Income!$A:$A,0),MATCH('2021'!$A$1,Income!$3:$3,0))</f>
        <v>29498</v>
      </c>
      <c r="D83" s="34">
        <f>INDEX(Livable_wage!$A:$J,MATCH('2021'!$A83,Livable_wage!$A:$A,0),MATCH('2021'!$A$1,Livable_wage!$3:$3,0))</f>
        <v>11430</v>
      </c>
      <c r="E83" s="41">
        <f>INDEX(AVA_1!$A:$J,MATCH('2021'!$A83,AVA_1!$A:$A,0),MATCH('2021'!$A$1,AVA_1!$3:$3,0))</f>
        <v>0.34200000000000003</v>
      </c>
      <c r="F83" s="15">
        <f>INDEX(AVA_2!$A:$J,MATCH('2021'!$A83,AVA_2!$A:$A,0),MATCH('2021'!$A$1,AVA_2!$3:$3,0))</f>
        <v>1.1089374752386838E-2</v>
      </c>
      <c r="G83" s="15">
        <f>INDEX(AVA_3!$A:$J,MATCH('2021'!$A83,AVA_3!$A:$A,0),MATCH('2021'!$A$1,AVA_3!$3:$3,0))</f>
        <v>4.8233179720807443E-2</v>
      </c>
      <c r="H83" s="87">
        <f>INDEX(AVA_4!$A:$J,MATCH('2021'!$A83,AVA_4!$A:$A,0),MATCH('2021'!$A$1,AVA_4!$3:$3,0))/(B83/1000)</f>
        <v>0.83296248057391697</v>
      </c>
      <c r="I83" s="89">
        <f>INDEX(AVA_5!$A:$J,MATCH('2021'!$A83,AVA_5!$A:$A,0),MATCH('2021'!$A$1,AVA_5!$3:$3,0))/(B83/1000)</f>
        <v>7.4116186033723919</v>
      </c>
      <c r="J83" s="93">
        <f>INDEX(IRA_1!$A:$J,MATCH('2021'!$A83,IRA_1!$A:$A,0),MATCH('2021'!$A$1,IRA_1!$3:$3,0))/(B83/1000)</f>
        <v>5.242421206409268E-2</v>
      </c>
      <c r="K83" s="88">
        <f>INDEX(IRA_2!$A:$J,MATCH('2021'!$A83,IRA_2!$A:$A,0),MATCH('2021'!$A$1,IRA_2!$3:$3,0))/(B83/1000)</f>
        <v>0.16222381177610901</v>
      </c>
      <c r="L83" s="15">
        <f>INDEX(IRA_3!$A:$J,MATCH('2021'!$A83,IRA_3!$A:$A,0),MATCH('2021'!$A$1,IRA_3!$3:$3,0))</f>
        <v>0.34076836730999027</v>
      </c>
      <c r="M83" s="96">
        <f>INDEX(IRA_4!$A:$J,MATCH('2021'!$A83,IRA_4!$A:$A,0),MATCH('2021'!$A$1,IRA_4!$3:$3,0))/(B83/1000)</f>
        <v>5.7579259583728462</v>
      </c>
      <c r="N83" s="61">
        <f>INDEX(INV_1!$A:$J,MATCH('2021'!$A83,INV_1!$A:$A,0),MATCH('2021'!$A$1,INV_1!$3:$3,0))</f>
        <v>8.4432581943464161E-2</v>
      </c>
      <c r="O83" s="80">
        <f>INDEX(INV_2!$A:$J,MATCH('2021'!$A83,INV_2!$A:$A,0),MATCH('2021'!$A$1,INV_2!$3:$3,0))/B83*10^6/C83</f>
        <v>0.49729119381390818</v>
      </c>
      <c r="P83" s="87">
        <f>INDEX(INV_3!$A:$J,MATCH('2021'!$A83,INV_3!$A:$A,0),MATCH('2021'!$A$1,INV_3!$3:$3,0))/B83*10^6/C83</f>
        <v>5.036629881187241</v>
      </c>
      <c r="Q83" s="87">
        <f>INDEX(INV_4!$A:$J,MATCH('2021'!$A83,INV_4!$A:$A,0),MATCH('2021'!$A$1,INV_4!$3:$3,0))/B83*10^3/C83</f>
        <v>0.25621820328137018</v>
      </c>
      <c r="R83" s="34">
        <f>INDEX(INV_5!$A:$J,MATCH('2021'!$A83,INV_5!$A:$A,0),MATCH('2021'!$A$1,INV_5!$3:$3,0))</f>
        <v>8.8300000000000003E-2</v>
      </c>
      <c r="S83" s="77">
        <f>INDEX(LUJ_1!$A:$J,MATCH('2021'!$A83,LUJ_1!$A:$A,0),MATCH('2021'!$A$1,LUJ_1!$3:$3,0))</f>
        <v>0.83506841842069368</v>
      </c>
      <c r="T83" s="73">
        <f>INDEX(LUJ_2!$A:$J,MATCH('2021'!$A83,LUJ_2!$A:$A,0),MATCH('2021'!$A$1,LUJ_2!$3:$3,0))</f>
        <v>0.23100000000000001</v>
      </c>
      <c r="U83" s="73">
        <f>INDEX(LUJ_3!$A:$J,MATCH('2021'!$A83,LUJ_3!$A:$A,0),MATCH('2021'!$A$1,LUJ_3!$3:$3,0))</f>
        <v>0.45209661488731256</v>
      </c>
      <c r="V83" s="14">
        <f>INDEX(LUJ_4!$A:$J,MATCH('2021'!$A83,LUJ_4!$A:$A,0),MATCH('2021'!$A$1,LUJ_4!$3:$3,0))</f>
        <v>63</v>
      </c>
      <c r="W83" s="34">
        <f>INDEX(LUJ_5!$A:$J,MATCH('2021'!$A83,LUJ_5!$A:$A,0),MATCH('2021'!$A$1,LUJ_5!$3:$3,0))</f>
        <v>70.099999999999994</v>
      </c>
      <c r="X83" s="98">
        <f>1/INDEX(GUL_1!$A:$J,MATCH('2021'!$A83,GUL_1!$A:$A,0),MATCH('2021'!$A$1,GUL_1!$3:$3,0))</f>
        <v>1.4459224985540775E-2</v>
      </c>
      <c r="Y83" s="57">
        <f>INDEX(GUL_2!$A:$J,MATCH('2021'!$A83,GUL_2!$A:$A,0),MATCH('2021'!$A$1,GUL_2!$3:$3,0))</f>
        <v>25.2</v>
      </c>
      <c r="Z83" s="57">
        <f>INDEX(GUL_3!$A:$J,MATCH('2021'!$A83,GUL_3!$A:$A,0),MATCH('2021'!$A$1,GUL_3!$3:$3,0))/(B83/1000)</f>
        <v>0.95179069458586041</v>
      </c>
      <c r="AA83" s="101">
        <f>INDEX(GUL_4!$A:$J,MATCH('2021'!$A83,GUL_4!$A:$A,0),MATCH('2021'!$A$1,GUL_4!$3:$3,0))/B83/C83*10^6</f>
        <v>0.32154008428080638</v>
      </c>
      <c r="AB83" s="73">
        <f>INDEX(GUL_5!$A:$J,MATCH('2021'!$A83,GUL_5!$A:$A,0),MATCH('2021'!$A$1,GUL_5!$3:$3,0))</f>
        <v>3.4262232468082729E-2</v>
      </c>
      <c r="AC83" s="49">
        <f>INDEX(GUL_6!$A:$J,MATCH('2021'!$A83,GUL_6!$A:$A,0),MATCH('2021'!$A$1,GUL_6!$3:$3,0))</f>
        <v>4.3550549073999995E-2</v>
      </c>
      <c r="AD83" s="49">
        <f>INDEX(GUL_7!$A:$J,MATCH('2021'!$A83,GUL_7!$A:$A,0),MATCH('2021'!$A$1,GUL_7!$3:$3,0))</f>
        <v>0.2147</v>
      </c>
      <c r="AE83" s="103">
        <f>INDEX(GUL_8!$A:$J,MATCH('2021'!$A83,GUL_8!$A:$A,0),MATCH('2021'!$A$1,GUL_8!$3:$3,0))/(B83/1000)</f>
        <v>2.7650859407583104</v>
      </c>
      <c r="AF83" s="41">
        <f>INDEX(DES_1!$A:$J,MATCH('2021'!$A83,DES_1!$A:$A,0),MATCH('2021'!$A$1,DES_1!$3:$3,0))/(B83/1000)</f>
        <v>0.15814637306001292</v>
      </c>
      <c r="AG83" s="100">
        <f>INDEX(DES_2!$A:$J,MATCH('2021'!$A83,DES_2!$A:$A,0),MATCH('2021'!$A$1,DES_2!$3:$3,0))/(B83/1000)</f>
        <v>0.83383621744165193</v>
      </c>
      <c r="AH83" s="57">
        <f>1/INDEX(DES_3!$A:$J,MATCH('2021'!$A83,DES_3!$A:$A,0),MATCH('2021'!$A$1,DES_3!$3:$3,0))</f>
        <v>8.4530853761623E-3</v>
      </c>
      <c r="AI83" s="80">
        <f>INDEX(DES_4!$A:$J,MATCH('2021'!$A83,DES_4!$A:$A,0),MATCH('2021'!$A$1,DES_4!$3:$3,0))</f>
        <v>0.974252126266</v>
      </c>
      <c r="AJ83" s="110">
        <f>INDEX(DES_5!$A:$J,MATCH('2021'!$A83,DES_5!$A:$A,0),MATCH('2021'!$A$1,DES_5!$3:$3,0))</f>
        <v>0.77820407880100007</v>
      </c>
      <c r="AK83" s="57">
        <v>24</v>
      </c>
    </row>
    <row r="84" spans="1:37" ht="17.25" thickBot="1" x14ac:dyDescent="0.35">
      <c r="A84" s="29" t="s">
        <v>83</v>
      </c>
      <c r="B84" s="35">
        <f>INDEX(Population!$A:$J,MATCH('2021'!$A84,Population!$A:$A,0),MATCH('2021'!$A$1,Population!$3:$3,0))</f>
        <v>4093857</v>
      </c>
      <c r="C84" s="36">
        <f>INDEX(Income!$A:$J,MATCH('2021'!$A84,Income!$A:$A,0),MATCH('2021'!$A$1,Income!$3:$3,0))</f>
        <v>32621</v>
      </c>
      <c r="D84" s="37">
        <f>INDEX(Livable_wage!$A:$J,MATCH('2021'!$A84,Livable_wage!$A:$A,0),MATCH('2021'!$A$1,Livable_wage!$3:$3,0))</f>
        <v>10015</v>
      </c>
      <c r="E84" s="42">
        <f>INDEX(AVA_1!$A:$J,MATCH('2021'!$A84,AVA_1!$A:$A,0),MATCH('2021'!$A$1,AVA_1!$3:$3,0))</f>
        <v>0.39600000000000002</v>
      </c>
      <c r="F84" s="43">
        <f>INDEX(AVA_2!$A:$J,MATCH('2021'!$A84,AVA_2!$A:$A,0),MATCH('2021'!$A$1,AVA_2!$3:$3,0))</f>
        <v>1.0389258761605529E-2</v>
      </c>
      <c r="G84" s="43">
        <f>INDEX(AVA_3!$A:$J,MATCH('2021'!$A84,AVA_3!$A:$A,0),MATCH('2021'!$A$1,AVA_3!$3:$3,0))</f>
        <v>2.0318852321054025E-2</v>
      </c>
      <c r="H84" s="87">
        <f>INDEX(AVA_4!$A:$J,MATCH('2021'!$A84,AVA_4!$A:$A,0),MATCH('2021'!$A$1,AVA_4!$3:$3,0))/(B84/1000)</f>
        <v>0.6214188722273396</v>
      </c>
      <c r="I84" s="90">
        <f>INDEX(AVA_5!$A:$J,MATCH('2021'!$A84,AVA_5!$A:$A,0),MATCH('2021'!$A$1,AVA_5!$3:$3,0))/(B84/1000)</f>
        <v>4.8421329811959728</v>
      </c>
      <c r="J84" s="94">
        <f>INDEX(IRA_1!$A:$J,MATCH('2021'!$A84,IRA_1!$A:$A,0),MATCH('2021'!$A$1,IRA_1!$3:$3,0))/(B84/1000)</f>
        <v>5.1784906018944969E-2</v>
      </c>
      <c r="K84" s="95">
        <f>INDEX(IRA_2!$A:$J,MATCH('2021'!$A84,IRA_2!$A:$A,0),MATCH('2021'!$A$1,IRA_2!$3:$3,0))/(B84/1000)</f>
        <v>0.11456189114568487</v>
      </c>
      <c r="L84" s="43">
        <f>INDEX(IRA_3!$A:$J,MATCH('2021'!$A84,IRA_3!$A:$A,0),MATCH('2021'!$A$1,IRA_3!$3:$3,0))</f>
        <v>0.36364458921462184</v>
      </c>
      <c r="M84" s="97">
        <f>INDEX(IRA_4!$A:$J,MATCH('2021'!$A84,IRA_4!$A:$A,0),MATCH('2021'!$A$1,IRA_4!$3:$3,0))/(B84/1000)</f>
        <v>3.6115086579721765</v>
      </c>
      <c r="N84" s="62">
        <f>INDEX(INV_1!$A:$J,MATCH('2021'!$A84,INV_1!$A:$A,0),MATCH('2021'!$A$1,INV_1!$3:$3,0))</f>
        <v>6.607800310223666E-2</v>
      </c>
      <c r="O84" s="91">
        <f>INDEX(INV_2!$A:$J,MATCH('2021'!$A84,INV_2!$A:$A,0),MATCH('2021'!$A$1,INV_2!$3:$3,0))/B84*10^6/C84</f>
        <v>0.33320724583044942</v>
      </c>
      <c r="P84" s="92">
        <f>INDEX(INV_3!$A:$J,MATCH('2021'!$A84,INV_3!$A:$A,0),MATCH('2021'!$A$1,INV_3!$3:$3,0))/B84*10^6/C84</f>
        <v>5.0720835890039684</v>
      </c>
      <c r="Q84" s="92">
        <f>INDEX(INV_4!$A:$J,MATCH('2021'!$A84,INV_4!$A:$A,0),MATCH('2021'!$A$1,INV_4!$3:$3,0))/B84*10^3/C84</f>
        <v>0.26854162672570259</v>
      </c>
      <c r="R84" s="37">
        <f>INDEX(INV_5!$A:$J,MATCH('2021'!$A84,INV_5!$A:$A,0),MATCH('2021'!$A$1,INV_5!$3:$3,0))</f>
        <v>9.2999999999999999E-2</v>
      </c>
      <c r="S84" s="78">
        <f>INDEX(LUJ_1!$A:$J,MATCH('2021'!$A84,LUJ_1!$A:$A,0),MATCH('2021'!$A$1,LUJ_1!$3:$3,0))</f>
        <v>0.725125889911443</v>
      </c>
      <c r="T84" s="79">
        <f>INDEX(LUJ_2!$A:$J,MATCH('2021'!$A84,LUJ_2!$A:$A,0),MATCH('2021'!$A$1,LUJ_2!$3:$3,0))</f>
        <v>0.17600000000000002</v>
      </c>
      <c r="U84" s="79">
        <f>INDEX(LUJ_3!$A:$J,MATCH('2021'!$A84,LUJ_3!$A:$A,0),MATCH('2021'!$A$1,LUJ_3!$3:$3,0))</f>
        <v>0.3237651698359798</v>
      </c>
      <c r="V84" s="36">
        <f>INDEX(LUJ_4!$A:$J,MATCH('2021'!$A84,LUJ_4!$A:$A,0),MATCH('2021'!$A$1,LUJ_4!$3:$3,0))</f>
        <v>68</v>
      </c>
      <c r="W84" s="37">
        <f>INDEX(LUJ_5!$A:$J,MATCH('2021'!$A84,LUJ_5!$A:$A,0),MATCH('2021'!$A$1,LUJ_5!$3:$3,0))</f>
        <v>43.8</v>
      </c>
      <c r="X84" s="99">
        <f>1/INDEX(GUL_1!$A:$J,MATCH('2021'!$A84,GUL_1!$A:$A,0),MATCH('2021'!$A$1,GUL_1!$3:$3,0))</f>
        <v>1.4390559792775939E-2</v>
      </c>
      <c r="Y84" s="85">
        <f>INDEX(GUL_2!$A:$J,MATCH('2021'!$A84,GUL_2!$A:$A,0),MATCH('2021'!$A$1,GUL_2!$3:$3,0))</f>
        <v>25.6</v>
      </c>
      <c r="Z84" s="85">
        <f>INDEX(GUL_3!$A:$J,MATCH('2021'!$A84,GUL_3!$A:$A,0),MATCH('2021'!$A$1,GUL_3!$3:$3,0))/(B84/1000)</f>
        <v>0.77799493240726292</v>
      </c>
      <c r="AA84" s="102">
        <f>INDEX(GUL_4!$A:$J,MATCH('2021'!$A84,GUL_4!$A:$A,0),MATCH('2021'!$A$1,GUL_4!$3:$3,0))/B84/C84*10^6</f>
        <v>0.20424167997613751</v>
      </c>
      <c r="AB84" s="79">
        <f>INDEX(GUL_5!$A:$J,MATCH('2021'!$A84,GUL_5!$A:$A,0),MATCH('2021'!$A$1,GUL_5!$3:$3,0))</f>
        <v>2.405246776072233E-2</v>
      </c>
      <c r="AC84" s="86">
        <f>INDEX(GUL_6!$A:$J,MATCH('2021'!$A84,GUL_6!$A:$A,0),MATCH('2021'!$A$1,GUL_6!$3:$3,0))</f>
        <v>4.2825344582999997E-2</v>
      </c>
      <c r="AD84" s="86">
        <f>INDEX(GUL_7!$A:$J,MATCH('2021'!$A84,GUL_7!$A:$A,0),MATCH('2021'!$A$1,GUL_7!$3:$3,0))</f>
        <v>0.1525</v>
      </c>
      <c r="AE84" s="104">
        <f>INDEX(GUL_8!$A:$J,MATCH('2021'!$A84,GUL_8!$A:$A,0),MATCH('2021'!$A$1,GUL_8!$3:$3,0))/(B84/1000)</f>
        <v>2.318351618046258</v>
      </c>
      <c r="AF84" s="42">
        <f>INDEX(DES_1!$A:$J,MATCH('2021'!$A84,DES_1!$A:$A,0),MATCH('2021'!$A$1,DES_1!$3:$3,0))/(B84/1000)</f>
        <v>0.15657606017992323</v>
      </c>
      <c r="AG84" s="111">
        <f>INDEX(DES_2!$A:$J,MATCH('2021'!$A84,DES_2!$A:$A,0),MATCH('2021'!$A$1,DES_2!$3:$3,0))/(B84/1000)</f>
        <v>0.46581988574588706</v>
      </c>
      <c r="AH84" s="57">
        <f>1/INDEX(DES_3!$A:$J,MATCH('2021'!$A84,DES_3!$A:$A,0),MATCH('2021'!$A$1,DES_3!$3:$3,0))</f>
        <v>8.0580177276390018E-3</v>
      </c>
      <c r="AI84" s="91">
        <f>INDEX(DES_4!$A:$J,MATCH('2021'!$A84,DES_4!$A:$A,0),MATCH('2021'!$A$1,DES_4!$3:$3,0))</f>
        <v>0.96384751953699999</v>
      </c>
      <c r="AJ84" s="112">
        <f>INDEX(DES_5!$A:$J,MATCH('2021'!$A84,DES_5!$A:$A,0),MATCH('2021'!$A$1,DES_5!$3:$3,0))</f>
        <v>0.81450259502899991</v>
      </c>
      <c r="AK84" s="57">
        <v>61</v>
      </c>
    </row>
  </sheetData>
  <autoFilter ref="A1:AK84" xr:uid="{00000000-0001-0000-00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156EE-294C-4AED-AA4C-8DF87BBEFE92}">
  <sheetPr codeName="Лист38">
    <tabColor rgb="FF002060"/>
  </sheetPr>
  <dimension ref="A1:AK84"/>
  <sheetViews>
    <sheetView showGridLines="0"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AH2" sqref="AH2:AH84"/>
    </sheetView>
  </sheetViews>
  <sheetFormatPr defaultRowHeight="16.5" x14ac:dyDescent="0.3"/>
  <cols>
    <col min="1" max="1" width="43.140625" style="13" bestFit="1" customWidth="1"/>
    <col min="2" max="4" width="19.7109375" style="13" customWidth="1"/>
    <col min="5" max="5" width="16.7109375" style="13" customWidth="1"/>
    <col min="6" max="36" width="15.85546875" style="13" customWidth="1"/>
    <col min="37" max="16384" width="9.140625" style="13"/>
  </cols>
  <sheetData>
    <row r="1" spans="1:37" x14ac:dyDescent="0.3">
      <c r="A1" s="28">
        <v>2020</v>
      </c>
      <c r="B1" s="30" t="s">
        <v>113</v>
      </c>
      <c r="C1" s="31" t="s">
        <v>140</v>
      </c>
      <c r="D1" s="32" t="s">
        <v>141</v>
      </c>
      <c r="E1" s="38" t="s">
        <v>84</v>
      </c>
      <c r="F1" s="39" t="s">
        <v>104</v>
      </c>
      <c r="G1" s="39" t="s">
        <v>107</v>
      </c>
      <c r="H1" s="39" t="s">
        <v>136</v>
      </c>
      <c r="I1" s="40" t="s">
        <v>144</v>
      </c>
      <c r="J1" s="44" t="s">
        <v>115</v>
      </c>
      <c r="K1" s="45" t="s">
        <v>116</v>
      </c>
      <c r="L1" s="45" t="s">
        <v>169</v>
      </c>
      <c r="M1" s="55" t="s">
        <v>170</v>
      </c>
      <c r="N1" s="58" t="s">
        <v>114</v>
      </c>
      <c r="O1" s="59" t="s">
        <v>279</v>
      </c>
      <c r="P1" s="59" t="s">
        <v>280</v>
      </c>
      <c r="Q1" s="59" t="s">
        <v>281</v>
      </c>
      <c r="R1" s="60" t="s">
        <v>282</v>
      </c>
      <c r="S1" s="74" t="s">
        <v>110</v>
      </c>
      <c r="T1" s="75" t="s">
        <v>111</v>
      </c>
      <c r="U1" s="75" t="s">
        <v>118</v>
      </c>
      <c r="V1" s="75" t="s">
        <v>119</v>
      </c>
      <c r="W1" s="76" t="s">
        <v>312</v>
      </c>
      <c r="X1" s="81" t="s">
        <v>108</v>
      </c>
      <c r="Y1" s="82" t="s">
        <v>109</v>
      </c>
      <c r="Z1" s="83" t="s">
        <v>120</v>
      </c>
      <c r="AA1" s="82" t="s">
        <v>313</v>
      </c>
      <c r="AB1" s="83" t="s">
        <v>314</v>
      </c>
      <c r="AC1" s="82" t="s">
        <v>315</v>
      </c>
      <c r="AD1" s="83" t="s">
        <v>316</v>
      </c>
      <c r="AE1" s="84" t="s">
        <v>317</v>
      </c>
      <c r="AF1" s="105" t="s">
        <v>121</v>
      </c>
      <c r="AG1" s="106" t="s">
        <v>122</v>
      </c>
      <c r="AH1" s="107" t="s">
        <v>318</v>
      </c>
      <c r="AI1" s="106" t="s">
        <v>319</v>
      </c>
      <c r="AJ1" s="108" t="s">
        <v>320</v>
      </c>
      <c r="AK1" s="56" t="s">
        <v>0</v>
      </c>
    </row>
    <row r="2" spans="1:37" x14ac:dyDescent="0.3">
      <c r="A2" s="29" t="s">
        <v>1</v>
      </c>
      <c r="B2" s="33">
        <f>INDEX(Population!$A:$J,MATCH('2020'!$A2,Population!$A:$A,0),MATCH('2020'!$A$1,Population!$3:$3,0))</f>
        <v>981527</v>
      </c>
      <c r="C2" s="14">
        <f>INDEX(Income!$A:$J,MATCH('2020'!$A2,Income!$A:$A,0),MATCH('2020'!$A$1,Income!$3:$3,0))</f>
        <v>26222</v>
      </c>
      <c r="D2" s="34">
        <f>INDEX(Livable_wage!$A:$J,MATCH('2020'!$A2,Livable_wage!$A:$A,0),MATCH('2020'!$A$1,Livable_wage!$3:$3,0))</f>
        <v>12803</v>
      </c>
      <c r="E2" s="41">
        <f>INDEX(AVA_1!$A:$J,MATCH('2020'!$A2,AVA_1!$A:$A,0),MATCH('2020'!$A$1,AVA_1!$3:$3,0))</f>
        <v>0.35599999999999998</v>
      </c>
      <c r="F2" s="15">
        <f>INDEX(AVA_2!$A:$J,MATCH('2020'!$A2,AVA_2!$A:$A,0),MATCH('2020'!$A$1,AVA_2!$3:$3,0))</f>
        <v>9.4374485278073024E-3</v>
      </c>
      <c r="G2" s="15">
        <f>INDEX(AVA_3!$A:$J,MATCH('2020'!$A2,AVA_3!$A:$A,0),MATCH('2020'!$A$1,AVA_3!$3:$3,0))</f>
        <v>5.9459913689911287E-3</v>
      </c>
      <c r="H2" s="87">
        <f>INDEX(AVA_4!$A:$J,MATCH('2020'!$A2,AVA_4!$A:$A,0),MATCH('2020'!$A$1,AVA_4!$3:$3,0))/(B2/1000)</f>
        <v>0.53895613671350862</v>
      </c>
      <c r="I2" s="89">
        <f>INDEX(AVA_5!$A:$J,MATCH('2020'!$A2,AVA_5!$A:$A,0),MATCH('2020'!$A$1,AVA_5!$3:$3,0))/(B2/1000)</f>
        <v>10.01994512835077</v>
      </c>
      <c r="J2" s="93">
        <f>INDEX(IRA_1!$A:$J,MATCH('2020'!$A2,IRA_1!$A:$A,0),MATCH('2020'!$A$1,IRA_1!$3:$3,0))/(B2/1000)</f>
        <v>0.17727479733109736</v>
      </c>
      <c r="K2" s="88">
        <f>INDEX(IRA_2!$A:$J,MATCH('2020'!$A2,IRA_2!$A:$A,0),MATCH('2020'!$A$1,IRA_2!$3:$3,0))/(B2/1000)</f>
        <v>0.28323214746002912</v>
      </c>
      <c r="L2" s="15">
        <f>INDEX(IRA_3!$A:$J,MATCH('2020'!$A2,IRA_3!$A:$A,0),MATCH('2020'!$A$1,IRA_3!$3:$3,0))</f>
        <v>0.34165047550874328</v>
      </c>
      <c r="M2" s="96">
        <f>INDEX(IRA_4!$A:$J,MATCH('2020'!$A2,IRA_4!$A:$A,0),MATCH('2020'!$A$1,IRA_4!$3:$3,0))/(B2/1000)</f>
        <v>7.5087083697137214</v>
      </c>
      <c r="N2" s="61">
        <f>INDEX(INV_1!$A:$J,MATCH('2020'!$A2,INV_1!$A:$A,0),MATCH('2020'!$A$1,INV_1!$3:$3,0))</f>
        <v>7.3140026050162191E-2</v>
      </c>
      <c r="O2" s="80">
        <f>INDEX(INV_2!$A:$J,MATCH('2020'!$A2,INV_2!$A:$A,0),MATCH('2020'!$A$1,INV_2!$3:$3,0))/B2*10^6/C2</f>
        <v>0.3666415774026433</v>
      </c>
      <c r="P2" s="87">
        <f>INDEX(INV_3!$A:$J,MATCH('2020'!$A2,INV_3!$A:$A,0),MATCH('2020'!$A$1,INV_3!$3:$3,0))/B2*10^6/C2</f>
        <v>4.378341245801038</v>
      </c>
      <c r="Q2" s="87">
        <f>INDEX(INV_4!$A:$J,MATCH('2020'!$A2,INV_4!$A:$A,0),MATCH('2020'!$A$1,INV_4!$3:$3,0))/B2*10^3/C2</f>
        <v>0.30505565735634543</v>
      </c>
      <c r="R2" s="34">
        <f>INDEX(INV_5!$A:$J,MATCH('2020'!$A2,INV_5!$A:$A,0),MATCH('2020'!$A$1,INV_5!$3:$3,0))</f>
        <v>7.7200000000000005E-2</v>
      </c>
      <c r="S2" s="77">
        <f>INDEX(LUJ_1!$A:$J,MATCH('2020'!$A2,LUJ_1!$A:$A,0),MATCH('2020'!$A$1,LUJ_1!$3:$3,0))</f>
        <v>0.80104355716878406</v>
      </c>
      <c r="T2" s="73">
        <f>INDEX(LUJ_2!$A:$J,MATCH('2020'!$A2,LUJ_2!$A:$A,0),MATCH('2020'!$A$1,LUJ_2!$3:$3,0))</f>
        <v>0.32400000000000001</v>
      </c>
      <c r="U2" s="73">
        <f>INDEX(LUJ_3!$A:$J,MATCH('2020'!$A2,LUJ_3!$A:$A,0),MATCH('2020'!$A$1,LUJ_3!$3:$3,0))</f>
        <v>0.42485445896109364</v>
      </c>
      <c r="V2" s="14">
        <f>INDEX(LUJ_4!$A:$J,MATCH('2020'!$A2,LUJ_4!$A:$A,0),MATCH('2020'!$A$1,LUJ_4!$3:$3,0))</f>
        <v>68</v>
      </c>
      <c r="W2" s="34">
        <f>INDEX(LUJ_5!$A:$J,MATCH('2020'!$A2,LUJ_5!$A:$A,0),MATCH('2020'!$A$1,LUJ_5!$3:$3,0))</f>
        <v>42.7</v>
      </c>
      <c r="X2" s="98">
        <f>1/INDEX(GUL_1!$A:$J,MATCH('2020'!$A2,GUL_1!$A:$A,0),MATCH('2020'!$A$1,GUL_1!$3:$3,0))</f>
        <v>1.4226774790155071E-2</v>
      </c>
      <c r="Y2" s="57">
        <f>INDEX(GUL_2!$A:$J,MATCH('2020'!$A2,GUL_2!$A:$A,0),MATCH('2020'!$A$1,GUL_2!$3:$3,0))</f>
        <v>24.7</v>
      </c>
      <c r="Z2" s="100">
        <f>INDEX(GUL_3!$A:$J,MATCH('2020'!$A2,GUL_3!$A:$A,0),MATCH('2020'!$A$1,GUL_3!$3:$3,0))/(B2/1000)</f>
        <v>0.73660734753093904</v>
      </c>
      <c r="AA2" s="101">
        <f>INDEX(GUL_4!$A:$J,MATCH('2020'!$A2,GUL_4!$A:$A,0),MATCH('2020'!$A$1,GUL_4!$3:$3,0))/B2/C2*10^6</f>
        <v>0.37875324907991692</v>
      </c>
      <c r="AB2" s="73">
        <f>INDEX(GUL_5!$A:$J,MATCH('2020'!$A2,GUL_5!$A:$A,0),MATCH('2020'!$A$1,GUL_5!$3:$3,0))</f>
        <v>3.2926251348609319E-2</v>
      </c>
      <c r="AC2" s="49">
        <f>INDEX(GUL_6!$A:$J,MATCH('2020'!$A2,GUL_6!$A:$A,0),MATCH('2020'!$A$1,GUL_6!$3:$3,0))</f>
        <v>2.9399999999999999E-2</v>
      </c>
      <c r="AD2" s="49">
        <f>INDEX(GUL_7!$A:$J,MATCH('2020'!$A2,GUL_7!$A:$A,0),MATCH('2020'!$A$1,GUL_7!$3:$3,0))</f>
        <v>0.2892362</v>
      </c>
      <c r="AE2" s="103">
        <f>INDEX(GUL_8!$A:$J,MATCH('2020'!$A2,GUL_8!$A:$A,0),MATCH('2020'!$A$1,GUL_8!$3:$3,0))/(B2/1000)</f>
        <v>4.5205073319429827</v>
      </c>
      <c r="AF2" s="41">
        <f>INDEX(DES_1!$A:$J,MATCH('2020'!$A2,DES_1!$A:$A,0),MATCH('2020'!$A$1,DES_1!$3:$3,0))/(B2/1000)</f>
        <v>0.34028610522176161</v>
      </c>
      <c r="AG2" s="100">
        <f>INDEX(DES_2!$A:$J,MATCH('2020'!$A2,DES_2!$A:$A,0),MATCH('2020'!$A$1,DES_2!$3:$3,0))/(B2/1000)</f>
        <v>1.0605923219636342</v>
      </c>
      <c r="AH2" s="57">
        <f>1/INDEX(DES_3!$A:$J,MATCH('2020'!$A2,DES_3!$A:$A,0),MATCH('2020'!$A$1,DES_3!$3:$3,0))</f>
        <v>8.1433224755700327E-3</v>
      </c>
      <c r="AI2" s="73">
        <f>INDEX(DES_4!$A:$J,MATCH('2020'!$A2,DES_4!$A:$A,0),MATCH('2020'!$A$1,DES_4!$3:$3,0))</f>
        <v>0.75235601676899999</v>
      </c>
      <c r="AJ2" s="109">
        <f>INDEX(DES_5!$A:$J,MATCH('2020'!$A2,DES_5!$A:$A,0),MATCH('2020'!$A$1,DES_5!$3:$3,0))</f>
        <v>0.41027821396599995</v>
      </c>
      <c r="AK2" s="57">
        <v>10</v>
      </c>
    </row>
    <row r="3" spans="1:37" x14ac:dyDescent="0.3">
      <c r="A3" s="29" t="s">
        <v>2</v>
      </c>
      <c r="B3" s="33">
        <f>INDEX(Population!$A:$J,MATCH('2020'!$A3,Population!$A:$A,0),MATCH('2020'!$A$1,Population!$3:$3,0))</f>
        <v>470308</v>
      </c>
      <c r="C3" s="14">
        <f>INDEX(Income!$A:$J,MATCH('2020'!$A3,Income!$A:$A,0),MATCH('2020'!$A$1,Income!$3:$3,0))</f>
        <v>19101</v>
      </c>
      <c r="D3" s="34">
        <f>INDEX(Livable_wage!$A:$J,MATCH('2020'!$A3,Livable_wage!$A:$A,0),MATCH('2020'!$A$1,Livable_wage!$3:$3,0))</f>
        <v>10926</v>
      </c>
      <c r="E3" s="41">
        <f>INDEX(AVA_1!$A:$J,MATCH('2020'!$A3,AVA_1!$A:$A,0),MATCH('2020'!$A$1,AVA_1!$3:$3,0))</f>
        <v>0.33200000000000002</v>
      </c>
      <c r="F3" s="15">
        <f>INDEX(AVA_2!$A:$J,MATCH('2020'!$A3,AVA_2!$A:$A,0),MATCH('2020'!$A$1,AVA_2!$3:$3,0))</f>
        <v>5.734370680462857E-3</v>
      </c>
      <c r="G3" s="15">
        <f>INDEX(AVA_3!$A:$J,MATCH('2020'!$A3,AVA_3!$A:$A,0),MATCH('2020'!$A$1,AVA_3!$3:$3,0))</f>
        <v>9.493325391630409E-3</v>
      </c>
      <c r="H3" s="87">
        <f>INDEX(AVA_4!$A:$J,MATCH('2020'!$A3,AVA_4!$A:$A,0),MATCH('2020'!$A$1,AVA_4!$3:$3,0))/(B3/1000)</f>
        <v>0.93555712426750126</v>
      </c>
      <c r="I3" s="89">
        <f>INDEX(AVA_5!$A:$J,MATCH('2020'!$A3,AVA_5!$A:$A,0),MATCH('2020'!$A$1,AVA_5!$3:$3,0))/(B3/1000)</f>
        <v>1.9667962271532697</v>
      </c>
      <c r="J3" s="93">
        <f>INDEX(IRA_1!$A:$J,MATCH('2020'!$A3,IRA_1!$A:$A,0),MATCH('2020'!$A$1,IRA_1!$3:$3,0))/(B3/1000)</f>
        <v>4.465159002185802E-2</v>
      </c>
      <c r="K3" s="88">
        <f>INDEX(IRA_2!$A:$J,MATCH('2020'!$A3,IRA_2!$A:$A,0),MATCH('2020'!$A$1,IRA_2!$3:$3,0))/(B3/1000)</f>
        <v>4.2525323830340966E-2</v>
      </c>
      <c r="L3" s="15">
        <f>INDEX(IRA_3!$A:$J,MATCH('2020'!$A3,IRA_3!$A:$A,0),MATCH('2020'!$A$1,IRA_3!$3:$3,0))</f>
        <v>0.46223689640940979</v>
      </c>
      <c r="M3" s="96">
        <f>INDEX(IRA_4!$A:$J,MATCH('2020'!$A3,IRA_4!$A:$A,0),MATCH('2020'!$A$1,IRA_4!$3:$3,0))/(B3/1000)</f>
        <v>2.7258732575248561</v>
      </c>
      <c r="N3" s="61">
        <f>INDEX(INV_1!$A:$J,MATCH('2020'!$A3,INV_1!$A:$A,0),MATCH('2020'!$A$1,INV_1!$3:$3,0))</f>
        <v>9.7485018610134103E-2</v>
      </c>
      <c r="O3" s="80">
        <f>INDEX(INV_2!$A:$J,MATCH('2020'!$A3,INV_2!$A:$A,0),MATCH('2020'!$A$1,INV_2!$3:$3,0))/B3*10^6/C3</f>
        <v>0.21432641151391327</v>
      </c>
      <c r="P3" s="87">
        <f>INDEX(INV_3!$A:$J,MATCH('2020'!$A3,INV_3!$A:$A,0),MATCH('2020'!$A$1,INV_3!$3:$3,0))/B3*10^6/C3</f>
        <v>4.0089707670433476</v>
      </c>
      <c r="Q3" s="87">
        <f>INDEX(INV_4!$A:$J,MATCH('2020'!$A3,INV_4!$A:$A,0),MATCH('2020'!$A$1,INV_4!$3:$3,0))/B3*10^3/C3</f>
        <v>0.30152447170175289</v>
      </c>
      <c r="R3" s="34">
        <f>INDEX(INV_5!$A:$J,MATCH('2020'!$A3,INV_5!$A:$A,0),MATCH('2020'!$A$1,INV_5!$3:$3,0))</f>
        <v>0.34749999999999998</v>
      </c>
      <c r="S3" s="77">
        <f>INDEX(LUJ_1!$A:$J,MATCH('2020'!$A3,LUJ_1!$A:$A,0),MATCH('2020'!$A$1,LUJ_1!$3:$3,0))</f>
        <v>0.72066458982346837</v>
      </c>
      <c r="T3" s="73">
        <f>INDEX(LUJ_2!$A:$J,MATCH('2020'!$A3,LUJ_2!$A:$A,0),MATCH('2020'!$A$1,LUJ_2!$3:$3,0))</f>
        <v>0.188</v>
      </c>
      <c r="U3" s="73">
        <f>INDEX(LUJ_3!$A:$J,MATCH('2020'!$A3,LUJ_3!$A:$A,0),MATCH('2020'!$A$1,LUJ_3!$3:$3,0))</f>
        <v>0.22473222979552093</v>
      </c>
      <c r="V3" s="14">
        <f>INDEX(LUJ_4!$A:$J,MATCH('2020'!$A3,LUJ_4!$A:$A,0),MATCH('2020'!$A$1,LUJ_4!$3:$3,0))</f>
        <v>25</v>
      </c>
      <c r="W3" s="34">
        <f>INDEX(LUJ_5!$A:$J,MATCH('2020'!$A3,LUJ_5!$A:$A,0),MATCH('2020'!$A$1,LUJ_5!$3:$3,0))</f>
        <v>11.8</v>
      </c>
      <c r="X3" s="98">
        <f>1/INDEX(GUL_1!$A:$J,MATCH('2020'!$A3,GUL_1!$A:$A,0),MATCH('2020'!$A$1,GUL_1!$3:$3,0))</f>
        <v>1.3365410318096767E-2</v>
      </c>
      <c r="Y3" s="57">
        <f>INDEX(GUL_2!$A:$J,MATCH('2020'!$A3,GUL_2!$A:$A,0),MATCH('2020'!$A$1,GUL_2!$3:$3,0))</f>
        <v>24.8</v>
      </c>
      <c r="Z3" s="57">
        <f>INDEX(GUL_3!$A:$J,MATCH('2020'!$A3,GUL_3!$A:$A,0),MATCH('2020'!$A$1,GUL_3!$3:$3,0))/(B3/1000)</f>
        <v>0.35721272017486416</v>
      </c>
      <c r="AA3" s="101">
        <f>INDEX(GUL_4!$A:$J,MATCH('2020'!$A3,GUL_4!$A:$A,0),MATCH('2020'!$A$1,GUL_4!$3:$3,0))/B3/C3*10^6</f>
        <v>0.10361275893419997</v>
      </c>
      <c r="AB3" s="73">
        <f>INDEX(GUL_5!$A:$J,MATCH('2020'!$A3,GUL_5!$A:$A,0),MATCH('2020'!$A$1,GUL_5!$3:$3,0))</f>
        <v>1.3357407288448465E-2</v>
      </c>
      <c r="AC3" s="49">
        <f>INDEX(GUL_6!$A:$J,MATCH('2020'!$A3,GUL_6!$A:$A,0),MATCH('2020'!$A$1,GUL_6!$3:$3,0))</f>
        <v>1.7000000000000001E-2</v>
      </c>
      <c r="AD3" s="49">
        <f>INDEX(GUL_7!$A:$J,MATCH('2020'!$A3,GUL_7!$A:$A,0),MATCH('2020'!$A$1,GUL_7!$3:$3,0))</f>
        <v>0.13657759999999999</v>
      </c>
      <c r="AE3" s="103">
        <f>INDEX(GUL_8!$A:$J,MATCH('2020'!$A3,GUL_8!$A:$A,0),MATCH('2020'!$A$1,GUL_8!$3:$3,0))/(B3/1000)</f>
        <v>1.3693154273369792</v>
      </c>
      <c r="AF3" s="41">
        <f>INDEX(DES_1!$A:$J,MATCH('2020'!$A3,DES_1!$A:$A,0),MATCH('2020'!$A$1,DES_1!$3:$3,0))/(B3/1000)</f>
        <v>6.378798574551145E-2</v>
      </c>
      <c r="AG3" s="100">
        <f>INDEX(DES_2!$A:$J,MATCH('2020'!$A3,DES_2!$A:$A,0),MATCH('2020'!$A$1,DES_2!$3:$3,0))/(B3/1000)</f>
        <v>0.71017290796669419</v>
      </c>
      <c r="AH3" s="57">
        <f>1/INDEX(DES_3!$A:$J,MATCH('2020'!$A3,DES_3!$A:$A,0),MATCH('2020'!$A$1,DES_3!$3:$3,0))</f>
        <v>9.8039215686274508E-3</v>
      </c>
      <c r="AI3" s="80">
        <f>INDEX(DES_4!$A:$J,MATCH('2020'!$A3,DES_4!$A:$A,0),MATCH('2020'!$A$1,DES_4!$3:$3,0))</f>
        <v>0.22411414467400001</v>
      </c>
      <c r="AJ3" s="110">
        <f>INDEX(DES_5!$A:$J,MATCH('2020'!$A3,DES_5!$A:$A,0),MATCH('2020'!$A$1,DES_5!$3:$3,0))</f>
        <v>0.130709527357</v>
      </c>
      <c r="AK3" s="57">
        <v>13</v>
      </c>
    </row>
    <row r="4" spans="1:37" x14ac:dyDescent="0.3">
      <c r="A4" s="29" t="s">
        <v>3</v>
      </c>
      <c r="B4" s="33">
        <f>INDEX(Population!$A:$J,MATCH('2020'!$A4,Population!$A:$A,0),MATCH('2020'!$A$1,Population!$3:$3,0))</f>
        <v>471462</v>
      </c>
      <c r="C4" s="14">
        <f>INDEX(Income!$A:$J,MATCH('2020'!$A4,Income!$A:$A,0),MATCH('2020'!$A$1,Income!$3:$3,0))</f>
        <v>60797</v>
      </c>
      <c r="D4" s="34">
        <f>INDEX(Livable_wage!$A:$J,MATCH('2020'!$A4,Livable_wage!$A:$A,0),MATCH('2020'!$A$1,Livable_wage!$3:$3,0))</f>
        <v>17178</v>
      </c>
      <c r="E4" s="41">
        <f>INDEX(AVA_1!$A:$J,MATCH('2020'!$A4,AVA_1!$A:$A,0),MATCH('2020'!$A$1,AVA_1!$3:$3,0))</f>
        <v>0.40200000000000002</v>
      </c>
      <c r="F4" s="15">
        <f>INDEX(AVA_2!$A:$J,MATCH('2020'!$A4,AVA_2!$A:$A,0),MATCH('2020'!$A$1,AVA_2!$3:$3,0))</f>
        <v>8.7480761646061729E-3</v>
      </c>
      <c r="G4" s="15">
        <f>INDEX(AVA_3!$A:$J,MATCH('2020'!$A4,AVA_3!$A:$A,0),MATCH('2020'!$A$1,AVA_3!$3:$3,0))</f>
        <v>1.8068783951031332E-2</v>
      </c>
      <c r="H4" s="87">
        <f>INDEX(AVA_4!$A:$J,MATCH('2020'!$A4,AVA_4!$A:$A,0),MATCH('2020'!$A$1,AVA_4!$3:$3,0))/(B4/1000)</f>
        <v>0.71479779918636077</v>
      </c>
      <c r="I4" s="89">
        <f>INDEX(AVA_5!$A:$J,MATCH('2020'!$A4,AVA_5!$A:$A,0),MATCH('2020'!$A$1,AVA_5!$3:$3,0))/(B4/1000)</f>
        <v>6.0789628856620475</v>
      </c>
      <c r="J4" s="93">
        <f>INDEX(IRA_1!$A:$J,MATCH('2020'!$A4,IRA_1!$A:$A,0),MATCH('2020'!$A$1,IRA_1!$3:$3,0))/(B4/1000)</f>
        <v>8.0600345308847798E-2</v>
      </c>
      <c r="K4" s="88">
        <f>INDEX(IRA_2!$A:$J,MATCH('2020'!$A4,IRA_2!$A:$A,0),MATCH('2020'!$A$1,IRA_2!$3:$3,0))/(B4/1000)</f>
        <v>0.24392209764519729</v>
      </c>
      <c r="L4" s="15">
        <f>INDEX(IRA_3!$A:$J,MATCH('2020'!$A4,IRA_3!$A:$A,0),MATCH('2020'!$A$1,IRA_3!$3:$3,0))</f>
        <v>0.38171401289090479</v>
      </c>
      <c r="M4" s="96">
        <f>INDEX(IRA_4!$A:$J,MATCH('2020'!$A4,IRA_4!$A:$A,0),MATCH('2020'!$A$1,IRA_4!$3:$3,0))/(B4/1000)</f>
        <v>6.0598733301941623</v>
      </c>
      <c r="N4" s="61">
        <f>INDEX(INV_1!$A:$J,MATCH('2020'!$A4,INV_1!$A:$A,0),MATCH('2020'!$A$1,INV_1!$3:$3,0))</f>
        <v>6.8569482339985333E-2</v>
      </c>
      <c r="O4" s="80">
        <f>INDEX(INV_2!$A:$J,MATCH('2020'!$A4,INV_2!$A:$A,0),MATCH('2020'!$A$1,INV_2!$3:$3,0))/B4*10^6/C4</f>
        <v>0.17897423444643445</v>
      </c>
      <c r="P4" s="87">
        <f>INDEX(INV_3!$A:$J,MATCH('2020'!$A4,INV_3!$A:$A,0),MATCH('2020'!$A$1,INV_3!$3:$3,0))/B4*10^6/C4</f>
        <v>3.4391154339810259</v>
      </c>
      <c r="Q4" s="87">
        <f>INDEX(INV_4!$A:$J,MATCH('2020'!$A4,INV_4!$A:$A,0),MATCH('2020'!$A$1,INV_4!$3:$3,0))/B4*10^3/C4</f>
        <v>0.22319951618690001</v>
      </c>
      <c r="R4" s="34">
        <f>INDEX(INV_5!$A:$J,MATCH('2020'!$A4,INV_5!$A:$A,0),MATCH('2020'!$A$1,INV_5!$3:$3,0))</f>
        <v>0.1416</v>
      </c>
      <c r="S4" s="77">
        <f>INDEX(LUJ_1!$A:$J,MATCH('2020'!$A4,LUJ_1!$A:$A,0),MATCH('2020'!$A$1,LUJ_1!$3:$3,0))</f>
        <v>0.72649572649572647</v>
      </c>
      <c r="T4" s="73">
        <f>INDEX(LUJ_2!$A:$J,MATCH('2020'!$A4,LUJ_2!$A:$A,0),MATCH('2020'!$A$1,LUJ_2!$3:$3,0))</f>
        <v>0.32299999999999995</v>
      </c>
      <c r="U4" s="73">
        <f>INDEX(LUJ_3!$A:$J,MATCH('2020'!$A4,LUJ_3!$A:$A,0),MATCH('2020'!$A$1,LUJ_3!$3:$3,0))</f>
        <v>0.5761316872427984</v>
      </c>
      <c r="V4" s="14">
        <f>INDEX(LUJ_4!$A:$J,MATCH('2020'!$A4,LUJ_4!$A:$A,0),MATCH('2020'!$A$1,LUJ_4!$3:$3,0))</f>
        <v>8</v>
      </c>
      <c r="W4" s="34">
        <f>INDEX(LUJ_5!$A:$J,MATCH('2020'!$A4,LUJ_5!$A:$A,0),MATCH('2020'!$A$1,LUJ_5!$3:$3,0))</f>
        <v>38.5</v>
      </c>
      <c r="X4" s="98">
        <f>1/INDEX(GUL_1!$A:$J,MATCH('2020'!$A4,GUL_1!$A:$A,0),MATCH('2020'!$A$1,GUL_1!$3:$3,0))</f>
        <v>1.4341029685931449E-2</v>
      </c>
      <c r="Y4" s="57">
        <f>INDEX(GUL_2!$A:$J,MATCH('2020'!$A4,GUL_2!$A:$A,0),MATCH('2020'!$A$1,GUL_2!$3:$3,0))</f>
        <v>24.5</v>
      </c>
      <c r="Z4" s="57">
        <f>INDEX(GUL_3!$A:$J,MATCH('2020'!$A4,GUL_3!$A:$A,0),MATCH('2020'!$A$1,GUL_3!$3:$3,0))/(B4/1000)</f>
        <v>1.7689654733573439</v>
      </c>
      <c r="AA4" s="101">
        <f>INDEX(GUL_4!$A:$J,MATCH('2020'!$A4,GUL_4!$A:$A,0),MATCH('2020'!$A$1,GUL_4!$3:$3,0))/B4/C4*10^6</f>
        <v>0.28568378184653714</v>
      </c>
      <c r="AB4" s="73">
        <f>INDEX(GUL_5!$A:$J,MATCH('2020'!$A4,GUL_5!$A:$A,0),MATCH('2020'!$A$1,GUL_5!$3:$3,0))</f>
        <v>2.5586538475178663E-2</v>
      </c>
      <c r="AC4" s="49">
        <f>INDEX(GUL_6!$A:$J,MATCH('2020'!$A4,GUL_6!$A:$A,0),MATCH('2020'!$A$1,GUL_6!$3:$3,0))</f>
        <v>5.28E-2</v>
      </c>
      <c r="AD4" s="49">
        <f>INDEX(GUL_7!$A:$J,MATCH('2020'!$A4,GUL_7!$A:$A,0),MATCH('2020'!$A$1,GUL_7!$3:$3,0))</f>
        <v>0.27820590000000001</v>
      </c>
      <c r="AE4" s="103">
        <f>INDEX(GUL_8!$A:$J,MATCH('2020'!$A4,GUL_8!$A:$A,0),MATCH('2020'!$A$1,GUL_8!$3:$3,0))/(B4/1000)</f>
        <v>3.4891465271856483</v>
      </c>
      <c r="AF4" s="41">
        <f>INDEX(DES_1!$A:$J,MATCH('2020'!$A4,DES_1!$A:$A,0),MATCH('2020'!$A$1,DES_1!$3:$3,0))/(B4/1000)</f>
        <v>4.242123437307779E-3</v>
      </c>
      <c r="AG4" s="100">
        <f>INDEX(DES_2!$A:$J,MATCH('2020'!$A4,DES_2!$A:$A,0),MATCH('2020'!$A$1,DES_2!$3:$3,0))/(B4/1000)</f>
        <v>0.68722399684386015</v>
      </c>
      <c r="AH4" s="57">
        <f>1/INDEX(DES_3!$A:$J,MATCH('2020'!$A4,DES_3!$A:$A,0),MATCH('2020'!$A$1,DES_3!$3:$3,0))</f>
        <v>8.9047195013357075E-3</v>
      </c>
      <c r="AI4" s="80">
        <f>INDEX(DES_4!$A:$J,MATCH('2020'!$A4,DES_4!$A:$A,0),MATCH('2020'!$A$1,DES_4!$3:$3,0))</f>
        <v>0.55477584596700003</v>
      </c>
      <c r="AJ4" s="110">
        <f>INDEX(DES_5!$A:$J,MATCH('2020'!$A4,DES_5!$A:$A,0),MATCH('2020'!$A$1,DES_5!$3:$3,0))</f>
        <v>0.54317659996300005</v>
      </c>
      <c r="AK4" s="57">
        <v>11</v>
      </c>
    </row>
    <row r="5" spans="1:37" x14ac:dyDescent="0.3">
      <c r="A5" s="29" t="s">
        <v>4</v>
      </c>
      <c r="B5" s="33">
        <f>INDEX(Population!$A:$J,MATCH('2020'!$A5,Population!$A:$A,0),MATCH('2020'!$A$1,Population!$3:$3,0))</f>
        <v>2327739</v>
      </c>
      <c r="C5" s="14">
        <f>INDEX(Income!$A:$J,MATCH('2020'!$A5,Income!$A:$A,0),MATCH('2020'!$A$1,Income!$3:$3,0))</f>
        <v>32102</v>
      </c>
      <c r="D5" s="34">
        <f>INDEX(Livable_wage!$A:$J,MATCH('2020'!$A5,Livable_wage!$A:$A,0),MATCH('2020'!$A$1,Livable_wage!$3:$3,0))</f>
        <v>9834</v>
      </c>
      <c r="E5" s="41">
        <f>INDEX(AVA_1!$A:$J,MATCH('2020'!$A5,AVA_1!$A:$A,0),MATCH('2020'!$A$1,AVA_1!$3:$3,0))</f>
        <v>0.39300000000000002</v>
      </c>
      <c r="F5" s="15">
        <f>INDEX(AVA_2!$A:$J,MATCH('2020'!$A5,AVA_2!$A:$A,0),MATCH('2020'!$A$1,AVA_2!$3:$3,0))</f>
        <v>1.2717659466663409E-2</v>
      </c>
      <c r="G5" s="15">
        <f>INDEX(AVA_3!$A:$J,MATCH('2020'!$A5,AVA_3!$A:$A,0),MATCH('2020'!$A$1,AVA_3!$3:$3,0))</f>
        <v>2.0839104620510248E-2</v>
      </c>
      <c r="H5" s="87">
        <f>INDEX(AVA_4!$A:$J,MATCH('2020'!$A5,AVA_4!$A:$A,0),MATCH('2020'!$A$1,AVA_4!$3:$3,0))/(B5/1000)</f>
        <v>0.58210993586480275</v>
      </c>
      <c r="I5" s="89">
        <f>INDEX(AVA_5!$A:$J,MATCH('2020'!$A5,AVA_5!$A:$A,0),MATCH('2020'!$A$1,AVA_5!$3:$3,0))/(B5/1000)</f>
        <v>5.998524748693904</v>
      </c>
      <c r="J5" s="93">
        <f>INDEX(IRA_1!$A:$J,MATCH('2020'!$A5,IRA_1!$A:$A,0),MATCH('2020'!$A$1,IRA_1!$3:$3,0))/(B5/1000)</f>
        <v>3.6945722866695965E-2</v>
      </c>
      <c r="K5" s="88">
        <f>INDEX(IRA_2!$A:$J,MATCH('2020'!$A5,IRA_2!$A:$A,0),MATCH('2020'!$A$1,IRA_2!$3:$3,0))/(B5/1000)</f>
        <v>9.6660321453565026E-2</v>
      </c>
      <c r="L5" s="15">
        <f>INDEX(IRA_3!$A:$J,MATCH('2020'!$A5,IRA_3!$A:$A,0),MATCH('2020'!$A$1,IRA_3!$3:$3,0))</f>
        <v>0.43900026971140882</v>
      </c>
      <c r="M5" s="96">
        <f>INDEX(IRA_4!$A:$J,MATCH('2020'!$A5,IRA_4!$A:$A,0),MATCH('2020'!$A$1,IRA_4!$3:$3,0))/(B5/1000)</f>
        <v>4.7952111469541903</v>
      </c>
      <c r="N5" s="61">
        <f>INDEX(INV_1!$A:$J,MATCH('2020'!$A5,INV_1!$A:$A,0),MATCH('2020'!$A$1,INV_1!$3:$3,0))</f>
        <v>6.1897394918266263E-2</v>
      </c>
      <c r="O5" s="80">
        <f>INDEX(INV_2!$A:$J,MATCH('2020'!$A5,INV_2!$A:$A,0),MATCH('2020'!$A$1,INV_2!$3:$3,0))/B5*10^6/C5</f>
        <v>0.45345336490713323</v>
      </c>
      <c r="P5" s="87">
        <f>INDEX(INV_3!$A:$J,MATCH('2020'!$A5,INV_3!$A:$A,0),MATCH('2020'!$A$1,INV_3!$3:$3,0))/B5*10^6/C5</f>
        <v>3.3535194447825014</v>
      </c>
      <c r="Q5" s="87">
        <f>INDEX(INV_4!$A:$J,MATCH('2020'!$A5,INV_4!$A:$A,0),MATCH('2020'!$A$1,INV_4!$3:$3,0))/B5*10^3/C5</f>
        <v>0.22785495308182591</v>
      </c>
      <c r="R5" s="34">
        <f>INDEX(INV_5!$A:$J,MATCH('2020'!$A5,INV_5!$A:$A,0),MATCH('2020'!$A$1,INV_5!$3:$3,0))</f>
        <v>9.35E-2</v>
      </c>
      <c r="S5" s="77">
        <f>INDEX(LUJ_1!$A:$J,MATCH('2020'!$A5,LUJ_1!$A:$A,0),MATCH('2020'!$A$1,LUJ_1!$3:$3,0))</f>
        <v>0.79758003529115196</v>
      </c>
      <c r="T5" s="73">
        <f>INDEX(LUJ_2!$A:$J,MATCH('2020'!$A5,LUJ_2!$A:$A,0),MATCH('2020'!$A$1,LUJ_2!$3:$3,0))</f>
        <v>0.158</v>
      </c>
      <c r="U5" s="73">
        <f>INDEX(LUJ_3!$A:$J,MATCH('2020'!$A5,LUJ_3!$A:$A,0),MATCH('2020'!$A$1,LUJ_3!$3:$3,0))</f>
        <v>0.27704084307660043</v>
      </c>
      <c r="V5" s="14">
        <f>INDEX(LUJ_4!$A:$J,MATCH('2020'!$A5,LUJ_4!$A:$A,0),MATCH('2020'!$A$1,LUJ_4!$3:$3,0))</f>
        <v>36</v>
      </c>
      <c r="W5" s="34">
        <f>INDEX(LUJ_5!$A:$J,MATCH('2020'!$A5,LUJ_5!$A:$A,0),MATCH('2020'!$A$1,LUJ_5!$3:$3,0))</f>
        <v>22.3</v>
      </c>
      <c r="X5" s="98">
        <f>1/INDEX(GUL_1!$A:$J,MATCH('2020'!$A5,GUL_1!$A:$A,0),MATCH('2020'!$A$1,GUL_1!$3:$3,0))</f>
        <v>1.3906271728549576E-2</v>
      </c>
      <c r="Y5" s="57">
        <f>INDEX(GUL_2!$A:$J,MATCH('2020'!$A5,GUL_2!$A:$A,0),MATCH('2020'!$A$1,GUL_2!$3:$3,0))</f>
        <v>25.900000000000002</v>
      </c>
      <c r="Z5" s="57">
        <f>INDEX(GUL_3!$A:$J,MATCH('2020'!$A5,GUL_3!$A:$A,0),MATCH('2020'!$A$1,GUL_3!$3:$3,0))/(B5/1000)</f>
        <v>0.56020026300199466</v>
      </c>
      <c r="AA5" s="101">
        <f>INDEX(GUL_4!$A:$J,MATCH('2020'!$A5,GUL_4!$A:$A,0),MATCH('2020'!$A$1,GUL_4!$3:$3,0))/B5/C5*10^6</f>
        <v>0.20629888306463737</v>
      </c>
      <c r="AB5" s="73">
        <f>INDEX(GUL_5!$A:$J,MATCH('2020'!$A5,GUL_5!$A:$A,0),MATCH('2020'!$A$1,GUL_5!$3:$3,0))</f>
        <v>4.5750140851007981E-2</v>
      </c>
      <c r="AC5" s="49">
        <f>INDEX(GUL_6!$A:$J,MATCH('2020'!$A5,GUL_6!$A:$A,0),MATCH('2020'!$A$1,GUL_6!$3:$3,0))</f>
        <v>2.7099999999999999E-2</v>
      </c>
      <c r="AD5" s="49">
        <f>INDEX(GUL_7!$A:$J,MATCH('2020'!$A5,GUL_7!$A:$A,0),MATCH('2020'!$A$1,GUL_7!$3:$3,0))</f>
        <v>0.21503509999999998</v>
      </c>
      <c r="AE5" s="103">
        <f>INDEX(GUL_8!$A:$J,MATCH('2020'!$A5,GUL_8!$A:$A,0),MATCH('2020'!$A$1,GUL_8!$3:$3,0))/(B5/1000)</f>
        <v>1.6264710089919874</v>
      </c>
      <c r="AF5" s="41">
        <f>INDEX(DES_1!$A:$J,MATCH('2020'!$A5,DES_1!$A:$A,0),MATCH('2020'!$A$1,DES_1!$3:$3,0))/(B5/1000)</f>
        <v>0.12157720431715067</v>
      </c>
      <c r="AG5" s="100">
        <f>INDEX(DES_2!$A:$J,MATCH('2020'!$A5,DES_2!$A:$A,0),MATCH('2020'!$A$1,DES_2!$3:$3,0))/(B5/1000)</f>
        <v>0.47900559298099998</v>
      </c>
      <c r="AH5" s="57">
        <f>1/INDEX(DES_3!$A:$J,MATCH('2020'!$A5,DES_3!$A:$A,0),MATCH('2020'!$A$1,DES_3!$3:$3,0))</f>
        <v>7.8003120124804995E-3</v>
      </c>
      <c r="AI5" s="80">
        <f>INDEX(DES_4!$A:$J,MATCH('2020'!$A5,DES_4!$A:$A,0),MATCH('2020'!$A$1,DES_4!$3:$3,0))</f>
        <v>0.96827753749199996</v>
      </c>
      <c r="AJ5" s="110">
        <f>INDEX(DES_5!$A:$J,MATCH('2020'!$A5,DES_5!$A:$A,0),MATCH('2020'!$A$1,DES_5!$3:$3,0))</f>
        <v>0.60826433736800001</v>
      </c>
      <c r="AK5" s="57">
        <v>16</v>
      </c>
    </row>
    <row r="6" spans="1:37" x14ac:dyDescent="0.3">
      <c r="A6" s="29" t="s">
        <v>5</v>
      </c>
      <c r="B6" s="33">
        <f>INDEX(Population!$A:$J,MATCH('2020'!$A6,Population!$A:$A,0),MATCH('2020'!$A$1,Population!$3:$3,0))</f>
        <v>1069994</v>
      </c>
      <c r="C6" s="14">
        <f>INDEX(Income!$A:$J,MATCH('2020'!$A6,Income!$A:$A,0),MATCH('2020'!$A$1,Income!$3:$3,0))</f>
        <v>28871</v>
      </c>
      <c r="D6" s="34">
        <f>INDEX(Livable_wage!$A:$J,MATCH('2020'!$A6,Livable_wage!$A:$A,0),MATCH('2020'!$A$1,Livable_wage!$3:$3,0))</f>
        <v>12566</v>
      </c>
      <c r="E6" s="41">
        <f>INDEX(AVA_1!$A:$J,MATCH('2020'!$A6,AVA_1!$A:$A,0),MATCH('2020'!$A$1,AVA_1!$3:$3,0))</f>
        <v>0.35</v>
      </c>
      <c r="F6" s="15">
        <f>INDEX(AVA_2!$A:$J,MATCH('2020'!$A6,AVA_2!$A:$A,0),MATCH('2020'!$A$1,AVA_2!$3:$3,0))</f>
        <v>1.1532661541721822E-2</v>
      </c>
      <c r="G6" s="15">
        <f>INDEX(AVA_3!$A:$J,MATCH('2020'!$A6,AVA_3!$A:$A,0),MATCH('2020'!$A$1,AVA_3!$3:$3,0))</f>
        <v>2.1117551127257165E-2</v>
      </c>
      <c r="H6" s="87">
        <f>INDEX(AVA_4!$A:$J,MATCH('2020'!$A6,AVA_4!$A:$A,0),MATCH('2020'!$A$1,AVA_4!$3:$3,0))/(B6/1000)</f>
        <v>0.56729290070785443</v>
      </c>
      <c r="I6" s="89">
        <f>INDEX(AVA_5!$A:$J,MATCH('2020'!$A6,AVA_5!$A:$A,0),MATCH('2020'!$A$1,AVA_5!$3:$3,0))/(B6/1000)</f>
        <v>6.274801540943221</v>
      </c>
      <c r="J6" s="93">
        <f>INDEX(IRA_1!$A:$J,MATCH('2020'!$A6,IRA_1!$A:$A,0),MATCH('2020'!$A$1,IRA_1!$3:$3,0))/(B6/1000)</f>
        <v>4.953298803544693E-2</v>
      </c>
      <c r="K6" s="88">
        <f>INDEX(IRA_2!$A:$J,MATCH('2020'!$A6,IRA_2!$A:$A,0),MATCH('2020'!$A$1,IRA_2!$3:$3,0))/(B6/1000)</f>
        <v>0.20841238362084274</v>
      </c>
      <c r="L6" s="15">
        <f>INDEX(IRA_3!$A:$J,MATCH('2020'!$A6,IRA_3!$A:$A,0),MATCH('2020'!$A$1,IRA_3!$3:$3,0))</f>
        <v>0.32440890125173849</v>
      </c>
      <c r="M6" s="96">
        <f>INDEX(IRA_4!$A:$J,MATCH('2020'!$A6,IRA_4!$A:$A,0),MATCH('2020'!$A$1,IRA_4!$3:$3,0))/(B6/1000)</f>
        <v>4.839279472595174</v>
      </c>
      <c r="N6" s="61">
        <f>INDEX(INV_1!$A:$J,MATCH('2020'!$A6,INV_1!$A:$A,0),MATCH('2020'!$A$1,INV_1!$3:$3,0))</f>
        <v>7.5286248906913905E-2</v>
      </c>
      <c r="O6" s="80">
        <f>INDEX(INV_2!$A:$J,MATCH('2020'!$A6,INV_2!$A:$A,0),MATCH('2020'!$A$1,INV_2!$3:$3,0))/B6*10^6/C6</f>
        <v>0.38294216702721867</v>
      </c>
      <c r="P6" s="87">
        <f>INDEX(INV_3!$A:$J,MATCH('2020'!$A6,INV_3!$A:$A,0),MATCH('2020'!$A$1,INV_3!$3:$3,0))/B6*10^6/C6</f>
        <v>4.5111328751615201</v>
      </c>
      <c r="Q6" s="87">
        <f>INDEX(INV_4!$A:$J,MATCH('2020'!$A6,INV_4!$A:$A,0),MATCH('2020'!$A$1,INV_4!$3:$3,0))/B6*10^3/C6</f>
        <v>0.27824526533317012</v>
      </c>
      <c r="R6" s="34">
        <f>INDEX(INV_5!$A:$J,MATCH('2020'!$A6,INV_5!$A:$A,0),MATCH('2020'!$A$1,INV_5!$3:$3,0))</f>
        <v>0.1137</v>
      </c>
      <c r="S6" s="77">
        <f>INDEX(LUJ_1!$A:$J,MATCH('2020'!$A6,LUJ_1!$A:$A,0),MATCH('2020'!$A$1,LUJ_1!$3:$3,0))</f>
        <v>0.66922691601268991</v>
      </c>
      <c r="T6" s="73">
        <f>INDEX(LUJ_2!$A:$J,MATCH('2020'!$A6,LUJ_2!$A:$A,0),MATCH('2020'!$A$1,LUJ_2!$3:$3,0))</f>
        <v>0.24100000000000002</v>
      </c>
      <c r="U6" s="73">
        <f>INDEX(LUJ_3!$A:$J,MATCH('2020'!$A6,LUJ_3!$A:$A,0),MATCH('2020'!$A$1,LUJ_3!$3:$3,0))</f>
        <v>0.58108380338436749</v>
      </c>
      <c r="V6" s="14">
        <f>INDEX(LUJ_4!$A:$J,MATCH('2020'!$A6,LUJ_4!$A:$A,0),MATCH('2020'!$A$1,LUJ_4!$3:$3,0))</f>
        <v>22</v>
      </c>
      <c r="W6" s="34">
        <f>INDEX(LUJ_5!$A:$J,MATCH('2020'!$A6,LUJ_5!$A:$A,0),MATCH('2020'!$A$1,LUJ_5!$3:$3,0))</f>
        <v>83.8</v>
      </c>
      <c r="X6" s="98">
        <f>1/INDEX(GUL_1!$A:$J,MATCH('2020'!$A6,GUL_1!$A:$A,0),MATCH('2020'!$A$1,GUL_1!$3:$3,0))</f>
        <v>1.4050864128143881E-2</v>
      </c>
      <c r="Y6" s="57">
        <f>INDEX(GUL_2!$A:$J,MATCH('2020'!$A6,GUL_2!$A:$A,0),MATCH('2020'!$A$1,GUL_2!$3:$3,0))</f>
        <v>24.8</v>
      </c>
      <c r="Z6" s="57">
        <f>INDEX(GUL_3!$A:$J,MATCH('2020'!$A6,GUL_3!$A:$A,0),MATCH('2020'!$A$1,GUL_3!$3:$3,0))/(B6/1000)</f>
        <v>0.97196806711065675</v>
      </c>
      <c r="AA6" s="101">
        <f>INDEX(GUL_4!$A:$J,MATCH('2020'!$A6,GUL_4!$A:$A,0),MATCH('2020'!$A$1,GUL_4!$3:$3,0))/B6/C6*10^6</f>
        <v>0.20292733523600384</v>
      </c>
      <c r="AB6" s="73">
        <f>INDEX(GUL_5!$A:$J,MATCH('2020'!$A6,GUL_5!$A:$A,0),MATCH('2020'!$A$1,GUL_5!$3:$3,0))</f>
        <v>3.4461425847593548E-2</v>
      </c>
      <c r="AC6" s="49">
        <f>INDEX(GUL_6!$A:$J,MATCH('2020'!$A6,GUL_6!$A:$A,0),MATCH('2020'!$A$1,GUL_6!$3:$3,0))</f>
        <v>7.5700000000000003E-2</v>
      </c>
      <c r="AD6" s="49">
        <f>INDEX(GUL_7!$A:$J,MATCH('2020'!$A6,GUL_7!$A:$A,0),MATCH('2020'!$A$1,GUL_7!$3:$3,0))</f>
        <v>0.16585949999999999</v>
      </c>
      <c r="AE6" s="103">
        <f>INDEX(GUL_8!$A:$J,MATCH('2020'!$A6,GUL_8!$A:$A,0),MATCH('2020'!$A$1,GUL_8!$3:$3,0))/(B6/1000)</f>
        <v>2.8093615478217635</v>
      </c>
      <c r="AF6" s="41">
        <f>INDEX(DES_1!$A:$J,MATCH('2020'!$A6,DES_1!$A:$A,0),MATCH('2020'!$A$1,DES_1!$3:$3,0))/(B6/1000)</f>
        <v>6.5420927593986516E-2</v>
      </c>
      <c r="AG6" s="100">
        <f>INDEX(DES_2!$A:$J,MATCH('2020'!$A6,DES_2!$A:$A,0),MATCH('2020'!$A$1,DES_2!$3:$3,0))/(B6/1000)</f>
        <v>0.50561031183352434</v>
      </c>
      <c r="AH6" s="57">
        <f>1/INDEX(DES_3!$A:$J,MATCH('2020'!$A6,DES_3!$A:$A,0),MATCH('2020'!$A$1,DES_3!$3:$3,0))</f>
        <v>9.2506938020351526E-3</v>
      </c>
      <c r="AI6" s="80">
        <f>INDEX(DES_4!$A:$J,MATCH('2020'!$A6,DES_4!$A:$A,0),MATCH('2020'!$A$1,DES_4!$3:$3,0))</f>
        <v>0.85054612763899995</v>
      </c>
      <c r="AJ6" s="110">
        <f>INDEX(DES_5!$A:$J,MATCH('2020'!$A6,DES_5!$A:$A,0),MATCH('2020'!$A$1,DES_5!$3:$3,0))</f>
        <v>0.60237003917199994</v>
      </c>
      <c r="AK6" s="57">
        <v>18</v>
      </c>
    </row>
    <row r="7" spans="1:37" x14ac:dyDescent="0.3">
      <c r="A7" s="29" t="s">
        <v>6</v>
      </c>
      <c r="B7" s="33">
        <f>INDEX(Population!$A:$J,MATCH('2020'!$A7,Population!$A:$A,0),MATCH('2020'!$A$1,Population!$3:$3,0))</f>
        <v>2806789</v>
      </c>
      <c r="C7" s="14">
        <f>INDEX(Income!$A:$J,MATCH('2020'!$A7,Income!$A:$A,0),MATCH('2020'!$A$1,Income!$3:$3,0))</f>
        <v>31606</v>
      </c>
      <c r="D7" s="34">
        <f>INDEX(Livable_wage!$A:$J,MATCH('2020'!$A7,Livable_wage!$A:$A,0),MATCH('2020'!$A$1,Livable_wage!$3:$3,0))</f>
        <v>12598</v>
      </c>
      <c r="E7" s="41">
        <f>INDEX(AVA_1!$A:$J,MATCH('2020'!$A7,AVA_1!$A:$A,0),MATCH('2020'!$A$1,AVA_1!$3:$3,0))</f>
        <v>0.372</v>
      </c>
      <c r="F7" s="15">
        <f>INDEX(AVA_2!$A:$J,MATCH('2020'!$A7,AVA_2!$A:$A,0),MATCH('2020'!$A$1,AVA_2!$3:$3,0))</f>
        <v>1.8022160333033565E-2</v>
      </c>
      <c r="G7" s="15">
        <f>INDEX(AVA_3!$A:$J,MATCH('2020'!$A7,AVA_3!$A:$A,0),MATCH('2020'!$A$1,AVA_3!$3:$3,0))</f>
        <v>9.089776764212168E-2</v>
      </c>
      <c r="H7" s="87">
        <f>INDEX(AVA_4!$A:$J,MATCH('2020'!$A7,AVA_4!$A:$A,0),MATCH('2020'!$A$1,AVA_4!$3:$3,0))/(B7/1000)</f>
        <v>0.79236451332821944</v>
      </c>
      <c r="I7" s="89">
        <f>INDEX(AVA_5!$A:$J,MATCH('2020'!$A7,AVA_5!$A:$A,0),MATCH('2020'!$A$1,AVA_5!$3:$3,0))/(B7/1000)</f>
        <v>9.3484048854402655</v>
      </c>
      <c r="J7" s="93">
        <f>INDEX(IRA_1!$A:$J,MATCH('2020'!$A7,IRA_1!$A:$A,0),MATCH('2020'!$A$1,IRA_1!$3:$3,0))/(B7/1000)</f>
        <v>5.2016735137553977E-2</v>
      </c>
      <c r="K7" s="88">
        <f>INDEX(IRA_2!$A:$J,MATCH('2020'!$A7,IRA_2!$A:$A,0),MATCH('2020'!$A$1,IRA_2!$3:$3,0))/(B7/1000)</f>
        <v>0.1667385756464059</v>
      </c>
      <c r="L7" s="15">
        <f>INDEX(IRA_3!$A:$J,MATCH('2020'!$A7,IRA_3!$A:$A,0),MATCH('2020'!$A$1,IRA_3!$3:$3,0))</f>
        <v>0.38617798019229377</v>
      </c>
      <c r="M7" s="96">
        <f>INDEX(IRA_4!$A:$J,MATCH('2020'!$A7,IRA_4!$A:$A,0),MATCH('2020'!$A$1,IRA_4!$3:$3,0))/(B7/1000)</f>
        <v>7.3657122070807599</v>
      </c>
      <c r="N7" s="61">
        <f>INDEX(INV_1!$A:$J,MATCH('2020'!$A7,INV_1!$A:$A,0),MATCH('2020'!$A$1,INV_1!$3:$3,0))</f>
        <v>6.3645998645276716E-2</v>
      </c>
      <c r="O7" s="80">
        <f>INDEX(INV_2!$A:$J,MATCH('2020'!$A7,INV_2!$A:$A,0),MATCH('2020'!$A$1,INV_2!$3:$3,0))/B7*10^6/C7</f>
        <v>0.46130989371773651</v>
      </c>
      <c r="P7" s="87">
        <f>INDEX(INV_3!$A:$J,MATCH('2020'!$A7,INV_3!$A:$A,0),MATCH('2020'!$A$1,INV_3!$3:$3,0))/B7*10^6/C7</f>
        <v>4.8921912114295241</v>
      </c>
      <c r="Q7" s="87">
        <f>INDEX(INV_4!$A:$J,MATCH('2020'!$A7,INV_4!$A:$A,0),MATCH('2020'!$A$1,INV_4!$3:$3,0))/B7*10^3/C7</f>
        <v>0.31993124993262378</v>
      </c>
      <c r="R7" s="34">
        <f>INDEX(INV_5!$A:$J,MATCH('2020'!$A7,INV_5!$A:$A,0),MATCH('2020'!$A$1,INV_5!$3:$3,0))</f>
        <v>0.1608</v>
      </c>
      <c r="S7" s="77">
        <f>INDEX(LUJ_1!$A:$J,MATCH('2020'!$A7,LUJ_1!$A:$A,0),MATCH('2020'!$A$1,LUJ_1!$3:$3,0))</f>
        <v>0.76569247136867136</v>
      </c>
      <c r="T7" s="73">
        <f>INDEX(LUJ_2!$A:$J,MATCH('2020'!$A7,LUJ_2!$A:$A,0),MATCH('2020'!$A$1,LUJ_2!$3:$3,0))</f>
        <v>0.214</v>
      </c>
      <c r="U7" s="73">
        <f>INDEX(LUJ_3!$A:$J,MATCH('2020'!$A7,LUJ_3!$A:$A,0),MATCH('2020'!$A$1,LUJ_3!$3:$3,0))</f>
        <v>0.58612564537925782</v>
      </c>
      <c r="V7" s="14">
        <f>INDEX(LUJ_4!$A:$J,MATCH('2020'!$A7,LUJ_4!$A:$A,0),MATCH('2020'!$A$1,LUJ_4!$3:$3,0))</f>
        <v>75</v>
      </c>
      <c r="W7" s="34">
        <f>INDEX(LUJ_5!$A:$J,MATCH('2020'!$A7,LUJ_5!$A:$A,0),MATCH('2020'!$A$1,LUJ_5!$3:$3,0))</f>
        <v>68.7</v>
      </c>
      <c r="X7" s="98">
        <f>1/INDEX(GUL_1!$A:$J,MATCH('2020'!$A7,GUL_1!$A:$A,0),MATCH('2020'!$A$1,GUL_1!$3:$3,0))</f>
        <v>1.4220705346985212E-2</v>
      </c>
      <c r="Y7" s="57">
        <f>INDEX(GUL_2!$A:$J,MATCH('2020'!$A7,GUL_2!$A:$A,0),MATCH('2020'!$A$1,GUL_2!$3:$3,0))</f>
        <v>25</v>
      </c>
      <c r="Z7" s="57">
        <f>INDEX(GUL_3!$A:$J,MATCH('2020'!$A7,GUL_3!$A:$A,0),MATCH('2020'!$A$1,GUL_3!$3:$3,0))/(B7/1000)</f>
        <v>0.58786036285591825</v>
      </c>
      <c r="AA7" s="101">
        <f>INDEX(GUL_4!$A:$J,MATCH('2020'!$A7,GUL_4!$A:$A,0),MATCH('2020'!$A$1,GUL_4!$3:$3,0))/B7/C7*10^6</f>
        <v>0.29777354432445036</v>
      </c>
      <c r="AB7" s="73">
        <f>INDEX(GUL_5!$A:$J,MATCH('2020'!$A7,GUL_5!$A:$A,0),MATCH('2020'!$A$1,GUL_5!$3:$3,0))</f>
        <v>5.2117793157335682E-2</v>
      </c>
      <c r="AC7" s="49">
        <f>INDEX(GUL_6!$A:$J,MATCH('2020'!$A7,GUL_6!$A:$A,0),MATCH('2020'!$A$1,GUL_6!$3:$3,0))</f>
        <v>5.0700000000000002E-2</v>
      </c>
      <c r="AD7" s="49">
        <f>INDEX(GUL_7!$A:$J,MATCH('2020'!$A7,GUL_7!$A:$A,0),MATCH('2020'!$A$1,GUL_7!$3:$3,0))</f>
        <v>0.23979</v>
      </c>
      <c r="AE7" s="103">
        <f>INDEX(GUL_8!$A:$J,MATCH('2020'!$A7,GUL_8!$A:$A,0),MATCH('2020'!$A$1,GUL_8!$3:$3,0))/(B7/1000)</f>
        <v>1.7133457484691581</v>
      </c>
      <c r="AF7" s="41">
        <f>INDEX(DES_1!$A:$J,MATCH('2020'!$A7,DES_1!$A:$A,0),MATCH('2020'!$A$1,DES_1!$3:$3,0))/(B7/1000)</f>
        <v>0.15355625235812168</v>
      </c>
      <c r="AG7" s="100">
        <f>INDEX(DES_2!$A:$J,MATCH('2020'!$A7,DES_2!$A:$A,0),MATCH('2020'!$A$1,DES_2!$3:$3,0))/(B7/1000)</f>
        <v>0.30604366769286895</v>
      </c>
      <c r="AH7" s="57">
        <f>1/INDEX(DES_3!$A:$J,MATCH('2020'!$A7,DES_3!$A:$A,0),MATCH('2020'!$A$1,DES_3!$3:$3,0))</f>
        <v>8.5324232081911266E-3</v>
      </c>
      <c r="AI7" s="80">
        <f>INDEX(DES_4!$A:$J,MATCH('2020'!$A7,DES_4!$A:$A,0),MATCH('2020'!$A$1,DES_4!$3:$3,0))</f>
        <v>0.837877171117</v>
      </c>
      <c r="AJ7" s="110">
        <f>INDEX(DES_5!$A:$J,MATCH('2020'!$A7,DES_5!$A:$A,0),MATCH('2020'!$A$1,DES_5!$3:$3,0))</f>
        <v>0.70047873678100003</v>
      </c>
      <c r="AK7" s="57">
        <v>19</v>
      </c>
    </row>
    <row r="8" spans="1:37" x14ac:dyDescent="0.3">
      <c r="A8" s="29" t="s">
        <v>7</v>
      </c>
      <c r="B8" s="33">
        <f>INDEX(Population!$A:$J,MATCH('2020'!$A8,Population!$A:$A,0),MATCH('2020'!$A$1,Population!$3:$3,0))</f>
        <v>41583</v>
      </c>
      <c r="C8" s="14">
        <f>INDEX(Income!$A:$J,MATCH('2020'!$A8,Income!$A:$A,0),MATCH('2020'!$A$1,Income!$3:$3,0))</f>
        <v>84171</v>
      </c>
      <c r="D8" s="34">
        <f>INDEX(Livable_wage!$A:$J,MATCH('2020'!$A8,Livable_wage!$A:$A,0),MATCH('2020'!$A$1,Livable_wage!$3:$3,0))</f>
        <v>22971</v>
      </c>
      <c r="E8" s="41">
        <f>INDEX(AVA_1!$A:$J,MATCH('2020'!$A8,AVA_1!$A:$A,0),MATCH('2020'!$A$1,AVA_1!$3:$3,0))</f>
        <v>0.42399999999999999</v>
      </c>
      <c r="F8" s="15">
        <f>INDEX(AVA_2!$A:$J,MATCH('2020'!$A8,AVA_2!$A:$A,0),MATCH('2020'!$A$1,AVA_2!$3:$3,0))</f>
        <v>5.285718042443527E-3</v>
      </c>
      <c r="G8" s="15">
        <f>INDEX(AVA_3!$A:$J,MATCH('2020'!$A8,AVA_3!$A:$A,0),MATCH('2020'!$A$1,AVA_3!$3:$3,0))</f>
        <v>2.7072762973080326E-3</v>
      </c>
      <c r="H8" s="87">
        <f>INDEX(AVA_4!$A:$J,MATCH('2020'!$A8,AVA_4!$A:$A,0),MATCH('2020'!$A$1,AVA_4!$3:$3,0))/(B8/1000)</f>
        <v>1.5390904937113725</v>
      </c>
      <c r="I8" s="89">
        <f>INDEX(AVA_5!$A:$J,MATCH('2020'!$A8,AVA_5!$A:$A,0),MATCH('2020'!$A$1,AVA_5!$3:$3,0))/(B8/1000)</f>
        <v>4.8096577928480393</v>
      </c>
      <c r="J8" s="93">
        <f>INDEX(IRA_1!$A:$J,MATCH('2020'!$A8,IRA_1!$A:$A,0),MATCH('2020'!$A$1,IRA_1!$3:$3,0))/(B8/1000)</f>
        <v>7.214486689272058E-2</v>
      </c>
      <c r="K8" s="88">
        <f>INDEX(IRA_2!$A:$J,MATCH('2020'!$A8,IRA_2!$A:$A,0),MATCH('2020'!$A$1,IRA_2!$3:$3,0))/(B8/1000)</f>
        <v>0.19238631171392157</v>
      </c>
      <c r="L8" s="15">
        <f>INDEX(IRA_3!$A:$J,MATCH('2020'!$A8,IRA_3!$A:$A,0),MATCH('2020'!$A$1,IRA_3!$3:$3,0))</f>
        <v>0.49033816425120769</v>
      </c>
      <c r="M8" s="96">
        <f>INDEX(IRA_4!$A:$J,MATCH('2020'!$A8,IRA_4!$A:$A,0),MATCH('2020'!$A$1,IRA_4!$3:$3,0))/(B8/1000)</f>
        <v>5.4830098838467647</v>
      </c>
      <c r="N8" s="61">
        <f>INDEX(INV_1!$A:$J,MATCH('2020'!$A8,INV_1!$A:$A,0),MATCH('2020'!$A$1,INV_1!$3:$3,0))</f>
        <v>8.0583639997907727E-2</v>
      </c>
      <c r="O8" s="80">
        <f>INDEX(INV_2!$A:$J,MATCH('2020'!$A8,INV_2!$A:$A,0),MATCH('2020'!$A$1,INV_2!$3:$3,0))/B8*10^6/C8</f>
        <v>7.566103524628924E-2</v>
      </c>
      <c r="P8" s="87">
        <f>INDEX(INV_3!$A:$J,MATCH('2020'!$A8,INV_3!$A:$A,0),MATCH('2020'!$A$1,INV_3!$3:$3,0))/B8*10^6/C8</f>
        <v>2.5573681495873162</v>
      </c>
      <c r="Q8" s="87">
        <f>INDEX(INV_4!$A:$J,MATCH('2020'!$A8,INV_4!$A:$A,0),MATCH('2020'!$A$1,INV_4!$3:$3,0))/B8*10^3/C8</f>
        <v>8.2654647154075098E-2</v>
      </c>
      <c r="R8" s="34">
        <f>INDEX(INV_5!$A:$J,MATCH('2020'!$A8,INV_5!$A:$A,0),MATCH('2020'!$A$1,INV_5!$3:$3,0))</f>
        <v>3.7100000000000001E-2</v>
      </c>
      <c r="S8" s="77">
        <f>INDEX(LUJ_1!$A:$J,MATCH('2020'!$A8,LUJ_1!$A:$A,0),MATCH('2020'!$A$1,LUJ_1!$3:$3,0))</f>
        <v>0.99371069182389937</v>
      </c>
      <c r="T8" s="73">
        <f>INDEX(LUJ_2!$A:$J,MATCH('2020'!$A8,LUJ_2!$A:$A,0),MATCH('2020'!$A$1,LUJ_2!$3:$3,0))</f>
        <v>0.434</v>
      </c>
      <c r="U8" s="73">
        <f>INDEX(LUJ_3!$A:$J,MATCH('2020'!$A8,LUJ_3!$A:$A,0),MATCH('2020'!$A$1,LUJ_3!$3:$3,0))</f>
        <v>0.48914858096828046</v>
      </c>
      <c r="V8" s="14">
        <f>INDEX(LUJ_4!$A:$J,MATCH('2020'!$A8,LUJ_4!$A:$A,0),MATCH('2020'!$A$1,LUJ_4!$3:$3,0))</f>
        <v>2</v>
      </c>
      <c r="W8" s="34">
        <f>INDEX(LUJ_5!$A:$J,MATCH('2020'!$A8,LUJ_5!$A:$A,0),MATCH('2020'!$A$1,LUJ_5!$3:$3,0))</f>
        <v>20.399999999999999</v>
      </c>
      <c r="X8" s="98">
        <f>1/INDEX(GUL_1!$A:$J,MATCH('2020'!$A8,GUL_1!$A:$A,0),MATCH('2020'!$A$1,GUL_1!$3:$3,0))</f>
        <v>1.4204545454545454E-2</v>
      </c>
      <c r="Y8" s="57">
        <f>INDEX(GUL_2!$A:$J,MATCH('2020'!$A8,GUL_2!$A:$A,0),MATCH('2020'!$A$1,GUL_2!$3:$3,0))</f>
        <v>25</v>
      </c>
      <c r="Z8" s="57">
        <f>INDEX(GUL_3!$A:$J,MATCH('2020'!$A8,GUL_3!$A:$A,0),MATCH('2020'!$A$1,GUL_3!$3:$3,0))/(B8/1000)</f>
        <v>1.22646273717625</v>
      </c>
      <c r="AA8" s="101">
        <f>INDEX(GUL_4!$A:$J,MATCH('2020'!$A8,GUL_4!$A:$A,0),MATCH('2020'!$A$1,GUL_4!$3:$3,0))/B8/C8*10^6</f>
        <v>0.36233429642572162</v>
      </c>
      <c r="AB8" s="73">
        <f>INDEX(GUL_5!$A:$J,MATCH('2020'!$A8,GUL_5!$A:$A,0),MATCH('2020'!$A$1,GUL_5!$3:$3,0))</f>
        <v>3.3195588945218825E-2</v>
      </c>
      <c r="AC8" s="49">
        <f>INDEX(GUL_6!$A:$J,MATCH('2020'!$A8,GUL_6!$A:$A,0),MATCH('2020'!$A$1,GUL_6!$3:$3,0))</f>
        <v>1.3999999999999999E-2</v>
      </c>
      <c r="AD8" s="49">
        <f>INDEX(GUL_7!$A:$J,MATCH('2020'!$A8,GUL_7!$A:$A,0),MATCH('2020'!$A$1,GUL_7!$3:$3,0))</f>
        <v>0.2796534</v>
      </c>
      <c r="AE8" s="103">
        <f>INDEX(GUL_8!$A:$J,MATCH('2020'!$A8,GUL_8!$A:$A,0),MATCH('2020'!$A$1,GUL_8!$3:$3,0))/(B8/1000)</f>
        <v>4.5691749032056368</v>
      </c>
      <c r="AF8" s="41">
        <f>INDEX(DES_1!$A:$J,MATCH('2020'!$A8,DES_1!$A:$A,0),MATCH('2020'!$A$1,DES_1!$3:$3,0))/(B8/1000)</f>
        <v>0.24048288964240194</v>
      </c>
      <c r="AG8" s="100">
        <f>INDEX(DES_2!$A:$J,MATCH('2020'!$A8,DES_2!$A:$A,0),MATCH('2020'!$A$1,DES_2!$3:$3,0))/(B8/1000)</f>
        <v>0.38477262342784313</v>
      </c>
      <c r="AH8" s="57">
        <f>1/INDEX(DES_3!$A:$J,MATCH('2020'!$A8,DES_3!$A:$A,0),MATCH('2020'!$A$1,DES_3!$3:$3,0))</f>
        <v>1.0718113612004287E-2</v>
      </c>
      <c r="AI8" s="80">
        <f>INDEX(DES_4!$A:$J,MATCH('2020'!$A8,DES_4!$A:$A,0),MATCH('2020'!$A$1,DES_4!$3:$3,0))</f>
        <v>0.29992117820800002</v>
      </c>
      <c r="AJ8" s="110">
        <f>INDEX(DES_5!$A:$J,MATCH('2020'!$A8,DES_5!$A:$A,0),MATCH('2020'!$A$1,DES_5!$3:$3,0))</f>
        <v>0.24728965800000002</v>
      </c>
      <c r="AK8" s="57">
        <v>3</v>
      </c>
    </row>
    <row r="9" spans="1:37" x14ac:dyDescent="0.3">
      <c r="A9" s="29" t="s">
        <v>8</v>
      </c>
      <c r="B9" s="33">
        <f>INDEX(Population!$A:$J,MATCH('2020'!$A9,Population!$A:$A,0),MATCH('2020'!$A$1,Population!$3:$3,0))</f>
        <v>137993</v>
      </c>
      <c r="C9" s="14">
        <f>INDEX(Income!$A:$J,MATCH('2020'!$A9,Income!$A:$A,0),MATCH('2020'!$A$1,Income!$3:$3,0))</f>
        <v>70982</v>
      </c>
      <c r="D9" s="34">
        <f>INDEX(Livable_wage!$A:$J,MATCH('2020'!$A9,Livable_wage!$A:$A,0),MATCH('2020'!$A$1,Livable_wage!$3:$3,0))</f>
        <v>22027</v>
      </c>
      <c r="E9" s="41">
        <f>INDEX(AVA_1!$A:$J,MATCH('2020'!$A9,AVA_1!$A:$A,0),MATCH('2020'!$A$1,AVA_1!$3:$3,0))</f>
        <v>0.39</v>
      </c>
      <c r="F9" s="15">
        <f>INDEX(AVA_2!$A:$J,MATCH('2020'!$A9,AVA_2!$A:$A,0),MATCH('2020'!$A$1,AVA_2!$3:$3,0))</f>
        <v>1.0661613406452478E-2</v>
      </c>
      <c r="G9" s="15">
        <f>INDEX(AVA_3!$A:$J,MATCH('2020'!$A9,AVA_3!$A:$A,0),MATCH('2020'!$A$1,AVA_3!$3:$3,0))</f>
        <v>2.3152687515458469E-3</v>
      </c>
      <c r="H9" s="87">
        <f>INDEX(AVA_4!$A:$J,MATCH('2020'!$A9,AVA_4!$A:$A,0),MATCH('2020'!$A$1,AVA_4!$3:$3,0))/(B9/1000)</f>
        <v>1.4928293464161226</v>
      </c>
      <c r="I9" s="89">
        <f>INDEX(AVA_5!$A:$J,MATCH('2020'!$A9,AVA_5!$A:$A,0),MATCH('2020'!$A$1,AVA_5!$3:$3,0))/(B9/1000)</f>
        <v>5.6597073764611254</v>
      </c>
      <c r="J9" s="93">
        <f>INDEX(IRA_1!$A:$J,MATCH('2020'!$A9,IRA_1!$A:$A,0),MATCH('2020'!$A$1,IRA_1!$3:$3,0))/(B9/1000)</f>
        <v>0.13768814360148704</v>
      </c>
      <c r="K9" s="88">
        <f>INDEX(IRA_2!$A:$J,MATCH('2020'!$A9,IRA_2!$A:$A,0),MATCH('2020'!$A$1,IRA_2!$3:$3,0))/(B9/1000)</f>
        <v>0.36958396440399149</v>
      </c>
      <c r="L9" s="15">
        <f>INDEX(IRA_3!$A:$J,MATCH('2020'!$A9,IRA_3!$A:$A,0),MATCH('2020'!$A$1,IRA_3!$3:$3,0))</f>
        <v>0.375</v>
      </c>
      <c r="M9" s="96">
        <f>INDEX(IRA_4!$A:$J,MATCH('2020'!$A9,IRA_4!$A:$A,0),MATCH('2020'!$A$1,IRA_4!$3:$3,0))/(B9/1000)</f>
        <v>5.8843564528635515</v>
      </c>
      <c r="N9" s="61">
        <f>INDEX(INV_1!$A:$J,MATCH('2020'!$A9,INV_1!$A:$A,0),MATCH('2020'!$A$1,INV_1!$3:$3,0))</f>
        <v>6.8712007380145157E-2</v>
      </c>
      <c r="O9" s="80">
        <f>INDEX(INV_2!$A:$J,MATCH('2020'!$A9,INV_2!$A:$A,0),MATCH('2020'!$A$1,INV_2!$3:$3,0))/B9*10^6/C9</f>
        <v>0.17469495424035786</v>
      </c>
      <c r="P9" s="87">
        <f>INDEX(INV_3!$A:$J,MATCH('2020'!$A9,INV_3!$A:$A,0),MATCH('2020'!$A$1,INV_3!$3:$3,0))/B9*10^6/C9</f>
        <v>3.3640567288464527</v>
      </c>
      <c r="Q9" s="87">
        <f>INDEX(INV_4!$A:$J,MATCH('2020'!$A9,INV_4!$A:$A,0),MATCH('2020'!$A$1,INV_4!$3:$3,0))/B9*10^3/C9</f>
        <v>0.22406132869862452</v>
      </c>
      <c r="R9" s="34">
        <f>INDEX(INV_5!$A:$J,MATCH('2020'!$A9,INV_5!$A:$A,0),MATCH('2020'!$A$1,INV_5!$3:$3,0))</f>
        <v>6.7699999999999996E-2</v>
      </c>
      <c r="S9" s="77">
        <f>INDEX(LUJ_1!$A:$J,MATCH('2020'!$A9,LUJ_1!$A:$A,0),MATCH('2020'!$A$1,LUJ_1!$3:$3,0))</f>
        <v>0.86961869618696186</v>
      </c>
      <c r="T9" s="73">
        <f>INDEX(LUJ_2!$A:$J,MATCH('2020'!$A9,LUJ_2!$A:$A,0),MATCH('2020'!$A$1,LUJ_2!$3:$3,0))</f>
        <v>0.35299999999999998</v>
      </c>
      <c r="U9" s="73">
        <f>INDEX(LUJ_3!$A:$J,MATCH('2020'!$A9,LUJ_3!$A:$A,0),MATCH('2020'!$A$1,LUJ_3!$3:$3,0))</f>
        <v>0.73053435114503817</v>
      </c>
      <c r="V9" s="14">
        <f>INDEX(LUJ_4!$A:$J,MATCH('2020'!$A9,LUJ_4!$A:$A,0),MATCH('2020'!$A$1,LUJ_4!$3:$3,0))</f>
        <v>7</v>
      </c>
      <c r="W9" s="34">
        <f>INDEX(LUJ_5!$A:$J,MATCH('2020'!$A9,LUJ_5!$A:$A,0),MATCH('2020'!$A$1,LUJ_5!$3:$3,0))</f>
        <v>35</v>
      </c>
      <c r="X9" s="98">
        <f>1/INDEX(GUL_1!$A:$J,MATCH('2020'!$A9,GUL_1!$A:$A,0),MATCH('2020'!$A$1,GUL_1!$3:$3,0))</f>
        <v>1.4484356894553881E-2</v>
      </c>
      <c r="Y9" s="57">
        <f>INDEX(GUL_2!$A:$J,MATCH('2020'!$A9,GUL_2!$A:$A,0),MATCH('2020'!$A$1,GUL_2!$3:$3,0))</f>
        <v>24.6</v>
      </c>
      <c r="Z9" s="57">
        <f>INDEX(GUL_3!$A:$J,MATCH('2020'!$A9,GUL_3!$A:$A,0),MATCH('2020'!$A$1,GUL_3!$3:$3,0))/(B9/1000)</f>
        <v>0.92758328321001793</v>
      </c>
      <c r="AA9" s="101">
        <f>INDEX(GUL_4!$A:$J,MATCH('2020'!$A9,GUL_4!$A:$A,0),MATCH('2020'!$A$1,GUL_4!$3:$3,0))/B9/C9*10^6</f>
        <v>0.28250072454222991</v>
      </c>
      <c r="AB9" s="73">
        <f>INDEX(GUL_5!$A:$J,MATCH('2020'!$A9,GUL_5!$A:$A,0),MATCH('2020'!$A$1,GUL_5!$3:$3,0))</f>
        <v>2.1825552218501191E-2</v>
      </c>
      <c r="AC9" s="49">
        <f>INDEX(GUL_6!$A:$J,MATCH('2020'!$A9,GUL_6!$A:$A,0),MATCH('2020'!$A$1,GUL_6!$3:$3,0))</f>
        <v>0.12130000000000001</v>
      </c>
      <c r="AD9" s="49">
        <f>INDEX(GUL_7!$A:$J,MATCH('2020'!$A9,GUL_7!$A:$A,0),MATCH('2020'!$A$1,GUL_7!$3:$3,0))</f>
        <v>0.31183379999999999</v>
      </c>
      <c r="AE9" s="103">
        <f>INDEX(GUL_8!$A:$J,MATCH('2020'!$A9,GUL_8!$A:$A,0),MATCH('2020'!$A$1,GUL_8!$3:$3,0))/(B9/1000)</f>
        <v>4.0291898864435156</v>
      </c>
      <c r="AF9" s="41">
        <f>INDEX(DES_1!$A:$J,MATCH('2020'!$A9,DES_1!$A:$A,0),MATCH('2020'!$A$1,DES_1!$3:$3,0))/(B9/1000)</f>
        <v>0.1231946548013305</v>
      </c>
      <c r="AG9" s="100">
        <f>INDEX(DES_2!$A:$J,MATCH('2020'!$A9,DES_2!$A:$A,0),MATCH('2020'!$A$1,DES_2!$3:$3,0))/(B9/1000)</f>
        <v>0.76815490640829609</v>
      </c>
      <c r="AH9" s="57">
        <f>1/INDEX(DES_3!$A:$J,MATCH('2020'!$A9,DES_3!$A:$A,0),MATCH('2020'!$A$1,DES_3!$3:$3,0))</f>
        <v>6.6934404283801874E-3</v>
      </c>
      <c r="AI9" s="80">
        <f>INDEX(DES_4!$A:$J,MATCH('2020'!$A9,DES_4!$A:$A,0),MATCH('2020'!$A$1,DES_4!$3:$3,0))</f>
        <v>0.79439166095199998</v>
      </c>
      <c r="AJ9" s="110">
        <f>INDEX(DES_5!$A:$J,MATCH('2020'!$A9,DES_5!$A:$A,0),MATCH('2020'!$A$1,DES_5!$3:$3,0))</f>
        <v>0.67649205503499998</v>
      </c>
      <c r="AK9" s="57">
        <v>7</v>
      </c>
    </row>
    <row r="10" spans="1:37" x14ac:dyDescent="0.3">
      <c r="A10" s="29" t="s">
        <v>9</v>
      </c>
      <c r="B10" s="33">
        <f>INDEX(Population!$A:$J,MATCH('2020'!$A10,Population!$A:$A,0),MATCH('2020'!$A$1,Population!$3:$3,0))</f>
        <v>294810</v>
      </c>
      <c r="C10" s="14">
        <f>INDEX(Income!$A:$J,MATCH('2020'!$A10,Income!$A:$A,0),MATCH('2020'!$A$1,Income!$3:$3,0))</f>
        <v>55381</v>
      </c>
      <c r="D10" s="34">
        <f>INDEX(Livable_wage!$A:$J,MATCH('2020'!$A10,Livable_wage!$A:$A,0),MATCH('2020'!$A$1,Livable_wage!$3:$3,0))</f>
        <v>22535</v>
      </c>
      <c r="E10" s="41">
        <f>INDEX(AVA_1!$A:$J,MATCH('2020'!$A10,AVA_1!$A:$A,0),MATCH('2020'!$A$1,AVA_1!$3:$3,0))</f>
        <v>0.373</v>
      </c>
      <c r="F10" s="15">
        <f>INDEX(AVA_2!$A:$J,MATCH('2020'!$A10,AVA_2!$A:$A,0),MATCH('2020'!$A$1,AVA_2!$3:$3,0))</f>
        <v>1.1799368043496825E-2</v>
      </c>
      <c r="G10" s="15">
        <f>INDEX(AVA_3!$A:$J,MATCH('2020'!$A10,AVA_3!$A:$A,0),MATCH('2020'!$A$1,AVA_3!$3:$3,0))</f>
        <v>5.3167904545804799E-2</v>
      </c>
      <c r="H10" s="87">
        <f>INDEX(AVA_4!$A:$J,MATCH('2020'!$A10,AVA_4!$A:$A,0),MATCH('2020'!$A$1,AVA_4!$3:$3,0))/(B10/1000)</f>
        <v>0.81408364709473902</v>
      </c>
      <c r="I10" s="89">
        <f>INDEX(AVA_5!$A:$J,MATCH('2020'!$A10,AVA_5!$A:$A,0),MATCH('2020'!$A$1,AVA_5!$3:$3,0))/(B10/1000)</f>
        <v>5.6273532105423829</v>
      </c>
      <c r="J10" s="93">
        <f>INDEX(IRA_1!$A:$J,MATCH('2020'!$A10,IRA_1!$A:$A,0),MATCH('2020'!$A$1,IRA_1!$3:$3,0))/(B10/1000)</f>
        <v>0.12211254706421085</v>
      </c>
      <c r="K10" s="88">
        <f>INDEX(IRA_2!$A:$J,MATCH('2020'!$A10,IRA_2!$A:$A,0),MATCH('2020'!$A$1,IRA_2!$3:$3,0))/(B10/1000)</f>
        <v>0.23404904853973746</v>
      </c>
      <c r="L10" s="15">
        <f>INDEX(IRA_3!$A:$J,MATCH('2020'!$A10,IRA_3!$A:$A,0),MATCH('2020'!$A$1,IRA_3!$3:$3,0))</f>
        <v>0.47429832860296439</v>
      </c>
      <c r="M10" s="96">
        <f>INDEX(IRA_4!$A:$J,MATCH('2020'!$A10,IRA_4!$A:$A,0),MATCH('2020'!$A$1,IRA_4!$3:$3,0))/(B10/1000)</f>
        <v>3.9822258403717647</v>
      </c>
      <c r="N10" s="61">
        <f>INDEX(INV_1!$A:$J,MATCH('2020'!$A10,INV_1!$A:$A,0),MATCH('2020'!$A$1,INV_1!$3:$3,0))</f>
        <v>6.6179648503068941E-2</v>
      </c>
      <c r="O10" s="80">
        <f>INDEX(INV_2!$A:$J,MATCH('2020'!$A10,INV_2!$A:$A,0),MATCH('2020'!$A$1,INV_2!$3:$3,0))/B10*10^6/C10</f>
        <v>0.13679708008697447</v>
      </c>
      <c r="P10" s="87">
        <f>INDEX(INV_3!$A:$J,MATCH('2020'!$A10,INV_3!$A:$A,0),MATCH('2020'!$A$1,INV_3!$3:$3,0))/B10*10^6/C10</f>
        <v>3.604793239089283</v>
      </c>
      <c r="Q10" s="87">
        <f>INDEX(INV_4!$A:$J,MATCH('2020'!$A10,INV_4!$A:$A,0),MATCH('2020'!$A$1,INV_4!$3:$3,0))/B10*10^3/C10</f>
        <v>0.34432058326692605</v>
      </c>
      <c r="R10" s="34">
        <f>INDEX(INV_5!$A:$J,MATCH('2020'!$A10,INV_5!$A:$A,0),MATCH('2020'!$A$1,INV_5!$3:$3,0))</f>
        <v>0.1648</v>
      </c>
      <c r="S10" s="77">
        <f>INDEX(LUJ_1!$A:$J,MATCH('2020'!$A10,LUJ_1!$A:$A,0),MATCH('2020'!$A$1,LUJ_1!$3:$3,0))</f>
        <v>0.67671232876712328</v>
      </c>
      <c r="T10" s="73">
        <f>INDEX(LUJ_2!$A:$J,MATCH('2020'!$A10,LUJ_2!$A:$A,0),MATCH('2020'!$A$1,LUJ_2!$3:$3,0))</f>
        <v>0.25700000000000001</v>
      </c>
      <c r="U10" s="73">
        <f>INDEX(LUJ_3!$A:$J,MATCH('2020'!$A10,LUJ_3!$A:$A,0),MATCH('2020'!$A$1,LUJ_3!$3:$3,0))</f>
        <v>0.53848522167487689</v>
      </c>
      <c r="V10" s="14">
        <f>INDEX(LUJ_4!$A:$J,MATCH('2020'!$A10,LUJ_4!$A:$A,0),MATCH('2020'!$A$1,LUJ_4!$3:$3,0))</f>
        <v>9</v>
      </c>
      <c r="W10" s="34">
        <f>INDEX(LUJ_5!$A:$J,MATCH('2020'!$A10,LUJ_5!$A:$A,0),MATCH('2020'!$A$1,LUJ_5!$3:$3,0))</f>
        <v>29.1</v>
      </c>
      <c r="X10" s="98">
        <f>1/INDEX(GUL_1!$A:$J,MATCH('2020'!$A10,GUL_1!$A:$A,0),MATCH('2020'!$A$1,GUL_1!$3:$3,0))</f>
        <v>1.4436263894903999E-2</v>
      </c>
      <c r="Y10" s="57">
        <f>INDEX(GUL_2!$A:$J,MATCH('2020'!$A10,GUL_2!$A:$A,0),MATCH('2020'!$A$1,GUL_2!$3:$3,0))</f>
        <v>25.1</v>
      </c>
      <c r="Z10" s="57">
        <f>INDEX(GUL_3!$A:$J,MATCH('2020'!$A10,GUL_3!$A:$A,0),MATCH('2020'!$A$1,GUL_3!$3:$3,0))/(B10/1000)</f>
        <v>0.81408364709473902</v>
      </c>
      <c r="AA10" s="101">
        <f>INDEX(GUL_4!$A:$J,MATCH('2020'!$A10,GUL_4!$A:$A,0),MATCH('2020'!$A$1,GUL_4!$3:$3,0))/B10/C10*10^6</f>
        <v>0.36958088325526545</v>
      </c>
      <c r="AB10" s="73">
        <f>INDEX(GUL_5!$A:$J,MATCH('2020'!$A10,GUL_5!$A:$A,0),MATCH('2020'!$A$1,GUL_5!$3:$3,0))</f>
        <v>3.8731765091057697E-2</v>
      </c>
      <c r="AC10" s="49">
        <f>INDEX(GUL_6!$A:$J,MATCH('2020'!$A10,GUL_6!$A:$A,0),MATCH('2020'!$A$1,GUL_6!$3:$3,0))</f>
        <v>5.3699999999999998E-2</v>
      </c>
      <c r="AD10" s="49">
        <f>INDEX(GUL_7!$A:$J,MATCH('2020'!$A10,GUL_7!$A:$A,0),MATCH('2020'!$A$1,GUL_7!$3:$3,0))</f>
        <v>0.27000190000000002</v>
      </c>
      <c r="AE10" s="103">
        <f>INDEX(GUL_8!$A:$J,MATCH('2020'!$A10,GUL_8!$A:$A,0),MATCH('2020'!$A$1,GUL_8!$3:$3,0))/(B10/1000)</f>
        <v>3.6294562599640448</v>
      </c>
      <c r="AF10" s="41">
        <f>INDEX(DES_1!$A:$J,MATCH('2020'!$A10,DES_1!$A:$A,0),MATCH('2020'!$A$1,DES_1!$3:$3,0))/(B10/1000)</f>
        <v>5.4272243139649262E-2</v>
      </c>
      <c r="AG10" s="100">
        <f>INDEX(DES_2!$A:$J,MATCH('2020'!$A10,DES_2!$A:$A,0),MATCH('2020'!$A$1,DES_2!$3:$3,0))/(B10/1000)</f>
        <v>0.70214714561921232</v>
      </c>
      <c r="AH10" s="57">
        <f>1/INDEX(DES_3!$A:$J,MATCH('2020'!$A10,DES_3!$A:$A,0),MATCH('2020'!$A$1,DES_3!$3:$3,0))</f>
        <v>8.1366965012205049E-3</v>
      </c>
      <c r="AI10" s="80">
        <f>INDEX(DES_4!$A:$J,MATCH('2020'!$A10,DES_4!$A:$A,0),MATCH('2020'!$A$1,DES_4!$3:$3,0))</f>
        <v>0.67330425949600003</v>
      </c>
      <c r="AJ10" s="110">
        <f>INDEX(DES_5!$A:$J,MATCH('2020'!$A10,DES_5!$A:$A,0),MATCH('2020'!$A$1,DES_5!$3:$3,0))</f>
        <v>0.42210913853500004</v>
      </c>
      <c r="AK10" s="57">
        <v>8</v>
      </c>
    </row>
    <row r="11" spans="1:37" x14ac:dyDescent="0.3">
      <c r="A11" s="29" t="s">
        <v>10</v>
      </c>
      <c r="B11" s="33">
        <f>INDEX(Population!$A:$J,MATCH('2020'!$A11,Population!$A:$A,0),MATCH('2020'!$A$1,Population!$3:$3,0))</f>
        <v>1867932</v>
      </c>
      <c r="C11" s="14">
        <f>INDEX(Income!$A:$J,MATCH('2020'!$A11,Income!$A:$A,0),MATCH('2020'!$A$1,Income!$3:$3,0))</f>
        <v>37349</v>
      </c>
      <c r="D11" s="34">
        <f>INDEX(Livable_wage!$A:$J,MATCH('2020'!$A11,Livable_wage!$A:$A,0),MATCH('2020'!$A$1,Livable_wage!$3:$3,0))</f>
        <v>14872</v>
      </c>
      <c r="E11" s="41">
        <f>INDEX(AVA_1!$A:$J,MATCH('2020'!$A11,AVA_1!$A:$A,0),MATCH('2020'!$A$1,AVA_1!$3:$3,0))</f>
        <v>0.36899999999999999</v>
      </c>
      <c r="F11" s="15">
        <f>INDEX(AVA_2!$A:$J,MATCH('2020'!$A11,AVA_2!$A:$A,0),MATCH('2020'!$A$1,AVA_2!$3:$3,0))</f>
        <v>1.0984942663026322E-2</v>
      </c>
      <c r="G11" s="15">
        <f>INDEX(AVA_3!$A:$J,MATCH('2020'!$A11,AVA_3!$A:$A,0),MATCH('2020'!$A$1,AVA_3!$3:$3,0))</f>
        <v>4.8784265923079655E-2</v>
      </c>
      <c r="H11" s="87">
        <f>INDEX(AVA_4!$A:$J,MATCH('2020'!$A11,AVA_4!$A:$A,0),MATCH('2020'!$A$1,AVA_4!$3:$3,0))/(B11/1000)</f>
        <v>0.53213928558427182</v>
      </c>
      <c r="I11" s="89">
        <f>INDEX(AVA_5!$A:$J,MATCH('2020'!$A11,AVA_5!$A:$A,0),MATCH('2020'!$A$1,AVA_5!$3:$3,0))/(B11/1000)</f>
        <v>6.0821271866427686</v>
      </c>
      <c r="J11" s="93">
        <f>INDEX(IRA_1!$A:$J,MATCH('2020'!$A11,IRA_1!$A:$A,0),MATCH('2020'!$A$1,IRA_1!$3:$3,0))/(B11/1000)</f>
        <v>7.9232006304298011E-2</v>
      </c>
      <c r="K11" s="88">
        <f>INDEX(IRA_2!$A:$J,MATCH('2020'!$A11,IRA_2!$A:$A,0),MATCH('2020'!$A$1,IRA_2!$3:$3,0))/(B11/1000)</f>
        <v>0.26232218303450017</v>
      </c>
      <c r="L11" s="15">
        <f>INDEX(IRA_3!$A:$J,MATCH('2020'!$A11,IRA_3!$A:$A,0),MATCH('2020'!$A$1,IRA_3!$3:$3,0))</f>
        <v>0.34493578517221246</v>
      </c>
      <c r="M11" s="96">
        <f>INDEX(IRA_4!$A:$J,MATCH('2020'!$A11,IRA_4!$A:$A,0),MATCH('2020'!$A$1,IRA_4!$3:$3,0))/(B11/1000)</f>
        <v>6.1196017842191255</v>
      </c>
      <c r="N11" s="61">
        <f>INDEX(INV_1!$A:$J,MATCH('2020'!$A11,INV_1!$A:$A,0),MATCH('2020'!$A$1,INV_1!$3:$3,0))</f>
        <v>8.2227801770259928E-2</v>
      </c>
      <c r="O11" s="80">
        <f>INDEX(INV_2!$A:$J,MATCH('2020'!$A11,INV_2!$A:$A,0),MATCH('2020'!$A$1,INV_2!$3:$3,0))/B11*10^6/C11</f>
        <v>0.17895516636730163</v>
      </c>
      <c r="P11" s="87">
        <f>INDEX(INV_3!$A:$J,MATCH('2020'!$A11,INV_3!$A:$A,0),MATCH('2020'!$A$1,INV_3!$3:$3,0))/B11*10^6/C11</f>
        <v>3.8059414756819208</v>
      </c>
      <c r="Q11" s="87">
        <f>INDEX(INV_4!$A:$J,MATCH('2020'!$A11,INV_4!$A:$A,0),MATCH('2020'!$A$1,INV_4!$3:$3,0))/B11*10^3/C11</f>
        <v>0.2827355520947531</v>
      </c>
      <c r="R11" s="34">
        <f>INDEX(INV_5!$A:$J,MATCH('2020'!$A11,INV_5!$A:$A,0),MATCH('2020'!$A$1,INV_5!$3:$3,0))</f>
        <v>0.17549999999999999</v>
      </c>
      <c r="S11" s="77">
        <f>INDEX(LUJ_1!$A:$J,MATCH('2020'!$A11,LUJ_1!$A:$A,0),MATCH('2020'!$A$1,LUJ_1!$3:$3,0))</f>
        <v>0.70798004987531171</v>
      </c>
      <c r="T11" s="73">
        <f>INDEX(LUJ_2!$A:$J,MATCH('2020'!$A11,LUJ_2!$A:$A,0),MATCH('2020'!$A$1,LUJ_2!$3:$3,0))</f>
        <v>0.23399999999999999</v>
      </c>
      <c r="U11" s="73">
        <f>INDEX(LUJ_3!$A:$J,MATCH('2020'!$A11,LUJ_3!$A:$A,0),MATCH('2020'!$A$1,LUJ_3!$3:$3,0))</f>
        <v>0.42798354825232165</v>
      </c>
      <c r="V11" s="14">
        <f>INDEX(LUJ_4!$A:$J,MATCH('2020'!$A11,LUJ_4!$A:$A,0),MATCH('2020'!$A$1,LUJ_4!$3:$3,0))</f>
        <v>35</v>
      </c>
      <c r="W11" s="34">
        <f>INDEX(LUJ_5!$A:$J,MATCH('2020'!$A11,LUJ_5!$A:$A,0),MATCH('2020'!$A$1,LUJ_5!$3:$3,0))</f>
        <v>42</v>
      </c>
      <c r="X11" s="98">
        <f>1/INDEX(GUL_1!$A:$J,MATCH('2020'!$A11,GUL_1!$A:$A,0),MATCH('2020'!$A$1,GUL_1!$3:$3,0))</f>
        <v>1.4378145219266714E-2</v>
      </c>
      <c r="Y11" s="57">
        <f>INDEX(GUL_2!$A:$J,MATCH('2020'!$A11,GUL_2!$A:$A,0),MATCH('2020'!$A$1,GUL_2!$3:$3,0))</f>
        <v>24.9</v>
      </c>
      <c r="Z11" s="57">
        <f>INDEX(GUL_3!$A:$J,MATCH('2020'!$A11,GUL_3!$A:$A,0),MATCH('2020'!$A$1,GUL_3!$3:$3,0))/(B11/1000)</f>
        <v>0.96791532025791083</v>
      </c>
      <c r="AA11" s="101">
        <f>INDEX(GUL_4!$A:$J,MATCH('2020'!$A11,GUL_4!$A:$A,0),MATCH('2020'!$A$1,GUL_4!$3:$3,0))/B11/C11*10^6</f>
        <v>0.1880459576519499</v>
      </c>
      <c r="AB11" s="73">
        <f>INDEX(GUL_5!$A:$J,MATCH('2020'!$A11,GUL_5!$A:$A,0),MATCH('2020'!$A$1,GUL_5!$3:$3,0))</f>
        <v>3.0492358068758111E-2</v>
      </c>
      <c r="AC11" s="49">
        <f>INDEX(GUL_6!$A:$J,MATCH('2020'!$A11,GUL_6!$A:$A,0),MATCH('2020'!$A$1,GUL_6!$3:$3,0))</f>
        <v>0.06</v>
      </c>
      <c r="AD11" s="49">
        <f>INDEX(GUL_7!$A:$J,MATCH('2020'!$A11,GUL_7!$A:$A,0),MATCH('2020'!$A$1,GUL_7!$3:$3,0))</f>
        <v>0.1894401</v>
      </c>
      <c r="AE11" s="103">
        <f>INDEX(GUL_8!$A:$J,MATCH('2020'!$A11,GUL_8!$A:$A,0),MATCH('2020'!$A$1,GUL_8!$3:$3,0))/(B11/1000)</f>
        <v>2.4545861412513945</v>
      </c>
      <c r="AF11" s="41">
        <f>INDEX(DES_1!$A:$J,MATCH('2020'!$A11,DES_1!$A:$A,0),MATCH('2020'!$A$1,DES_1!$3:$3,0))/(B11/1000)</f>
        <v>0.16810033769965929</v>
      </c>
      <c r="AG11" s="100">
        <f>INDEX(DES_2!$A:$J,MATCH('2020'!$A11,DES_2!$A:$A,0),MATCH('2020'!$A$1,DES_2!$3:$3,0))/(B11/1000)</f>
        <v>1.138157063533362</v>
      </c>
      <c r="AH11" s="57">
        <f>1/INDEX(DES_3!$A:$J,MATCH('2020'!$A11,DES_3!$A:$A,0),MATCH('2020'!$A$1,DES_3!$3:$3,0))</f>
        <v>9.7370983446932804E-3</v>
      </c>
      <c r="AI11" s="80">
        <f>INDEX(DES_4!$A:$J,MATCH('2020'!$A11,DES_4!$A:$A,0),MATCH('2020'!$A$1,DES_4!$3:$3,0))</f>
        <v>0.92772538002100002</v>
      </c>
      <c r="AJ11" s="110">
        <f>INDEX(DES_5!$A:$J,MATCH('2020'!$A11,DES_5!$A:$A,0),MATCH('2020'!$A$1,DES_5!$3:$3,0))</f>
        <v>0.68801963708200009</v>
      </c>
      <c r="AK11" s="57">
        <v>12</v>
      </c>
    </row>
    <row r="12" spans="1:37" x14ac:dyDescent="0.3">
      <c r="A12" s="29" t="s">
        <v>11</v>
      </c>
      <c r="B12" s="33">
        <f>INDEX(Population!$A:$J,MATCH('2020'!$A12,Population!$A:$A,0),MATCH('2020'!$A$1,Population!$3:$3,0))</f>
        <v>2904146</v>
      </c>
      <c r="C12" s="14">
        <f>INDEX(Income!$A:$J,MATCH('2020'!$A12,Income!$A:$A,0),MATCH('2020'!$A$1,Income!$3:$3,0))</f>
        <v>24187</v>
      </c>
      <c r="D12" s="34">
        <f>INDEX(Livable_wage!$A:$J,MATCH('2020'!$A12,Livable_wage!$A:$A,0),MATCH('2020'!$A$1,Livable_wage!$3:$3,0))</f>
        <v>10464</v>
      </c>
      <c r="E12" s="41">
        <f>INDEX(AVA_1!$A:$J,MATCH('2020'!$A12,AVA_1!$A:$A,0),MATCH('2020'!$A$1,AVA_1!$3:$3,0))</f>
        <v>0.35199999999999998</v>
      </c>
      <c r="F12" s="15">
        <f>INDEX(AVA_2!$A:$J,MATCH('2020'!$A12,AVA_2!$A:$A,0),MATCH('2020'!$A$1,AVA_2!$3:$3,0))</f>
        <v>8.3741800706253269E-3</v>
      </c>
      <c r="G12" s="15">
        <f>INDEX(AVA_3!$A:$J,MATCH('2020'!$A12,AVA_3!$A:$A,0),MATCH('2020'!$A$1,AVA_3!$3:$3,0))</f>
        <v>2.242798062963984E-2</v>
      </c>
      <c r="H12" s="87">
        <f>INDEX(AVA_4!$A:$J,MATCH('2020'!$A12,AVA_4!$A:$A,0),MATCH('2020'!$A$1,AVA_4!$3:$3,0))/(B12/1000)</f>
        <v>0.94003538389598862</v>
      </c>
      <c r="I12" s="89">
        <f>INDEX(AVA_5!$A:$J,MATCH('2020'!$A12,AVA_5!$A:$A,0),MATCH('2020'!$A$1,AVA_5!$3:$3,0))/(B12/1000)</f>
        <v>4.120316265091355</v>
      </c>
      <c r="J12" s="93">
        <f>INDEX(IRA_1!$A:$J,MATCH('2020'!$A12,IRA_1!$A:$A,0),MATCH('2020'!$A$1,IRA_1!$3:$3,0))/(B12/1000)</f>
        <v>3.3744859934727797E-2</v>
      </c>
      <c r="K12" s="88">
        <f>INDEX(IRA_2!$A:$J,MATCH('2020'!$A12,IRA_2!$A:$A,0),MATCH('2020'!$A$1,IRA_2!$3:$3,0))/(B12/1000)</f>
        <v>8.5050820447732309E-2</v>
      </c>
      <c r="L12" s="15">
        <f>INDEX(IRA_3!$A:$J,MATCH('2020'!$A12,IRA_3!$A:$A,0),MATCH('2020'!$A$1,IRA_3!$3:$3,0))</f>
        <v>0.41935269046350554</v>
      </c>
      <c r="M12" s="96">
        <f>INDEX(IRA_4!$A:$J,MATCH('2020'!$A12,IRA_4!$A:$A,0),MATCH('2020'!$A$1,IRA_4!$3:$3,0))/(B12/1000)</f>
        <v>4.0555812276655514</v>
      </c>
      <c r="N12" s="61">
        <f>INDEX(INV_1!$A:$J,MATCH('2020'!$A12,INV_1!$A:$A,0),MATCH('2020'!$A$1,INV_1!$3:$3,0))</f>
        <v>8.1165307841918069E-2</v>
      </c>
      <c r="O12" s="80">
        <f>INDEX(INV_2!$A:$J,MATCH('2020'!$A12,INV_2!$A:$A,0),MATCH('2020'!$A$1,INV_2!$3:$3,0))/B12*10^6/C12</f>
        <v>0.4098819192162016</v>
      </c>
      <c r="P12" s="87">
        <f>INDEX(INV_3!$A:$J,MATCH('2020'!$A12,INV_3!$A:$A,0),MATCH('2020'!$A$1,INV_3!$3:$3,0))/B12*10^6/C12</f>
        <v>3.985673686558783</v>
      </c>
      <c r="Q12" s="87">
        <f>INDEX(INV_4!$A:$J,MATCH('2020'!$A12,INV_4!$A:$A,0),MATCH('2020'!$A$1,INV_4!$3:$3,0))/B12*10^3/C12</f>
        <v>0.27852600081618795</v>
      </c>
      <c r="R12" s="34">
        <f>INDEX(INV_5!$A:$J,MATCH('2020'!$A12,INV_5!$A:$A,0),MATCH('2020'!$A$1,INV_5!$3:$3,0))</f>
        <v>0.1444</v>
      </c>
      <c r="S12" s="77">
        <f>INDEX(LUJ_1!$A:$J,MATCH('2020'!$A12,LUJ_1!$A:$A,0),MATCH('2020'!$A$1,LUJ_1!$3:$3,0))</f>
        <v>0.80682356657716003</v>
      </c>
      <c r="T12" s="73">
        <f>INDEX(LUJ_2!$A:$J,MATCH('2020'!$A12,LUJ_2!$A:$A,0),MATCH('2020'!$A$1,LUJ_2!$3:$3,0))</f>
        <v>0.22600000000000001</v>
      </c>
      <c r="U12" s="73">
        <f>INDEX(LUJ_3!$A:$J,MATCH('2020'!$A12,LUJ_3!$A:$A,0),MATCH('2020'!$A$1,LUJ_3!$3:$3,0))</f>
        <v>0.33879634222591604</v>
      </c>
      <c r="V12" s="14">
        <f>INDEX(LUJ_4!$A:$J,MATCH('2020'!$A12,LUJ_4!$A:$A,0),MATCH('2020'!$A$1,LUJ_4!$3:$3,0))</f>
        <v>67</v>
      </c>
      <c r="W12" s="34">
        <f>INDEX(LUJ_5!$A:$J,MATCH('2020'!$A12,LUJ_5!$A:$A,0),MATCH('2020'!$A$1,LUJ_5!$3:$3,0))</f>
        <v>17</v>
      </c>
      <c r="X12" s="98">
        <f>1/INDEX(GUL_1!$A:$J,MATCH('2020'!$A12,GUL_1!$A:$A,0),MATCH('2020'!$A$1,GUL_1!$3:$3,0))</f>
        <v>1.3661202185792349E-2</v>
      </c>
      <c r="Y12" s="57">
        <f>INDEX(GUL_2!$A:$J,MATCH('2020'!$A12,GUL_2!$A:$A,0),MATCH('2020'!$A$1,GUL_2!$3:$3,0))</f>
        <v>25</v>
      </c>
      <c r="Z12" s="57">
        <f>INDEX(GUL_3!$A:$J,MATCH('2020'!$A12,GUL_3!$A:$A,0),MATCH('2020'!$A$1,GUL_3!$3:$3,0))/(B12/1000)</f>
        <v>0.72138246493117075</v>
      </c>
      <c r="AA12" s="101">
        <f>INDEX(GUL_4!$A:$J,MATCH('2020'!$A12,GUL_4!$A:$A,0),MATCH('2020'!$A$1,GUL_4!$3:$3,0))/B12/C12*10^6</f>
        <v>0.40525405363623218</v>
      </c>
      <c r="AB12" s="73">
        <f>INDEX(GUL_5!$A:$J,MATCH('2020'!$A12,GUL_5!$A:$A,0),MATCH('2020'!$A$1,GUL_5!$3:$3,0))</f>
        <v>3.4220822657021546E-2</v>
      </c>
      <c r="AC12" s="49">
        <f>INDEX(GUL_6!$A:$J,MATCH('2020'!$A12,GUL_6!$A:$A,0),MATCH('2020'!$A$1,GUL_6!$3:$3,0))</f>
        <v>3.8699999999999998E-2</v>
      </c>
      <c r="AD12" s="49">
        <f>INDEX(GUL_7!$A:$J,MATCH('2020'!$A12,GUL_7!$A:$A,0),MATCH('2020'!$A$1,GUL_7!$3:$3,0))</f>
        <v>0.17918199999999998</v>
      </c>
      <c r="AE12" s="103">
        <f>INDEX(GUL_8!$A:$J,MATCH('2020'!$A12,GUL_8!$A:$A,0),MATCH('2020'!$A$1,GUL_8!$3:$3,0))/(B12/1000)</f>
        <v>0.97550192035799843</v>
      </c>
      <c r="AF12" s="41">
        <f>INDEX(DES_1!$A:$J,MATCH('2020'!$A12,DES_1!$A:$A,0),MATCH('2020'!$A$1,DES_1!$3:$3,0))/(B12/1000)</f>
        <v>8.3673479225906677E-2</v>
      </c>
      <c r="AG12" s="100">
        <f>INDEX(DES_2!$A:$J,MATCH('2020'!$A12,DES_2!$A:$A,0),MATCH('2020'!$A$1,DES_2!$3:$3,0))/(B12/1000)</f>
        <v>0.63736465039980772</v>
      </c>
      <c r="AH12" s="57">
        <f>1/INDEX(DES_3!$A:$J,MATCH('2020'!$A12,DES_3!$A:$A,0),MATCH('2020'!$A$1,DES_3!$3:$3,0))</f>
        <v>8.8495575221238937E-3</v>
      </c>
      <c r="AI12" s="80">
        <f>INDEX(DES_4!$A:$J,MATCH('2020'!$A12,DES_4!$A:$A,0),MATCH('2020'!$A$1,DES_4!$3:$3,0))</f>
        <v>0.93067255746699995</v>
      </c>
      <c r="AJ12" s="110">
        <f>INDEX(DES_5!$A:$J,MATCH('2020'!$A12,DES_5!$A:$A,0),MATCH('2020'!$A$1,DES_5!$3:$3,0))</f>
        <v>0.50726977878699997</v>
      </c>
      <c r="AK12" s="57">
        <v>15</v>
      </c>
    </row>
    <row r="13" spans="1:37" x14ac:dyDescent="0.3">
      <c r="A13" s="29" t="s">
        <v>12</v>
      </c>
      <c r="B13" s="33">
        <f>INDEX(Population!$A:$J,MATCH('2020'!$A13,Population!$A:$A,0),MATCH('2020'!$A$1,Population!$3:$3,0))</f>
        <v>2208563</v>
      </c>
      <c r="C13" s="14">
        <f>INDEX(Income!$A:$J,MATCH('2020'!$A13,Income!$A:$A,0),MATCH('2020'!$A$1,Income!$3:$3,0))</f>
        <v>23917</v>
      </c>
      <c r="D13" s="34">
        <f>INDEX(Livable_wage!$A:$J,MATCH('2020'!$A13,Livable_wage!$A:$A,0),MATCH('2020'!$A$1,Livable_wage!$3:$3,0))</f>
        <v>10904</v>
      </c>
      <c r="E13" s="41">
        <f>INDEX(AVA_1!$A:$J,MATCH('2020'!$A13,AVA_1!$A:$A,0),MATCH('2020'!$A$1,AVA_1!$3:$3,0))</f>
        <v>0.36399999999999999</v>
      </c>
      <c r="F13" s="15">
        <f>INDEX(AVA_2!$A:$J,MATCH('2020'!$A13,AVA_2!$A:$A,0),MATCH('2020'!$A$1,AVA_2!$3:$3,0))</f>
        <v>9.2211500886764663E-3</v>
      </c>
      <c r="G13" s="15">
        <f>INDEX(AVA_3!$A:$J,MATCH('2020'!$A13,AVA_3!$A:$A,0),MATCH('2020'!$A$1,AVA_3!$3:$3,0))</f>
        <v>8.0688880477224594E-3</v>
      </c>
      <c r="H13" s="87">
        <f>INDEX(AVA_4!$A:$J,MATCH('2020'!$A13,AVA_4!$A:$A,0),MATCH('2020'!$A$1,AVA_4!$3:$3,0))/(B13/1000)</f>
        <v>0.44599135274837076</v>
      </c>
      <c r="I13" s="89">
        <f>INDEX(AVA_5!$A:$J,MATCH('2020'!$A13,AVA_5!$A:$A,0),MATCH('2020'!$A$1,AVA_5!$3:$3,0))/(B13/1000)</f>
        <v>6.5381879529811915</v>
      </c>
      <c r="J13" s="93">
        <f>INDEX(IRA_1!$A:$J,MATCH('2020'!$A13,IRA_1!$A:$A,0),MATCH('2020'!$A$1,IRA_1!$3:$3,0))/(B13/1000)</f>
        <v>7.289807897714487E-2</v>
      </c>
      <c r="K13" s="88">
        <f>INDEX(IRA_2!$A:$J,MATCH('2020'!$A13,IRA_2!$A:$A,0),MATCH('2020'!$A$1,IRA_2!$3:$3,0))/(B13/1000)</f>
        <v>0.20556352705356379</v>
      </c>
      <c r="L13" s="15">
        <f>INDEX(IRA_3!$A:$J,MATCH('2020'!$A13,IRA_3!$A:$A,0),MATCH('2020'!$A$1,IRA_3!$3:$3,0))</f>
        <v>0.30358682968900619</v>
      </c>
      <c r="M13" s="96">
        <f>INDEX(IRA_4!$A:$J,MATCH('2020'!$A13,IRA_4!$A:$A,0),MATCH('2020'!$A$1,IRA_4!$3:$3,0))/(B13/1000)</f>
        <v>5.0919987340184543</v>
      </c>
      <c r="N13" s="61">
        <f>INDEX(INV_1!$A:$J,MATCH('2020'!$A13,INV_1!$A:$A,0),MATCH('2020'!$A$1,INV_1!$3:$3,0))</f>
        <v>6.4323375683172659E-2</v>
      </c>
      <c r="O13" s="80">
        <f>INDEX(INV_2!$A:$J,MATCH('2020'!$A13,INV_2!$A:$A,0),MATCH('2020'!$A$1,INV_2!$3:$3,0))/B13*10^6/C13</f>
        <v>0.43796370375236432</v>
      </c>
      <c r="P13" s="87">
        <f>INDEX(INV_3!$A:$J,MATCH('2020'!$A13,INV_3!$A:$A,0),MATCH('2020'!$A$1,INV_3!$3:$3,0))/B13*10^6/C13</f>
        <v>4.643331669228572</v>
      </c>
      <c r="Q13" s="87">
        <f>INDEX(INV_4!$A:$J,MATCH('2020'!$A13,INV_4!$A:$A,0),MATCH('2020'!$A$1,INV_4!$3:$3,0))/B13*10^3/C13</f>
        <v>0.34858098199154086</v>
      </c>
      <c r="R13" s="34">
        <f>INDEX(INV_5!$A:$J,MATCH('2020'!$A13,INV_5!$A:$A,0),MATCH('2020'!$A$1,INV_5!$3:$3,0))</f>
        <v>8.0399999999999999E-2</v>
      </c>
      <c r="S13" s="77">
        <f>INDEX(LUJ_1!$A:$J,MATCH('2020'!$A13,LUJ_1!$A:$A,0),MATCH('2020'!$A$1,LUJ_1!$3:$3,0))</f>
        <v>0.8656368657231619</v>
      </c>
      <c r="T13" s="73">
        <f>INDEX(LUJ_2!$A:$J,MATCH('2020'!$A13,LUJ_2!$A:$A,0),MATCH('2020'!$A$1,LUJ_2!$3:$3,0))</f>
        <v>0.23899999999999999</v>
      </c>
      <c r="U13" s="73">
        <f>INDEX(LUJ_3!$A:$J,MATCH('2020'!$A13,LUJ_3!$A:$A,0),MATCH('2020'!$A$1,LUJ_3!$3:$3,0))</f>
        <v>0.42782258064516127</v>
      </c>
      <c r="V13" s="14">
        <f>INDEX(LUJ_4!$A:$J,MATCH('2020'!$A13,LUJ_4!$A:$A,0),MATCH('2020'!$A$1,LUJ_4!$3:$3,0))</f>
        <v>54</v>
      </c>
      <c r="W13" s="34">
        <f>INDEX(LUJ_5!$A:$J,MATCH('2020'!$A13,LUJ_5!$A:$A,0),MATCH('2020'!$A$1,LUJ_5!$3:$3,0))</f>
        <v>81.7</v>
      </c>
      <c r="X13" s="98">
        <f>1/INDEX(GUL_1!$A:$J,MATCH('2020'!$A13,GUL_1!$A:$A,0),MATCH('2020'!$A$1,GUL_1!$3:$3,0))</f>
        <v>1.4247043738424277E-2</v>
      </c>
      <c r="Y13" s="57">
        <f>INDEX(GUL_2!$A:$J,MATCH('2020'!$A13,GUL_2!$A:$A,0),MATCH('2020'!$A$1,GUL_2!$3:$3,0))</f>
        <v>26</v>
      </c>
      <c r="Z13" s="57">
        <f>INDEX(GUL_3!$A:$J,MATCH('2020'!$A13,GUL_3!$A:$A,0),MATCH('2020'!$A$1,GUL_3!$3:$3,0))/(B13/1000)</f>
        <v>0.68958866013783615</v>
      </c>
      <c r="AA13" s="101">
        <f>INDEX(GUL_4!$A:$J,MATCH('2020'!$A13,GUL_4!$A:$A,0),MATCH('2020'!$A$1,GUL_4!$3:$3,0))/B13/C13*10^6</f>
        <v>0.16106466211719345</v>
      </c>
      <c r="AB13" s="73">
        <f>INDEX(GUL_5!$A:$J,MATCH('2020'!$A13,GUL_5!$A:$A,0),MATCH('2020'!$A$1,GUL_5!$3:$3,0))</f>
        <v>3.6064015789567652E-2</v>
      </c>
      <c r="AC13" s="49">
        <f>INDEX(GUL_6!$A:$J,MATCH('2020'!$A13,GUL_6!$A:$A,0),MATCH('2020'!$A$1,GUL_6!$3:$3,0))</f>
        <v>4.6500000000000007E-2</v>
      </c>
      <c r="AD13" s="49">
        <f>INDEX(GUL_7!$A:$J,MATCH('2020'!$A13,GUL_7!$A:$A,0),MATCH('2020'!$A$1,GUL_7!$3:$3,0))</f>
        <v>0.24251010000000001</v>
      </c>
      <c r="AE13" s="103">
        <f>INDEX(GUL_8!$A:$J,MATCH('2020'!$A13,GUL_8!$A:$A,0),MATCH('2020'!$A$1,GUL_8!$3:$3,0))/(B13/1000)</f>
        <v>3.927440602781084</v>
      </c>
      <c r="AF13" s="41">
        <f>INDEX(DES_1!$A:$J,MATCH('2020'!$A13,DES_1!$A:$A,0),MATCH('2020'!$A$1,DES_1!$3:$3,0))/(B13/1000)</f>
        <v>0.23318329610701619</v>
      </c>
      <c r="AG13" s="100">
        <f>INDEX(DES_2!$A:$J,MATCH('2020'!$A13,DES_2!$A:$A,0),MATCH('2020'!$A$1,DES_2!$3:$3,0))/(B13/1000)</f>
        <v>0.82632915610738744</v>
      </c>
      <c r="AH13" s="57">
        <f>1/INDEX(DES_3!$A:$J,MATCH('2020'!$A13,DES_3!$A:$A,0),MATCH('2020'!$A$1,DES_3!$3:$3,0))</f>
        <v>8.368200836820083E-3</v>
      </c>
      <c r="AI13" s="80">
        <f>INDEX(DES_4!$A:$J,MATCH('2020'!$A13,DES_4!$A:$A,0),MATCH('2020'!$A$1,DES_4!$3:$3,0))</f>
        <v>0.97273784393499996</v>
      </c>
      <c r="AJ13" s="110">
        <f>INDEX(DES_5!$A:$J,MATCH('2020'!$A13,DES_5!$A:$A,0),MATCH('2020'!$A$1,DES_5!$3:$3,0))</f>
        <v>0.70484958403099995</v>
      </c>
      <c r="AK13" s="57">
        <v>17</v>
      </c>
    </row>
    <row r="14" spans="1:37" x14ac:dyDescent="0.3">
      <c r="A14" s="29" t="s">
        <v>13</v>
      </c>
      <c r="B14" s="33">
        <f>INDEX(Population!$A:$J,MATCH('2020'!$A14,Population!$A:$A,0),MATCH('2020'!$A$1,Population!$3:$3,0))</f>
        <v>12963013</v>
      </c>
      <c r="C14" s="14">
        <f>INDEX(Income!$A:$J,MATCH('2020'!$A14,Income!$A:$A,0),MATCH('2020'!$A$1,Income!$3:$3,0))</f>
        <v>78106</v>
      </c>
      <c r="D14" s="34">
        <f>INDEX(Livable_wage!$A:$J,MATCH('2020'!$A14,Livable_wage!$A:$A,0),MATCH('2020'!$A$1,Livable_wage!$3:$3,0))</f>
        <v>20260</v>
      </c>
      <c r="E14" s="41">
        <f>INDEX(AVA_1!$A:$J,MATCH('2020'!$A14,AVA_1!$A:$A,0),MATCH('2020'!$A$1,AVA_1!$3:$3,0))</f>
        <v>0.41299999999999998</v>
      </c>
      <c r="F14" s="15">
        <f>INDEX(AVA_2!$A:$J,MATCH('2020'!$A14,AVA_2!$A:$A,0),MATCH('2020'!$A$1,AVA_2!$3:$3,0))</f>
        <v>5.5332943436537427E-2</v>
      </c>
      <c r="G14" s="15">
        <f>INDEX(AVA_3!$A:$J,MATCH('2020'!$A14,AVA_3!$A:$A,0),MATCH('2020'!$A$1,AVA_3!$3:$3,0))</f>
        <v>0.17939840954052216</v>
      </c>
      <c r="H14" s="87">
        <f>INDEX(AVA_4!$A:$J,MATCH('2020'!$A14,AVA_4!$A:$A,0),MATCH('2020'!$A$1,AVA_4!$3:$3,0))/(B14/1000)</f>
        <v>0.90596221727155557</v>
      </c>
      <c r="I14" s="89">
        <f>INDEX(AVA_5!$A:$J,MATCH('2020'!$A14,AVA_5!$A:$A,0),MATCH('2020'!$A$1,AVA_5!$3:$3,0))/(B14/1000)</f>
        <v>4.6377335269200142</v>
      </c>
      <c r="J14" s="93">
        <f>INDEX(IRA_1!$A:$J,MATCH('2020'!$A14,IRA_1!$A:$A,0),MATCH('2020'!$A$1,IRA_1!$3:$3,0))/(B14/1000)</f>
        <v>1.7125648180712306E-2</v>
      </c>
      <c r="K14" s="88">
        <f>INDEX(IRA_2!$A:$J,MATCH('2020'!$A14,IRA_2!$A:$A,0),MATCH('2020'!$A$1,IRA_2!$3:$3,0))/(B14/1000)</f>
        <v>5.1994085017117546E-2</v>
      </c>
      <c r="L14" s="15">
        <f>INDEX(IRA_3!$A:$J,MATCH('2020'!$A14,IRA_3!$A:$A,0),MATCH('2020'!$A$1,IRA_3!$3:$3,0))</f>
        <v>0.6258971291866029</v>
      </c>
      <c r="M14" s="96">
        <f>INDEX(IRA_4!$A:$J,MATCH('2020'!$A14,IRA_4!$A:$A,0),MATCH('2020'!$A$1,IRA_4!$3:$3,0))/(B14/1000)</f>
        <v>3.3077958033367705</v>
      </c>
      <c r="N14" s="61">
        <f>INDEX(INV_1!$A:$J,MATCH('2020'!$A14,INV_1!$A:$A,0),MATCH('2020'!$A$1,INV_1!$3:$3,0))</f>
        <v>6.1055169097608226E-2</v>
      </c>
      <c r="O14" s="80">
        <f>INDEX(INV_2!$A:$J,MATCH('2020'!$A14,INV_2!$A:$A,0),MATCH('2020'!$A$1,INV_2!$3:$3,0))/B14*10^6/C14</f>
        <v>0.47864050256003488</v>
      </c>
      <c r="P14" s="87">
        <f>INDEX(INV_3!$A:$J,MATCH('2020'!$A14,INV_3!$A:$A,0),MATCH('2020'!$A$1,INV_3!$3:$3,0))/B14*10^6/C14</f>
        <v>2.2840897893372309</v>
      </c>
      <c r="Q14" s="87">
        <f>INDEX(INV_4!$A:$J,MATCH('2020'!$A14,INV_4!$A:$A,0),MATCH('2020'!$A$1,INV_4!$3:$3,0))/B14*10^3/C14</f>
        <v>0.27749396425854367</v>
      </c>
      <c r="R14" s="34">
        <f>INDEX(INV_5!$A:$J,MATCH('2020'!$A14,INV_5!$A:$A,0),MATCH('2020'!$A$1,INV_5!$3:$3,0))</f>
        <v>0.32529999999999998</v>
      </c>
      <c r="S14" s="77">
        <f>INDEX(LUJ_1!$A:$J,MATCH('2020'!$A14,LUJ_1!$A:$A,0),MATCH('2020'!$A$1,LUJ_1!$3:$3,0))</f>
        <v>0.60010519197535506</v>
      </c>
      <c r="T14" s="73">
        <f>INDEX(LUJ_2!$A:$J,MATCH('2020'!$A14,LUJ_2!$A:$A,0),MATCH('2020'!$A$1,LUJ_2!$3:$3,0))</f>
        <v>0.20100000000000001</v>
      </c>
      <c r="U14" s="73">
        <f>INDEX(LUJ_3!$A:$J,MATCH('2020'!$A14,LUJ_3!$A:$A,0),MATCH('2020'!$A$1,LUJ_3!$3:$3,0))</f>
        <v>0.21356091617157513</v>
      </c>
      <c r="V14" s="14">
        <f>INDEX(LUJ_4!$A:$J,MATCH('2020'!$A14,LUJ_4!$A:$A,0),MATCH('2020'!$A$1,LUJ_4!$3:$3,0))</f>
        <v>112</v>
      </c>
      <c r="W14" s="34">
        <f>INDEX(LUJ_5!$A:$J,MATCH('2020'!$A14,LUJ_5!$A:$A,0),MATCH('2020'!$A$1,LUJ_5!$3:$3,0))</f>
        <v>14.3</v>
      </c>
      <c r="X14" s="98">
        <f>1/INDEX(GUL_1!$A:$J,MATCH('2020'!$A14,GUL_1!$A:$A,0),MATCH('2020'!$A$1,GUL_1!$3:$3,0))</f>
        <v>1.3123359580052493E-2</v>
      </c>
      <c r="Y14" s="57">
        <f>INDEX(GUL_2!$A:$J,MATCH('2020'!$A14,GUL_2!$A:$A,0),MATCH('2020'!$A$1,GUL_2!$3:$3,0))</f>
        <v>24.2</v>
      </c>
      <c r="Z14" s="57">
        <f>INDEX(GUL_3!$A:$J,MATCH('2020'!$A14,GUL_3!$A:$A,0),MATCH('2020'!$A$1,GUL_3!$3:$3,0))/(B14/1000)</f>
        <v>0.42837263219592542</v>
      </c>
      <c r="AA14" s="101">
        <f>INDEX(GUL_4!$A:$J,MATCH('2020'!$A14,GUL_4!$A:$A,0),MATCH('2020'!$A$1,GUL_4!$3:$3,0))/B14/C14*10^6</f>
        <v>0.25320164106132231</v>
      </c>
      <c r="AB14" s="73">
        <f>INDEX(GUL_5!$A:$J,MATCH('2020'!$A14,GUL_5!$A:$A,0),MATCH('2020'!$A$1,GUL_5!$3:$3,0))</f>
        <v>4.132062464130349E-2</v>
      </c>
      <c r="AC14" s="49">
        <f>INDEX(GUL_6!$A:$J,MATCH('2020'!$A14,GUL_6!$A:$A,0),MATCH('2020'!$A$1,GUL_6!$3:$3,0))</f>
        <v>3.3300000000000003E-2</v>
      </c>
      <c r="AD14" s="49">
        <f>INDEX(GUL_7!$A:$J,MATCH('2020'!$A14,GUL_7!$A:$A,0),MATCH('2020'!$A$1,GUL_7!$3:$3,0))</f>
        <v>0.13184979999999999</v>
      </c>
      <c r="AE14" s="103">
        <f>INDEX(GUL_8!$A:$J,MATCH('2020'!$A14,GUL_8!$A:$A,0),MATCH('2020'!$A$1,GUL_8!$3:$3,0))/(B14/1000)</f>
        <v>0.47396388478511897</v>
      </c>
      <c r="AF14" s="41">
        <f>INDEX(DES_1!$A:$J,MATCH('2020'!$A14,DES_1!$A:$A,0),MATCH('2020'!$A$1,DES_1!$3:$3,0))/(B14/1000)</f>
        <v>2.0519920793105738E-2</v>
      </c>
      <c r="AG14" s="100">
        <f>INDEX(DES_2!$A:$J,MATCH('2020'!$A14,DES_2!$A:$A,0),MATCH('2020'!$A$1,DES_2!$3:$3,0))/(B14/1000)</f>
        <v>0.27701893070692746</v>
      </c>
      <c r="AH14" s="57">
        <f>1/INDEX(DES_3!$A:$J,MATCH('2020'!$A14,DES_3!$A:$A,0),MATCH('2020'!$A$1,DES_3!$3:$3,0))</f>
        <v>9.765625E-3</v>
      </c>
      <c r="AI14" s="80">
        <f>INDEX(DES_4!$A:$J,MATCH('2020'!$A14,DES_4!$A:$A,0),MATCH('2020'!$A$1,DES_4!$3:$3,0))</f>
        <v>1</v>
      </c>
      <c r="AJ14" s="110">
        <f>INDEX(DES_5!$A:$J,MATCH('2020'!$A14,DES_5!$A:$A,0),MATCH('2020'!$A$1,DES_5!$3:$3,0))</f>
        <v>0.97396084189400001</v>
      </c>
      <c r="AK14" s="57">
        <v>42</v>
      </c>
    </row>
    <row r="15" spans="1:37" x14ac:dyDescent="0.3">
      <c r="A15" s="29" t="s">
        <v>14</v>
      </c>
      <c r="B15" s="33">
        <f>INDEX(Population!$A:$J,MATCH('2020'!$A15,Population!$A:$A,0),MATCH('2020'!$A$1,Population!$3:$3,0))</f>
        <v>331888</v>
      </c>
      <c r="C15" s="14">
        <f>INDEX(Income!$A:$J,MATCH('2020'!$A15,Income!$A:$A,0),MATCH('2020'!$A$1,Income!$3:$3,0))</f>
        <v>18975</v>
      </c>
      <c r="D15" s="34">
        <f>INDEX(Livable_wage!$A:$J,MATCH('2020'!$A15,Livable_wage!$A:$A,0),MATCH('2020'!$A$1,Livable_wage!$3:$3,0))</f>
        <v>11594</v>
      </c>
      <c r="E15" s="41">
        <f>INDEX(AVA_1!$A:$J,MATCH('2020'!$A15,AVA_1!$A:$A,0),MATCH('2020'!$A$1,AVA_1!$3:$3,0))</f>
        <v>0.36499999999999999</v>
      </c>
      <c r="F15" s="15">
        <f>INDEX(AVA_2!$A:$J,MATCH('2020'!$A15,AVA_2!$A:$A,0),MATCH('2020'!$A$1,AVA_2!$3:$3,0))</f>
        <v>8.4553847803073949E-3</v>
      </c>
      <c r="G15" s="15">
        <f>INDEX(AVA_3!$A:$J,MATCH('2020'!$A15,AVA_3!$A:$A,0),MATCH('2020'!$A$1,AVA_3!$3:$3,0))</f>
        <v>0.51154355433605148</v>
      </c>
      <c r="H15" s="87">
        <f>INDEX(AVA_4!$A:$J,MATCH('2020'!$A15,AVA_4!$A:$A,0),MATCH('2020'!$A$1,AVA_4!$3:$3,0))/(B15/1000)</f>
        <v>0.53632550740008678</v>
      </c>
      <c r="I15" s="89">
        <f>INDEX(AVA_5!$A:$J,MATCH('2020'!$A15,AVA_5!$A:$A,0),MATCH('2020'!$A$1,AVA_5!$3:$3,0))/(B15/1000)</f>
        <v>9.8979173697150848</v>
      </c>
      <c r="J15" s="93">
        <f>INDEX(IRA_1!$A:$J,MATCH('2020'!$A15,IRA_1!$A:$A,0),MATCH('2020'!$A$1,IRA_1!$3:$3,0))/(B15/1000)</f>
        <v>0.29528033553487926</v>
      </c>
      <c r="K15" s="88">
        <f>INDEX(IRA_2!$A:$J,MATCH('2020'!$A15,IRA_2!$A:$A,0),MATCH('2020'!$A$1,IRA_2!$3:$3,0))/(B15/1000)</f>
        <v>0.97623294605409061</v>
      </c>
      <c r="L15" s="15">
        <f>INDEX(IRA_3!$A:$J,MATCH('2020'!$A15,IRA_3!$A:$A,0),MATCH('2020'!$A$1,IRA_3!$3:$3,0))</f>
        <v>0.3949880668257757</v>
      </c>
      <c r="M15" s="96">
        <f>INDEX(IRA_4!$A:$J,MATCH('2020'!$A15,IRA_4!$A:$A,0),MATCH('2020'!$A$1,IRA_4!$3:$3,0))/(B15/1000)</f>
        <v>9.6116762281251518</v>
      </c>
      <c r="N15" s="61">
        <f>INDEX(INV_1!$A:$J,MATCH('2020'!$A15,INV_1!$A:$A,0),MATCH('2020'!$A$1,INV_1!$3:$3,0))</f>
        <v>0.12103433413816331</v>
      </c>
      <c r="O15" s="80">
        <f>INDEX(INV_2!$A:$J,MATCH('2020'!$A15,INV_2!$A:$A,0),MATCH('2020'!$A$1,INV_2!$3:$3,0))/B15*10^6/C15</f>
        <v>0.23939926842949136</v>
      </c>
      <c r="P15" s="87">
        <f>INDEX(INV_3!$A:$J,MATCH('2020'!$A15,INV_3!$A:$A,0),MATCH('2020'!$A$1,INV_3!$3:$3,0))/B15*10^6/C15</f>
        <v>6.8764566321625908</v>
      </c>
      <c r="Q15" s="87">
        <f>INDEX(INV_4!$A:$J,MATCH('2020'!$A15,INV_4!$A:$A,0),MATCH('2020'!$A$1,INV_4!$3:$3,0))/B15*10^3/C15</f>
        <v>0.23936543000648441</v>
      </c>
      <c r="R15" s="34">
        <f>INDEX(INV_5!$A:$J,MATCH('2020'!$A15,INV_5!$A:$A,0),MATCH('2020'!$A$1,INV_5!$3:$3,0))</f>
        <v>4.4900000000000002E-2</v>
      </c>
      <c r="S15" s="77">
        <f>INDEX(LUJ_1!$A:$J,MATCH('2020'!$A15,LUJ_1!$A:$A,0),MATCH('2020'!$A$1,LUJ_1!$3:$3,0))</f>
        <v>0.37323511356660527</v>
      </c>
      <c r="T15" s="73">
        <f>INDEX(LUJ_2!$A:$J,MATCH('2020'!$A15,LUJ_2!$A:$A,0),MATCH('2020'!$A$1,LUJ_2!$3:$3,0))</f>
        <v>0.57700000000000007</v>
      </c>
      <c r="U15" s="73">
        <f>INDEX(LUJ_3!$A:$J,MATCH('2020'!$A15,LUJ_3!$A:$A,0),MATCH('2020'!$A$1,LUJ_3!$3:$3,0))</f>
        <v>0.35707844905320107</v>
      </c>
      <c r="V15" s="14">
        <f>INDEX(LUJ_4!$A:$J,MATCH('2020'!$A15,LUJ_4!$A:$A,0),MATCH('2020'!$A$1,LUJ_4!$3:$3,0))</f>
        <v>33</v>
      </c>
      <c r="W15" s="34">
        <f>INDEX(LUJ_5!$A:$J,MATCH('2020'!$A15,LUJ_5!$A:$A,0),MATCH('2020'!$A$1,LUJ_5!$3:$3,0))</f>
        <v>11.6</v>
      </c>
      <c r="X15" s="98">
        <f>1/INDEX(GUL_1!$A:$J,MATCH('2020'!$A15,GUL_1!$A:$A,0),MATCH('2020'!$A$1,GUL_1!$3:$3,0))</f>
        <v>1.509433962264151E-2</v>
      </c>
      <c r="Y15" s="57">
        <f>INDEX(GUL_2!$A:$J,MATCH('2020'!$A15,GUL_2!$A:$A,0),MATCH('2020'!$A$1,GUL_2!$3:$3,0))</f>
        <v>22.6</v>
      </c>
      <c r="Z15" s="57">
        <f>INDEX(GUL_3!$A:$J,MATCH('2020'!$A15,GUL_3!$A:$A,0),MATCH('2020'!$A$1,GUL_3!$3:$3,0))/(B15/1000)</f>
        <v>0.60562599431133401</v>
      </c>
      <c r="AA15" s="101">
        <f>INDEX(GUL_4!$A:$J,MATCH('2020'!$A15,GUL_4!$A:$A,0),MATCH('2020'!$A$1,GUL_4!$3:$3,0))/B15/C15*10^6</f>
        <v>0.1401317218177385</v>
      </c>
      <c r="AB15" s="73">
        <f>INDEX(GUL_5!$A:$J,MATCH('2020'!$A15,GUL_5!$A:$A,0),MATCH('2020'!$A$1,GUL_5!$3:$3,0))</f>
        <v>1.8285881855125356E-2</v>
      </c>
      <c r="AC15" s="49">
        <f>INDEX(GUL_6!$A:$J,MATCH('2020'!$A15,GUL_6!$A:$A,0),MATCH('2020'!$A$1,GUL_6!$3:$3,0))</f>
        <v>1E-3</v>
      </c>
      <c r="AD15" s="49">
        <f>INDEX(GUL_7!$A:$J,MATCH('2020'!$A15,GUL_7!$A:$A,0),MATCH('2020'!$A$1,GUL_7!$3:$3,0))</f>
        <v>0.2535211</v>
      </c>
      <c r="AE15" s="103">
        <f>INDEX(GUL_8!$A:$J,MATCH('2020'!$A15,GUL_8!$A:$A,0),MATCH('2020'!$A$1,GUL_8!$3:$3,0))/(B15/1000)</f>
        <v>6.2249915634189854</v>
      </c>
      <c r="AF15" s="41">
        <f>INDEX(DES_1!$A:$J,MATCH('2020'!$A15,DES_1!$A:$A,0),MATCH('2020'!$A$1,DES_1!$3:$3,0))/(B15/1000)</f>
        <v>0.32239791736971513</v>
      </c>
      <c r="AG15" s="100">
        <f>INDEX(DES_2!$A:$J,MATCH('2020'!$A15,DES_2!$A:$A,0),MATCH('2020'!$A$1,DES_2!$3:$3,0))/(B15/1000)</f>
        <v>1.8952176637901945</v>
      </c>
      <c r="AH15" s="57">
        <f>1/INDEX(DES_3!$A:$J,MATCH('2020'!$A15,DES_3!$A:$A,0),MATCH('2020'!$A$1,DES_3!$3:$3,0))</f>
        <v>8.9365504915102766E-3</v>
      </c>
      <c r="AI15" s="80">
        <f>INDEX(DES_4!$A:$J,MATCH('2020'!$A15,DES_4!$A:$A,0),MATCH('2020'!$A$1,DES_4!$3:$3,0))</f>
        <v>0.297994332438</v>
      </c>
      <c r="AJ15" s="110">
        <f>INDEX(DES_5!$A:$J,MATCH('2020'!$A15,DES_5!$A:$A,0),MATCH('2020'!$A$1,DES_5!$3:$3,0))</f>
        <v>0.22198449704099998</v>
      </c>
      <c r="AK15" s="57">
        <v>76</v>
      </c>
    </row>
    <row r="16" spans="1:37" x14ac:dyDescent="0.3">
      <c r="A16" s="29" t="s">
        <v>15</v>
      </c>
      <c r="B16" s="33">
        <f>INDEX(Population!$A:$J,MATCH('2020'!$A16,Population!$A:$A,0),MATCH('2020'!$A$1,Population!$3:$3,0))</f>
        <v>999424</v>
      </c>
      <c r="C16" s="14">
        <f>INDEX(Income!$A:$J,MATCH('2020'!$A16,Income!$A:$A,0),MATCH('2020'!$A$1,Income!$3:$3,0))</f>
        <v>27892</v>
      </c>
      <c r="D16" s="34">
        <f>INDEX(Livable_wage!$A:$J,MATCH('2020'!$A16,Livable_wage!$A:$A,0),MATCH('2020'!$A$1,Livable_wage!$3:$3,0))</f>
        <v>10998</v>
      </c>
      <c r="E16" s="41">
        <f>INDEX(AVA_1!$A:$J,MATCH('2020'!$A16,AVA_1!$A:$A,0),MATCH('2020'!$A$1,AVA_1!$3:$3,0))</f>
        <v>0.35499999999999998</v>
      </c>
      <c r="F16" s="15">
        <f>INDEX(AVA_2!$A:$J,MATCH('2020'!$A16,AVA_2!$A:$A,0),MATCH('2020'!$A$1,AVA_2!$3:$3,0))</f>
        <v>8.6664732769367071E-3</v>
      </c>
      <c r="G16" s="15">
        <f>INDEX(AVA_3!$A:$J,MATCH('2020'!$A16,AVA_3!$A:$A,0),MATCH('2020'!$A$1,AVA_3!$3:$3,0))</f>
        <v>9.8936982395180697E-3</v>
      </c>
      <c r="H16" s="87">
        <f>INDEX(AVA_4!$A:$J,MATCH('2020'!$A16,AVA_4!$A:$A,0),MATCH('2020'!$A$1,AVA_4!$3:$3,0))/(B16/1000)</f>
        <v>0.58733830686475408</v>
      </c>
      <c r="I16" s="89">
        <f>INDEX(AVA_5!$A:$J,MATCH('2020'!$A16,AVA_5!$A:$A,0),MATCH('2020'!$A$1,AVA_5!$3:$3,0))/(B16/1000)</f>
        <v>4.0483318391393439</v>
      </c>
      <c r="J16" s="93">
        <f>INDEX(IRA_1!$A:$J,MATCH('2020'!$A16,IRA_1!$A:$A,0),MATCH('2020'!$A$1,IRA_1!$3:$3,0))/(B16/1000)</f>
        <v>3.9022476946721313E-2</v>
      </c>
      <c r="K16" s="88">
        <f>INDEX(IRA_2!$A:$J,MATCH('2020'!$A16,IRA_2!$A:$A,0),MATCH('2020'!$A$1,IRA_2!$3:$3,0))/(B16/1000)</f>
        <v>0.12407146516393443</v>
      </c>
      <c r="L16" s="15">
        <f>INDEX(IRA_3!$A:$J,MATCH('2020'!$A16,IRA_3!$A:$A,0),MATCH('2020'!$A$1,IRA_3!$3:$3,0))</f>
        <v>0.35676750461582163</v>
      </c>
      <c r="M16" s="96">
        <f>INDEX(IRA_4!$A:$J,MATCH('2020'!$A16,IRA_4!$A:$A,0),MATCH('2020'!$A$1,IRA_4!$3:$3,0))/(B16/1000)</f>
        <v>3.3869508837090163</v>
      </c>
      <c r="N16" s="61">
        <f>INDEX(INV_1!$A:$J,MATCH('2020'!$A16,INV_1!$A:$A,0),MATCH('2020'!$A$1,INV_1!$3:$3,0))</f>
        <v>6.8838086095514991E-2</v>
      </c>
      <c r="O16" s="80">
        <f>INDEX(INV_2!$A:$J,MATCH('2020'!$A16,INV_2!$A:$A,0),MATCH('2020'!$A$1,INV_2!$3:$3,0))/B16*10^6/C16</f>
        <v>0.42825782558253916</v>
      </c>
      <c r="P16" s="87">
        <f>INDEX(INV_3!$A:$J,MATCH('2020'!$A16,INV_3!$A:$A,0),MATCH('2020'!$A$1,INV_3!$3:$3,0))/B16*10^6/C16</f>
        <v>3.5456390183197839</v>
      </c>
      <c r="Q16" s="87">
        <f>INDEX(INV_4!$A:$J,MATCH('2020'!$A16,INV_4!$A:$A,0),MATCH('2020'!$A$1,INV_4!$3:$3,0))/B16*10^3/C16</f>
        <v>0.24389947792489783</v>
      </c>
      <c r="R16" s="34">
        <f>INDEX(INV_5!$A:$J,MATCH('2020'!$A16,INV_5!$A:$A,0),MATCH('2020'!$A$1,INV_5!$3:$3,0))</f>
        <v>5.5599999999999997E-2</v>
      </c>
      <c r="S16" s="77">
        <f>INDEX(LUJ_1!$A:$J,MATCH('2020'!$A16,LUJ_1!$A:$A,0),MATCH('2020'!$A$1,LUJ_1!$3:$3,0))</f>
        <v>0.76263924592973431</v>
      </c>
      <c r="T16" s="73">
        <f>INDEX(LUJ_2!$A:$J,MATCH('2020'!$A16,LUJ_2!$A:$A,0),MATCH('2020'!$A$1,LUJ_2!$3:$3,0))</f>
        <v>0.184</v>
      </c>
      <c r="U16" s="73">
        <f>INDEX(LUJ_3!$A:$J,MATCH('2020'!$A16,LUJ_3!$A:$A,0),MATCH('2020'!$A$1,LUJ_3!$3:$3,0))</f>
        <v>0.39749345935228381</v>
      </c>
      <c r="V16" s="14">
        <f>INDEX(LUJ_4!$A:$J,MATCH('2020'!$A16,LUJ_4!$A:$A,0),MATCH('2020'!$A$1,LUJ_4!$3:$3,0))</f>
        <v>10</v>
      </c>
      <c r="W16" s="34">
        <f>INDEX(LUJ_5!$A:$J,MATCH('2020'!$A16,LUJ_5!$A:$A,0),MATCH('2020'!$A$1,LUJ_5!$3:$3,0))</f>
        <v>13.6</v>
      </c>
      <c r="X16" s="98">
        <f>1/INDEX(GUL_1!$A:$J,MATCH('2020'!$A16,GUL_1!$A:$A,0),MATCH('2020'!$A$1,GUL_1!$3:$3,0))</f>
        <v>1.3931457230426303E-2</v>
      </c>
      <c r="Y16" s="57">
        <f>INDEX(GUL_2!$A:$J,MATCH('2020'!$A16,GUL_2!$A:$A,0),MATCH('2020'!$A$1,GUL_2!$3:$3,0))</f>
        <v>26.1</v>
      </c>
      <c r="Z16" s="57">
        <f>INDEX(GUL_3!$A:$J,MATCH('2020'!$A16,GUL_3!$A:$A,0),MATCH('2020'!$A$1,GUL_3!$3:$3,0))/(B16/1000)</f>
        <v>0.65837922643442626</v>
      </c>
      <c r="AA16" s="101">
        <f>INDEX(GUL_4!$A:$J,MATCH('2020'!$A16,GUL_4!$A:$A,0),MATCH('2020'!$A$1,GUL_4!$3:$3,0))/B16/C16*10^6</f>
        <v>0.20469233272772117</v>
      </c>
      <c r="AB16" s="73">
        <f>INDEX(GUL_5!$A:$J,MATCH('2020'!$A16,GUL_5!$A:$A,0),MATCH('2020'!$A$1,GUL_5!$3:$3,0))</f>
        <v>1.3633395878774403E-2</v>
      </c>
      <c r="AC16" s="49">
        <f>INDEX(GUL_6!$A:$J,MATCH('2020'!$A16,GUL_6!$A:$A,0),MATCH('2020'!$A$1,GUL_6!$3:$3,0))</f>
        <v>3.0800000000000001E-2</v>
      </c>
      <c r="AD16" s="49">
        <f>INDEX(GUL_7!$A:$J,MATCH('2020'!$A16,GUL_7!$A:$A,0),MATCH('2020'!$A$1,GUL_7!$3:$3,0))</f>
        <v>0.19250100000000001</v>
      </c>
      <c r="AE16" s="103">
        <f>INDEX(GUL_8!$A:$J,MATCH('2020'!$A16,GUL_8!$A:$A,0),MATCH('2020'!$A$1,GUL_8!$3:$3,0))/(B16/1000)</f>
        <v>2.4233958760245904</v>
      </c>
      <c r="AF16" s="41">
        <f>INDEX(DES_1!$A:$J,MATCH('2020'!$A16,DES_1!$A:$A,0),MATCH('2020'!$A$1,DES_1!$3:$3,0))/(B16/1000)</f>
        <v>0.11106397284836066</v>
      </c>
      <c r="AG16" s="100">
        <f>INDEX(DES_2!$A:$J,MATCH('2020'!$A16,DES_2!$A:$A,0),MATCH('2020'!$A$1,DES_2!$3:$3,0))/(B16/1000)</f>
        <v>0.60935098616803285</v>
      </c>
      <c r="AH16" s="57">
        <f>1/INDEX(DES_3!$A:$J,MATCH('2020'!$A16,DES_3!$A:$A,0),MATCH('2020'!$A$1,DES_3!$3:$3,0))</f>
        <v>6.7750677506775072E-3</v>
      </c>
      <c r="AI16" s="80">
        <f>INDEX(DES_4!$A:$J,MATCH('2020'!$A16,DES_4!$A:$A,0),MATCH('2020'!$A$1,DES_4!$3:$3,0))</f>
        <v>0.697293458541</v>
      </c>
      <c r="AJ16" s="110">
        <f>INDEX(DES_5!$A:$J,MATCH('2020'!$A16,DES_5!$A:$A,0),MATCH('2020'!$A$1,DES_5!$3:$3,0))</f>
        <v>0.46087405173599999</v>
      </c>
      <c r="AK16" s="57">
        <v>73</v>
      </c>
    </row>
    <row r="17" spans="1:37" x14ac:dyDescent="0.3">
      <c r="A17" s="29" t="s">
        <v>16</v>
      </c>
      <c r="B17" s="33">
        <f>INDEX(Population!$A:$J,MATCH('2020'!$A17,Population!$A:$A,0),MATCH('2020'!$A$1,Population!$3:$3,0))</f>
        <v>4299797</v>
      </c>
      <c r="C17" s="14">
        <f>INDEX(Income!$A:$J,MATCH('2020'!$A17,Income!$A:$A,0),MATCH('2020'!$A$1,Income!$3:$3,0))</f>
        <v>37447</v>
      </c>
      <c r="D17" s="34">
        <f>INDEX(Livable_wage!$A:$J,MATCH('2020'!$A17,Livable_wage!$A:$A,0),MATCH('2020'!$A$1,Livable_wage!$3:$3,0))</f>
        <v>11550</v>
      </c>
      <c r="E17" s="41">
        <f>INDEX(AVA_1!$A:$J,MATCH('2020'!$A17,AVA_1!$A:$A,0),MATCH('2020'!$A$1,AVA_1!$3:$3,0))</f>
        <v>0.39400000000000002</v>
      </c>
      <c r="F17" s="15">
        <f>INDEX(AVA_2!$A:$J,MATCH('2020'!$A17,AVA_2!$A:$A,0),MATCH('2020'!$A$1,AVA_2!$3:$3,0))</f>
        <v>1.4469447392701397E-2</v>
      </c>
      <c r="G17" s="15">
        <f>INDEX(AVA_3!$A:$J,MATCH('2020'!$A17,AVA_3!$A:$A,0),MATCH('2020'!$A$1,AVA_3!$3:$3,0))</f>
        <v>2.0329831513415664E-2</v>
      </c>
      <c r="H17" s="87">
        <f>INDEX(AVA_4!$A:$J,MATCH('2020'!$A17,AVA_4!$A:$A,0),MATCH('2020'!$A$1,AVA_4!$3:$3,0))/(B17/1000)</f>
        <v>0.61468018141321557</v>
      </c>
      <c r="I17" s="89">
        <f>INDEX(AVA_5!$A:$J,MATCH('2020'!$A17,AVA_5!$A:$A,0),MATCH('2020'!$A$1,AVA_5!$3:$3,0))/(B17/1000)</f>
        <v>5.0141902047933895</v>
      </c>
      <c r="J17" s="93">
        <f>INDEX(IRA_1!$A:$J,MATCH('2020'!$A17,IRA_1!$A:$A,0),MATCH('2020'!$A$1,IRA_1!$3:$3,0))/(B17/1000)</f>
        <v>6.6514768022769455E-2</v>
      </c>
      <c r="K17" s="88">
        <f>INDEX(IRA_2!$A:$J,MATCH('2020'!$A17,IRA_2!$A:$A,0),MATCH('2020'!$A$1,IRA_2!$3:$3,0))/(B17/1000)</f>
        <v>0.17117087155509902</v>
      </c>
      <c r="L17" s="15">
        <f>INDEX(IRA_3!$A:$J,MATCH('2020'!$A17,IRA_3!$A:$A,0),MATCH('2020'!$A$1,IRA_3!$3:$3,0))</f>
        <v>0.37516824911782898</v>
      </c>
      <c r="M17" s="96">
        <f>INDEX(IRA_4!$A:$J,MATCH('2020'!$A17,IRA_4!$A:$A,0),MATCH('2020'!$A$1,IRA_4!$3:$3,0))/(B17/1000)</f>
        <v>3.8180872259783429</v>
      </c>
      <c r="N17" s="61">
        <f>INDEX(INV_1!$A:$J,MATCH('2020'!$A17,INV_1!$A:$A,0),MATCH('2020'!$A$1,INV_1!$3:$3,0))</f>
        <v>5.9675604443765434E-2</v>
      </c>
      <c r="O17" s="80">
        <f>INDEX(INV_2!$A:$J,MATCH('2020'!$A17,INV_2!$A:$A,0),MATCH('2020'!$A$1,INV_2!$3:$3,0))/B17*10^6/C17</f>
        <v>0.44311641312717587</v>
      </c>
      <c r="P17" s="87">
        <f>INDEX(INV_3!$A:$J,MATCH('2020'!$A17,INV_3!$A:$A,0),MATCH('2020'!$A$1,INV_3!$3:$3,0))/B17*10^6/C17</f>
        <v>3.8561434325079147</v>
      </c>
      <c r="Q17" s="87">
        <f>INDEX(INV_4!$A:$J,MATCH('2020'!$A17,INV_4!$A:$A,0),MATCH('2020'!$A$1,INV_4!$3:$3,0))/B17*10^3/C17</f>
        <v>0.24126139204876632</v>
      </c>
      <c r="R17" s="34">
        <f>INDEX(INV_5!$A:$J,MATCH('2020'!$A17,INV_5!$A:$A,0),MATCH('2020'!$A$1,INV_5!$3:$3,0))</f>
        <v>0.114</v>
      </c>
      <c r="S17" s="77">
        <f>INDEX(LUJ_1!$A:$J,MATCH('2020'!$A17,LUJ_1!$A:$A,0),MATCH('2020'!$A$1,LUJ_1!$3:$3,0))</f>
        <v>0.77598907465651379</v>
      </c>
      <c r="T17" s="73">
        <f>INDEX(LUJ_2!$A:$J,MATCH('2020'!$A17,LUJ_2!$A:$A,0),MATCH('2020'!$A$1,LUJ_2!$3:$3,0))</f>
        <v>0.23499999999999999</v>
      </c>
      <c r="U17" s="73">
        <f>INDEX(LUJ_3!$A:$J,MATCH('2020'!$A17,LUJ_3!$A:$A,0),MATCH('2020'!$A$1,LUJ_3!$3:$3,0))</f>
        <v>0.62203641590800196</v>
      </c>
      <c r="V17" s="14">
        <f>INDEX(LUJ_4!$A:$J,MATCH('2020'!$A17,LUJ_4!$A:$A,0),MATCH('2020'!$A$1,LUJ_4!$3:$3,0))</f>
        <v>300</v>
      </c>
      <c r="W17" s="34">
        <f>INDEX(LUJ_5!$A:$J,MATCH('2020'!$A17,LUJ_5!$A:$A,0),MATCH('2020'!$A$1,LUJ_5!$3:$3,0))</f>
        <v>84.4</v>
      </c>
      <c r="X17" s="98">
        <f>1/INDEX(GUL_1!$A:$J,MATCH('2020'!$A17,GUL_1!$A:$A,0),MATCH('2020'!$A$1,GUL_1!$3:$3,0))</f>
        <v>1.4255167498218103E-2</v>
      </c>
      <c r="Y17" s="57">
        <f>INDEX(GUL_2!$A:$J,MATCH('2020'!$A17,GUL_2!$A:$A,0),MATCH('2020'!$A$1,GUL_2!$3:$3,0))</f>
        <v>25</v>
      </c>
      <c r="Z17" s="57">
        <f>INDEX(GUL_3!$A:$J,MATCH('2020'!$A17,GUL_3!$A:$A,0),MATCH('2020'!$A$1,GUL_3!$3:$3,0))/(B17/1000)</f>
        <v>0.84329562535161551</v>
      </c>
      <c r="AA17" s="101">
        <f>INDEX(GUL_4!$A:$J,MATCH('2020'!$A17,GUL_4!$A:$A,0),MATCH('2020'!$A$1,GUL_4!$3:$3,0))/B17/C17*10^6</f>
        <v>0.24073974964445999</v>
      </c>
      <c r="AB17" s="73">
        <f>INDEX(GUL_5!$A:$J,MATCH('2020'!$A17,GUL_5!$A:$A,0),MATCH('2020'!$A$1,GUL_5!$3:$3,0))</f>
        <v>3.0324749657749624E-2</v>
      </c>
      <c r="AC17" s="49">
        <f>INDEX(GUL_6!$A:$J,MATCH('2020'!$A17,GUL_6!$A:$A,0),MATCH('2020'!$A$1,GUL_6!$3:$3,0))</f>
        <v>5.5300000000000002E-2</v>
      </c>
      <c r="AD17" s="49">
        <f>INDEX(GUL_7!$A:$J,MATCH('2020'!$A17,GUL_7!$A:$A,0),MATCH('2020'!$A$1,GUL_7!$3:$3,0))</f>
        <v>0.20354430000000001</v>
      </c>
      <c r="AE17" s="103">
        <f>INDEX(GUL_8!$A:$J,MATCH('2020'!$A17,GUL_8!$A:$A,0),MATCH('2020'!$A$1,GUL_8!$3:$3,0))/(B17/1000)</f>
        <v>2.4847684669764645</v>
      </c>
      <c r="AF17" s="41">
        <f>INDEX(DES_1!$A:$J,MATCH('2020'!$A17,DES_1!$A:$A,0),MATCH('2020'!$A$1,DES_1!$3:$3,0))/(B17/1000)</f>
        <v>8.4887728420667316E-2</v>
      </c>
      <c r="AG17" s="100">
        <f>INDEX(DES_2!$A:$J,MATCH('2020'!$A17,DES_2!$A:$A,0),MATCH('2020'!$A$1,DES_2!$3:$3,0))/(B17/1000)</f>
        <v>0.68282293326871024</v>
      </c>
      <c r="AH17" s="57">
        <f>1/INDEX(DES_3!$A:$J,MATCH('2020'!$A17,DES_3!$A:$A,0),MATCH('2020'!$A$1,DES_3!$3:$3,0))</f>
        <v>8.0971659919028341E-3</v>
      </c>
      <c r="AI17" s="80">
        <f>INDEX(DES_4!$A:$J,MATCH('2020'!$A17,DES_4!$A:$A,0),MATCH('2020'!$A$1,DES_4!$3:$3,0))</f>
        <v>0.98264402116300009</v>
      </c>
      <c r="AJ17" s="110">
        <f>INDEX(DES_5!$A:$J,MATCH('2020'!$A17,DES_5!$A:$A,0),MATCH('2020'!$A$1,DES_5!$3:$3,0))</f>
        <v>0.88802753306300009</v>
      </c>
      <c r="AK17" s="57">
        <v>72</v>
      </c>
    </row>
    <row r="18" spans="1:37" x14ac:dyDescent="0.3">
      <c r="A18" s="29" t="s">
        <v>17</v>
      </c>
      <c r="B18" s="33">
        <f>INDEX(Population!$A:$J,MATCH('2020'!$A18,Population!$A:$A,0),MATCH('2020'!$A$1,Population!$3:$3,0))</f>
        <v>1691220</v>
      </c>
      <c r="C18" s="14">
        <f>INDEX(Income!$A:$J,MATCH('2020'!$A18,Income!$A:$A,0),MATCH('2020'!$A$1,Income!$3:$3,0))</f>
        <v>54588</v>
      </c>
      <c r="D18" s="34">
        <f>INDEX(Livable_wage!$A:$J,MATCH('2020'!$A18,Livable_wage!$A:$A,0),MATCH('2020'!$A$1,Livable_wage!$3:$3,0))</f>
        <v>17140</v>
      </c>
      <c r="E18" s="41">
        <f>INDEX(AVA_1!$A:$J,MATCH('2020'!$A18,AVA_1!$A:$A,0),MATCH('2020'!$A$1,AVA_1!$3:$3,0))</f>
        <v>0.38500000000000001</v>
      </c>
      <c r="F18" s="15">
        <f>INDEX(AVA_2!$A:$J,MATCH('2020'!$A18,AVA_2!$A:$A,0),MATCH('2020'!$A$1,AVA_2!$3:$3,0))</f>
        <v>1.1879950328903209E-2</v>
      </c>
      <c r="G18" s="15">
        <f>INDEX(AVA_3!$A:$J,MATCH('2020'!$A18,AVA_3!$A:$A,0),MATCH('2020'!$A$1,AVA_3!$3:$3,0))</f>
        <v>4.0865332053953429E-2</v>
      </c>
      <c r="H18" s="87">
        <f>INDEX(AVA_4!$A:$J,MATCH('2020'!$A18,AVA_4!$A:$A,0),MATCH('2020'!$A$1,AVA_4!$3:$3,0))/(B18/1000)</f>
        <v>0.58005463511547872</v>
      </c>
      <c r="I18" s="89">
        <f>INDEX(AVA_5!$A:$J,MATCH('2020'!$A18,AVA_5!$A:$A,0),MATCH('2020'!$A$1,AVA_5!$3:$3,0))/(B18/1000)</f>
        <v>3.2627334113834983</v>
      </c>
      <c r="J18" s="93">
        <f>INDEX(IRA_1!$A:$J,MATCH('2020'!$A18,IRA_1!$A:$A,0),MATCH('2020'!$A$1,IRA_1!$3:$3,0))/(B18/1000)</f>
        <v>4.1390238999065763E-2</v>
      </c>
      <c r="K18" s="88">
        <f>INDEX(IRA_2!$A:$J,MATCH('2020'!$A18,IRA_2!$A:$A,0),MATCH('2020'!$A$1,IRA_2!$3:$3,0))/(B18/1000)</f>
        <v>0.16083064296779839</v>
      </c>
      <c r="L18" s="15">
        <f>INDEX(IRA_3!$A:$J,MATCH('2020'!$A18,IRA_3!$A:$A,0),MATCH('2020'!$A$1,IRA_3!$3:$3,0))</f>
        <v>0.42734147760325769</v>
      </c>
      <c r="M18" s="96">
        <f>INDEX(IRA_4!$A:$J,MATCH('2020'!$A18,IRA_4!$A:$A,0),MATCH('2020'!$A$1,IRA_4!$3:$3,0))/(B18/1000)</f>
        <v>3.2976194699684251</v>
      </c>
      <c r="N18" s="61">
        <f>INDEX(INV_1!$A:$J,MATCH('2020'!$A18,INV_1!$A:$A,0),MATCH('2020'!$A$1,INV_1!$3:$3,0))</f>
        <v>5.7359851625792622E-2</v>
      </c>
      <c r="O18" s="80">
        <f>INDEX(INV_2!$A:$J,MATCH('2020'!$A18,INV_2!$A:$A,0),MATCH('2020'!$A$1,INV_2!$3:$3,0))/B18*10^6/C18</f>
        <v>0.34236142534854908</v>
      </c>
      <c r="P18" s="87">
        <f>INDEX(INV_3!$A:$J,MATCH('2020'!$A18,INV_3!$A:$A,0),MATCH('2020'!$A$1,INV_3!$3:$3,0))/B18*10^6/C18</f>
        <v>5.0255243186698673</v>
      </c>
      <c r="Q18" s="87">
        <f>INDEX(INV_4!$A:$J,MATCH('2020'!$A18,INV_4!$A:$A,0),MATCH('2020'!$A$1,INV_4!$3:$3,0))/B18*10^3/C18</f>
        <v>0.2638597634474163</v>
      </c>
      <c r="R18" s="34">
        <f>INDEX(INV_5!$A:$J,MATCH('2020'!$A18,INV_5!$A:$A,0),MATCH('2020'!$A$1,INV_5!$3:$3,0))</f>
        <v>9.7699999999999995E-2</v>
      </c>
      <c r="S18" s="77">
        <f>INDEX(LUJ_1!$A:$J,MATCH('2020'!$A18,LUJ_1!$A:$A,0),MATCH('2020'!$A$1,LUJ_1!$3:$3,0))</f>
        <v>0.74565769426104622</v>
      </c>
      <c r="T18" s="73">
        <f>INDEX(LUJ_2!$A:$J,MATCH('2020'!$A18,LUJ_2!$A:$A,0),MATCH('2020'!$A$1,LUJ_2!$3:$3,0))</f>
        <v>0.17300000000000001</v>
      </c>
      <c r="U18" s="73">
        <f>INDEX(LUJ_3!$A:$J,MATCH('2020'!$A18,LUJ_3!$A:$A,0),MATCH('2020'!$A$1,LUJ_3!$3:$3,0))</f>
        <v>0.36663753762501211</v>
      </c>
      <c r="V18" s="14">
        <f>INDEX(LUJ_4!$A:$J,MATCH('2020'!$A18,LUJ_4!$A:$A,0),MATCH('2020'!$A$1,LUJ_4!$3:$3,0))</f>
        <v>18</v>
      </c>
      <c r="W18" s="34">
        <f>INDEX(LUJ_5!$A:$J,MATCH('2020'!$A18,LUJ_5!$A:$A,0),MATCH('2020'!$A$1,LUJ_5!$3:$3,0))</f>
        <v>47.6</v>
      </c>
      <c r="X18" s="98">
        <f>1/INDEX(GUL_1!$A:$J,MATCH('2020'!$A18,GUL_1!$A:$A,0),MATCH('2020'!$A$1,GUL_1!$3:$3,0))</f>
        <v>1.3723068478111704E-2</v>
      </c>
      <c r="Y18" s="57">
        <f>INDEX(GUL_2!$A:$J,MATCH('2020'!$A18,GUL_2!$A:$A,0),MATCH('2020'!$A$1,GUL_2!$3:$3,0))</f>
        <v>24.9</v>
      </c>
      <c r="Z18" s="57">
        <f>INDEX(GUL_3!$A:$J,MATCH('2020'!$A18,GUL_3!$A:$A,0),MATCH('2020'!$A$1,GUL_3!$3:$3,0))/(B18/1000)</f>
        <v>0.44110168990432941</v>
      </c>
      <c r="AA18" s="101">
        <f>INDEX(GUL_4!$A:$J,MATCH('2020'!$A18,GUL_4!$A:$A,0),MATCH('2020'!$A$1,GUL_4!$3:$3,0))/B18/C18*10^6</f>
        <v>0.33249658231027551</v>
      </c>
      <c r="AB18" s="73">
        <f>INDEX(GUL_5!$A:$J,MATCH('2020'!$A18,GUL_5!$A:$A,0),MATCH('2020'!$A$1,GUL_5!$3:$3,0))</f>
        <v>2.4950877474583008E-2</v>
      </c>
      <c r="AC18" s="49">
        <f>INDEX(GUL_6!$A:$J,MATCH('2020'!$A18,GUL_6!$A:$A,0),MATCH('2020'!$A$1,GUL_6!$3:$3,0))</f>
        <v>3.3300000000000003E-2</v>
      </c>
      <c r="AD18" s="49">
        <f>INDEX(GUL_7!$A:$J,MATCH('2020'!$A18,GUL_7!$A:$A,0),MATCH('2020'!$A$1,GUL_7!$3:$3,0))</f>
        <v>0.17789489999999999</v>
      </c>
      <c r="AE18" s="103">
        <f>INDEX(GUL_8!$A:$J,MATCH('2020'!$A18,GUL_8!$A:$A,0),MATCH('2020'!$A$1,GUL_8!$3:$3,0))/(B18/1000)</f>
        <v>1.8643346223436335</v>
      </c>
      <c r="AF18" s="41">
        <f>INDEX(DES_1!$A:$J,MATCH('2020'!$A18,DES_1!$A:$A,0),MATCH('2020'!$A$1,DES_1!$3:$3,0))/(B18/1000)</f>
        <v>7.6867586712550701E-2</v>
      </c>
      <c r="AG18" s="100">
        <f>INDEX(DES_2!$A:$J,MATCH('2020'!$A18,DES_2!$A:$A,0),MATCH('2020'!$A$1,DES_2!$3:$3,0))/(B18/1000)</f>
        <v>0.5250647461595771</v>
      </c>
      <c r="AH18" s="57">
        <f>1/INDEX(DES_3!$A:$J,MATCH('2020'!$A18,DES_3!$A:$A,0),MATCH('2020'!$A$1,DES_3!$3:$3,0))</f>
        <v>1.1918951132300357E-2</v>
      </c>
      <c r="AI18" s="80">
        <f>INDEX(DES_4!$A:$J,MATCH('2020'!$A18,DES_4!$A:$A,0),MATCH('2020'!$A$1,DES_4!$3:$3,0))</f>
        <v>0.94735588411099991</v>
      </c>
      <c r="AJ18" s="110">
        <f>INDEX(DES_5!$A:$J,MATCH('2020'!$A18,DES_5!$A:$A,0),MATCH('2020'!$A$1,DES_5!$3:$3,0))</f>
        <v>0.58937444116299997</v>
      </c>
      <c r="AK18" s="57">
        <v>71</v>
      </c>
    </row>
    <row r="19" spans="1:37" x14ac:dyDescent="0.3">
      <c r="A19" s="29" t="s">
        <v>18</v>
      </c>
      <c r="B19" s="33">
        <f>INDEX(Population!$A:$J,MATCH('2020'!$A19,Population!$A:$A,0),MATCH('2020'!$A$1,Population!$3:$3,0))</f>
        <v>48066</v>
      </c>
      <c r="C19" s="14">
        <f>INDEX(Income!$A:$J,MATCH('2020'!$A19,Income!$A:$A,0),MATCH('2020'!$A$1,Income!$3:$3,0))</f>
        <v>89548</v>
      </c>
      <c r="D19" s="34">
        <f>INDEX(Livable_wage!$A:$J,MATCH('2020'!$A19,Livable_wage!$A:$A,0),MATCH('2020'!$A$1,Livable_wage!$3:$3,0))</f>
        <v>24711</v>
      </c>
      <c r="E19" s="41">
        <f>INDEX(AVA_1!$A:$J,MATCH('2020'!$A19,AVA_1!$A:$A,0),MATCH('2020'!$A$1,AVA_1!$3:$3,0))</f>
        <v>0.40699999999999997</v>
      </c>
      <c r="F19" s="15">
        <f>INDEX(AVA_2!$A:$J,MATCH('2020'!$A19,AVA_2!$A:$A,0),MATCH('2020'!$A$1,AVA_2!$3:$3,0))</f>
        <v>1.0529086601737299E-2</v>
      </c>
      <c r="G19" s="15">
        <f>INDEX(AVA_3!$A:$J,MATCH('2020'!$A19,AVA_3!$A:$A,0),MATCH('2020'!$A$1,AVA_3!$3:$3,0))</f>
        <v>6.0503693607243695E-3</v>
      </c>
      <c r="H19" s="87">
        <f>INDEX(AVA_4!$A:$J,MATCH('2020'!$A19,AVA_4!$A:$A,0),MATCH('2020'!$A$1,AVA_4!$3:$3,0))/(B19/1000)</f>
        <v>1.0818457953647067</v>
      </c>
      <c r="I19" s="89">
        <f>INDEX(AVA_5!$A:$J,MATCH('2020'!$A19,AVA_5!$A:$A,0),MATCH('2020'!$A$1,AVA_5!$3:$3,0))/(B19/1000)</f>
        <v>4.5978446303000036</v>
      </c>
      <c r="J19" s="93">
        <f>INDEX(IRA_1!$A:$J,MATCH('2020'!$A19,IRA_1!$A:$A,0),MATCH('2020'!$A$1,IRA_1!$3:$3,0))/(B19/1000)</f>
        <v>0.16643781467149335</v>
      </c>
      <c r="K19" s="88">
        <f>INDEX(IRA_2!$A:$J,MATCH('2020'!$A19,IRA_2!$A:$A,0),MATCH('2020'!$A$1,IRA_2!$3:$3,0))/(B19/1000)</f>
        <v>0.45770399034660675</v>
      </c>
      <c r="L19" s="15">
        <f>INDEX(IRA_3!$A:$J,MATCH('2020'!$A19,IRA_3!$A:$A,0),MATCH('2020'!$A$1,IRA_3!$3:$3,0))</f>
        <v>0.44589552238805974</v>
      </c>
      <c r="M19" s="96">
        <f>INDEX(IRA_4!$A:$J,MATCH('2020'!$A19,IRA_4!$A:$A,0),MATCH('2020'!$A$1,IRA_4!$3:$3,0))/(B19/1000)</f>
        <v>4.2857737277909536</v>
      </c>
      <c r="N19" s="61">
        <f>INDEX(INV_1!$A:$J,MATCH('2020'!$A19,INV_1!$A:$A,0),MATCH('2020'!$A$1,INV_1!$3:$3,0))</f>
        <v>4.8437527532868271E-2</v>
      </c>
      <c r="O19" s="80">
        <f>INDEX(INV_2!$A:$J,MATCH('2020'!$A19,INV_2!$A:$A,0),MATCH('2020'!$A$1,INV_2!$3:$3,0))/B19*10^6/C19</f>
        <v>8.7053293673373736E-3</v>
      </c>
      <c r="P19" s="87">
        <f>INDEX(INV_3!$A:$J,MATCH('2020'!$A19,INV_3!$A:$A,0),MATCH('2020'!$A$1,INV_3!$3:$3,0))/B19*10^6/C19</f>
        <v>2.5684130873852</v>
      </c>
      <c r="Q19" s="87">
        <f>INDEX(INV_4!$A:$J,MATCH('2020'!$A19,INV_4!$A:$A,0),MATCH('2020'!$A$1,INV_4!$3:$3,0))/B19*10^3/C19</f>
        <v>0.16894528748273011</v>
      </c>
      <c r="R19" s="34">
        <f>INDEX(INV_5!$A:$J,MATCH('2020'!$A19,INV_5!$A:$A,0),MATCH('2020'!$A$1,INV_5!$3:$3,0))</f>
        <v>5.3800000000000001E-2</v>
      </c>
      <c r="S19" s="77">
        <f>INDEX(LUJ_1!$A:$J,MATCH('2020'!$A19,LUJ_1!$A:$A,0),MATCH('2020'!$A$1,LUJ_1!$3:$3,0))</f>
        <v>0.80496453900709219</v>
      </c>
      <c r="T19" s="73">
        <f>INDEX(LUJ_2!$A:$J,MATCH('2020'!$A19,LUJ_2!$A:$A,0),MATCH('2020'!$A$1,LUJ_2!$3:$3,0))</f>
        <v>0.39600000000000002</v>
      </c>
      <c r="U19" s="73">
        <f>INDEX(LUJ_3!$A:$J,MATCH('2020'!$A19,LUJ_3!$A:$A,0),MATCH('2020'!$A$1,LUJ_3!$3:$3,0))</f>
        <v>0.52747252747252749</v>
      </c>
      <c r="V19" s="14">
        <f>INDEX(LUJ_4!$A:$J,MATCH('2020'!$A19,LUJ_4!$A:$A,0),MATCH('2020'!$A$1,LUJ_4!$3:$3,0))</f>
        <v>0.1</v>
      </c>
      <c r="W19" s="34">
        <f>INDEX(LUJ_5!$A:$J,MATCH('2020'!$A19,LUJ_5!$A:$A,0),MATCH('2020'!$A$1,LUJ_5!$3:$3,0))</f>
        <v>51.7</v>
      </c>
      <c r="X19" s="98">
        <f>1/INDEX(GUL_1!$A:$J,MATCH('2020'!$A19,GUL_1!$A:$A,0),MATCH('2020'!$A$1,GUL_1!$3:$3,0))</f>
        <v>1.5192950470981466E-2</v>
      </c>
      <c r="Y19" s="57">
        <f>INDEX(GUL_2!$A:$J,MATCH('2020'!$A19,GUL_2!$A:$A,0),MATCH('2020'!$A$1,GUL_2!$3:$3,0))</f>
        <v>24.1</v>
      </c>
      <c r="Z19" s="57">
        <f>INDEX(GUL_3!$A:$J,MATCH('2020'!$A19,GUL_3!$A:$A,0),MATCH('2020'!$A$1,GUL_3!$3:$3,0))/(B19/1000)</f>
        <v>0.54092289768235335</v>
      </c>
      <c r="AA19" s="101">
        <f>INDEX(GUL_4!$A:$J,MATCH('2020'!$A19,GUL_4!$A:$A,0),MATCH('2020'!$A$1,GUL_4!$3:$3,0))/B19/C19*10^6</f>
        <v>0.36129707753891671</v>
      </c>
      <c r="AB19" s="73">
        <f>INDEX(GUL_5!$A:$J,MATCH('2020'!$A19,GUL_5!$A:$A,0),MATCH('2020'!$A$1,GUL_5!$3:$3,0))</f>
        <v>5.6581862276645134E-2</v>
      </c>
      <c r="AC19" s="49">
        <f>INDEX(GUL_6!$A:$J,MATCH('2020'!$A19,GUL_6!$A:$A,0),MATCH('2020'!$A$1,GUL_6!$3:$3,0))</f>
        <v>0.1023</v>
      </c>
      <c r="AD19" s="49">
        <f>INDEX(GUL_7!$A:$J,MATCH('2020'!$A19,GUL_7!$A:$A,0),MATCH('2020'!$A$1,GUL_7!$3:$3,0))</f>
        <v>0.15899160000000001</v>
      </c>
      <c r="AE19" s="103">
        <f>INDEX(GUL_8!$A:$J,MATCH('2020'!$A19,GUL_8!$A:$A,0),MATCH('2020'!$A$1,GUL_8!$3:$3,0))/(B19/1000)</f>
        <v>5.4716431573253441</v>
      </c>
      <c r="AF19" s="41">
        <f>INDEX(DES_1!$A:$J,MATCH('2020'!$A19,DES_1!$A:$A,0),MATCH('2020'!$A$1,DES_1!$3:$3,0))/(B19/1000)</f>
        <v>0.24965672200724004</v>
      </c>
      <c r="AG19" s="100">
        <f>INDEX(DES_2!$A:$J,MATCH('2020'!$A19,DES_2!$A:$A,0),MATCH('2020'!$A$1,DES_2!$3:$3,0))/(B19/1000)</f>
        <v>0.22885199517330337</v>
      </c>
      <c r="AH19" s="57">
        <f>1/INDEX(DES_3!$A:$J,MATCH('2020'!$A19,DES_3!$A:$A,0),MATCH('2020'!$A$1,DES_3!$3:$3,0))</f>
        <v>7.4850299401197605E-3</v>
      </c>
      <c r="AI19" s="80">
        <f>INDEX(DES_4!$A:$J,MATCH('2020'!$A19,DES_4!$A:$A,0),MATCH('2020'!$A$1,DES_4!$3:$3,0))</f>
        <v>0.20763541062600002</v>
      </c>
      <c r="AJ19" s="110">
        <f>INDEX(DES_5!$A:$J,MATCH('2020'!$A19,DES_5!$A:$A,0),MATCH('2020'!$A$1,DES_5!$3:$3,0))</f>
        <v>0.47760449160000001</v>
      </c>
      <c r="AK19" s="57">
        <v>68</v>
      </c>
    </row>
    <row r="20" spans="1:37" x14ac:dyDescent="0.3">
      <c r="A20" s="29" t="s">
        <v>19</v>
      </c>
      <c r="B20" s="33">
        <f>INDEX(Population!$A:$J,MATCH('2020'!$A20,Population!$A:$A,0),MATCH('2020'!$A$1,Population!$3:$3,0))</f>
        <v>3784809</v>
      </c>
      <c r="C20" s="14">
        <f>INDEX(Income!$A:$J,MATCH('2020'!$A20,Income!$A:$A,0),MATCH('2020'!$A$1,Income!$3:$3,0))</f>
        <v>50440</v>
      </c>
      <c r="D20" s="34">
        <f>INDEX(Livable_wage!$A:$J,MATCH('2020'!$A20,Livable_wage!$A:$A,0),MATCH('2020'!$A$1,Livable_wage!$3:$3,0))</f>
        <v>15181.382378344588</v>
      </c>
      <c r="E20" s="41">
        <f>INDEX(AVA_1!$A:$J,MATCH('2020'!$A20,AVA_1!$A:$A,0),MATCH('2020'!$A$1,AVA_1!$3:$3,0))</f>
        <v>0.42599999999999999</v>
      </c>
      <c r="F20" s="15">
        <f>INDEX(AVA_2!$A:$J,MATCH('2020'!$A20,AVA_2!$A:$A,0),MATCH('2020'!$A$1,AVA_2!$3:$3,0))</f>
        <v>1.2110401058981259E-2</v>
      </c>
      <c r="G20" s="15">
        <f>INDEX(AVA_3!$A:$J,MATCH('2020'!$A20,AVA_3!$A:$A,0),MATCH('2020'!$A$1,AVA_3!$3:$3,0))</f>
        <v>6.0952291165458958E-2</v>
      </c>
      <c r="H20" s="87">
        <f>INDEX(AVA_4!$A:$J,MATCH('2020'!$A20,AVA_4!$A:$A,0),MATCH('2020'!$A$1,AVA_4!$3:$3,0))/(B20/1000)</f>
        <v>0.65049517690324665</v>
      </c>
      <c r="I20" s="89">
        <f>INDEX(AVA_5!$A:$J,MATCH('2020'!$A20,AVA_5!$A:$A,0),MATCH('2020'!$A$1,AVA_5!$3:$3,0))/(B20/1000)</f>
        <v>4.0879209492473727</v>
      </c>
      <c r="J20" s="93">
        <f>INDEX(IRA_1!$A:$J,MATCH('2020'!$A20,IRA_1!$A:$A,0),MATCH('2020'!$A$1,IRA_1!$3:$3,0))/(B20/1000)</f>
        <v>2.4571913668562931E-2</v>
      </c>
      <c r="K20" s="88">
        <f>INDEX(IRA_2!$A:$J,MATCH('2020'!$A20,IRA_2!$A:$A,0),MATCH('2020'!$A$1,IRA_2!$3:$3,0))/(B20/1000)</f>
        <v>8.8511732031920226E-2</v>
      </c>
      <c r="L20" s="15">
        <f>INDEX(IRA_3!$A:$J,MATCH('2020'!$A20,IRA_3!$A:$A,0),MATCH('2020'!$A$1,IRA_3!$3:$3,0))</f>
        <v>0.4065098177958606</v>
      </c>
      <c r="M20" s="96">
        <f>INDEX(IRA_4!$A:$J,MATCH('2020'!$A20,IRA_4!$A:$A,0),MATCH('2020'!$A$1,IRA_4!$3:$3,0))/(B20/1000)</f>
        <v>1.532441927716828</v>
      </c>
      <c r="N20" s="61">
        <f>INDEX(INV_1!$A:$J,MATCH('2020'!$A20,INV_1!$A:$A,0),MATCH('2020'!$A$1,INV_1!$3:$3,0))</f>
        <v>6.1325508820083051E-2</v>
      </c>
      <c r="O20" s="80">
        <f>INDEX(INV_2!$A:$J,MATCH('2020'!$A20,INV_2!$A:$A,0),MATCH('2020'!$A$1,INV_2!$3:$3,0))/B20*10^6/C20</f>
        <v>0.32858208014598833</v>
      </c>
      <c r="P20" s="87">
        <f>INDEX(INV_3!$A:$J,MATCH('2020'!$A20,INV_3!$A:$A,0),MATCH('2020'!$A$1,INV_3!$3:$3,0))/B20*10^6/C20</f>
        <v>4.8062246595121119</v>
      </c>
      <c r="Q20" s="87">
        <f>INDEX(INV_4!$A:$J,MATCH('2020'!$A20,INV_4!$A:$A,0),MATCH('2020'!$A$1,INV_4!$3:$3,0))/B20*10^3/C20</f>
        <v>0.25330639049494319</v>
      </c>
      <c r="R20" s="34">
        <f>INDEX(INV_5!$A:$J,MATCH('2020'!$A20,INV_5!$A:$A,0),MATCH('2020'!$A$1,INV_5!$3:$3,0))</f>
        <v>0.15690000000000001</v>
      </c>
      <c r="S20" s="77">
        <f>INDEX(LUJ_1!$A:$J,MATCH('2020'!$A20,LUJ_1!$A:$A,0),MATCH('2020'!$A$1,LUJ_1!$3:$3,0))</f>
        <v>0.75613369132487729</v>
      </c>
      <c r="T20" s="73">
        <f>INDEX(LUJ_2!$A:$J,MATCH('2020'!$A20,LUJ_2!$A:$A,0),MATCH('2020'!$A$1,LUJ_2!$3:$3,0))</f>
        <v>0.20100000000000001</v>
      </c>
      <c r="U20" s="73">
        <f>INDEX(LUJ_3!$A:$J,MATCH('2020'!$A20,LUJ_3!$A:$A,0),MATCH('2020'!$A$1,LUJ_3!$3:$3,0))</f>
        <v>0.42822431514213222</v>
      </c>
      <c r="V20" s="14">
        <f>INDEX(LUJ_4!$A:$J,MATCH('2020'!$A20,LUJ_4!$A:$A,0),MATCH('2020'!$A$1,LUJ_4!$3:$3,0))</f>
        <v>95</v>
      </c>
      <c r="W20" s="34">
        <f>INDEX(LUJ_5!$A:$J,MATCH('2020'!$A20,LUJ_5!$A:$A,0),MATCH('2020'!$A$1,LUJ_5!$3:$3,0))</f>
        <v>0</v>
      </c>
      <c r="X20" s="98">
        <f>1/INDEX(GUL_1!$A:$J,MATCH('2020'!$A20,GUL_1!$A:$A,0),MATCH('2020'!$A$1,GUL_1!$3:$3,0))</f>
        <v>1.3842746400885937E-2</v>
      </c>
      <c r="Y20" s="57">
        <f>INDEX(GUL_2!$A:$J,MATCH('2020'!$A20,GUL_2!$A:$A,0),MATCH('2020'!$A$1,GUL_2!$3:$3,0))</f>
        <v>25.7</v>
      </c>
      <c r="Z20" s="57">
        <f>INDEX(GUL_3!$A:$J,MATCH('2020'!$A20,GUL_3!$A:$A,0),MATCH('2020'!$A$1,GUL_3!$3:$3,0))/(B20/1000)</f>
        <v>0.4378028059011696</v>
      </c>
      <c r="AA20" s="101">
        <f>INDEX(GUL_4!$A:$J,MATCH('2020'!$A20,GUL_4!$A:$A,0),MATCH('2020'!$A$1,GUL_4!$3:$3,0))/B20/C20*10^6</f>
        <v>0.37174932691592966</v>
      </c>
      <c r="AB20" s="73">
        <f>INDEX(GUL_5!$A:$J,MATCH('2020'!$A20,GUL_5!$A:$A,0),MATCH('2020'!$A$1,GUL_5!$3:$3,0))</f>
        <v>2.8599493708860987E-2</v>
      </c>
      <c r="AC20" s="49">
        <f>INDEX(GUL_6!$A:$J,MATCH('2020'!$A20,GUL_6!$A:$A,0),MATCH('2020'!$A$1,GUL_6!$3:$3,0))</f>
        <v>3.6600000000000001E-2</v>
      </c>
      <c r="AD20" s="49">
        <f>INDEX(GUL_7!$A:$J,MATCH('2020'!$A20,GUL_7!$A:$A,0),MATCH('2020'!$A$1,GUL_7!$3:$3,0))</f>
        <v>0.21248259999999999</v>
      </c>
      <c r="AE20" s="103">
        <f>INDEX(GUL_8!$A:$J,MATCH('2020'!$A20,GUL_8!$A:$A,0),MATCH('2020'!$A$1,GUL_8!$3:$3,0))/(B20/1000)</f>
        <v>1.2571308089787356</v>
      </c>
      <c r="AF20" s="41">
        <f>INDEX(DES_1!$A:$J,MATCH('2020'!$A20,DES_1!$A:$A,0),MATCH('2020'!$A$1,DES_1!$3:$3,0))/(B20/1000)</f>
        <v>0.10991307619486214</v>
      </c>
      <c r="AG20" s="100">
        <f>INDEX(DES_2!$A:$J,MATCH('2020'!$A20,DES_2!$A:$A,0),MATCH('2020'!$A$1,DES_2!$3:$3,0))/(B20/1000)</f>
        <v>0.31520745168382341</v>
      </c>
      <c r="AH20" s="57">
        <f>1/INDEX(DES_3!$A:$J,MATCH('2020'!$A20,DES_3!$A:$A,0),MATCH('2020'!$A$1,DES_3!$3:$3,0))</f>
        <v>9.3808630393996256E-3</v>
      </c>
      <c r="AI20" s="80">
        <f>INDEX(DES_4!$A:$J,MATCH('2020'!$A20,DES_4!$A:$A,0),MATCH('2020'!$A$1,DES_4!$3:$3,0))</f>
        <v>0.55872587159699993</v>
      </c>
      <c r="AJ20" s="110">
        <f>INDEX(DES_5!$A:$J,MATCH('2020'!$A20,DES_5!$A:$A,0),MATCH('2020'!$A$1,DES_5!$3:$3,0))</f>
        <v>0.43483156210099999</v>
      </c>
      <c r="AK20" s="57">
        <v>20</v>
      </c>
    </row>
    <row r="21" spans="1:37" x14ac:dyDescent="0.3">
      <c r="A21" s="29" t="s">
        <v>20</v>
      </c>
      <c r="B21" s="33">
        <f>INDEX(Population!$A:$J,MATCH('2020'!$A21,Population!$A:$A,0),MATCH('2020'!$A$1,Population!$3:$3,0))</f>
        <v>1366384</v>
      </c>
      <c r="C21" s="14">
        <f>INDEX(Income!$A:$J,MATCH('2020'!$A21,Income!$A:$A,0),MATCH('2020'!$A$1,Income!$3:$3,0))</f>
        <v>25955</v>
      </c>
      <c r="D21" s="34">
        <f>INDEX(Livable_wage!$A:$J,MATCH('2020'!$A21,Livable_wage!$A:$A,0),MATCH('2020'!$A$1,Livable_wage!$3:$3,0))</f>
        <v>11800</v>
      </c>
      <c r="E21" s="41">
        <f>INDEX(AVA_1!$A:$J,MATCH('2020'!$A21,AVA_1!$A:$A,0),MATCH('2020'!$A$1,AVA_1!$3:$3,0))</f>
        <v>0.33200000000000002</v>
      </c>
      <c r="F21" s="15">
        <f>INDEX(AVA_2!$A:$J,MATCH('2020'!$A21,AVA_2!$A:$A,0),MATCH('2020'!$A$1,AVA_2!$3:$3,0))</f>
        <v>9.4153311513840796E-3</v>
      </c>
      <c r="G21" s="15">
        <f>INDEX(AVA_3!$A:$J,MATCH('2020'!$A21,AVA_3!$A:$A,0),MATCH('2020'!$A$1,AVA_3!$3:$3,0))</f>
        <v>2.0040017867936608E-2</v>
      </c>
      <c r="H21" s="87">
        <f>INDEX(AVA_4!$A:$J,MATCH('2020'!$A21,AVA_4!$A:$A,0),MATCH('2020'!$A$1,AVA_4!$3:$3,0))/(B21/1000)</f>
        <v>0.68282415484958836</v>
      </c>
      <c r="I21" s="89">
        <f>INDEX(AVA_5!$A:$J,MATCH('2020'!$A21,AVA_5!$A:$A,0),MATCH('2020'!$A$1,AVA_5!$3:$3,0))/(B21/1000)</f>
        <v>4.5463061628356307</v>
      </c>
      <c r="J21" s="93">
        <f>INDEX(IRA_1!$A:$J,MATCH('2020'!$A21,IRA_1!$A:$A,0),MATCH('2020'!$A$1,IRA_1!$3:$3,0))/(B21/1000)</f>
        <v>5.1230108080890874E-2</v>
      </c>
      <c r="K21" s="88">
        <f>INDEX(IRA_2!$A:$J,MATCH('2020'!$A21,IRA_2!$A:$A,0),MATCH('2020'!$A$1,IRA_2!$3:$3,0))/(B21/1000)</f>
        <v>0.11856110727291888</v>
      </c>
      <c r="L21" s="15">
        <f>INDEX(IRA_3!$A:$J,MATCH('2020'!$A21,IRA_3!$A:$A,0),MATCH('2020'!$A$1,IRA_3!$3:$3,0))</f>
        <v>0.41472704189589504</v>
      </c>
      <c r="M21" s="96">
        <f>INDEX(IRA_4!$A:$J,MATCH('2020'!$A21,IRA_4!$A:$A,0),MATCH('2020'!$A$1,IRA_4!$3:$3,0))/(B21/1000)</f>
        <v>3.9710652349559128</v>
      </c>
      <c r="N21" s="61">
        <f>INDEX(INV_1!$A:$J,MATCH('2020'!$A21,INV_1!$A:$A,0),MATCH('2020'!$A$1,INV_1!$3:$3,0))</f>
        <v>6.9334068366913665E-2</v>
      </c>
      <c r="O21" s="80">
        <f>INDEX(INV_2!$A:$J,MATCH('2020'!$A21,INV_2!$A:$A,0),MATCH('2020'!$A$1,INV_2!$3:$3,0))/B21*10^6/C21</f>
        <v>0.36977655393046838</v>
      </c>
      <c r="P21" s="87">
        <f>INDEX(INV_3!$A:$J,MATCH('2020'!$A21,INV_3!$A:$A,0),MATCH('2020'!$A$1,INV_3!$3:$3,0))/B21*10^6/C21</f>
        <v>3.9693499984341525</v>
      </c>
      <c r="Q21" s="87">
        <f>INDEX(INV_4!$A:$J,MATCH('2020'!$A21,INV_4!$A:$A,0),MATCH('2020'!$A$1,INV_4!$3:$3,0))/B21*10^3/C21</f>
        <v>0.29415332388227389</v>
      </c>
      <c r="R21" s="34">
        <f>INDEX(INV_5!$A:$J,MATCH('2020'!$A21,INV_5!$A:$A,0),MATCH('2020'!$A$1,INV_5!$3:$3,0))</f>
        <v>8.0600000000000005E-2</v>
      </c>
      <c r="S21" s="77">
        <f>INDEX(LUJ_1!$A:$J,MATCH('2020'!$A21,LUJ_1!$A:$A,0),MATCH('2020'!$A$1,LUJ_1!$3:$3,0))</f>
        <v>0.70817871456137749</v>
      </c>
      <c r="T21" s="73">
        <f>INDEX(LUJ_2!$A:$J,MATCH('2020'!$A21,LUJ_2!$A:$A,0),MATCH('2020'!$A$1,LUJ_2!$3:$3,0))</f>
        <v>0.20899999999999999</v>
      </c>
      <c r="U21" s="73">
        <f>INDEX(LUJ_3!$A:$J,MATCH('2020'!$A21,LUJ_3!$A:$A,0),MATCH('2020'!$A$1,LUJ_3!$3:$3,0))</f>
        <v>0.4604849687102549</v>
      </c>
      <c r="V21" s="14">
        <f>INDEX(LUJ_4!$A:$J,MATCH('2020'!$A21,LUJ_4!$A:$A,0),MATCH('2020'!$A$1,LUJ_4!$3:$3,0))</f>
        <v>12</v>
      </c>
      <c r="W21" s="34">
        <f>INDEX(LUJ_5!$A:$J,MATCH('2020'!$A21,LUJ_5!$A:$A,0),MATCH('2020'!$A$1,LUJ_5!$3:$3,0))</f>
        <v>28.9</v>
      </c>
      <c r="X21" s="98">
        <f>1/INDEX(GUL_1!$A:$J,MATCH('2020'!$A21,GUL_1!$A:$A,0),MATCH('2020'!$A$1,GUL_1!$3:$3,0))</f>
        <v>1.4279594459517349E-2</v>
      </c>
      <c r="Y21" s="57">
        <f>INDEX(GUL_2!$A:$J,MATCH('2020'!$A21,GUL_2!$A:$A,0),MATCH('2020'!$A$1,GUL_2!$3:$3,0))</f>
        <v>26.3</v>
      </c>
      <c r="Z21" s="57">
        <f>INDEX(GUL_3!$A:$J,MATCH('2020'!$A21,GUL_3!$A:$A,0),MATCH('2020'!$A$1,GUL_3!$3:$3,0))/(B21/1000)</f>
        <v>1.1578004426281339</v>
      </c>
      <c r="AA21" s="101">
        <f>INDEX(GUL_4!$A:$J,MATCH('2020'!$A21,GUL_4!$A:$A,0),MATCH('2020'!$A$1,GUL_4!$3:$3,0))/B21/C21*10^6</f>
        <v>0.26469824382721424</v>
      </c>
      <c r="AB21" s="73">
        <f>INDEX(GUL_5!$A:$J,MATCH('2020'!$A21,GUL_5!$A:$A,0),MATCH('2020'!$A$1,GUL_5!$3:$3,0))</f>
        <v>3.2178637451143556E-2</v>
      </c>
      <c r="AC21" s="49">
        <f>INDEX(GUL_6!$A:$J,MATCH('2020'!$A21,GUL_6!$A:$A,0),MATCH('2020'!$A$1,GUL_6!$3:$3,0))</f>
        <v>4.1100000000000005E-2</v>
      </c>
      <c r="AD21" s="49">
        <f>INDEX(GUL_7!$A:$J,MATCH('2020'!$A21,GUL_7!$A:$A,0),MATCH('2020'!$A$1,GUL_7!$3:$3,0))</f>
        <v>0.21397770000000002</v>
      </c>
      <c r="AE21" s="103">
        <f>INDEX(GUL_8!$A:$J,MATCH('2020'!$A21,GUL_8!$A:$A,0),MATCH('2020'!$A$1,GUL_8!$3:$3,0))/(B21/1000)</f>
        <v>2.0513998992962446</v>
      </c>
      <c r="AF21" s="41">
        <f>INDEX(DES_1!$A:$J,MATCH('2020'!$A21,DES_1!$A:$A,0),MATCH('2020'!$A$1,DES_1!$3:$3,0))/(B21/1000)</f>
        <v>0.13539385707092588</v>
      </c>
      <c r="AG21" s="100">
        <f>INDEX(DES_2!$A:$J,MATCH('2020'!$A21,DES_2!$A:$A,0),MATCH('2020'!$A$1,DES_2!$3:$3,0))/(B21/1000)</f>
        <v>0.38203023454607199</v>
      </c>
      <c r="AH21" s="57">
        <f>1/INDEX(DES_3!$A:$J,MATCH('2020'!$A21,DES_3!$A:$A,0),MATCH('2020'!$A$1,DES_3!$3:$3,0))</f>
        <v>8.3752093802345051E-3</v>
      </c>
      <c r="AI21" s="80">
        <f>INDEX(DES_4!$A:$J,MATCH('2020'!$A21,DES_4!$A:$A,0),MATCH('2020'!$A$1,DES_4!$3:$3,0))</f>
        <v>0.94827196536500002</v>
      </c>
      <c r="AJ21" s="110">
        <f>INDEX(DES_5!$A:$J,MATCH('2020'!$A21,DES_5!$A:$A,0),MATCH('2020'!$A$1,DES_5!$3:$3,0))</f>
        <v>0.58388844614900004</v>
      </c>
      <c r="AK21" s="57">
        <v>22</v>
      </c>
    </row>
    <row r="22" spans="1:37" x14ac:dyDescent="0.3">
      <c r="A22" s="29" t="s">
        <v>21</v>
      </c>
      <c r="B22" s="33">
        <f>INDEX(Population!$A:$J,MATCH('2020'!$A22,Population!$A:$A,0),MATCH('2020'!$A$1,Population!$3:$3,0))</f>
        <v>8404864</v>
      </c>
      <c r="C22" s="14">
        <f>INDEX(Income!$A:$J,MATCH('2020'!$A22,Income!$A:$A,0),MATCH('2020'!$A$1,Income!$3:$3,0))</f>
        <v>47301</v>
      </c>
      <c r="D22" s="34">
        <f>INDEX(Livable_wage!$A:$J,MATCH('2020'!$A22,Livable_wage!$A:$A,0),MATCH('2020'!$A$1,Livable_wage!$3:$3,0))</f>
        <v>14586</v>
      </c>
      <c r="E22" s="41">
        <f>INDEX(AVA_1!$A:$J,MATCH('2020'!$A22,AVA_1!$A:$A,0),MATCH('2020'!$A$1,AVA_1!$3:$3,0))</f>
        <v>0.378</v>
      </c>
      <c r="F22" s="15">
        <f>INDEX(AVA_2!$A:$J,MATCH('2020'!$A22,AVA_2!$A:$A,0),MATCH('2020'!$A$1,AVA_2!$3:$3,0))</f>
        <v>8.8089243370922631E-3</v>
      </c>
      <c r="G22" s="15">
        <f>INDEX(AVA_3!$A:$J,MATCH('2020'!$A22,AVA_3!$A:$A,0),MATCH('2020'!$A$1,AVA_3!$3:$3,0))</f>
        <v>0.38592120886252512</v>
      </c>
      <c r="H22" s="87">
        <f>INDEX(AVA_4!$A:$J,MATCH('2020'!$A22,AVA_4!$A:$A,0),MATCH('2020'!$A$1,AVA_4!$3:$3,0))/(B22/1000)</f>
        <v>0.44747898359806892</v>
      </c>
      <c r="I22" s="89">
        <f>INDEX(AVA_5!$A:$J,MATCH('2020'!$A22,AVA_5!$A:$A,0),MATCH('2020'!$A$1,AVA_5!$3:$3,0))/(B22/1000)</f>
        <v>2.9993346709714759</v>
      </c>
      <c r="J22" s="93">
        <f>INDEX(IRA_1!$A:$J,MATCH('2020'!$A22,IRA_1!$A:$A,0),MATCH('2020'!$A$1,IRA_1!$3:$3,0))/(B22/1000)</f>
        <v>3.7002383381813199E-2</v>
      </c>
      <c r="K22" s="88">
        <f>INDEX(IRA_2!$A:$J,MATCH('2020'!$A22,IRA_2!$A:$A,0),MATCH('2020'!$A$1,IRA_2!$3:$3,0))/(B22/1000)</f>
        <v>0.11719404382985853</v>
      </c>
      <c r="L22" s="15">
        <f>INDEX(IRA_3!$A:$J,MATCH('2020'!$A22,IRA_3!$A:$A,0),MATCH('2020'!$A$1,IRA_3!$3:$3,0))</f>
        <v>0.61134033666624477</v>
      </c>
      <c r="M22" s="96">
        <f>INDEX(IRA_4!$A:$J,MATCH('2020'!$A22,IRA_4!$A:$A,0),MATCH('2020'!$A$1,IRA_4!$3:$3,0))/(B22/1000)</f>
        <v>2.5426943255714787</v>
      </c>
      <c r="N22" s="61">
        <f>INDEX(INV_1!$A:$J,MATCH('2020'!$A22,INV_1!$A:$A,0),MATCH('2020'!$A$1,INV_1!$3:$3,0))</f>
        <v>5.1034092170451455E-2</v>
      </c>
      <c r="O22" s="80">
        <f>INDEX(INV_2!$A:$J,MATCH('2020'!$A22,INV_2!$A:$A,0),MATCH('2020'!$A$1,INV_2!$3:$3,0))/B22*10^6/C22</f>
        <v>0.40293911130187637</v>
      </c>
      <c r="P22" s="87">
        <f>INDEX(INV_3!$A:$J,MATCH('2020'!$A22,INV_3!$A:$A,0),MATCH('2020'!$A$1,INV_3!$3:$3,0))/B22*10^6/C22</f>
        <v>4.0744069459529415</v>
      </c>
      <c r="Q22" s="87">
        <f>INDEX(INV_4!$A:$J,MATCH('2020'!$A22,INV_4!$A:$A,0),MATCH('2020'!$A$1,INV_4!$3:$3,0))/B22*10^3/C22</f>
        <v>7.7784615277980501E-2</v>
      </c>
      <c r="R22" s="34">
        <f>INDEX(INV_5!$A:$J,MATCH('2020'!$A22,INV_5!$A:$A,0),MATCH('2020'!$A$1,INV_5!$3:$3,0))</f>
        <v>0.28670000000000001</v>
      </c>
      <c r="S22" s="77">
        <f>INDEX(LUJ_1!$A:$J,MATCH('2020'!$A22,LUJ_1!$A:$A,0),MATCH('2020'!$A$1,LUJ_1!$3:$3,0))</f>
        <v>0.69616963661774978</v>
      </c>
      <c r="T22" s="73">
        <f>INDEX(LUJ_2!$A:$J,MATCH('2020'!$A22,LUJ_2!$A:$A,0),MATCH('2020'!$A$1,LUJ_2!$3:$3,0))</f>
        <v>0.20800000000000002</v>
      </c>
      <c r="U22" s="73">
        <f>INDEX(LUJ_3!$A:$J,MATCH('2020'!$A22,LUJ_3!$A:$A,0),MATCH('2020'!$A$1,LUJ_3!$3:$3,0))</f>
        <v>0.26306323285730548</v>
      </c>
      <c r="V22" s="14">
        <f>INDEX(LUJ_4!$A:$J,MATCH('2020'!$A22,LUJ_4!$A:$A,0),MATCH('2020'!$A$1,LUJ_4!$3:$3,0))</f>
        <v>121</v>
      </c>
      <c r="W22" s="34">
        <f>INDEX(LUJ_5!$A:$J,MATCH('2020'!$A22,LUJ_5!$A:$A,0),MATCH('2020'!$A$1,LUJ_5!$3:$3,0))</f>
        <v>30.2</v>
      </c>
      <c r="X22" s="98">
        <f>1/INDEX(GUL_1!$A:$J,MATCH('2020'!$A22,GUL_1!$A:$A,0),MATCH('2020'!$A$1,GUL_1!$3:$3,0))</f>
        <v>1.3952839402818473E-2</v>
      </c>
      <c r="Y22" s="57">
        <f>INDEX(GUL_2!$A:$J,MATCH('2020'!$A22,GUL_2!$A:$A,0),MATCH('2020'!$A$1,GUL_2!$3:$3,0))</f>
        <v>25.5</v>
      </c>
      <c r="Z22" s="57">
        <f>INDEX(GUL_3!$A:$J,MATCH('2020'!$A22,GUL_3!$A:$A,0),MATCH('2020'!$A$1,GUL_3!$3:$3,0))/(B22/1000)</f>
        <v>0.69626349694653</v>
      </c>
      <c r="AA22" s="101">
        <f>INDEX(GUL_4!$A:$J,MATCH('2020'!$A22,GUL_4!$A:$A,0),MATCH('2020'!$A$1,GUL_4!$3:$3,0))/B22/C22*10^6</f>
        <v>0.25572009438559751</v>
      </c>
      <c r="AB22" s="73">
        <f>INDEX(GUL_5!$A:$J,MATCH('2020'!$A22,GUL_5!$A:$A,0),MATCH('2020'!$A$1,GUL_5!$3:$3,0))</f>
        <v>2.5094572052023791E-2</v>
      </c>
      <c r="AC22" s="49">
        <f>INDEX(GUL_6!$A:$J,MATCH('2020'!$A22,GUL_6!$A:$A,0),MATCH('2020'!$A$1,GUL_6!$3:$3,0))</f>
        <v>2.8999999999999998E-2</v>
      </c>
      <c r="AD22" s="49">
        <f>INDEX(GUL_7!$A:$J,MATCH('2020'!$A22,GUL_7!$A:$A,0),MATCH('2020'!$A$1,GUL_7!$3:$3,0))</f>
        <v>0.18079190000000001</v>
      </c>
      <c r="AE22" s="103">
        <f>INDEX(GUL_8!$A:$J,MATCH('2020'!$A22,GUL_8!$A:$A,0),MATCH('2020'!$A$1,GUL_8!$3:$3,0))/(B22/1000)</f>
        <v>0.94956920183360494</v>
      </c>
      <c r="AF22" s="41">
        <f>INDEX(DES_1!$A:$J,MATCH('2020'!$A22,DES_1!$A:$A,0),MATCH('2020'!$A$1,DES_1!$3:$3,0))/(B22/1000)</f>
        <v>0.10624800115742504</v>
      </c>
      <c r="AG22" s="100">
        <f>INDEX(DES_2!$A:$J,MATCH('2020'!$A22,DES_2!$A:$A,0),MATCH('2020'!$A$1,DES_2!$3:$3,0))/(B22/1000)</f>
        <v>0.52481515465330553</v>
      </c>
      <c r="AH22" s="57">
        <f>1/INDEX(DES_3!$A:$J,MATCH('2020'!$A22,DES_3!$A:$A,0),MATCH('2020'!$A$1,DES_3!$3:$3,0))</f>
        <v>8.3125519534497094E-3</v>
      </c>
      <c r="AI22" s="80">
        <f>INDEX(DES_4!$A:$J,MATCH('2020'!$A22,DES_4!$A:$A,0),MATCH('2020'!$A$1,DES_4!$3:$3,0))</f>
        <v>0.99686488984199995</v>
      </c>
      <c r="AJ22" s="110">
        <f>INDEX(DES_5!$A:$J,MATCH('2020'!$A22,DES_5!$A:$A,0),MATCH('2020'!$A$1,DES_5!$3:$3,0))</f>
        <v>0.86413850470699993</v>
      </c>
      <c r="AK22" s="57">
        <v>23</v>
      </c>
    </row>
    <row r="23" spans="1:37" x14ac:dyDescent="0.3">
      <c r="A23" s="29" t="s">
        <v>22</v>
      </c>
      <c r="B23" s="33">
        <f>INDEX(Population!$A:$J,MATCH('2020'!$A23,Population!$A:$A,0),MATCH('2020'!$A$1,Population!$3:$3,0))</f>
        <v>2519924</v>
      </c>
      <c r="C23" s="14">
        <f>INDEX(Income!$A:$J,MATCH('2020'!$A23,Income!$A:$A,0),MATCH('2020'!$A$1,Income!$3:$3,0))</f>
        <v>24995</v>
      </c>
      <c r="D23" s="34">
        <f>INDEX(Livable_wage!$A:$J,MATCH('2020'!$A23,Livable_wage!$A:$A,0),MATCH('2020'!$A$1,Livable_wage!$3:$3,0))</f>
        <v>10604</v>
      </c>
      <c r="E23" s="41">
        <f>INDEX(AVA_1!$A:$J,MATCH('2020'!$A23,AVA_1!$A:$A,0),MATCH('2020'!$A$1,AVA_1!$3:$3,0))</f>
        <v>0.34300000000000003</v>
      </c>
      <c r="F23" s="15">
        <f>INDEX(AVA_2!$A:$J,MATCH('2020'!$A23,AVA_2!$A:$A,0),MATCH('2020'!$A$1,AVA_2!$3:$3,0))</f>
        <v>9.5666914498141256E-3</v>
      </c>
      <c r="G23" s="15">
        <f>INDEX(AVA_3!$A:$J,MATCH('2020'!$A23,AVA_3!$A:$A,0),MATCH('2020'!$A$1,AVA_3!$3:$3,0))</f>
        <v>1.0884573004458095E-2</v>
      </c>
      <c r="H23" s="87">
        <f>INDEX(AVA_4!$A:$J,MATCH('2020'!$A23,AVA_4!$A:$A,0),MATCH('2020'!$A$1,AVA_4!$3:$3,0))/(B23/1000)</f>
        <v>0.53096839428490705</v>
      </c>
      <c r="I23" s="89">
        <f>INDEX(AVA_5!$A:$J,MATCH('2020'!$A23,AVA_5!$A:$A,0),MATCH('2020'!$A$1,AVA_5!$3:$3,0))/(B23/1000)</f>
        <v>6.6644867067419495</v>
      </c>
      <c r="J23" s="93">
        <f>INDEX(IRA_1!$A:$J,MATCH('2020'!$A23,IRA_1!$A:$A,0),MATCH('2020'!$A$1,IRA_1!$3:$3,0))/(B23/1000)</f>
        <v>4.9207833252113954E-2</v>
      </c>
      <c r="K23" s="88">
        <f>INDEX(IRA_2!$A:$J,MATCH('2020'!$A23,IRA_2!$A:$A,0),MATCH('2020'!$A$1,IRA_2!$3:$3,0))/(B23/1000)</f>
        <v>0.11071762481725639</v>
      </c>
      <c r="L23" s="15">
        <f>INDEX(IRA_3!$A:$J,MATCH('2020'!$A23,IRA_3!$A:$A,0),MATCH('2020'!$A$1,IRA_3!$3:$3,0))</f>
        <v>0.41153068544968374</v>
      </c>
      <c r="M23" s="96">
        <f>INDEX(IRA_4!$A:$J,MATCH('2020'!$A23,IRA_4!$A:$A,0),MATCH('2020'!$A$1,IRA_4!$3:$3,0))/(B23/1000)</f>
        <v>5.8069211611143832</v>
      </c>
      <c r="N23" s="61">
        <f>INDEX(INV_1!$A:$J,MATCH('2020'!$A23,INV_1!$A:$A,0),MATCH('2020'!$A$1,INV_1!$3:$3,0))</f>
        <v>7.6900514224144123E-2</v>
      </c>
      <c r="O23" s="80">
        <f>INDEX(INV_2!$A:$J,MATCH('2020'!$A23,INV_2!$A:$A,0),MATCH('2020'!$A$1,INV_2!$3:$3,0))/B23*10^6/C23</f>
        <v>0.36539375140548819</v>
      </c>
      <c r="P23" s="87">
        <f>INDEX(INV_3!$A:$J,MATCH('2020'!$A23,INV_3!$A:$A,0),MATCH('2020'!$A$1,INV_3!$3:$3,0))/B23*10^6/C23</f>
        <v>4.0447563084041978</v>
      </c>
      <c r="Q23" s="87">
        <f>INDEX(INV_4!$A:$J,MATCH('2020'!$A23,INV_4!$A:$A,0),MATCH('2020'!$A$1,INV_4!$3:$3,0))/B23*10^3/C23</f>
        <v>0.34930883722861045</v>
      </c>
      <c r="R23" s="34">
        <f>INDEX(INV_5!$A:$J,MATCH('2020'!$A23,INV_5!$A:$A,0),MATCH('2020'!$A$1,INV_5!$3:$3,0))</f>
        <v>8.5400000000000004E-2</v>
      </c>
      <c r="S23" s="77">
        <f>INDEX(LUJ_1!$A:$J,MATCH('2020'!$A23,LUJ_1!$A:$A,0),MATCH('2020'!$A$1,LUJ_1!$3:$3,0))</f>
        <v>0.81688241639697945</v>
      </c>
      <c r="T23" s="73">
        <f>INDEX(LUJ_2!$A:$J,MATCH('2020'!$A23,LUJ_2!$A:$A,0),MATCH('2020'!$A$1,LUJ_2!$3:$3,0))</f>
        <v>0.23499999999999999</v>
      </c>
      <c r="U23" s="73">
        <f>INDEX(LUJ_3!$A:$J,MATCH('2020'!$A23,LUJ_3!$A:$A,0),MATCH('2020'!$A$1,LUJ_3!$3:$3,0))</f>
        <v>0.39548086708731933</v>
      </c>
      <c r="V23" s="14">
        <f>INDEX(LUJ_4!$A:$J,MATCH('2020'!$A23,LUJ_4!$A:$A,0),MATCH('2020'!$A$1,LUJ_4!$3:$3,0))</f>
        <v>43</v>
      </c>
      <c r="W23" s="34">
        <f>INDEX(LUJ_5!$A:$J,MATCH('2020'!$A23,LUJ_5!$A:$A,0),MATCH('2020'!$A$1,LUJ_5!$3:$3,0))</f>
        <v>31.3</v>
      </c>
      <c r="X23" s="98">
        <f>1/INDEX(GUL_1!$A:$J,MATCH('2020'!$A23,GUL_1!$A:$A,0),MATCH('2020'!$A$1,GUL_1!$3:$3,0))</f>
        <v>1.3892747985551542E-2</v>
      </c>
      <c r="Y23" s="57">
        <f>INDEX(GUL_2!$A:$J,MATCH('2020'!$A23,GUL_2!$A:$A,0),MATCH('2020'!$A$1,GUL_2!$3:$3,0))</f>
        <v>25</v>
      </c>
      <c r="Z23" s="57">
        <f>INDEX(GUL_3!$A:$J,MATCH('2020'!$A23,GUL_3!$A:$A,0),MATCH('2020'!$A$1,GUL_3!$3:$3,0))/(B23/1000)</f>
        <v>0.78176960892471359</v>
      </c>
      <c r="AA23" s="101">
        <f>INDEX(GUL_4!$A:$J,MATCH('2020'!$A23,GUL_4!$A:$A,0),MATCH('2020'!$A$1,GUL_4!$3:$3,0))/B23/C23*10^6</f>
        <v>0.21220741153695982</v>
      </c>
      <c r="AB23" s="73">
        <f>INDEX(GUL_5!$A:$J,MATCH('2020'!$A23,GUL_5!$A:$A,0),MATCH('2020'!$A$1,GUL_5!$3:$3,0))</f>
        <v>2.5876136824845818E-2</v>
      </c>
      <c r="AC23" s="49">
        <f>INDEX(GUL_6!$A:$J,MATCH('2020'!$A23,GUL_6!$A:$A,0),MATCH('2020'!$A$1,GUL_6!$3:$3,0))</f>
        <v>3.6799999999999999E-2</v>
      </c>
      <c r="AD23" s="49">
        <f>INDEX(GUL_7!$A:$J,MATCH('2020'!$A23,GUL_7!$A:$A,0),MATCH('2020'!$A$1,GUL_7!$3:$3,0))</f>
        <v>0.1705602</v>
      </c>
      <c r="AE23" s="103">
        <f>INDEX(GUL_8!$A:$J,MATCH('2020'!$A23,GUL_8!$A:$A,0),MATCH('2020'!$A$1,GUL_8!$3:$3,0))/(B23/1000)</f>
        <v>2.3651506950209611</v>
      </c>
      <c r="AF23" s="41">
        <f>INDEX(DES_1!$A:$J,MATCH('2020'!$A23,DES_1!$A:$A,0),MATCH('2020'!$A$1,DES_1!$3:$3,0))/(B23/1000)</f>
        <v>4.0477411223513088E-2</v>
      </c>
      <c r="AG23" s="100">
        <f>INDEX(DES_2!$A:$J,MATCH('2020'!$A23,DES_2!$A:$A,0),MATCH('2020'!$A$1,DES_2!$3:$3,0))/(B23/1000)</f>
        <v>0.38374173189350158</v>
      </c>
      <c r="AH23" s="57">
        <f>1/INDEX(DES_3!$A:$J,MATCH('2020'!$A23,DES_3!$A:$A,0),MATCH('2020'!$A$1,DES_3!$3:$3,0))</f>
        <v>8.9686098654708519E-3</v>
      </c>
      <c r="AI23" s="80">
        <f>INDEX(DES_4!$A:$J,MATCH('2020'!$A23,DES_4!$A:$A,0),MATCH('2020'!$A$1,DES_4!$3:$3,0))</f>
        <v>0.83928078954399998</v>
      </c>
      <c r="AJ23" s="110">
        <f>INDEX(DES_5!$A:$J,MATCH('2020'!$A23,DES_5!$A:$A,0),MATCH('2020'!$A$1,DES_5!$3:$3,0))</f>
        <v>0.57166058524700003</v>
      </c>
      <c r="AK23" s="57">
        <v>29</v>
      </c>
    </row>
    <row r="24" spans="1:37" x14ac:dyDescent="0.3">
      <c r="A24" s="29" t="s">
        <v>23</v>
      </c>
      <c r="B24" s="33">
        <f>INDEX(Population!$A:$J,MATCH('2020'!$A24,Population!$A:$A,0),MATCH('2020'!$A$1,Population!$3:$3,0))</f>
        <v>1888872</v>
      </c>
      <c r="C24" s="14">
        <f>INDEX(Income!$A:$J,MATCH('2020'!$A24,Income!$A:$A,0),MATCH('2020'!$A$1,Income!$3:$3,0))</f>
        <v>24731</v>
      </c>
      <c r="D24" s="34">
        <f>INDEX(Livable_wage!$A:$J,MATCH('2020'!$A24,Livable_wage!$A:$A,0),MATCH('2020'!$A$1,Livable_wage!$3:$3,0))</f>
        <v>10438</v>
      </c>
      <c r="E24" s="41">
        <f>INDEX(AVA_1!$A:$J,MATCH('2020'!$A24,AVA_1!$A:$A,0),MATCH('2020'!$A$1,AVA_1!$3:$3,0))</f>
        <v>0.36299999999999999</v>
      </c>
      <c r="F24" s="15">
        <f>INDEX(AVA_2!$A:$J,MATCH('2020'!$A24,AVA_2!$A:$A,0),MATCH('2020'!$A$1,AVA_2!$3:$3,0))</f>
        <v>8.9185021351591478E-3</v>
      </c>
      <c r="G24" s="15">
        <f>INDEX(AVA_3!$A:$J,MATCH('2020'!$A24,AVA_3!$A:$A,0),MATCH('2020'!$A$1,AVA_3!$3:$3,0))</f>
        <v>9.7331854248641023E-3</v>
      </c>
      <c r="H24" s="87">
        <f>INDEX(AVA_4!$A:$J,MATCH('2020'!$A24,AVA_4!$A:$A,0),MATCH('2020'!$A$1,AVA_4!$3:$3,0))/(B24/1000)</f>
        <v>0.62788796699829319</v>
      </c>
      <c r="I24" s="89">
        <f>INDEX(AVA_5!$A:$J,MATCH('2020'!$A24,AVA_5!$A:$A,0),MATCH('2020'!$A$1,AVA_5!$3:$3,0))/(B24/1000)</f>
        <v>4.9272793497918332</v>
      </c>
      <c r="J24" s="93">
        <f>INDEX(IRA_1!$A:$J,MATCH('2020'!$A24,IRA_1!$A:$A,0),MATCH('2020'!$A$1,IRA_1!$3:$3,0))/(B24/1000)</f>
        <v>4.6588651851475378E-2</v>
      </c>
      <c r="K24" s="88">
        <f>INDEX(IRA_2!$A:$J,MATCH('2020'!$A24,IRA_2!$A:$A,0),MATCH('2020'!$A$1,IRA_2!$3:$3,0))/(B24/1000)</f>
        <v>0.14506012053754833</v>
      </c>
      <c r="L24" s="15">
        <f>INDEX(IRA_3!$A:$J,MATCH('2020'!$A24,IRA_3!$A:$A,0),MATCH('2020'!$A$1,IRA_3!$3:$3,0))</f>
        <v>0.38361153262518966</v>
      </c>
      <c r="M24" s="96">
        <f>INDEX(IRA_4!$A:$J,MATCH('2020'!$A24,IRA_4!$A:$A,0),MATCH('2020'!$A$1,IRA_4!$3:$3,0))/(B24/1000)</f>
        <v>3.9017995925610629</v>
      </c>
      <c r="N24" s="61">
        <f>INDEX(INV_1!$A:$J,MATCH('2020'!$A24,INV_1!$A:$A,0),MATCH('2020'!$A$1,INV_1!$3:$3,0))</f>
        <v>8.310384462791981E-2</v>
      </c>
      <c r="O24" s="80">
        <f>INDEX(INV_2!$A:$J,MATCH('2020'!$A24,INV_2!$A:$A,0),MATCH('2020'!$A$1,INV_2!$3:$3,0))/B24*10^6/C24</f>
        <v>0.44480304924393554</v>
      </c>
      <c r="P24" s="87">
        <f>INDEX(INV_3!$A:$J,MATCH('2020'!$A24,INV_3!$A:$A,0),MATCH('2020'!$A$1,INV_3!$3:$3,0))/B24*10^6/C24</f>
        <v>5.3979675224580941</v>
      </c>
      <c r="Q24" s="87">
        <f>INDEX(INV_4!$A:$J,MATCH('2020'!$A24,INV_4!$A:$A,0),MATCH('2020'!$A$1,INV_4!$3:$3,0))/B24*10^3/C24</f>
        <v>0.3236053580735414</v>
      </c>
      <c r="R24" s="34">
        <f>INDEX(INV_5!$A:$J,MATCH('2020'!$A24,INV_5!$A:$A,0),MATCH('2020'!$A$1,INV_5!$3:$3,0))</f>
        <v>7.7200000000000005E-2</v>
      </c>
      <c r="S24" s="77">
        <f>INDEX(LUJ_1!$A:$J,MATCH('2020'!$A24,LUJ_1!$A:$A,0),MATCH('2020'!$A$1,LUJ_1!$3:$3,0))</f>
        <v>0.77241899020346649</v>
      </c>
      <c r="T24" s="73">
        <f>INDEX(LUJ_2!$A:$J,MATCH('2020'!$A24,LUJ_2!$A:$A,0),MATCH('2020'!$A$1,LUJ_2!$3:$3,0))</f>
        <v>0.19600000000000001</v>
      </c>
      <c r="U24" s="73">
        <f>INDEX(LUJ_3!$A:$J,MATCH('2020'!$A24,LUJ_3!$A:$A,0),MATCH('2020'!$A$1,LUJ_3!$3:$3,0))</f>
        <v>0.60270964978044339</v>
      </c>
      <c r="V24" s="14">
        <f>INDEX(LUJ_4!$A:$J,MATCH('2020'!$A24,LUJ_4!$A:$A,0),MATCH('2020'!$A$1,LUJ_4!$3:$3,0))</f>
        <v>44</v>
      </c>
      <c r="W24" s="34">
        <f>INDEX(LUJ_5!$A:$J,MATCH('2020'!$A24,LUJ_5!$A:$A,0),MATCH('2020'!$A$1,LUJ_5!$3:$3,0))</f>
        <v>72.7</v>
      </c>
      <c r="X24" s="98">
        <f>1/INDEX(GUL_1!$A:$J,MATCH('2020'!$A24,GUL_1!$A:$A,0),MATCH('2020'!$A$1,GUL_1!$3:$3,0))</f>
        <v>1.4341029685931449E-2</v>
      </c>
      <c r="Y24" s="57">
        <f>INDEX(GUL_2!$A:$J,MATCH('2020'!$A24,GUL_2!$A:$A,0),MATCH('2020'!$A$1,GUL_2!$3:$3,0))</f>
        <v>25.6</v>
      </c>
      <c r="Z24" s="57">
        <f>INDEX(GUL_3!$A:$J,MATCH('2020'!$A24,GUL_3!$A:$A,0),MATCH('2020'!$A$1,GUL_3!$3:$3,0))/(B24/1000)</f>
        <v>0.8581841437641089</v>
      </c>
      <c r="AA24" s="101">
        <f>INDEX(GUL_4!$A:$J,MATCH('2020'!$A24,GUL_4!$A:$A,0),MATCH('2020'!$A$1,GUL_4!$3:$3,0))/B24/C24*10^6</f>
        <v>0.27690788395547733</v>
      </c>
      <c r="AB24" s="73">
        <f>INDEX(GUL_5!$A:$J,MATCH('2020'!$A24,GUL_5!$A:$A,0),MATCH('2020'!$A$1,GUL_5!$3:$3,0))</f>
        <v>2.6492737250417057E-2</v>
      </c>
      <c r="AC24" s="49">
        <f>INDEX(GUL_6!$A:$J,MATCH('2020'!$A24,GUL_6!$A:$A,0),MATCH('2020'!$A$1,GUL_6!$3:$3,0))</f>
        <v>2.0799999999999999E-2</v>
      </c>
      <c r="AD24" s="49">
        <f>INDEX(GUL_7!$A:$J,MATCH('2020'!$A24,GUL_7!$A:$A,0),MATCH('2020'!$A$1,GUL_7!$3:$3,0))</f>
        <v>0.18838869999999999</v>
      </c>
      <c r="AE24" s="103">
        <f>INDEX(GUL_8!$A:$J,MATCH('2020'!$A24,GUL_8!$A:$A,0),MATCH('2020'!$A$1,GUL_8!$3:$3,0))/(B24/1000)</f>
        <v>2.7587893727049795</v>
      </c>
      <c r="AF24" s="41">
        <f>INDEX(DES_1!$A:$J,MATCH('2020'!$A24,DES_1!$A:$A,0),MATCH('2020'!$A$1,DES_1!$3:$3,0))/(B24/1000)</f>
        <v>0.26153175016623675</v>
      </c>
      <c r="AG24" s="100">
        <f>INDEX(DES_2!$A:$J,MATCH('2020'!$A24,DES_2!$A:$A,0),MATCH('2020'!$A$1,DES_2!$3:$3,0))/(B24/1000)</f>
        <v>0.64959404342909421</v>
      </c>
      <c r="AH24" s="57">
        <f>1/INDEX(DES_3!$A:$J,MATCH('2020'!$A24,DES_3!$A:$A,0),MATCH('2020'!$A$1,DES_3!$3:$3,0))</f>
        <v>8.1833060556464818E-3</v>
      </c>
      <c r="AI24" s="80">
        <f>INDEX(DES_4!$A:$J,MATCH('2020'!$A24,DES_4!$A:$A,0),MATCH('2020'!$A$1,DES_4!$3:$3,0))</f>
        <v>0.83368151050899997</v>
      </c>
      <c r="AJ24" s="110">
        <f>INDEX(DES_5!$A:$J,MATCH('2020'!$A24,DES_5!$A:$A,0),MATCH('2020'!$A$1,DES_5!$3:$3,0))</f>
        <v>0.46419134706199999</v>
      </c>
      <c r="AK24" s="57">
        <v>30</v>
      </c>
    </row>
    <row r="25" spans="1:37" x14ac:dyDescent="0.3">
      <c r="A25" s="29" t="s">
        <v>24</v>
      </c>
      <c r="B25" s="33">
        <f>INDEX(Population!$A:$J,MATCH('2020'!$A25,Population!$A:$A,0),MATCH('2020'!$A$1,Population!$3:$3,0))</f>
        <v>3195048</v>
      </c>
      <c r="C25" s="14">
        <f>INDEX(Income!$A:$J,MATCH('2020'!$A25,Income!$A:$A,0),MATCH('2020'!$A$1,Income!$3:$3,0))</f>
        <v>29973</v>
      </c>
      <c r="D25" s="34">
        <f>INDEX(Livable_wage!$A:$J,MATCH('2020'!$A25,Livable_wage!$A:$A,0),MATCH('2020'!$A$1,Livable_wage!$3:$3,0))</f>
        <v>12151</v>
      </c>
      <c r="E25" s="41">
        <f>INDEX(AVA_1!$A:$J,MATCH('2020'!$A25,AVA_1!$A:$A,0),MATCH('2020'!$A$1,AVA_1!$3:$3,0))</f>
        <v>0.37</v>
      </c>
      <c r="F25" s="15">
        <f>INDEX(AVA_2!$A:$J,MATCH('2020'!$A25,AVA_2!$A:$A,0),MATCH('2020'!$A$1,AVA_2!$3:$3,0))</f>
        <v>1.8860491239786586E-2</v>
      </c>
      <c r="G25" s="15">
        <f>INDEX(AVA_3!$A:$J,MATCH('2020'!$A25,AVA_3!$A:$A,0),MATCH('2020'!$A$1,AVA_3!$3:$3,0))</f>
        <v>7.7210008544249989E-2</v>
      </c>
      <c r="H25" s="87">
        <f>INDEX(AVA_4!$A:$J,MATCH('2020'!$A25,AVA_4!$A:$A,0),MATCH('2020'!$A$1,AVA_4!$3:$3,0))/(B25/1000)</f>
        <v>0.9229908283068049</v>
      </c>
      <c r="I25" s="89">
        <f>INDEX(AVA_5!$A:$J,MATCH('2020'!$A25,AVA_5!$A:$A,0),MATCH('2020'!$A$1,AVA_5!$3:$3,0))/(B25/1000)</f>
        <v>5.2008608321377334</v>
      </c>
      <c r="J25" s="93">
        <f>INDEX(IRA_1!$A:$J,MATCH('2020'!$A25,IRA_1!$A:$A,0),MATCH('2020'!$A$1,IRA_1!$3:$3,0))/(B25/1000)</f>
        <v>3.7558121192545466E-2</v>
      </c>
      <c r="K25" s="88">
        <f>INDEX(IRA_2!$A:$J,MATCH('2020'!$A25,IRA_2!$A:$A,0),MATCH('2020'!$A$1,IRA_2!$3:$3,0))/(B25/1000)</f>
        <v>0.107666614085297</v>
      </c>
      <c r="L25" s="15">
        <f>INDEX(IRA_3!$A:$J,MATCH('2020'!$A25,IRA_3!$A:$A,0),MATCH('2020'!$A$1,IRA_3!$3:$3,0))</f>
        <v>0.38704642996488492</v>
      </c>
      <c r="M25" s="96">
        <f>INDEX(IRA_4!$A:$J,MATCH('2020'!$A25,IRA_4!$A:$A,0),MATCH('2020'!$A$1,IRA_4!$3:$3,0))/(B25/1000)</f>
        <v>3.8518983126388089</v>
      </c>
      <c r="N25" s="61">
        <f>INDEX(INV_1!$A:$J,MATCH('2020'!$A25,INV_1!$A:$A,0),MATCH('2020'!$A$1,INV_1!$3:$3,0))</f>
        <v>7.1819630533474468E-2</v>
      </c>
      <c r="O25" s="80">
        <f>INDEX(INV_2!$A:$J,MATCH('2020'!$A25,INV_2!$A:$A,0),MATCH('2020'!$A$1,INV_2!$3:$3,0))/B25*10^6/C25</f>
        <v>0.40572827675429868</v>
      </c>
      <c r="P25" s="87">
        <f>INDEX(INV_3!$A:$J,MATCH('2020'!$A25,INV_3!$A:$A,0),MATCH('2020'!$A$1,INV_3!$3:$3,0))/B25*10^6/C25</f>
        <v>3.9981444735165494</v>
      </c>
      <c r="Q25" s="87">
        <f>INDEX(INV_4!$A:$J,MATCH('2020'!$A25,INV_4!$A:$A,0),MATCH('2020'!$A$1,INV_4!$3:$3,0))/B25*10^3/C25</f>
        <v>0.28229786000869339</v>
      </c>
      <c r="R25" s="34">
        <f>INDEX(INV_5!$A:$J,MATCH('2020'!$A25,INV_5!$A:$A,0),MATCH('2020'!$A$1,INV_5!$3:$3,0))</f>
        <v>0.1232</v>
      </c>
      <c r="S25" s="77">
        <f>INDEX(LUJ_1!$A:$J,MATCH('2020'!$A25,LUJ_1!$A:$A,0),MATCH('2020'!$A$1,LUJ_1!$3:$3,0))</f>
        <v>0.77153739193519133</v>
      </c>
      <c r="T25" s="73">
        <f>INDEX(LUJ_2!$A:$J,MATCH('2020'!$A25,LUJ_2!$A:$A,0),MATCH('2020'!$A$1,LUJ_2!$3:$3,0))</f>
        <v>0.185</v>
      </c>
      <c r="U25" s="73">
        <f>INDEX(LUJ_3!$A:$J,MATCH('2020'!$A25,LUJ_3!$A:$A,0),MATCH('2020'!$A$1,LUJ_3!$3:$3,0))</f>
        <v>0.38073901748171357</v>
      </c>
      <c r="V25" s="14">
        <f>INDEX(LUJ_4!$A:$J,MATCH('2020'!$A25,LUJ_4!$A:$A,0),MATCH('2020'!$A$1,LUJ_4!$3:$3,0))</f>
        <v>33</v>
      </c>
      <c r="W25" s="34">
        <f>INDEX(LUJ_5!$A:$J,MATCH('2020'!$A25,LUJ_5!$A:$A,0),MATCH('2020'!$A$1,LUJ_5!$3:$3,0))</f>
        <v>76.3</v>
      </c>
      <c r="X25" s="98">
        <f>1/INDEX(GUL_1!$A:$J,MATCH('2020'!$A25,GUL_1!$A:$A,0),MATCH('2020'!$A$1,GUL_1!$3:$3,0))</f>
        <v>1.4194464158977998E-2</v>
      </c>
      <c r="Y25" s="57">
        <f>INDEX(GUL_2!$A:$J,MATCH('2020'!$A25,GUL_2!$A:$A,0),MATCH('2020'!$A$1,GUL_2!$3:$3,0))</f>
        <v>25.2</v>
      </c>
      <c r="Z25" s="57">
        <f>INDEX(GUL_3!$A:$J,MATCH('2020'!$A25,GUL_3!$A:$A,0),MATCH('2020'!$A$1,GUL_3!$3:$3,0))/(B25/1000)</f>
        <v>0.809690496042626</v>
      </c>
      <c r="AA25" s="101">
        <f>INDEX(GUL_4!$A:$J,MATCH('2020'!$A25,GUL_4!$A:$A,0),MATCH('2020'!$A$1,GUL_4!$3:$3,0))/B25/C25*10^6</f>
        <v>0.21387514069892508</v>
      </c>
      <c r="AB25" s="73">
        <f>INDEX(GUL_5!$A:$J,MATCH('2020'!$A25,GUL_5!$A:$A,0),MATCH('2020'!$A$1,GUL_5!$3:$3,0))</f>
        <v>4.0851529350628149E-2</v>
      </c>
      <c r="AC25" s="49">
        <f>INDEX(GUL_6!$A:$J,MATCH('2020'!$A25,GUL_6!$A:$A,0),MATCH('2020'!$A$1,GUL_6!$3:$3,0))</f>
        <v>3.1200000000000002E-2</v>
      </c>
      <c r="AD25" s="49">
        <f>INDEX(GUL_7!$A:$J,MATCH('2020'!$A25,GUL_7!$A:$A,0),MATCH('2020'!$A$1,GUL_7!$3:$3,0))</f>
        <v>0.1603329</v>
      </c>
      <c r="AE25" s="103">
        <f>INDEX(GUL_8!$A:$J,MATCH('2020'!$A25,GUL_8!$A:$A,0),MATCH('2020'!$A$1,GUL_8!$3:$3,0))/(B25/1000)</f>
        <v>1.5289285168798716</v>
      </c>
      <c r="AF25" s="41">
        <f>INDEX(DES_1!$A:$J,MATCH('2020'!$A25,DES_1!$A:$A,0),MATCH('2020'!$A$1,DES_1!$3:$3,0))/(B25/1000)</f>
        <v>3.7871105535816678E-2</v>
      </c>
      <c r="AG25" s="100">
        <f>INDEX(DES_2!$A:$J,MATCH('2020'!$A25,DES_2!$A:$A,0),MATCH('2020'!$A$1,DES_2!$3:$3,0))/(B25/1000)</f>
        <v>0.45601818814615619</v>
      </c>
      <c r="AH25" s="57">
        <f>1/INDEX(DES_3!$A:$J,MATCH('2020'!$A25,DES_3!$A:$A,0),MATCH('2020'!$A$1,DES_3!$3:$3,0))</f>
        <v>8.9928057553956831E-3</v>
      </c>
      <c r="AI25" s="80">
        <f>INDEX(DES_4!$A:$J,MATCH('2020'!$A25,DES_4!$A:$A,0),MATCH('2020'!$A$1,DES_4!$3:$3,0))</f>
        <v>0.92967480511800005</v>
      </c>
      <c r="AJ25" s="110">
        <f>INDEX(DES_5!$A:$J,MATCH('2020'!$A25,DES_5!$A:$A,0),MATCH('2020'!$A$1,DES_5!$3:$3,0))</f>
        <v>0.86199865857500002</v>
      </c>
      <c r="AK25" s="57">
        <v>31</v>
      </c>
    </row>
    <row r="26" spans="1:37" x14ac:dyDescent="0.3">
      <c r="A26" s="29" t="s">
        <v>25</v>
      </c>
      <c r="B26" s="33">
        <f>INDEX(Population!$A:$J,MATCH('2020'!$A26,Population!$A:$A,0),MATCH('2020'!$A$1,Population!$3:$3,0))</f>
        <v>974480</v>
      </c>
      <c r="C26" s="14">
        <f>INDEX(Income!$A:$J,MATCH('2020'!$A26,Income!$A:$A,0),MATCH('2020'!$A$1,Income!$3:$3,0))</f>
        <v>25206</v>
      </c>
      <c r="D26" s="34">
        <f>INDEX(Livable_wage!$A:$J,MATCH('2020'!$A26,Livable_wage!$A:$A,0),MATCH('2020'!$A$1,Livable_wage!$3:$3,0))</f>
        <v>11287</v>
      </c>
      <c r="E26" s="41">
        <f>INDEX(AVA_1!$A:$J,MATCH('2020'!$A26,AVA_1!$A:$A,0),MATCH('2020'!$A$1,AVA_1!$3:$3,0))</f>
        <v>0.35199999999999998</v>
      </c>
      <c r="F26" s="15">
        <f>INDEX(AVA_2!$A:$J,MATCH('2020'!$A26,AVA_2!$A:$A,0),MATCH('2020'!$A$1,AVA_2!$3:$3,0))</f>
        <v>1.1208389699794626E-2</v>
      </c>
      <c r="G26" s="15">
        <f>INDEX(AVA_3!$A:$J,MATCH('2020'!$A26,AVA_3!$A:$A,0),MATCH('2020'!$A$1,AVA_3!$3:$3,0))</f>
        <v>7.1277932277558891E-3</v>
      </c>
      <c r="H26" s="87">
        <f>INDEX(AVA_4!$A:$J,MATCH('2020'!$A26,AVA_4!$A:$A,0),MATCH('2020'!$A$1,AVA_4!$3:$3,0))/(B26/1000)</f>
        <v>0.74911747803956985</v>
      </c>
      <c r="I26" s="89">
        <f>INDEX(AVA_5!$A:$J,MATCH('2020'!$A26,AVA_5!$A:$A,0),MATCH('2020'!$A$1,AVA_5!$3:$3,0))/(B26/1000)</f>
        <v>4.189926935391183</v>
      </c>
      <c r="J26" s="93">
        <f>INDEX(IRA_1!$A:$J,MATCH('2020'!$A26,IRA_1!$A:$A,0),MATCH('2020'!$A$1,IRA_1!$3:$3,0))/(B26/1000)</f>
        <v>4.2073721369345701E-2</v>
      </c>
      <c r="K26" s="88">
        <f>INDEX(IRA_2!$A:$J,MATCH('2020'!$A26,IRA_2!$A:$A,0),MATCH('2020'!$A$1,IRA_2!$3:$3,0))/(B26/1000)</f>
        <v>0.12314259912979229</v>
      </c>
      <c r="L26" s="15">
        <f>INDEX(IRA_3!$A:$J,MATCH('2020'!$A26,IRA_3!$A:$A,0),MATCH('2020'!$A$1,IRA_3!$3:$3,0))</f>
        <v>0.39031266017426958</v>
      </c>
      <c r="M26" s="96">
        <f>INDEX(IRA_4!$A:$J,MATCH('2020'!$A26,IRA_4!$A:$A,0),MATCH('2020'!$A$1,IRA_4!$3:$3,0))/(B26/1000)</f>
        <v>4.4413430752811758</v>
      </c>
      <c r="N26" s="61">
        <f>INDEX(INV_1!$A:$J,MATCH('2020'!$A26,INV_1!$A:$A,0),MATCH('2020'!$A$1,INV_1!$3:$3,0))</f>
        <v>7.7202121137830537E-2</v>
      </c>
      <c r="O26" s="80">
        <f>INDEX(INV_2!$A:$J,MATCH('2020'!$A26,INV_2!$A:$A,0),MATCH('2020'!$A$1,INV_2!$3:$3,0))/B26*10^6/C26</f>
        <v>0.46420278149326943</v>
      </c>
      <c r="P26" s="87">
        <f>INDEX(INV_3!$A:$J,MATCH('2020'!$A26,INV_3!$A:$A,0),MATCH('2020'!$A$1,INV_3!$3:$3,0))/B26*10^6/C26</f>
        <v>4.6775313555698466</v>
      </c>
      <c r="Q26" s="87">
        <f>INDEX(INV_4!$A:$J,MATCH('2020'!$A26,INV_4!$A:$A,0),MATCH('2020'!$A$1,INV_4!$3:$3,0))/B26*10^3/C26</f>
        <v>0.29328415540536729</v>
      </c>
      <c r="R26" s="34">
        <f>INDEX(INV_5!$A:$J,MATCH('2020'!$A26,INV_5!$A:$A,0),MATCH('2020'!$A$1,INV_5!$3:$3,0))</f>
        <v>9.0700000000000003E-2</v>
      </c>
      <c r="S26" s="77">
        <f>INDEX(LUJ_1!$A:$J,MATCH('2020'!$A26,LUJ_1!$A:$A,0),MATCH('2020'!$A$1,LUJ_1!$3:$3,0))</f>
        <v>0.82643794147325933</v>
      </c>
      <c r="T26" s="73">
        <f>INDEX(LUJ_2!$A:$J,MATCH('2020'!$A26,LUJ_2!$A:$A,0),MATCH('2020'!$A$1,LUJ_2!$3:$3,0))</f>
        <v>0.23699999999999999</v>
      </c>
      <c r="U26" s="73">
        <f>INDEX(LUJ_3!$A:$J,MATCH('2020'!$A26,LUJ_3!$A:$A,0),MATCH('2020'!$A$1,LUJ_3!$3:$3,0))</f>
        <v>0.32128514056224899</v>
      </c>
      <c r="V26" s="14">
        <f>INDEX(LUJ_4!$A:$J,MATCH('2020'!$A26,LUJ_4!$A:$A,0),MATCH('2020'!$A$1,LUJ_4!$3:$3,0))</f>
        <v>110</v>
      </c>
      <c r="W26" s="34">
        <f>INDEX(LUJ_5!$A:$J,MATCH('2020'!$A26,LUJ_5!$A:$A,0),MATCH('2020'!$A$1,LUJ_5!$3:$3,0))</f>
        <v>16.600000000000001</v>
      </c>
      <c r="X26" s="98">
        <f>1/INDEX(GUL_1!$A:$J,MATCH('2020'!$A26,GUL_1!$A:$A,0),MATCH('2020'!$A$1,GUL_1!$3:$3,0))</f>
        <v>1.3886960144424384E-2</v>
      </c>
      <c r="Y26" s="57">
        <f>INDEX(GUL_2!$A:$J,MATCH('2020'!$A26,GUL_2!$A:$A,0),MATCH('2020'!$A$1,GUL_2!$3:$3,0))</f>
        <v>24.6</v>
      </c>
      <c r="Z26" s="57">
        <f>INDEX(GUL_3!$A:$J,MATCH('2020'!$A26,GUL_3!$A:$A,0),MATCH('2020'!$A$1,GUL_3!$3:$3,0))/(B26/1000)</f>
        <v>0.69678187340940811</v>
      </c>
      <c r="AA26" s="101">
        <f>INDEX(GUL_4!$A:$J,MATCH('2020'!$A26,GUL_4!$A:$A,0),MATCH('2020'!$A$1,GUL_4!$3:$3,0))/B26/C26*10^6</f>
        <v>0.33787309668731913</v>
      </c>
      <c r="AB26" s="73">
        <f>INDEX(GUL_5!$A:$J,MATCH('2020'!$A26,GUL_5!$A:$A,0),MATCH('2020'!$A$1,GUL_5!$3:$3,0))</f>
        <v>3.1319566631445694E-2</v>
      </c>
      <c r="AC26" s="49">
        <f>INDEX(GUL_6!$A:$J,MATCH('2020'!$A26,GUL_6!$A:$A,0),MATCH('2020'!$A$1,GUL_6!$3:$3,0))</f>
        <v>5.96E-2</v>
      </c>
      <c r="AD26" s="49">
        <f>INDEX(GUL_7!$A:$J,MATCH('2020'!$A26,GUL_7!$A:$A,0),MATCH('2020'!$A$1,GUL_7!$3:$3,0))</f>
        <v>0.13243729999999998</v>
      </c>
      <c r="AE26" s="103">
        <f>INDEX(GUL_8!$A:$J,MATCH('2020'!$A26,GUL_8!$A:$A,0),MATCH('2020'!$A$1,GUL_8!$3:$3,0))/(B26/1000)</f>
        <v>2.3797307281832363</v>
      </c>
      <c r="AF26" s="41">
        <f>INDEX(DES_1!$A:$J,MATCH('2020'!$A26,DES_1!$A:$A,0),MATCH('2020'!$A$1,DES_1!$3:$3,0))/(B26/1000)</f>
        <v>2.6680896478121663E-2</v>
      </c>
      <c r="AG26" s="100">
        <f>INDEX(DES_2!$A:$J,MATCH('2020'!$A26,DES_2!$A:$A,0),MATCH('2020'!$A$1,DES_2!$3:$3,0))/(B26/1000)</f>
        <v>0.94511944832115591</v>
      </c>
      <c r="AH26" s="57">
        <f>1/INDEX(DES_3!$A:$J,MATCH('2020'!$A26,DES_3!$A:$A,0),MATCH('2020'!$A$1,DES_3!$3:$3,0))</f>
        <v>5.5617352614015566E-3</v>
      </c>
      <c r="AI26" s="80">
        <f>INDEX(DES_4!$A:$J,MATCH('2020'!$A26,DES_4!$A:$A,0),MATCH('2020'!$A$1,DES_4!$3:$3,0))</f>
        <v>0.92162968091399999</v>
      </c>
      <c r="AJ26" s="110">
        <f>INDEX(DES_5!$A:$J,MATCH('2020'!$A26,DES_5!$A:$A,0),MATCH('2020'!$A$1,DES_5!$3:$3,0))</f>
        <v>0.69411728091000002</v>
      </c>
      <c r="AK26" s="57">
        <v>33</v>
      </c>
    </row>
    <row r="27" spans="1:37" x14ac:dyDescent="0.3">
      <c r="A27" s="29" t="s">
        <v>26</v>
      </c>
      <c r="B27" s="33">
        <f>INDEX(Population!$A:$J,MATCH('2020'!$A27,Population!$A:$A,0),MATCH('2020'!$A$1,Population!$3:$3,0))</f>
        <v>488987</v>
      </c>
      <c r="C27" s="14">
        <f>INDEX(Income!$A:$J,MATCH('2020'!$A27,Income!$A:$A,0),MATCH('2020'!$A$1,Income!$3:$3,0))</f>
        <v>30320</v>
      </c>
      <c r="D27" s="34">
        <f>INDEX(Livable_wage!$A:$J,MATCH('2020'!$A27,Livable_wage!$A:$A,0),MATCH('2020'!$A$1,Livable_wage!$3:$3,0))</f>
        <v>10520</v>
      </c>
      <c r="E27" s="41">
        <f>INDEX(AVA_1!$A:$J,MATCH('2020'!$A27,AVA_1!$A:$A,0),MATCH('2020'!$A$1,AVA_1!$3:$3,0))</f>
        <v>0.40400000000000003</v>
      </c>
      <c r="F27" s="15">
        <f>INDEX(AVA_2!$A:$J,MATCH('2020'!$A27,AVA_2!$A:$A,0),MATCH('2020'!$A$1,AVA_2!$3:$3,0))</f>
        <v>7.4948734704914704E-3</v>
      </c>
      <c r="G27" s="15">
        <f>INDEX(AVA_3!$A:$J,MATCH('2020'!$A27,AVA_3!$A:$A,0),MATCH('2020'!$A$1,AVA_3!$3:$3,0))</f>
        <v>2.152655516261583E-2</v>
      </c>
      <c r="H27" s="87">
        <f>INDEX(AVA_4!$A:$J,MATCH('2020'!$A27,AVA_4!$A:$A,0),MATCH('2020'!$A$1,AVA_4!$3:$3,0))/(B27/1000)</f>
        <v>0.703495184943567</v>
      </c>
      <c r="I27" s="89">
        <f>INDEX(AVA_5!$A:$J,MATCH('2020'!$A27,AVA_5!$A:$A,0),MATCH('2020'!$A$1,AVA_5!$3:$3,0))/(B27/1000)</f>
        <v>2.4213322644569284</v>
      </c>
      <c r="J27" s="93">
        <f>INDEX(IRA_1!$A:$J,MATCH('2020'!$A27,IRA_1!$A:$A,0),MATCH('2020'!$A$1,IRA_1!$3:$3,0))/(B27/1000)</f>
        <v>3.8855838703278411E-2</v>
      </c>
      <c r="K27" s="88">
        <f>INDEX(IRA_2!$A:$J,MATCH('2020'!$A27,IRA_2!$A:$A,0),MATCH('2020'!$A$1,IRA_2!$3:$3,0))/(B27/1000)</f>
        <v>8.3846809833390254E-2</v>
      </c>
      <c r="L27" s="15">
        <f>INDEX(IRA_3!$A:$J,MATCH('2020'!$A27,IRA_3!$A:$A,0),MATCH('2020'!$A$1,IRA_3!$3:$3,0))</f>
        <v>0.51845018450184499</v>
      </c>
      <c r="M27" s="96">
        <f>INDEX(IRA_4!$A:$J,MATCH('2020'!$A27,IRA_4!$A:$A,0),MATCH('2020'!$A$1,IRA_4!$3:$3,0))/(B27/1000)</f>
        <v>3.2454850537948858</v>
      </c>
      <c r="N27" s="61">
        <f>INDEX(INV_1!$A:$J,MATCH('2020'!$A27,INV_1!$A:$A,0),MATCH('2020'!$A$1,INV_1!$3:$3,0))</f>
        <v>6.386555357164532E-2</v>
      </c>
      <c r="O27" s="80">
        <f>INDEX(INV_2!$A:$J,MATCH('2020'!$A27,INV_2!$A:$A,0),MATCH('2020'!$A$1,INV_2!$3:$3,0))/B27*10^6/C27</f>
        <v>0.3302618109622385</v>
      </c>
      <c r="P27" s="87">
        <f>INDEX(INV_3!$A:$J,MATCH('2020'!$A27,INV_3!$A:$A,0),MATCH('2020'!$A$1,INV_3!$3:$3,0))/B27*10^6/C27</f>
        <v>3.2081967225410319</v>
      </c>
      <c r="Q27" s="87">
        <f>INDEX(INV_4!$A:$J,MATCH('2020'!$A27,INV_4!$A:$A,0),MATCH('2020'!$A$1,INV_4!$3:$3,0))/B27*10^3/C27</f>
        <v>0.18511113652097944</v>
      </c>
      <c r="R27" s="34">
        <f>INDEX(INV_5!$A:$J,MATCH('2020'!$A27,INV_5!$A:$A,0),MATCH('2020'!$A$1,INV_5!$3:$3,0))</f>
        <v>0.20230000000000001</v>
      </c>
      <c r="S27" s="77">
        <f>INDEX(LUJ_1!$A:$J,MATCH('2020'!$A27,LUJ_1!$A:$A,0),MATCH('2020'!$A$1,LUJ_1!$3:$3,0))</f>
        <v>0.8559670781893004</v>
      </c>
      <c r="T27" s="73">
        <f>INDEX(LUJ_2!$A:$J,MATCH('2020'!$A27,LUJ_2!$A:$A,0),MATCH('2020'!$A$1,LUJ_2!$3:$3,0))</f>
        <v>0.184</v>
      </c>
      <c r="U27" s="73">
        <f>INDEX(LUJ_3!$A:$J,MATCH('2020'!$A27,LUJ_3!$A:$A,0),MATCH('2020'!$A$1,LUJ_3!$3:$3,0))</f>
        <v>0.2269744286037565</v>
      </c>
      <c r="V27" s="14">
        <f>INDEX(LUJ_4!$A:$J,MATCH('2020'!$A27,LUJ_4!$A:$A,0),MATCH('2020'!$A$1,LUJ_4!$3:$3,0))</f>
        <v>3</v>
      </c>
      <c r="W27" s="34">
        <f>INDEX(LUJ_5!$A:$J,MATCH('2020'!$A27,LUJ_5!$A:$A,0),MATCH('2020'!$A$1,LUJ_5!$3:$3,0))</f>
        <v>13.2</v>
      </c>
      <c r="X27" s="98">
        <f>1/INDEX(GUL_1!$A:$J,MATCH('2020'!$A27,GUL_1!$A:$A,0),MATCH('2020'!$A$1,GUL_1!$3:$3,0))</f>
        <v>1.3648150675583458E-2</v>
      </c>
      <c r="Y27" s="57">
        <f>INDEX(GUL_2!$A:$J,MATCH('2020'!$A27,GUL_2!$A:$A,0),MATCH('2020'!$A$1,GUL_2!$3:$3,0))</f>
        <v>25.5</v>
      </c>
      <c r="Z27" s="57">
        <f>INDEX(GUL_3!$A:$J,MATCH('2020'!$A27,GUL_3!$A:$A,0),MATCH('2020'!$A$1,GUL_3!$3:$3,0))/(B27/1000)</f>
        <v>0.56852227155323143</v>
      </c>
      <c r="AA27" s="101">
        <f>INDEX(GUL_4!$A:$J,MATCH('2020'!$A27,GUL_4!$A:$A,0),MATCH('2020'!$A$1,GUL_4!$3:$3,0))/B27/C27*10^6</f>
        <v>0.19440734601871157</v>
      </c>
      <c r="AB27" s="73">
        <f>INDEX(GUL_5!$A:$J,MATCH('2020'!$A27,GUL_5!$A:$A,0),MATCH('2020'!$A$1,GUL_5!$3:$3,0))</f>
        <v>2.2585733325058439E-2</v>
      </c>
      <c r="AC27" s="49">
        <f>INDEX(GUL_6!$A:$J,MATCH('2020'!$A27,GUL_6!$A:$A,0),MATCH('2020'!$A$1,GUL_6!$3:$3,0))</f>
        <v>6.9400000000000003E-2</v>
      </c>
      <c r="AD27" s="49">
        <f>INDEX(GUL_7!$A:$J,MATCH('2020'!$A27,GUL_7!$A:$A,0),MATCH('2020'!$A$1,GUL_7!$3:$3,0))</f>
        <v>0.18302879999999999</v>
      </c>
      <c r="AE27" s="103">
        <f>INDEX(GUL_8!$A:$J,MATCH('2020'!$A27,GUL_8!$A:$A,0),MATCH('2020'!$A$1,GUL_8!$3:$3,0))/(B27/1000)</f>
        <v>1.1677202052406301</v>
      </c>
      <c r="AF27" s="41">
        <f>INDEX(DES_1!$A:$J,MATCH('2020'!$A27,DES_1!$A:$A,0),MATCH('2020'!$A$1,DES_1!$3:$3,0))/(B27/1000)</f>
        <v>0.16564857552450268</v>
      </c>
      <c r="AG27" s="100">
        <f>INDEX(DES_2!$A:$J,MATCH('2020'!$A27,DES_2!$A:$A,0),MATCH('2020'!$A$1,DES_2!$3:$3,0))/(B27/1000)</f>
        <v>0.4049187401710066</v>
      </c>
      <c r="AH27" s="57">
        <f>1/INDEX(DES_3!$A:$J,MATCH('2020'!$A27,DES_3!$A:$A,0),MATCH('2020'!$A$1,DES_3!$3:$3,0))</f>
        <v>7.1633237822349575E-3</v>
      </c>
      <c r="AI27" s="80">
        <f>INDEX(DES_4!$A:$J,MATCH('2020'!$A27,DES_4!$A:$A,0),MATCH('2020'!$A$1,DES_4!$3:$3,0))</f>
        <v>0.60073822636999996</v>
      </c>
      <c r="AJ27" s="110">
        <f>INDEX(DES_5!$A:$J,MATCH('2020'!$A27,DES_5!$A:$A,0),MATCH('2020'!$A$1,DES_5!$3:$3,0))</f>
        <v>0.38156772089000002</v>
      </c>
      <c r="AK27" s="57">
        <v>37</v>
      </c>
    </row>
    <row r="28" spans="1:37" x14ac:dyDescent="0.3">
      <c r="A28" s="29" t="s">
        <v>27</v>
      </c>
      <c r="B28" s="33">
        <f>INDEX(Population!$A:$J,MATCH('2020'!$A28,Population!$A:$A,0),MATCH('2020'!$A$1,Population!$3:$3,0))</f>
        <v>269521</v>
      </c>
      <c r="C28" s="14">
        <f>INDEX(Income!$A:$J,MATCH('2020'!$A28,Income!$A:$A,0),MATCH('2020'!$A$1,Income!$3:$3,0))</f>
        <v>19816</v>
      </c>
      <c r="D28" s="34">
        <f>INDEX(Livable_wage!$A:$J,MATCH('2020'!$A28,Livable_wage!$A:$A,0),MATCH('2020'!$A$1,Livable_wage!$3:$3,0))</f>
        <v>10914</v>
      </c>
      <c r="E28" s="41">
        <f>INDEX(AVA_1!$A:$J,MATCH('2020'!$A28,AVA_1!$A:$A,0),MATCH('2020'!$A$1,AVA_1!$3:$3,0))</f>
        <v>0.33700000000000002</v>
      </c>
      <c r="F28" s="15">
        <f>INDEX(AVA_2!$A:$J,MATCH('2020'!$A28,AVA_2!$A:$A,0),MATCH('2020'!$A$1,AVA_2!$3:$3,0))</f>
        <v>6.9662861196247176E-3</v>
      </c>
      <c r="G28" s="15">
        <f>INDEX(AVA_3!$A:$J,MATCH('2020'!$A28,AVA_3!$A:$A,0),MATCH('2020'!$A$1,AVA_3!$3:$3,0))</f>
        <v>1.4524337091562473E-3</v>
      </c>
      <c r="H28" s="87">
        <f>INDEX(AVA_4!$A:$J,MATCH('2020'!$A28,AVA_4!$A:$A,0),MATCH('2020'!$A$1,AVA_4!$3:$3,0))/(B28/1000)</f>
        <v>1.0425903732918771</v>
      </c>
      <c r="I28" s="89">
        <f>INDEX(AVA_5!$A:$J,MATCH('2020'!$A28,AVA_5!$A:$A,0),MATCH('2020'!$A$1,AVA_5!$3:$3,0))/(B28/1000)</f>
        <v>2.3597419125040346</v>
      </c>
      <c r="J28" s="93">
        <f>INDEX(IRA_1!$A:$J,MATCH('2020'!$A28,IRA_1!$A:$A,0),MATCH('2020'!$A$1,IRA_1!$3:$3,0))/(B28/1000)</f>
        <v>7.7916006544944544E-2</v>
      </c>
      <c r="K28" s="88">
        <f>INDEX(IRA_2!$A:$J,MATCH('2020'!$A28,IRA_2!$A:$A,0),MATCH('2020'!$A$1,IRA_2!$3:$3,0))/(B28/1000)</f>
        <v>0.14099086898609012</v>
      </c>
      <c r="L28" s="15">
        <f>INDEX(IRA_3!$A:$J,MATCH('2020'!$A28,IRA_3!$A:$A,0),MATCH('2020'!$A$1,IRA_3!$3:$3,0))</f>
        <v>0.36912751677852351</v>
      </c>
      <c r="M28" s="96">
        <f>INDEX(IRA_4!$A:$J,MATCH('2020'!$A28,IRA_4!$A:$A,0),MATCH('2020'!$A$1,IRA_4!$3:$3,0))/(B28/1000)</f>
        <v>2.341190482374286</v>
      </c>
      <c r="N28" s="61">
        <f>INDEX(INV_1!$A:$J,MATCH('2020'!$A28,INV_1!$A:$A,0),MATCH('2020'!$A$1,INV_1!$3:$3,0))</f>
        <v>8.9305682312646989E-2</v>
      </c>
      <c r="O28" s="80">
        <f>INDEX(INV_2!$A:$J,MATCH('2020'!$A28,INV_2!$A:$A,0),MATCH('2020'!$A$1,INV_2!$3:$3,0))/B28*10^6/C28</f>
        <v>0.23384361548382915</v>
      </c>
      <c r="P28" s="87">
        <f>INDEX(INV_3!$A:$J,MATCH('2020'!$A28,INV_3!$A:$A,0),MATCH('2020'!$A$1,INV_3!$3:$3,0))/B28*10^6/C28</f>
        <v>7.3226471633462058</v>
      </c>
      <c r="Q28" s="87">
        <f>INDEX(INV_4!$A:$J,MATCH('2020'!$A28,INV_4!$A:$A,0),MATCH('2020'!$A$1,INV_4!$3:$3,0))/B28*10^3/C28</f>
        <v>0.30935438436283735</v>
      </c>
      <c r="R28" s="34">
        <f>INDEX(INV_5!$A:$J,MATCH('2020'!$A28,INV_5!$A:$A,0),MATCH('2020'!$A$1,INV_5!$3:$3,0))</f>
        <v>6.7500000000000004E-2</v>
      </c>
      <c r="S28" s="77">
        <f>INDEX(LUJ_1!$A:$J,MATCH('2020'!$A28,LUJ_1!$A:$A,0),MATCH('2020'!$A$1,LUJ_1!$3:$3,0))</f>
        <v>0.88127413127413123</v>
      </c>
      <c r="T28" s="73">
        <f>INDEX(LUJ_2!$A:$J,MATCH('2020'!$A28,LUJ_2!$A:$A,0),MATCH('2020'!$A$1,LUJ_2!$3:$3,0))</f>
        <v>0.19899999999999998</v>
      </c>
      <c r="U28" s="73">
        <f>INDEX(LUJ_3!$A:$J,MATCH('2020'!$A28,LUJ_3!$A:$A,0),MATCH('2020'!$A$1,LUJ_3!$3:$3,0))</f>
        <v>0.18092820884699057</v>
      </c>
      <c r="V28" s="14">
        <f>INDEX(LUJ_4!$A:$J,MATCH('2020'!$A28,LUJ_4!$A:$A,0),MATCH('2020'!$A$1,LUJ_4!$3:$3,0))</f>
        <v>3</v>
      </c>
      <c r="W28" s="34">
        <f>INDEX(LUJ_5!$A:$J,MATCH('2020'!$A28,LUJ_5!$A:$A,0),MATCH('2020'!$A$1,LUJ_5!$3:$3,0))</f>
        <v>2.6</v>
      </c>
      <c r="X28" s="98">
        <f>1/INDEX(GUL_1!$A:$J,MATCH('2020'!$A28,GUL_1!$A:$A,0),MATCH('2020'!$A$1,GUL_1!$3:$3,0))</f>
        <v>1.371177841766077E-2</v>
      </c>
      <c r="Y28" s="57">
        <f>INDEX(GUL_2!$A:$J,MATCH('2020'!$A28,GUL_2!$A:$A,0),MATCH('2020'!$A$1,GUL_2!$3:$3,0))</f>
        <v>24.9</v>
      </c>
      <c r="Z28" s="57">
        <f>INDEX(GUL_3!$A:$J,MATCH('2020'!$A28,GUL_3!$A:$A,0),MATCH('2020'!$A$1,GUL_3!$3:$3,0))/(B28/1000)</f>
        <v>0.4971783274772652</v>
      </c>
      <c r="AA28" s="101">
        <f>INDEX(GUL_4!$A:$J,MATCH('2020'!$A28,GUL_4!$A:$A,0),MATCH('2020'!$A$1,GUL_4!$3:$3,0))/B28/C28*10^6</f>
        <v>0.10146366559659691</v>
      </c>
      <c r="AB28" s="73">
        <f>INDEX(GUL_5!$A:$J,MATCH('2020'!$A28,GUL_5!$A:$A,0),MATCH('2020'!$A$1,GUL_5!$3:$3,0))</f>
        <v>2.4237279376497757E-2</v>
      </c>
      <c r="AC28" s="49">
        <f>INDEX(GUL_6!$A:$J,MATCH('2020'!$A28,GUL_6!$A:$A,0),MATCH('2020'!$A$1,GUL_6!$3:$3,0))</f>
        <v>1.72E-2</v>
      </c>
      <c r="AD28" s="49">
        <f>INDEX(GUL_7!$A:$J,MATCH('2020'!$A28,GUL_7!$A:$A,0),MATCH('2020'!$A$1,GUL_7!$3:$3,0))</f>
        <v>0.13630729999999999</v>
      </c>
      <c r="AE28" s="103">
        <f>INDEX(GUL_8!$A:$J,MATCH('2020'!$A28,GUL_8!$A:$A,0),MATCH('2020'!$A$1,GUL_8!$3:$3,0))/(B28/1000)</f>
        <v>2.2929567640369393</v>
      </c>
      <c r="AF28" s="41">
        <f>INDEX(DES_1!$A:$J,MATCH('2020'!$A28,DES_1!$A:$A,0),MATCH('2020'!$A$1,DES_1!$3:$3,0))/(B28/1000)</f>
        <v>0.17438344321963778</v>
      </c>
      <c r="AG28" s="100">
        <f>INDEX(DES_2!$A:$J,MATCH('2020'!$A28,DES_2!$A:$A,0),MATCH('2020'!$A$1,DES_2!$3:$3,0))/(B28/1000)</f>
        <v>0.79029092352729469</v>
      </c>
      <c r="AH28" s="57">
        <f>1/INDEX(DES_3!$A:$J,MATCH('2020'!$A28,DES_3!$A:$A,0),MATCH('2020'!$A$1,DES_3!$3:$3,0))</f>
        <v>9.3196644920782862E-3</v>
      </c>
      <c r="AI28" s="80">
        <f>INDEX(DES_4!$A:$J,MATCH('2020'!$A28,DES_4!$A:$A,0),MATCH('2020'!$A$1,DES_4!$3:$3,0))</f>
        <v>0.24840767758500001</v>
      </c>
      <c r="AJ28" s="110">
        <f>INDEX(DES_5!$A:$J,MATCH('2020'!$A28,DES_5!$A:$A,0),MATCH('2020'!$A$1,DES_5!$3:$3,0))</f>
        <v>0.22816618064699998</v>
      </c>
      <c r="AK28" s="57">
        <v>38</v>
      </c>
    </row>
    <row r="29" spans="1:37" x14ac:dyDescent="0.3">
      <c r="A29" s="29" t="s">
        <v>28</v>
      </c>
      <c r="B29" s="33">
        <f>INDEX(Population!$A:$J,MATCH('2020'!$A29,Population!$A:$A,0),MATCH('2020'!$A$1,Population!$3:$3,0))</f>
        <v>5804870</v>
      </c>
      <c r="C29" s="14">
        <f>INDEX(Income!$A:$J,MATCH('2020'!$A29,Income!$A:$A,0),MATCH('2020'!$A$1,Income!$3:$3,0))</f>
        <v>37352</v>
      </c>
      <c r="D29" s="34">
        <f>INDEX(Livable_wage!$A:$J,MATCH('2020'!$A29,Livable_wage!$A:$A,0),MATCH('2020'!$A$1,Livable_wage!$3:$3,0))</f>
        <v>12191</v>
      </c>
      <c r="E29" s="41">
        <f>INDEX(AVA_1!$A:$J,MATCH('2020'!$A29,AVA_1!$A:$A,0),MATCH('2020'!$A$1,AVA_1!$3:$3,0))</f>
        <v>0.40100000000000002</v>
      </c>
      <c r="F29" s="15">
        <f>INDEX(AVA_2!$A:$J,MATCH('2020'!$A29,AVA_2!$A:$A,0),MATCH('2020'!$A$1,AVA_2!$3:$3,0))</f>
        <v>1.1154210601160447E-2</v>
      </c>
      <c r="G29" s="15">
        <f>INDEX(AVA_3!$A:$J,MATCH('2020'!$A29,AVA_3!$A:$A,0),MATCH('2020'!$A$1,AVA_3!$3:$3,0))</f>
        <v>2.2097706622227625E-2</v>
      </c>
      <c r="H29" s="87">
        <f>INDEX(AVA_4!$A:$J,MATCH('2020'!$A29,AVA_4!$A:$A,0),MATCH('2020'!$A$1,AVA_4!$3:$3,0))/(B29/1000)</f>
        <v>0.61586219846439283</v>
      </c>
      <c r="I29" s="89">
        <f>INDEX(AVA_5!$A:$J,MATCH('2020'!$A29,AVA_5!$A:$A,0),MATCH('2020'!$A$1,AVA_5!$3:$3,0))/(B29/1000)</f>
        <v>4.6757291722295244</v>
      </c>
      <c r="J29" s="93">
        <f>INDEX(IRA_1!$A:$J,MATCH('2020'!$A29,IRA_1!$A:$A,0),MATCH('2020'!$A$1,IRA_1!$3:$3,0))/(B29/1000)</f>
        <v>3.445382928472128E-2</v>
      </c>
      <c r="K29" s="88">
        <f>INDEX(IRA_2!$A:$J,MATCH('2020'!$A29,IRA_2!$A:$A,0),MATCH('2020'!$A$1,IRA_2!$3:$3,0))/(B29/1000)</f>
        <v>9.5609376265101548E-2</v>
      </c>
      <c r="L29" s="15">
        <f>INDEX(IRA_3!$A:$J,MATCH('2020'!$A29,IRA_3!$A:$A,0),MATCH('2020'!$A$1,IRA_3!$3:$3,0))</f>
        <v>0.47371040563119915</v>
      </c>
      <c r="M29" s="96">
        <f>INDEX(IRA_4!$A:$J,MATCH('2020'!$A29,IRA_4!$A:$A,0),MATCH('2020'!$A$1,IRA_4!$3:$3,0))/(B29/1000)</f>
        <v>5.5131294929946755</v>
      </c>
      <c r="N29" s="61">
        <f>INDEX(INV_1!$A:$J,MATCH('2020'!$A29,INV_1!$A:$A,0),MATCH('2020'!$A$1,INV_1!$3:$3,0))</f>
        <v>6.1178500216291017E-2</v>
      </c>
      <c r="O29" s="80">
        <f>INDEX(INV_2!$A:$J,MATCH('2020'!$A29,INV_2!$A:$A,0),MATCH('2020'!$A$1,INV_2!$3:$3,0))/B29*10^6/C29</f>
        <v>0.46195775715869875</v>
      </c>
      <c r="P29" s="87">
        <f>INDEX(INV_3!$A:$J,MATCH('2020'!$A29,INV_3!$A:$A,0),MATCH('2020'!$A$1,INV_3!$3:$3,0))/B29*10^6/C29</f>
        <v>3.1595006380937365</v>
      </c>
      <c r="Q29" s="87">
        <f>INDEX(INV_4!$A:$J,MATCH('2020'!$A29,INV_4!$A:$A,0),MATCH('2020'!$A$1,INV_4!$3:$3,0))/B29*10^3/C29</f>
        <v>0.31552175600056148</v>
      </c>
      <c r="R29" s="34">
        <f>INDEX(INV_5!$A:$J,MATCH('2020'!$A29,INV_5!$A:$A,0),MATCH('2020'!$A$1,INV_5!$3:$3,0))</f>
        <v>0.33</v>
      </c>
      <c r="S29" s="77">
        <f>INDEX(LUJ_1!$A:$J,MATCH('2020'!$A29,LUJ_1!$A:$A,0),MATCH('2020'!$A$1,LUJ_1!$3:$3,0))</f>
        <v>0.75982016090866067</v>
      </c>
      <c r="T29" s="73">
        <f>INDEX(LUJ_2!$A:$J,MATCH('2020'!$A29,LUJ_2!$A:$A,0),MATCH('2020'!$A$1,LUJ_2!$3:$3,0))</f>
        <v>0.193</v>
      </c>
      <c r="U29" s="73">
        <f>INDEX(LUJ_3!$A:$J,MATCH('2020'!$A29,LUJ_3!$A:$A,0),MATCH('2020'!$A$1,LUJ_3!$3:$3,0))</f>
        <v>0.2457812289901842</v>
      </c>
      <c r="V29" s="14">
        <f>INDEX(LUJ_4!$A:$J,MATCH('2020'!$A29,LUJ_4!$A:$A,0),MATCH('2020'!$A$1,LUJ_4!$3:$3,0))</f>
        <v>71</v>
      </c>
      <c r="W29" s="34">
        <f>INDEX(LUJ_5!$A:$J,MATCH('2020'!$A29,LUJ_5!$A:$A,0),MATCH('2020'!$A$1,LUJ_5!$3:$3,0))</f>
        <v>30.7</v>
      </c>
      <c r="X29" s="98">
        <f>1/INDEX(GUL_1!$A:$J,MATCH('2020'!$A29,GUL_1!$A:$A,0),MATCH('2020'!$A$1,GUL_1!$3:$3,0))</f>
        <v>1.3842746400885937E-2</v>
      </c>
      <c r="Y29" s="57">
        <f>INDEX(GUL_2!$A:$J,MATCH('2020'!$A29,GUL_2!$A:$A,0),MATCH('2020'!$A$1,GUL_2!$3:$3,0))</f>
        <v>25.5</v>
      </c>
      <c r="Z29" s="57">
        <f>INDEX(GUL_3!$A:$J,MATCH('2020'!$A29,GUL_3!$A:$A,0),MATCH('2020'!$A$1,GUL_3!$3:$3,0))/(B29/1000)</f>
        <v>0.63326138225317707</v>
      </c>
      <c r="AA29" s="101">
        <f>INDEX(GUL_4!$A:$J,MATCH('2020'!$A29,GUL_4!$A:$A,0),MATCH('2020'!$A$1,GUL_4!$3:$3,0))/B29/C29*10^6</f>
        <v>0.34771825252186511</v>
      </c>
      <c r="AB29" s="73">
        <f>INDEX(GUL_5!$A:$J,MATCH('2020'!$A29,GUL_5!$A:$A,0),MATCH('2020'!$A$1,GUL_5!$3:$3,0))</f>
        <v>3.007693025326531E-2</v>
      </c>
      <c r="AC29" s="49">
        <f>INDEX(GUL_6!$A:$J,MATCH('2020'!$A29,GUL_6!$A:$A,0),MATCH('2020'!$A$1,GUL_6!$3:$3,0))</f>
        <v>6.8699999999999997E-2</v>
      </c>
      <c r="AD29" s="49">
        <f>INDEX(GUL_7!$A:$J,MATCH('2020'!$A29,GUL_7!$A:$A,0),MATCH('2020'!$A$1,GUL_7!$3:$3,0))</f>
        <v>0.18898679999999998</v>
      </c>
      <c r="AE29" s="103">
        <f>INDEX(GUL_8!$A:$J,MATCH('2020'!$A29,GUL_8!$A:$A,0),MATCH('2020'!$A$1,GUL_8!$3:$3,0))/(B29/1000)</f>
        <v>0.99554339718202134</v>
      </c>
      <c r="AF29" s="41">
        <f>INDEX(DES_1!$A:$J,MATCH('2020'!$A29,DES_1!$A:$A,0),MATCH('2020'!$A$1,DES_1!$3:$3,0))/(B29/1000)</f>
        <v>6.7184967105206495E-2</v>
      </c>
      <c r="AG29" s="100">
        <f>INDEX(DES_2!$A:$J,MATCH('2020'!$A29,DES_2!$A:$A,0),MATCH('2020'!$A$1,DES_2!$3:$3,0))/(B29/1000)</f>
        <v>0.70595896204393893</v>
      </c>
      <c r="AH29" s="57">
        <f>1/INDEX(DES_3!$A:$J,MATCH('2020'!$A29,DES_3!$A:$A,0),MATCH('2020'!$A$1,DES_3!$3:$3,0))</f>
        <v>9.5057034220532317E-3</v>
      </c>
      <c r="AI29" s="80">
        <f>INDEX(DES_4!$A:$J,MATCH('2020'!$A29,DES_4!$A:$A,0),MATCH('2020'!$A$1,DES_4!$3:$3,0))</f>
        <v>0.97103311817299998</v>
      </c>
      <c r="AJ29" s="110">
        <f>INDEX(DES_5!$A:$J,MATCH('2020'!$A29,DES_5!$A:$A,0),MATCH('2020'!$A$1,DES_5!$3:$3,0))</f>
        <v>0.66474256402600007</v>
      </c>
      <c r="AK29" s="57">
        <v>39</v>
      </c>
    </row>
    <row r="30" spans="1:37" x14ac:dyDescent="0.3">
      <c r="A30" s="29" t="s">
        <v>29</v>
      </c>
      <c r="B30" s="33">
        <f>INDEX(Population!$A:$J,MATCH('2020'!$A30,Population!$A:$A,0),MATCH('2020'!$A$1,Population!$3:$3,0))</f>
        <v>4223033</v>
      </c>
      <c r="C30" s="14">
        <f>INDEX(Income!$A:$J,MATCH('2020'!$A30,Income!$A:$A,0),MATCH('2020'!$A$1,Income!$3:$3,0))</f>
        <v>31519</v>
      </c>
      <c r="D30" s="34">
        <f>INDEX(Livable_wage!$A:$J,MATCH('2020'!$A30,Livable_wage!$A:$A,0),MATCH('2020'!$A$1,Livable_wage!$3:$3,0))</f>
        <v>11493</v>
      </c>
      <c r="E30" s="41">
        <f>INDEX(AVA_1!$A:$J,MATCH('2020'!$A30,AVA_1!$A:$A,0),MATCH('2020'!$A$1,AVA_1!$3:$3,0))</f>
        <v>0.39100000000000001</v>
      </c>
      <c r="F30" s="15">
        <f>INDEX(AVA_2!$A:$J,MATCH('2020'!$A30,AVA_2!$A:$A,0),MATCH('2020'!$A$1,AVA_2!$3:$3,0))</f>
        <v>1.1030371411971742E-2</v>
      </c>
      <c r="G30" s="15">
        <f>INDEX(AVA_3!$A:$J,MATCH('2020'!$A30,AVA_3!$A:$A,0),MATCH('2020'!$A$1,AVA_3!$3:$3,0))</f>
        <v>1.2829502561081325E-2</v>
      </c>
      <c r="H30" s="87">
        <f>INDEX(AVA_4!$A:$J,MATCH('2020'!$A30,AVA_4!$A:$A,0),MATCH('2020'!$A$1,AVA_4!$3:$3,0))/(B30/1000)</f>
        <v>0.44186251918940722</v>
      </c>
      <c r="I30" s="89">
        <f>INDEX(AVA_5!$A:$J,MATCH('2020'!$A30,AVA_5!$A:$A,0),MATCH('2020'!$A$1,AVA_5!$3:$3,0))/(B30/1000)</f>
        <v>6.3719606264028714</v>
      </c>
      <c r="J30" s="93">
        <f>INDEX(IRA_1!$A:$J,MATCH('2020'!$A30,IRA_1!$A:$A,0),MATCH('2020'!$A$1,IRA_1!$3:$3,0))/(B30/1000)</f>
        <v>3.5519495111688684E-2</v>
      </c>
      <c r="K30" s="88">
        <f>INDEX(IRA_2!$A:$J,MATCH('2020'!$A30,IRA_2!$A:$A,0),MATCH('2020'!$A$1,IRA_2!$3:$3,0))/(B30/1000)</f>
        <v>9.542904353340359E-2</v>
      </c>
      <c r="L30" s="15">
        <f>INDEX(IRA_3!$A:$J,MATCH('2020'!$A30,IRA_3!$A:$A,0),MATCH('2020'!$A$1,IRA_3!$3:$3,0))</f>
        <v>0.44209940494027999</v>
      </c>
      <c r="M30" s="96">
        <f>INDEX(IRA_4!$A:$J,MATCH('2020'!$A30,IRA_4!$A:$A,0),MATCH('2020'!$A$1,IRA_4!$3:$3,0))/(B30/1000)</f>
        <v>6.213306881570662</v>
      </c>
      <c r="N30" s="61">
        <f>INDEX(INV_1!$A:$J,MATCH('2020'!$A30,INV_1!$A:$A,0),MATCH('2020'!$A$1,INV_1!$3:$3,0))</f>
        <v>6.3334650535820547E-2</v>
      </c>
      <c r="O30" s="80">
        <f>INDEX(INV_2!$A:$J,MATCH('2020'!$A30,INV_2!$A:$A,0),MATCH('2020'!$A$1,INV_2!$3:$3,0))/B30*10^6/C30</f>
        <v>0.47510846669458395</v>
      </c>
      <c r="P30" s="87">
        <f>INDEX(INV_3!$A:$J,MATCH('2020'!$A30,INV_3!$A:$A,0),MATCH('2020'!$A$1,INV_3!$3:$3,0))/B30*10^6/C30</f>
        <v>3.5672005396652735</v>
      </c>
      <c r="Q30" s="87">
        <f>INDEX(INV_4!$A:$J,MATCH('2020'!$A30,INV_4!$A:$A,0),MATCH('2020'!$A$1,INV_4!$3:$3,0))/B30*10^3/C30</f>
        <v>0.25611161533187121</v>
      </c>
      <c r="R30" s="34">
        <f>INDEX(INV_5!$A:$J,MATCH('2020'!$A30,INV_5!$A:$A,0),MATCH('2020'!$A$1,INV_5!$3:$3,0))</f>
        <v>0.1439</v>
      </c>
      <c r="S30" s="77">
        <f>INDEX(LUJ_1!$A:$J,MATCH('2020'!$A30,LUJ_1!$A:$A,0),MATCH('2020'!$A$1,LUJ_1!$3:$3,0))</f>
        <v>0.79992356201031911</v>
      </c>
      <c r="T30" s="73">
        <f>INDEX(LUJ_2!$A:$J,MATCH('2020'!$A30,LUJ_2!$A:$A,0),MATCH('2020'!$A$1,LUJ_2!$3:$3,0))</f>
        <v>0.20499999999999999</v>
      </c>
      <c r="U30" s="73">
        <f>INDEX(LUJ_3!$A:$J,MATCH('2020'!$A30,LUJ_3!$A:$A,0),MATCH('2020'!$A$1,LUJ_3!$3:$3,0))</f>
        <v>0.27035768123886528</v>
      </c>
      <c r="V30" s="14">
        <f>INDEX(LUJ_4!$A:$J,MATCH('2020'!$A30,LUJ_4!$A:$A,0),MATCH('2020'!$A$1,LUJ_4!$3:$3,0))</f>
        <v>64</v>
      </c>
      <c r="W30" s="34">
        <f>INDEX(LUJ_5!$A:$J,MATCH('2020'!$A30,LUJ_5!$A:$A,0),MATCH('2020'!$A$1,LUJ_5!$3:$3,0))</f>
        <v>28</v>
      </c>
      <c r="X30" s="98">
        <f>1/INDEX(GUL_1!$A:$J,MATCH('2020'!$A30,GUL_1!$A:$A,0),MATCH('2020'!$A$1,GUL_1!$3:$3,0))</f>
        <v>1.3881177123820098E-2</v>
      </c>
      <c r="Y30" s="57">
        <f>INDEX(GUL_2!$A:$J,MATCH('2020'!$A30,GUL_2!$A:$A,0),MATCH('2020'!$A$1,GUL_2!$3:$3,0))</f>
        <v>26.1</v>
      </c>
      <c r="Z30" s="57">
        <f>INDEX(GUL_3!$A:$J,MATCH('2020'!$A30,GUL_3!$A:$A,0),MATCH('2020'!$A$1,GUL_3!$3:$3,0))/(B30/1000)</f>
        <v>0.62822147020873376</v>
      </c>
      <c r="AA30" s="101">
        <f>INDEX(GUL_4!$A:$J,MATCH('2020'!$A30,GUL_4!$A:$A,0),MATCH('2020'!$A$1,GUL_4!$3:$3,0))/B30/C30*10^6</f>
        <v>0.27516303792775498</v>
      </c>
      <c r="AB30" s="73">
        <f>INDEX(GUL_5!$A:$J,MATCH('2020'!$A30,GUL_5!$A:$A,0),MATCH('2020'!$A$1,GUL_5!$3:$3,0))</f>
        <v>3.951732359657887E-2</v>
      </c>
      <c r="AC30" s="49">
        <f>INDEX(GUL_6!$A:$J,MATCH('2020'!$A30,GUL_6!$A:$A,0),MATCH('2020'!$A$1,GUL_6!$3:$3,0))</f>
        <v>4.2099999999999999E-2</v>
      </c>
      <c r="AD30" s="49">
        <f>INDEX(GUL_7!$A:$J,MATCH('2020'!$A30,GUL_7!$A:$A,0),MATCH('2020'!$A$1,GUL_7!$3:$3,0))</f>
        <v>0.18558129999999998</v>
      </c>
      <c r="AE30" s="103">
        <f>INDEX(GUL_8!$A:$J,MATCH('2020'!$A30,GUL_8!$A:$A,0),MATCH('2020'!$A$1,GUL_8!$3:$3,0))/(B30/1000)</f>
        <v>1.2320528871074414</v>
      </c>
      <c r="AF30" s="41">
        <f>INDEX(DES_1!$A:$J,MATCH('2020'!$A30,DES_1!$A:$A,0),MATCH('2020'!$A$1,DES_1!$3:$3,0))/(B30/1000)</f>
        <v>2.8889189357506794E-2</v>
      </c>
      <c r="AG30" s="100">
        <f>INDEX(DES_2!$A:$J,MATCH('2020'!$A30,DES_2!$A:$A,0),MATCH('2020'!$A$1,DES_2!$3:$3,0))/(B30/1000)</f>
        <v>0.6168552317729934</v>
      </c>
      <c r="AH30" s="57">
        <f>1/INDEX(DES_3!$A:$J,MATCH('2020'!$A30,DES_3!$A:$A,0),MATCH('2020'!$A$1,DES_3!$3:$3,0))</f>
        <v>7.6161462300076152E-3</v>
      </c>
      <c r="AI30" s="80">
        <f>INDEX(DES_4!$A:$J,MATCH('2020'!$A30,DES_4!$A:$A,0),MATCH('2020'!$A$1,DES_4!$3:$3,0))</f>
        <v>0.96492582241899993</v>
      </c>
      <c r="AJ30" s="110">
        <f>INDEX(DES_5!$A:$J,MATCH('2020'!$A30,DES_5!$A:$A,0),MATCH('2020'!$A$1,DES_5!$3:$3,0))</f>
        <v>0.76671018679300007</v>
      </c>
      <c r="AK30" s="57">
        <v>40</v>
      </c>
    </row>
    <row r="31" spans="1:37" x14ac:dyDescent="0.3">
      <c r="A31" s="29" t="s">
        <v>30</v>
      </c>
      <c r="B31" s="33">
        <f>INDEX(Population!$A:$J,MATCH('2020'!$A31,Population!$A:$A,0),MATCH('2020'!$A$1,Population!$3:$3,0))</f>
        <v>685413</v>
      </c>
      <c r="C31" s="14">
        <f>INDEX(Income!$A:$J,MATCH('2020'!$A31,Income!$A:$A,0),MATCH('2020'!$A$1,Income!$3:$3,0))</f>
        <v>46621</v>
      </c>
      <c r="D31" s="34">
        <f>INDEX(Livable_wage!$A:$J,MATCH('2020'!$A31,Livable_wage!$A:$A,0),MATCH('2020'!$A$1,Livable_wage!$3:$3,0))</f>
        <v>18438</v>
      </c>
      <c r="E31" s="41">
        <f>INDEX(AVA_1!$A:$J,MATCH('2020'!$A31,AVA_1!$A:$A,0),MATCH('2020'!$A$1,AVA_1!$3:$3,0))</f>
        <v>0.33700000000000002</v>
      </c>
      <c r="F31" s="15">
        <f>INDEX(AVA_2!$A:$J,MATCH('2020'!$A31,AVA_2!$A:$A,0),MATCH('2020'!$A$1,AVA_2!$3:$3,0))</f>
        <v>1.0645958382859933E-2</v>
      </c>
      <c r="G31" s="15">
        <f>INDEX(AVA_3!$A:$J,MATCH('2020'!$A31,AVA_3!$A:$A,0),MATCH('2020'!$A$1,AVA_3!$3:$3,0))</f>
        <v>2.2347972827758054E-2</v>
      </c>
      <c r="H31" s="87">
        <f>INDEX(AVA_4!$A:$J,MATCH('2020'!$A31,AVA_4!$A:$A,0),MATCH('2020'!$A$1,AVA_4!$3:$3,0))/(B31/1000)</f>
        <v>0.48000256779489153</v>
      </c>
      <c r="I31" s="89">
        <f>INDEX(AVA_5!$A:$J,MATCH('2020'!$A31,AVA_5!$A:$A,0),MATCH('2020'!$A$1,AVA_5!$3:$3,0))/(B31/1000)</f>
        <v>5.6622795307354838</v>
      </c>
      <c r="J31" s="93">
        <f>INDEX(IRA_1!$A:$J,MATCH('2020'!$A31,IRA_1!$A:$A,0),MATCH('2020'!$A$1,IRA_1!$3:$3,0))/(B31/1000)</f>
        <v>4.231025673571992E-2</v>
      </c>
      <c r="K31" s="88">
        <f>INDEX(IRA_2!$A:$J,MATCH('2020'!$A31,IRA_2!$A:$A,0),MATCH('2020'!$A$1,IRA_2!$3:$3,0))/(B31/1000)</f>
        <v>0.17945384753426036</v>
      </c>
      <c r="L31" s="15">
        <f>INDEX(IRA_3!$A:$J,MATCH('2020'!$A31,IRA_3!$A:$A,0),MATCH('2020'!$A$1,IRA_3!$3:$3,0))</f>
        <v>0.35700697526949909</v>
      </c>
      <c r="M31" s="96">
        <f>INDEX(IRA_4!$A:$J,MATCH('2020'!$A31,IRA_4!$A:$A,0),MATCH('2020'!$A$1,IRA_4!$3:$3,0))/(B31/1000)</f>
        <v>3.9654923381960949</v>
      </c>
      <c r="N31" s="61">
        <f>INDEX(INV_1!$A:$J,MATCH('2020'!$A31,INV_1!$A:$A,0),MATCH('2020'!$A$1,INV_1!$3:$3,0))</f>
        <v>6.3231167459867052E-2</v>
      </c>
      <c r="O31" s="80">
        <f>INDEX(INV_2!$A:$J,MATCH('2020'!$A31,INV_2!$A:$A,0),MATCH('2020'!$A$1,INV_2!$3:$3,0))/B31*10^6/C31</f>
        <v>0.28284810184251641</v>
      </c>
      <c r="P31" s="87">
        <f>INDEX(INV_3!$A:$J,MATCH('2020'!$A31,INV_3!$A:$A,0),MATCH('2020'!$A$1,INV_3!$3:$3,0))/B31*10^6/C31</f>
        <v>4.0873251006432971</v>
      </c>
      <c r="Q31" s="87">
        <f>INDEX(INV_4!$A:$J,MATCH('2020'!$A31,INV_4!$A:$A,0),MATCH('2020'!$A$1,INV_4!$3:$3,0))/B31*10^3/C31</f>
        <v>0.26071364995493906</v>
      </c>
      <c r="R31" s="34">
        <f>INDEX(INV_5!$A:$J,MATCH('2020'!$A31,INV_5!$A:$A,0),MATCH('2020'!$A$1,INV_5!$3:$3,0))</f>
        <v>6.88E-2</v>
      </c>
      <c r="S31" s="77">
        <f>INDEX(LUJ_1!$A:$J,MATCH('2020'!$A31,LUJ_1!$A:$A,0),MATCH('2020'!$A$1,LUJ_1!$3:$3,0))</f>
        <v>0.79279491405698144</v>
      </c>
      <c r="T31" s="73">
        <f>INDEX(LUJ_2!$A:$J,MATCH('2020'!$A31,LUJ_2!$A:$A,0),MATCH('2020'!$A$1,LUJ_2!$3:$3,0))</f>
        <v>0.18899999999999997</v>
      </c>
      <c r="U31" s="73">
        <f>INDEX(LUJ_3!$A:$J,MATCH('2020'!$A31,LUJ_3!$A:$A,0),MATCH('2020'!$A$1,LUJ_3!$3:$3,0))</f>
        <v>0.59410591665016377</v>
      </c>
      <c r="V31" s="14">
        <f>INDEX(LUJ_4!$A:$J,MATCH('2020'!$A31,LUJ_4!$A:$A,0),MATCH('2020'!$A$1,LUJ_4!$3:$3,0))</f>
        <v>1</v>
      </c>
      <c r="W31" s="34">
        <f>INDEX(LUJ_5!$A:$J,MATCH('2020'!$A31,LUJ_5!$A:$A,0),MATCH('2020'!$A$1,LUJ_5!$3:$3,0))</f>
        <v>46.4</v>
      </c>
      <c r="X31" s="98">
        <f>1/INDEX(GUL_1!$A:$J,MATCH('2020'!$A31,GUL_1!$A:$A,0),MATCH('2020'!$A$1,GUL_1!$3:$3,0))</f>
        <v>1.4324595330181922E-2</v>
      </c>
      <c r="Y31" s="57">
        <f>INDEX(GUL_2!$A:$J,MATCH('2020'!$A31,GUL_2!$A:$A,0),MATCH('2020'!$A$1,GUL_2!$3:$3,0))</f>
        <v>25.1</v>
      </c>
      <c r="Z31" s="57">
        <f>INDEX(GUL_3!$A:$J,MATCH('2020'!$A31,GUL_3!$A:$A,0),MATCH('2020'!$A$1,GUL_3!$3:$3,0))/(B31/1000)</f>
        <v>0.85641795530577913</v>
      </c>
      <c r="AA31" s="101">
        <f>INDEX(GUL_4!$A:$J,MATCH('2020'!$A31,GUL_4!$A:$A,0),MATCH('2020'!$A$1,GUL_4!$3:$3,0))/B31/C31*10^6</f>
        <v>0.45040063782164769</v>
      </c>
      <c r="AB31" s="73">
        <f>INDEX(GUL_5!$A:$J,MATCH('2020'!$A31,GUL_5!$A:$A,0),MATCH('2020'!$A$1,GUL_5!$3:$3,0))</f>
        <v>4.2005313616805678E-2</v>
      </c>
      <c r="AC31" s="49">
        <f>INDEX(GUL_6!$A:$J,MATCH('2020'!$A31,GUL_6!$A:$A,0),MATCH('2020'!$A$1,GUL_6!$3:$3,0))</f>
        <v>8.7100000000000011E-2</v>
      </c>
      <c r="AD31" s="49">
        <f>INDEX(GUL_7!$A:$J,MATCH('2020'!$A31,GUL_7!$A:$A,0),MATCH('2020'!$A$1,GUL_7!$3:$3,0))</f>
        <v>0.28597829999999996</v>
      </c>
      <c r="AE31" s="103">
        <f>INDEX(GUL_8!$A:$J,MATCH('2020'!$A31,GUL_8!$A:$A,0),MATCH('2020'!$A$1,GUL_8!$3:$3,0))/(B31/1000)</f>
        <v>2.2366077095123669</v>
      </c>
      <c r="AF31" s="41">
        <f>INDEX(DES_1!$A:$J,MATCH('2020'!$A31,DES_1!$A:$A,0),MATCH('2020'!$A$1,DES_1!$3:$3,0))/(B31/1000)</f>
        <v>5.8358974807889548E-2</v>
      </c>
      <c r="AG31" s="100">
        <f>INDEX(DES_2!$A:$J,MATCH('2020'!$A31,DES_2!$A:$A,0),MATCH('2020'!$A$1,DES_2!$3:$3,0))/(B31/1000)</f>
        <v>0.49021538838627221</v>
      </c>
      <c r="AH31" s="57">
        <f>1/INDEX(DES_3!$A:$J,MATCH('2020'!$A31,DES_3!$A:$A,0),MATCH('2020'!$A$1,DES_3!$3:$3,0))</f>
        <v>6.8540095956134339E-3</v>
      </c>
      <c r="AI31" s="80">
        <f>INDEX(DES_4!$A:$J,MATCH('2020'!$A31,DES_4!$A:$A,0),MATCH('2020'!$A$1,DES_4!$3:$3,0))</f>
        <v>0.91754100316000009</v>
      </c>
      <c r="AJ31" s="110">
        <f>INDEX(DES_5!$A:$J,MATCH('2020'!$A31,DES_5!$A:$A,0),MATCH('2020'!$A$1,DES_5!$3:$3,0))</f>
        <v>0.82750519817099999</v>
      </c>
      <c r="AK31" s="57">
        <v>43</v>
      </c>
    </row>
    <row r="32" spans="1:37" x14ac:dyDescent="0.3">
      <c r="A32" s="29" t="s">
        <v>31</v>
      </c>
      <c r="B32" s="33">
        <f>INDEX(Population!$A:$J,MATCH('2020'!$A32,Population!$A:$A,0),MATCH('2020'!$A$1,Population!$3:$3,0))</f>
        <v>608791</v>
      </c>
      <c r="C32" s="14">
        <f>INDEX(Income!$A:$J,MATCH('2020'!$A32,Income!$A:$A,0),MATCH('2020'!$A$1,Income!$3:$3,0))</f>
        <v>26444</v>
      </c>
      <c r="D32" s="34">
        <f>INDEX(Livable_wage!$A:$J,MATCH('2020'!$A32,Livable_wage!$A:$A,0),MATCH('2020'!$A$1,Livable_wage!$3:$3,0))</f>
        <v>12425</v>
      </c>
      <c r="E32" s="41">
        <f>INDEX(AVA_1!$A:$J,MATCH('2020'!$A32,AVA_1!$A:$A,0),MATCH('2020'!$A$1,AVA_1!$3:$3,0))</f>
        <v>0.35199999999999998</v>
      </c>
      <c r="F32" s="15">
        <f>INDEX(AVA_2!$A:$J,MATCH('2020'!$A32,AVA_2!$A:$A,0),MATCH('2020'!$A$1,AVA_2!$3:$3,0))</f>
        <v>8.6037465219621356E-3</v>
      </c>
      <c r="G32" s="15">
        <f>INDEX(AVA_3!$A:$J,MATCH('2020'!$A32,AVA_3!$A:$A,0),MATCH('2020'!$A$1,AVA_3!$3:$3,0))</f>
        <v>1.004653376657039E-2</v>
      </c>
      <c r="H32" s="87">
        <f>INDEX(AVA_4!$A:$J,MATCH('2020'!$A32,AVA_4!$A:$A,0),MATCH('2020'!$A$1,AVA_4!$3:$3,0))/(B32/1000)</f>
        <v>0.7391699285961848</v>
      </c>
      <c r="I32" s="89">
        <f>INDEX(AVA_5!$A:$J,MATCH('2020'!$A32,AVA_5!$A:$A,0),MATCH('2020'!$A$1,AVA_5!$3:$3,0))/(B32/1000)</f>
        <v>5.0082869161994834</v>
      </c>
      <c r="J32" s="93">
        <f>INDEX(IRA_1!$A:$J,MATCH('2020'!$A32,IRA_1!$A:$A,0),MATCH('2020'!$A$1,IRA_1!$3:$3,0))/(B32/1000)</f>
        <v>5.092059508107051E-2</v>
      </c>
      <c r="K32" s="88">
        <f>INDEX(IRA_2!$A:$J,MATCH('2020'!$A32,IRA_2!$A:$A,0),MATCH('2020'!$A$1,IRA_2!$3:$3,0))/(B32/1000)</f>
        <v>0.124837587940689</v>
      </c>
      <c r="L32" s="15">
        <f>INDEX(IRA_3!$A:$J,MATCH('2020'!$A32,IRA_3!$A:$A,0),MATCH('2020'!$A$1,IRA_3!$3:$3,0))</f>
        <v>0.40427013228127173</v>
      </c>
      <c r="M32" s="96">
        <f>INDEX(IRA_4!$A:$J,MATCH('2020'!$A32,IRA_4!$A:$A,0),MATCH('2020'!$A$1,IRA_4!$3:$3,0))/(B32/1000)</f>
        <v>2.982961311845937</v>
      </c>
      <c r="N32" s="61">
        <f>INDEX(INV_1!$A:$J,MATCH('2020'!$A32,INV_1!$A:$A,0),MATCH('2020'!$A$1,INV_1!$3:$3,0))</f>
        <v>5.2458649318802217E-2</v>
      </c>
      <c r="O32" s="80">
        <f>INDEX(INV_2!$A:$J,MATCH('2020'!$A32,INV_2!$A:$A,0),MATCH('2020'!$A$1,INV_2!$3:$3,0))/B32*10^6/C32</f>
        <v>0.32132526275290807</v>
      </c>
      <c r="P32" s="87">
        <f>INDEX(INV_3!$A:$J,MATCH('2020'!$A32,INV_3!$A:$A,0),MATCH('2020'!$A$1,INV_3!$3:$3,0))/B32*10^6/C32</f>
        <v>4.0176113726006015</v>
      </c>
      <c r="Q32" s="87">
        <f>INDEX(INV_4!$A:$J,MATCH('2020'!$A32,INV_4!$A:$A,0),MATCH('2020'!$A$1,INV_4!$3:$3,0))/B32*10^3/C32</f>
        <v>0.26596361742824431</v>
      </c>
      <c r="R32" s="34">
        <f>INDEX(INV_5!$A:$J,MATCH('2020'!$A32,INV_5!$A:$A,0),MATCH('2020'!$A$1,INV_5!$3:$3,0))</f>
        <v>6.3899999999999998E-2</v>
      </c>
      <c r="S32" s="77">
        <f>INDEX(LUJ_1!$A:$J,MATCH('2020'!$A32,LUJ_1!$A:$A,0),MATCH('2020'!$A$1,LUJ_1!$3:$3,0))</f>
        <v>0.80659340659340661</v>
      </c>
      <c r="T32" s="73">
        <f>INDEX(LUJ_2!$A:$J,MATCH('2020'!$A32,LUJ_2!$A:$A,0),MATCH('2020'!$A$1,LUJ_2!$3:$3,0))</f>
        <v>0.24</v>
      </c>
      <c r="U32" s="73">
        <f>INDEX(LUJ_3!$A:$J,MATCH('2020'!$A32,LUJ_3!$A:$A,0),MATCH('2020'!$A$1,LUJ_3!$3:$3,0))</f>
        <v>0.7036290322580645</v>
      </c>
      <c r="V32" s="14">
        <f>INDEX(LUJ_4!$A:$J,MATCH('2020'!$A32,LUJ_4!$A:$A,0),MATCH('2020'!$A$1,LUJ_4!$3:$3,0))</f>
        <v>6</v>
      </c>
      <c r="W32" s="34">
        <f>INDEX(LUJ_5!$A:$J,MATCH('2020'!$A32,LUJ_5!$A:$A,0),MATCH('2020'!$A$1,LUJ_5!$3:$3,0))</f>
        <v>20.9</v>
      </c>
      <c r="X32" s="98">
        <f>1/INDEX(GUL_1!$A:$J,MATCH('2020'!$A32,GUL_1!$A:$A,0),MATCH('2020'!$A$1,GUL_1!$3:$3,0))</f>
        <v>1.4465499783017505E-2</v>
      </c>
      <c r="Y32" s="57">
        <f>INDEX(GUL_2!$A:$J,MATCH('2020'!$A32,GUL_2!$A:$A,0),MATCH('2020'!$A$1,GUL_2!$3:$3,0))</f>
        <v>26.200000000000003</v>
      </c>
      <c r="Z32" s="57">
        <f>INDEX(GUL_3!$A:$J,MATCH('2020'!$A32,GUL_3!$A:$A,0),MATCH('2020'!$A$1,GUL_3!$3:$3,0))/(B32/1000)</f>
        <v>1.0151267019387604</v>
      </c>
      <c r="AA32" s="101">
        <f>INDEX(GUL_4!$A:$J,MATCH('2020'!$A32,GUL_4!$A:$A,0),MATCH('2020'!$A$1,GUL_4!$3:$3,0))/B32/C32*10^6</f>
        <v>0.35359564251789916</v>
      </c>
      <c r="AB32" s="73">
        <f>INDEX(GUL_5!$A:$J,MATCH('2020'!$A32,GUL_5!$A:$A,0),MATCH('2020'!$A$1,GUL_5!$3:$3,0))</f>
        <v>3.5978697806078409E-2</v>
      </c>
      <c r="AC32" s="49">
        <f>INDEX(GUL_6!$A:$J,MATCH('2020'!$A32,GUL_6!$A:$A,0),MATCH('2020'!$A$1,GUL_6!$3:$3,0))</f>
        <v>6.54E-2</v>
      </c>
      <c r="AD32" s="49">
        <f>INDEX(GUL_7!$A:$J,MATCH('2020'!$A32,GUL_7!$A:$A,0),MATCH('2020'!$A$1,GUL_7!$3:$3,0))</f>
        <v>0.22427050000000001</v>
      </c>
      <c r="AE32" s="103">
        <f>INDEX(GUL_8!$A:$J,MATCH('2020'!$A32,GUL_8!$A:$A,0),MATCH('2020'!$A$1,GUL_8!$3:$3,0))/(B32/1000)</f>
        <v>2.688935940248788</v>
      </c>
      <c r="AF32" s="41">
        <f>INDEX(DES_1!$A:$J,MATCH('2020'!$A32,DES_1!$A:$A,0),MATCH('2020'!$A$1,DES_1!$3:$3,0))/(B32/1000)</f>
        <v>0.16097478444983582</v>
      </c>
      <c r="AG32" s="100">
        <f>INDEX(DES_2!$A:$J,MATCH('2020'!$A32,DES_2!$A:$A,0),MATCH('2020'!$A$1,DES_2!$3:$3,0))/(B32/1000)</f>
        <v>0.37779796350471667</v>
      </c>
      <c r="AH32" s="57">
        <f>1/INDEX(DES_3!$A:$J,MATCH('2020'!$A32,DES_3!$A:$A,0),MATCH('2020'!$A$1,DES_3!$3:$3,0))</f>
        <v>9.2165898617511521E-3</v>
      </c>
      <c r="AI32" s="80">
        <f>INDEX(DES_4!$A:$J,MATCH('2020'!$A32,DES_4!$A:$A,0),MATCH('2020'!$A$1,DES_4!$3:$3,0))</f>
        <v>0.62885000656300005</v>
      </c>
      <c r="AJ32" s="110">
        <f>INDEX(DES_5!$A:$J,MATCH('2020'!$A32,DES_5!$A:$A,0),MATCH('2020'!$A$1,DES_5!$3:$3,0))</f>
        <v>0.43832606481600001</v>
      </c>
      <c r="AK32" s="57">
        <v>44</v>
      </c>
    </row>
    <row r="33" spans="1:37" x14ac:dyDescent="0.3">
      <c r="A33" s="29" t="s">
        <v>32</v>
      </c>
      <c r="B33" s="33">
        <f>INDEX(Population!$A:$J,MATCH('2020'!$A33,Population!$A:$A,0),MATCH('2020'!$A$1,Population!$3:$3,0))</f>
        <v>5584633</v>
      </c>
      <c r="C33" s="14">
        <f>INDEX(Income!$A:$J,MATCH('2020'!$A33,Income!$A:$A,0),MATCH('2020'!$A$1,Income!$3:$3,0))</f>
        <v>49375</v>
      </c>
      <c r="D33" s="34">
        <f>INDEX(Livable_wage!$A:$J,MATCH('2020'!$A33,Livable_wage!$A:$A,0),MATCH('2020'!$A$1,Livable_wage!$3:$3,0))</f>
        <v>13074</v>
      </c>
      <c r="E33" s="41">
        <f>INDEX(AVA_1!$A:$J,MATCH('2020'!$A33,AVA_1!$A:$A,0),MATCH('2020'!$A$1,AVA_1!$3:$3,0))</f>
        <v>0.40200000000000002</v>
      </c>
      <c r="F33" s="15">
        <f>INDEX(AVA_2!$A:$J,MATCH('2020'!$A33,AVA_2!$A:$A,0),MATCH('2020'!$A$1,AVA_2!$3:$3,0))</f>
        <v>2.1395075884891434E-2</v>
      </c>
      <c r="G33" s="15">
        <f>INDEX(AVA_3!$A:$J,MATCH('2020'!$A33,AVA_3!$A:$A,0),MATCH('2020'!$A$1,AVA_3!$3:$3,0))</f>
        <v>0.10609992131675586</v>
      </c>
      <c r="H33" s="87">
        <f>INDEX(AVA_4!$A:$J,MATCH('2020'!$A33,AVA_4!$A:$A,0),MATCH('2020'!$A$1,AVA_4!$3:$3,0))/(B33/1000)</f>
        <v>0.52125179935727206</v>
      </c>
      <c r="I33" s="89">
        <f>INDEX(AVA_5!$A:$J,MATCH('2020'!$A33,AVA_5!$A:$A,0),MATCH('2020'!$A$1,AVA_5!$3:$3,0))/(B33/1000)</f>
        <v>4.2072594564405579</v>
      </c>
      <c r="J33" s="93">
        <f>INDEX(IRA_1!$A:$J,MATCH('2020'!$A33,IRA_1!$A:$A,0),MATCH('2020'!$A$1,IRA_1!$3:$3,0))/(B33/1000)</f>
        <v>2.6680356614302139E-2</v>
      </c>
      <c r="K33" s="88">
        <f>INDEX(IRA_2!$A:$J,MATCH('2020'!$A33,IRA_2!$A:$A,0),MATCH('2020'!$A$1,IRA_2!$3:$3,0))/(B33/1000)</f>
        <v>6.2134790235992235E-2</v>
      </c>
      <c r="L33" s="15">
        <f>INDEX(IRA_3!$A:$J,MATCH('2020'!$A33,IRA_3!$A:$A,0),MATCH('2020'!$A$1,IRA_3!$3:$3,0))</f>
        <v>0.57783740273678563</v>
      </c>
      <c r="M33" s="96">
        <f>INDEX(IRA_4!$A:$J,MATCH('2020'!$A33,IRA_4!$A:$A,0),MATCH('2020'!$A$1,IRA_4!$3:$3,0))/(B33/1000)</f>
        <v>3.5518896228274985</v>
      </c>
      <c r="N33" s="61">
        <f>INDEX(INV_1!$A:$J,MATCH('2020'!$A33,INV_1!$A:$A,0),MATCH('2020'!$A$1,INV_1!$3:$3,0))</f>
        <v>7.7776002018005413E-2</v>
      </c>
      <c r="O33" s="80">
        <f>INDEX(INV_2!$A:$J,MATCH('2020'!$A33,INV_2!$A:$A,0),MATCH('2020'!$A$1,INV_2!$3:$3,0))/B33*10^6/C33</f>
        <v>0.42651638883188792</v>
      </c>
      <c r="P33" s="87">
        <f>INDEX(INV_3!$A:$J,MATCH('2020'!$A33,INV_3!$A:$A,0),MATCH('2020'!$A$1,INV_3!$3:$3,0))/B33*10^6/C33</f>
        <v>3.9643106813222206</v>
      </c>
      <c r="Q33" s="87">
        <f>INDEX(INV_4!$A:$J,MATCH('2020'!$A33,INV_4!$A:$A,0),MATCH('2020'!$A$1,INV_4!$3:$3,0))/B33*10^3/C33</f>
        <v>0.36003330664111477</v>
      </c>
      <c r="R33" s="34">
        <f>INDEX(INV_5!$A:$J,MATCH('2020'!$A33,INV_5!$A:$A,0),MATCH('2020'!$A$1,INV_5!$3:$3,0))</f>
        <v>0.3256</v>
      </c>
      <c r="S33" s="77">
        <f>INDEX(LUJ_1!$A:$J,MATCH('2020'!$A33,LUJ_1!$A:$A,0),MATCH('2020'!$A$1,LUJ_1!$3:$3,0))</f>
        <v>0.55533596837944665</v>
      </c>
      <c r="T33" s="73">
        <f>INDEX(LUJ_2!$A:$J,MATCH('2020'!$A33,LUJ_2!$A:$A,0),MATCH('2020'!$A$1,LUJ_2!$3:$3,0))</f>
        <v>0.187</v>
      </c>
      <c r="U33" s="73">
        <f>INDEX(LUJ_3!$A:$J,MATCH('2020'!$A33,LUJ_3!$A:$A,0),MATCH('2020'!$A$1,LUJ_3!$3:$3,0))</f>
        <v>0.30048780487804877</v>
      </c>
      <c r="V33" s="14">
        <f>INDEX(LUJ_4!$A:$J,MATCH('2020'!$A33,LUJ_4!$A:$A,0),MATCH('2020'!$A$1,LUJ_4!$3:$3,0))</f>
        <v>42</v>
      </c>
      <c r="W33" s="34">
        <f>INDEX(LUJ_5!$A:$J,MATCH('2020'!$A33,LUJ_5!$A:$A,0),MATCH('2020'!$A$1,LUJ_5!$3:$3,0))</f>
        <v>34.5</v>
      </c>
      <c r="X33" s="98">
        <f>1/INDEX(GUL_1!$A:$J,MATCH('2020'!$A33,GUL_1!$A:$A,0),MATCH('2020'!$A$1,GUL_1!$3:$3,0))</f>
        <v>1.3515339910798757E-2</v>
      </c>
      <c r="Y33" s="57">
        <f>INDEX(GUL_2!$A:$J,MATCH('2020'!$A33,GUL_2!$A:$A,0),MATCH('2020'!$A$1,GUL_2!$3:$3,0))</f>
        <v>23.9</v>
      </c>
      <c r="Z33" s="57">
        <f>INDEX(GUL_3!$A:$J,MATCH('2020'!$A33,GUL_3!$A:$A,0),MATCH('2020'!$A$1,GUL_3!$3:$3,0))/(B33/1000)</f>
        <v>0.46950265129329</v>
      </c>
      <c r="AA33" s="101">
        <f>INDEX(GUL_4!$A:$J,MATCH('2020'!$A33,GUL_4!$A:$A,0),MATCH('2020'!$A$1,GUL_4!$3:$3,0))/B33/C33*10^6</f>
        <v>0.24383725297978459</v>
      </c>
      <c r="AB33" s="73">
        <f>INDEX(GUL_5!$A:$J,MATCH('2020'!$A33,GUL_5!$A:$A,0),MATCH('2020'!$A$1,GUL_5!$3:$3,0))</f>
        <v>2.6918934253540368E-2</v>
      </c>
      <c r="AC33" s="49">
        <f>INDEX(GUL_6!$A:$J,MATCH('2020'!$A33,GUL_6!$A:$A,0),MATCH('2020'!$A$1,GUL_6!$3:$3,0))</f>
        <v>4.0899999999999999E-2</v>
      </c>
      <c r="AD33" s="49">
        <f>INDEX(GUL_7!$A:$J,MATCH('2020'!$A33,GUL_7!$A:$A,0),MATCH('2020'!$A$1,GUL_7!$3:$3,0))</f>
        <v>0.17118369999999999</v>
      </c>
      <c r="AE33" s="103">
        <f>INDEX(GUL_8!$A:$J,MATCH('2020'!$A33,GUL_8!$A:$A,0),MATCH('2020'!$A$1,GUL_8!$3:$3,0))/(B33/1000)</f>
        <v>0.49260175198620931</v>
      </c>
      <c r="AF33" s="41">
        <f>INDEX(DES_1!$A:$J,MATCH('2020'!$A33,DES_1!$A:$A,0),MATCH('2020'!$A$1,DES_1!$3:$3,0))/(B33/1000)</f>
        <v>6.2313853032061377E-2</v>
      </c>
      <c r="AG33" s="100">
        <f>INDEX(DES_2!$A:$J,MATCH('2020'!$A33,DES_2!$A:$A,0),MATCH('2020'!$A$1,DES_2!$3:$3,0))/(B33/1000)</f>
        <v>0.40915848901798918</v>
      </c>
      <c r="AH33" s="57">
        <f>1/INDEX(DES_3!$A:$J,MATCH('2020'!$A33,DES_3!$A:$A,0),MATCH('2020'!$A$1,DES_3!$3:$3,0))</f>
        <v>8.9365504915102766E-3</v>
      </c>
      <c r="AI33" s="80">
        <f>INDEX(DES_4!$A:$J,MATCH('2020'!$A33,DES_4!$A:$A,0),MATCH('2020'!$A$1,DES_4!$3:$3,0))</f>
        <v>1</v>
      </c>
      <c r="AJ33" s="110">
        <f>INDEX(DES_5!$A:$J,MATCH('2020'!$A33,DES_5!$A:$A,0),MATCH('2020'!$A$1,DES_5!$3:$3,0))</f>
        <v>0.90796544346600006</v>
      </c>
      <c r="AK33" s="57">
        <v>45</v>
      </c>
    </row>
    <row r="34" spans="1:37" x14ac:dyDescent="0.3">
      <c r="A34" s="29" t="s">
        <v>33</v>
      </c>
      <c r="B34" s="33">
        <f>INDEX(Population!$A:$J,MATCH('2020'!$A34,Population!$A:$A,0),MATCH('2020'!$A$1,Population!$3:$3,0))</f>
        <v>1964107</v>
      </c>
      <c r="C34" s="14">
        <f>INDEX(Income!$A:$J,MATCH('2020'!$A34,Income!$A:$A,0),MATCH('2020'!$A$1,Income!$3:$3,0))</f>
        <v>33235</v>
      </c>
      <c r="D34" s="34">
        <f>INDEX(Livable_wage!$A:$J,MATCH('2020'!$A34,Livable_wage!$A:$A,0),MATCH('2020'!$A$1,Livable_wage!$3:$3,0))</f>
        <v>12231</v>
      </c>
      <c r="E34" s="41">
        <f>INDEX(AVA_1!$A:$J,MATCH('2020'!$A34,AVA_1!$A:$A,0),MATCH('2020'!$A$1,AVA_1!$3:$3,0))</f>
        <v>0.35499999999999998</v>
      </c>
      <c r="F34" s="15">
        <f>INDEX(AVA_2!$A:$J,MATCH('2020'!$A34,AVA_2!$A:$A,0),MATCH('2020'!$A$1,AVA_2!$3:$3,0))</f>
        <v>5.7703164355403722E-3</v>
      </c>
      <c r="G34" s="15">
        <f>INDEX(AVA_3!$A:$J,MATCH('2020'!$A34,AVA_3!$A:$A,0),MATCH('2020'!$A$1,AVA_3!$3:$3,0))</f>
        <v>2.2140053612401445E-2</v>
      </c>
      <c r="H34" s="87">
        <f>INDEX(AVA_4!$A:$J,MATCH('2020'!$A34,AVA_4!$A:$A,0),MATCH('2020'!$A$1,AVA_4!$3:$3,0))/(B34/1000)</f>
        <v>0.84211298060645379</v>
      </c>
      <c r="I34" s="89">
        <f>INDEX(AVA_5!$A:$J,MATCH('2020'!$A34,AVA_5!$A:$A,0),MATCH('2020'!$A$1,AVA_5!$3:$3,0))/(B34/1000)</f>
        <v>6.6376220847438558</v>
      </c>
      <c r="J34" s="93">
        <f>INDEX(IRA_1!$A:$J,MATCH('2020'!$A34,IRA_1!$A:$A,0),MATCH('2020'!$A$1,IRA_1!$3:$3,0))/(B34/1000)</f>
        <v>6.720611453449328E-2</v>
      </c>
      <c r="K34" s="88">
        <f>INDEX(IRA_2!$A:$J,MATCH('2020'!$A34,IRA_2!$A:$A,0),MATCH('2020'!$A$1,IRA_2!$3:$3,0))/(B34/1000)</f>
        <v>0.13695791522559617</v>
      </c>
      <c r="L34" s="15">
        <f>INDEX(IRA_3!$A:$J,MATCH('2020'!$A34,IRA_3!$A:$A,0),MATCH('2020'!$A$1,IRA_3!$3:$3,0))</f>
        <v>0.51324419778002017</v>
      </c>
      <c r="M34" s="96">
        <f>INDEX(IRA_4!$A:$J,MATCH('2020'!$A34,IRA_4!$A:$A,0),MATCH('2020'!$A$1,IRA_4!$3:$3,0))/(B34/1000)</f>
        <v>4.9523778490683048</v>
      </c>
      <c r="N34" s="61">
        <f>INDEX(INV_1!$A:$J,MATCH('2020'!$A34,INV_1!$A:$A,0),MATCH('2020'!$A$1,INV_1!$3:$3,0))</f>
        <v>7.9502600975865964E-2</v>
      </c>
      <c r="O34" s="80">
        <f>INDEX(INV_2!$A:$J,MATCH('2020'!$A34,INV_2!$A:$A,0),MATCH('2020'!$A$1,INV_2!$3:$3,0))/B34*10^6/C34</f>
        <v>0.35318926098960579</v>
      </c>
      <c r="P34" s="87">
        <f>INDEX(INV_3!$A:$J,MATCH('2020'!$A34,INV_3!$A:$A,0),MATCH('2020'!$A$1,INV_3!$3:$3,0))/B34*10^6/C34</f>
        <v>4.8926502381565147</v>
      </c>
      <c r="Q34" s="87">
        <f>INDEX(INV_4!$A:$J,MATCH('2020'!$A34,INV_4!$A:$A,0),MATCH('2020'!$A$1,INV_4!$3:$3,0))/B34*10^3/C34</f>
        <v>4.5204115597382015E-2</v>
      </c>
      <c r="R34" s="34">
        <f>INDEX(INV_5!$A:$J,MATCH('2020'!$A34,INV_5!$A:$A,0),MATCH('2020'!$A$1,INV_5!$3:$3,0))</f>
        <v>0.1258</v>
      </c>
      <c r="S34" s="77">
        <f>INDEX(LUJ_1!$A:$J,MATCH('2020'!$A34,LUJ_1!$A:$A,0),MATCH('2020'!$A$1,LUJ_1!$3:$3,0))</f>
        <v>0.96806266947875863</v>
      </c>
      <c r="T34" s="73">
        <f>INDEX(LUJ_2!$A:$J,MATCH('2020'!$A34,LUJ_2!$A:$A,0),MATCH('2020'!$A$1,LUJ_2!$3:$3,0))</f>
        <v>0.22</v>
      </c>
      <c r="U34" s="73">
        <f>INDEX(LUJ_3!$A:$J,MATCH('2020'!$A34,LUJ_3!$A:$A,0),MATCH('2020'!$A$1,LUJ_3!$3:$3,0))</f>
        <v>0.42648859477495099</v>
      </c>
      <c r="V34" s="14">
        <f>INDEX(LUJ_4!$A:$J,MATCH('2020'!$A34,LUJ_4!$A:$A,0),MATCH('2020'!$A$1,LUJ_4!$3:$3,0))</f>
        <v>35</v>
      </c>
      <c r="W34" s="34">
        <f>INDEX(LUJ_5!$A:$J,MATCH('2020'!$A34,LUJ_5!$A:$A,0),MATCH('2020'!$A$1,LUJ_5!$3:$3,0))</f>
        <v>57.2</v>
      </c>
      <c r="X34" s="98">
        <f>1/INDEX(GUL_1!$A:$J,MATCH('2020'!$A34,GUL_1!$A:$A,0),MATCH('2020'!$A$1,GUL_1!$3:$3,0))</f>
        <v>1.398014818957081E-2</v>
      </c>
      <c r="Y34" s="57">
        <f>INDEX(GUL_2!$A:$J,MATCH('2020'!$A34,GUL_2!$A:$A,0),MATCH('2020'!$A$1,GUL_2!$3:$3,0))</f>
        <v>25.8</v>
      </c>
      <c r="Z34" s="57">
        <f>INDEX(GUL_3!$A:$J,MATCH('2020'!$A34,GUL_3!$A:$A,0),MATCH('2020'!$A$1,GUL_3!$3:$3,0))/(B34/1000)</f>
        <v>0.99485415000302935</v>
      </c>
      <c r="AA34" s="101">
        <f>INDEX(GUL_4!$A:$J,MATCH('2020'!$A34,GUL_4!$A:$A,0),MATCH('2020'!$A$1,GUL_4!$3:$3,0))/B34/C34*10^6</f>
        <v>0.22207620828902913</v>
      </c>
      <c r="AB34" s="73">
        <f>INDEX(GUL_5!$A:$J,MATCH('2020'!$A34,GUL_5!$A:$A,0),MATCH('2020'!$A$1,GUL_5!$3:$3,0))</f>
        <v>4.0195471210828393E-2</v>
      </c>
      <c r="AC34" s="49">
        <f>INDEX(GUL_6!$A:$J,MATCH('2020'!$A34,GUL_6!$A:$A,0),MATCH('2020'!$A$1,GUL_6!$3:$3,0))</f>
        <v>4.3400000000000001E-2</v>
      </c>
      <c r="AD34" s="49">
        <f>INDEX(GUL_7!$A:$J,MATCH('2020'!$A34,GUL_7!$A:$A,0),MATCH('2020'!$A$1,GUL_7!$3:$3,0))</f>
        <v>0.19058330000000001</v>
      </c>
      <c r="AE34" s="103">
        <f>INDEX(GUL_8!$A:$J,MATCH('2020'!$A34,GUL_8!$A:$A,0),MATCH('2020'!$A$1,GUL_8!$3:$3,0))/(B34/1000)</f>
        <v>1.4047096212171741</v>
      </c>
      <c r="AF34" s="41">
        <f>INDEX(DES_1!$A:$J,MATCH('2020'!$A34,DES_1!$A:$A,0),MATCH('2020'!$A$1,DES_1!$3:$3,0))/(B34/1000)</f>
        <v>0.14459497369542496</v>
      </c>
      <c r="AG34" s="100">
        <f>INDEX(DES_2!$A:$J,MATCH('2020'!$A34,DES_2!$A:$A,0),MATCH('2020'!$A$1,DES_2!$3:$3,0))/(B34/1000)</f>
        <v>0.25965998797417861</v>
      </c>
      <c r="AH34" s="57">
        <f>1/INDEX(DES_3!$A:$J,MATCH('2020'!$A34,DES_3!$A:$A,0),MATCH('2020'!$A$1,DES_3!$3:$3,0))</f>
        <v>7.7279752704791345E-3</v>
      </c>
      <c r="AI34" s="80">
        <f>INDEX(DES_4!$A:$J,MATCH('2020'!$A34,DES_4!$A:$A,0),MATCH('2020'!$A$1,DES_4!$3:$3,0))</f>
        <v>0.70171683009499997</v>
      </c>
      <c r="AJ34" s="110">
        <f>INDEX(DES_5!$A:$J,MATCH('2020'!$A34,DES_5!$A:$A,0),MATCH('2020'!$A$1,DES_5!$3:$3,0))</f>
        <v>0.61697682983900004</v>
      </c>
      <c r="AK34" s="57">
        <v>46</v>
      </c>
    </row>
    <row r="35" spans="1:37" x14ac:dyDescent="0.3">
      <c r="A35" s="29" t="s">
        <v>34</v>
      </c>
      <c r="B35" s="33">
        <f>INDEX(Population!$A:$J,MATCH('2020'!$A35,Population!$A:$A,0),MATCH('2020'!$A$1,Population!$3:$3,0))</f>
        <v>793859</v>
      </c>
      <c r="C35" s="14">
        <f>INDEX(Income!$A:$J,MATCH('2020'!$A35,Income!$A:$A,0),MATCH('2020'!$A$1,Income!$3:$3,0))</f>
        <v>20635</v>
      </c>
      <c r="D35" s="34">
        <f>INDEX(Livable_wage!$A:$J,MATCH('2020'!$A35,Livable_wage!$A:$A,0),MATCH('2020'!$A$1,Livable_wage!$3:$3,0))</f>
        <v>10079</v>
      </c>
      <c r="E35" s="41">
        <f>INDEX(AVA_1!$A:$J,MATCH('2020'!$A35,AVA_1!$A:$A,0),MATCH('2020'!$A$1,AVA_1!$3:$3,0))</f>
        <v>0.34899999999999998</v>
      </c>
      <c r="F35" s="15">
        <f>INDEX(AVA_2!$A:$J,MATCH('2020'!$A35,AVA_2!$A:$A,0),MATCH('2020'!$A$1,AVA_2!$3:$3,0))</f>
        <v>1.0104128559064181E-2</v>
      </c>
      <c r="G35" s="15">
        <f>INDEX(AVA_3!$A:$J,MATCH('2020'!$A35,AVA_3!$A:$A,0),MATCH('2020'!$A$1,AVA_3!$3:$3,0))</f>
        <v>5.2023364660664109E-2</v>
      </c>
      <c r="H35" s="87">
        <f>INDEX(AVA_4!$A:$J,MATCH('2020'!$A35,AVA_4!$A:$A,0),MATCH('2020'!$A$1,AVA_4!$3:$3,0))/(B35/1000)</f>
        <v>1.1299235758491117</v>
      </c>
      <c r="I35" s="89">
        <f>INDEX(AVA_5!$A:$J,MATCH('2020'!$A35,AVA_5!$A:$A,0),MATCH('2020'!$A$1,AVA_5!$3:$3,0))/(B35/1000)</f>
        <v>2.5936595793459545</v>
      </c>
      <c r="J35" s="93">
        <f>INDEX(IRA_1!$A:$J,MATCH('2020'!$A35,IRA_1!$A:$A,0),MATCH('2020'!$A$1,IRA_1!$3:$3,0))/(B35/1000)</f>
        <v>3.7790086148799723E-2</v>
      </c>
      <c r="K35" s="88">
        <f>INDEX(IRA_2!$A:$J,MATCH('2020'!$A35,IRA_2!$A:$A,0),MATCH('2020'!$A$1,IRA_2!$3:$3,0))/(B35/1000)</f>
        <v>9.9513893525172606E-2</v>
      </c>
      <c r="L35" s="15">
        <f>INDEX(IRA_3!$A:$J,MATCH('2020'!$A35,IRA_3!$A:$A,0),MATCH('2020'!$A$1,IRA_3!$3:$3,0))</f>
        <v>0.35356433458397707</v>
      </c>
      <c r="M35" s="96">
        <f>INDEX(IRA_4!$A:$J,MATCH('2020'!$A35,IRA_4!$A:$A,0),MATCH('2020'!$A$1,IRA_4!$3:$3,0))/(B35/1000)</f>
        <v>2.3895931141424356</v>
      </c>
      <c r="N35" s="61">
        <f>INDEX(INV_1!$A:$J,MATCH('2020'!$A35,INV_1!$A:$A,0),MATCH('2020'!$A$1,INV_1!$3:$3,0))</f>
        <v>8.162314596743131E-2</v>
      </c>
      <c r="O35" s="80">
        <f>INDEX(INV_2!$A:$J,MATCH('2020'!$A35,INV_2!$A:$A,0),MATCH('2020'!$A$1,INV_2!$3:$3,0))/B35*10^6/C35</f>
        <v>0.28533252946780552</v>
      </c>
      <c r="P35" s="87">
        <f>INDEX(INV_3!$A:$J,MATCH('2020'!$A35,INV_3!$A:$A,0),MATCH('2020'!$A$1,INV_3!$3:$3,0))/B35*10^6/C35</f>
        <v>4.8362519748849193</v>
      </c>
      <c r="Q35" s="87">
        <f>INDEX(INV_4!$A:$J,MATCH('2020'!$A35,INV_4!$A:$A,0),MATCH('2020'!$A$1,INV_4!$3:$3,0))/B35*10^3/C35</f>
        <v>0.29017388537825756</v>
      </c>
      <c r="R35" s="34">
        <f>INDEX(INV_5!$A:$J,MATCH('2020'!$A35,INV_5!$A:$A,0),MATCH('2020'!$A$1,INV_5!$3:$3,0))</f>
        <v>4.2799999999999998E-2</v>
      </c>
      <c r="S35" s="77">
        <f>INDEX(LUJ_1!$A:$J,MATCH('2020'!$A35,LUJ_1!$A:$A,0),MATCH('2020'!$A$1,LUJ_1!$3:$3,0))</f>
        <v>0.76372712146422628</v>
      </c>
      <c r="T35" s="73">
        <f>INDEX(LUJ_2!$A:$J,MATCH('2020'!$A35,LUJ_2!$A:$A,0),MATCH('2020'!$A$1,LUJ_2!$3:$3,0))</f>
        <v>0.161</v>
      </c>
      <c r="U35" s="73">
        <f>INDEX(LUJ_3!$A:$J,MATCH('2020'!$A35,LUJ_3!$A:$A,0),MATCH('2020'!$A$1,LUJ_3!$3:$3,0))</f>
        <v>0.341971728887278</v>
      </c>
      <c r="V35" s="14">
        <f>INDEX(LUJ_4!$A:$J,MATCH('2020'!$A35,LUJ_4!$A:$A,0),MATCH('2020'!$A$1,LUJ_4!$3:$3,0))</f>
        <v>3</v>
      </c>
      <c r="W35" s="34">
        <f>INDEX(LUJ_5!$A:$J,MATCH('2020'!$A35,LUJ_5!$A:$A,0),MATCH('2020'!$A$1,LUJ_5!$3:$3,0))</f>
        <v>14.6</v>
      </c>
      <c r="X35" s="98">
        <f>1/INDEX(GUL_1!$A:$J,MATCH('2020'!$A35,GUL_1!$A:$A,0),MATCH('2020'!$A$1,GUL_1!$3:$3,0))</f>
        <v>1.3966480446927375E-2</v>
      </c>
      <c r="Y35" s="57">
        <f>INDEX(GUL_2!$A:$J,MATCH('2020'!$A35,GUL_2!$A:$A,0),MATCH('2020'!$A$1,GUL_2!$3:$3,0))</f>
        <v>26.8</v>
      </c>
      <c r="Z35" s="57">
        <f>INDEX(GUL_3!$A:$J,MATCH('2020'!$A35,GUL_3!$A:$A,0),MATCH('2020'!$A$1,GUL_3!$3:$3,0))/(B35/1000)</f>
        <v>0.67140386391034168</v>
      </c>
      <c r="AA35" s="101">
        <f>INDEX(GUL_4!$A:$J,MATCH('2020'!$A35,GUL_4!$A:$A,0),MATCH('2020'!$A$1,GUL_4!$3:$3,0))/B35/C35*10^6</f>
        <v>0.23567083221903681</v>
      </c>
      <c r="AB35" s="73">
        <f>INDEX(GUL_5!$A:$J,MATCH('2020'!$A35,GUL_5!$A:$A,0),MATCH('2020'!$A$1,GUL_5!$3:$3,0))</f>
        <v>3.9477424272945635E-2</v>
      </c>
      <c r="AC35" s="49">
        <f>INDEX(GUL_6!$A:$J,MATCH('2020'!$A35,GUL_6!$A:$A,0),MATCH('2020'!$A$1,GUL_6!$3:$3,0))</f>
        <v>2.1899999999999999E-2</v>
      </c>
      <c r="AD35" s="49">
        <f>INDEX(GUL_7!$A:$J,MATCH('2020'!$A35,GUL_7!$A:$A,0),MATCH('2020'!$A$1,GUL_7!$3:$3,0))</f>
        <v>0.1337363</v>
      </c>
      <c r="AE35" s="103">
        <f>INDEX(GUL_8!$A:$J,MATCH('2020'!$A35,GUL_8!$A:$A,0),MATCH('2020'!$A$1,GUL_8!$3:$3,0))/(B35/1000)</f>
        <v>2.1729299535559838</v>
      </c>
      <c r="AF35" s="41">
        <f>INDEX(DES_1!$A:$J,MATCH('2020'!$A35,DES_1!$A:$A,0),MATCH('2020'!$A$1,DES_1!$3:$3,0))/(B35/1000)</f>
        <v>0.15242001413349221</v>
      </c>
      <c r="AG35" s="100">
        <f>INDEX(DES_2!$A:$J,MATCH('2020'!$A35,DES_2!$A:$A,0),MATCH('2020'!$A$1,DES_2!$3:$3,0))/(B35/1000)</f>
        <v>0.34011077533919748</v>
      </c>
      <c r="AH35" s="57">
        <f>1/INDEX(DES_3!$A:$J,MATCH('2020'!$A35,DES_3!$A:$A,0),MATCH('2020'!$A$1,DES_3!$3:$3,0))</f>
        <v>7.215007215007215E-3</v>
      </c>
      <c r="AI35" s="80">
        <f>INDEX(DES_4!$A:$J,MATCH('2020'!$A35,DES_4!$A:$A,0),MATCH('2020'!$A$1,DES_4!$3:$3,0))</f>
        <v>0.55283104908500003</v>
      </c>
      <c r="AJ35" s="110">
        <f>INDEX(DES_5!$A:$J,MATCH('2020'!$A35,DES_5!$A:$A,0),MATCH('2020'!$A$1,DES_5!$3:$3,0))</f>
        <v>0.45451751973100002</v>
      </c>
      <c r="AK35" s="57">
        <v>48</v>
      </c>
    </row>
    <row r="36" spans="1:37" x14ac:dyDescent="0.3">
      <c r="A36" s="29" t="s">
        <v>35</v>
      </c>
      <c r="B36" s="33">
        <f>INDEX(Population!$A:$J,MATCH('2020'!$A36,Population!$A:$A,0),MATCH('2020'!$A$1,Population!$3:$3,0))</f>
        <v>3997023</v>
      </c>
      <c r="C36" s="14">
        <f>INDEX(Income!$A:$J,MATCH('2020'!$A36,Income!$A:$A,0),MATCH('2020'!$A$1,Income!$3:$3,0))</f>
        <v>35694</v>
      </c>
      <c r="D36" s="34">
        <f>INDEX(Livable_wage!$A:$J,MATCH('2020'!$A36,Livable_wage!$A:$A,0),MATCH('2020'!$A$1,Livable_wage!$3:$3,0))</f>
        <v>10231</v>
      </c>
      <c r="E36" s="41">
        <f>INDEX(AVA_1!$A:$J,MATCH('2020'!$A36,AVA_1!$A:$A,0),MATCH('2020'!$A$1,AVA_1!$3:$3,0))</f>
        <v>0.38500000000000001</v>
      </c>
      <c r="F36" s="15">
        <f>INDEX(AVA_2!$A:$J,MATCH('2020'!$A36,AVA_2!$A:$A,0),MATCH('2020'!$A$1,AVA_2!$3:$3,0))</f>
        <v>1.4400679323731154E-2</v>
      </c>
      <c r="G36" s="15">
        <f>INDEX(AVA_3!$A:$J,MATCH('2020'!$A36,AVA_3!$A:$A,0),MATCH('2020'!$A$1,AVA_3!$3:$3,0))</f>
        <v>0.17648529346194428</v>
      </c>
      <c r="H36" s="87">
        <f>INDEX(AVA_4!$A:$J,MATCH('2020'!$A36,AVA_4!$A:$A,0),MATCH('2020'!$A$1,AVA_4!$3:$3,0))/(B36/1000)</f>
        <v>0.67975590833477817</v>
      </c>
      <c r="I36" s="89">
        <f>INDEX(AVA_5!$A:$J,MATCH('2020'!$A36,AVA_5!$A:$A,0),MATCH('2020'!$A$1,AVA_5!$3:$3,0))/(B36/1000)</f>
        <v>4.8083285985594779</v>
      </c>
      <c r="J36" s="93">
        <f>INDEX(IRA_1!$A:$J,MATCH('2020'!$A36,IRA_1!$A:$A,0),MATCH('2020'!$A$1,IRA_1!$3:$3,0))/(B36/1000)</f>
        <v>6.3046922672198788E-2</v>
      </c>
      <c r="K36" s="88">
        <f>INDEX(IRA_2!$A:$J,MATCH('2020'!$A36,IRA_2!$A:$A,0),MATCH('2020'!$A$1,IRA_2!$3:$3,0))/(B36/1000)</f>
        <v>9.8573363225580635E-2</v>
      </c>
      <c r="L36" s="15">
        <f>INDEX(IRA_3!$A:$J,MATCH('2020'!$A36,IRA_3!$A:$A,0),MATCH('2020'!$A$1,IRA_3!$3:$3,0))</f>
        <v>0.39945337958582994</v>
      </c>
      <c r="M36" s="96">
        <f>INDEX(IRA_4!$A:$J,MATCH('2020'!$A36,IRA_4!$A:$A,0),MATCH('2020'!$A$1,IRA_4!$3:$3,0))/(B36/1000)</f>
        <v>4.4450582345910945</v>
      </c>
      <c r="N36" s="61">
        <f>INDEX(INV_1!$A:$J,MATCH('2020'!$A36,INV_1!$A:$A,0),MATCH('2020'!$A$1,INV_1!$3:$3,0))</f>
        <v>7.5282517719616596E-2</v>
      </c>
      <c r="O36" s="80">
        <f>INDEX(INV_2!$A:$J,MATCH('2020'!$A36,INV_2!$A:$A,0),MATCH('2020'!$A$1,INV_2!$3:$3,0))/B36*10^6/C36</f>
        <v>0.36727731020771365</v>
      </c>
      <c r="P36" s="87">
        <f>INDEX(INV_3!$A:$J,MATCH('2020'!$A36,INV_3!$A:$A,0),MATCH('2020'!$A$1,INV_3!$3:$3,0))/B36*10^6/C36</f>
        <v>3.8152239147572735</v>
      </c>
      <c r="Q36" s="87">
        <f>INDEX(INV_4!$A:$J,MATCH('2020'!$A36,INV_4!$A:$A,0),MATCH('2020'!$A$1,INV_4!$3:$3,0))/B36*10^3/C36</f>
        <v>0.20252207447926879</v>
      </c>
      <c r="R36" s="34">
        <f>INDEX(INV_5!$A:$J,MATCH('2020'!$A36,INV_5!$A:$A,0),MATCH('2020'!$A$1,INV_5!$3:$3,0))</f>
        <v>0.15790000000000001</v>
      </c>
      <c r="S36" s="77">
        <f>INDEX(LUJ_1!$A:$J,MATCH('2020'!$A36,LUJ_1!$A:$A,0),MATCH('2020'!$A$1,LUJ_1!$3:$3,0))</f>
        <v>0.58671834625322994</v>
      </c>
      <c r="T36" s="73">
        <f>INDEX(LUJ_2!$A:$J,MATCH('2020'!$A36,LUJ_2!$A:$A,0),MATCH('2020'!$A$1,LUJ_2!$3:$3,0))</f>
        <v>0.155</v>
      </c>
      <c r="U36" s="73">
        <f>INDEX(LUJ_3!$A:$J,MATCH('2020'!$A36,LUJ_3!$A:$A,0),MATCH('2020'!$A$1,LUJ_3!$3:$3,0))</f>
        <v>0.38771806721672436</v>
      </c>
      <c r="V36" s="14">
        <f>INDEX(LUJ_4!$A:$J,MATCH('2020'!$A36,LUJ_4!$A:$A,0),MATCH('2020'!$A$1,LUJ_4!$3:$3,0))</f>
        <v>227</v>
      </c>
      <c r="W36" s="34">
        <f>INDEX(LUJ_5!$A:$J,MATCH('2020'!$A36,LUJ_5!$A:$A,0),MATCH('2020'!$A$1,LUJ_5!$3:$3,0))</f>
        <v>24.6</v>
      </c>
      <c r="X36" s="98">
        <f>1/INDEX(GUL_1!$A:$J,MATCH('2020'!$A36,GUL_1!$A:$A,0),MATCH('2020'!$A$1,GUL_1!$3:$3,0))</f>
        <v>1.3772207684891888E-2</v>
      </c>
      <c r="Y36" s="57">
        <f>INDEX(GUL_2!$A:$J,MATCH('2020'!$A36,GUL_2!$A:$A,0),MATCH('2020'!$A$1,GUL_2!$3:$3,0))</f>
        <v>24.6</v>
      </c>
      <c r="Z36" s="57">
        <f>INDEX(GUL_3!$A:$J,MATCH('2020'!$A36,GUL_3!$A:$A,0),MATCH('2020'!$A$1,GUL_3!$3:$3,0))/(B36/1000)</f>
        <v>0.65248561241704139</v>
      </c>
      <c r="AA36" s="101">
        <f>INDEX(GUL_4!$A:$J,MATCH('2020'!$A36,GUL_4!$A:$A,0),MATCH('2020'!$A$1,GUL_4!$3:$3,0))/B36/C36*10^6</f>
        <v>0.2623744199179493</v>
      </c>
      <c r="AB36" s="73">
        <f>INDEX(GUL_5!$A:$J,MATCH('2020'!$A36,GUL_5!$A:$A,0),MATCH('2020'!$A$1,GUL_5!$3:$3,0))</f>
        <v>2.9406129630269503E-2</v>
      </c>
      <c r="AC36" s="49">
        <f>INDEX(GUL_6!$A:$J,MATCH('2020'!$A36,GUL_6!$A:$A,0),MATCH('2020'!$A$1,GUL_6!$3:$3,0))</f>
        <v>1.7000000000000001E-2</v>
      </c>
      <c r="AD36" s="49">
        <f>INDEX(GUL_7!$A:$J,MATCH('2020'!$A36,GUL_7!$A:$A,0),MATCH('2020'!$A$1,GUL_7!$3:$3,0))</f>
        <v>0.1433517</v>
      </c>
      <c r="AE36" s="103">
        <f>INDEX(GUL_8!$A:$J,MATCH('2020'!$A36,GUL_8!$A:$A,0),MATCH('2020'!$A$1,GUL_8!$3:$3,0))/(B36/1000)</f>
        <v>1.7735699794572111</v>
      </c>
      <c r="AF36" s="41">
        <f>INDEX(DES_1!$A:$J,MATCH('2020'!$A36,DES_1!$A:$A,0),MATCH('2020'!$A$1,DES_1!$3:$3,0))/(B36/1000)</f>
        <v>6.9051391498122477E-2</v>
      </c>
      <c r="AG36" s="100">
        <f>INDEX(DES_2!$A:$J,MATCH('2020'!$A36,DES_2!$A:$A,0),MATCH('2020'!$A$1,DES_2!$3:$3,0))/(B36/1000)</f>
        <v>0.46534633400908626</v>
      </c>
      <c r="AH36" s="57">
        <f>1/INDEX(DES_3!$A:$J,MATCH('2020'!$A36,DES_3!$A:$A,0),MATCH('2020'!$A$1,DES_3!$3:$3,0))</f>
        <v>8.6805555555555559E-3</v>
      </c>
      <c r="AI36" s="80">
        <f>INDEX(DES_4!$A:$J,MATCH('2020'!$A36,DES_4!$A:$A,0),MATCH('2020'!$A$1,DES_4!$3:$3,0))</f>
        <v>0.89846564115299998</v>
      </c>
      <c r="AJ36" s="110">
        <f>INDEX(DES_5!$A:$J,MATCH('2020'!$A36,DES_5!$A:$A,0),MATCH('2020'!$A$1,DES_5!$3:$3,0))</f>
        <v>0.77590206245900006</v>
      </c>
      <c r="AK36" s="57">
        <v>50</v>
      </c>
    </row>
    <row r="37" spans="1:37" x14ac:dyDescent="0.3">
      <c r="A37" s="29" t="s">
        <v>36</v>
      </c>
      <c r="B37" s="33">
        <f>INDEX(Population!$A:$J,MATCH('2020'!$A37,Population!$A:$A,0),MATCH('2020'!$A$1,Population!$3:$3,0))</f>
        <v>1182667</v>
      </c>
      <c r="C37" s="14">
        <f>INDEX(Income!$A:$J,MATCH('2020'!$A37,Income!$A:$A,0),MATCH('2020'!$A$1,Income!$3:$3,0))</f>
        <v>24292</v>
      </c>
      <c r="D37" s="34">
        <f>INDEX(Livable_wage!$A:$J,MATCH('2020'!$A37,Livable_wage!$A:$A,0),MATCH('2020'!$A$1,Livable_wage!$3:$3,0))</f>
        <v>11441</v>
      </c>
      <c r="E37" s="41">
        <f>INDEX(AVA_1!$A:$J,MATCH('2020'!$A37,AVA_1!$A:$A,0),MATCH('2020'!$A$1,AVA_1!$3:$3,0))</f>
        <v>0.33200000000000002</v>
      </c>
      <c r="F37" s="15">
        <f>INDEX(AVA_2!$A:$J,MATCH('2020'!$A37,AVA_2!$A:$A,0),MATCH('2020'!$A$1,AVA_2!$3:$3,0))</f>
        <v>9.6528069290953231E-3</v>
      </c>
      <c r="G37" s="15">
        <f>INDEX(AVA_3!$A:$J,MATCH('2020'!$A37,AVA_3!$A:$A,0),MATCH('2020'!$A$1,AVA_3!$3:$3,0))</f>
        <v>5.299850604649407E-3</v>
      </c>
      <c r="H37" s="87">
        <f>INDEX(AVA_4!$A:$J,MATCH('2020'!$A37,AVA_4!$A:$A,0),MATCH('2020'!$A$1,AVA_4!$3:$3,0))/(B37/1000)</f>
        <v>0.62824108561412473</v>
      </c>
      <c r="I37" s="89">
        <f>INDEX(AVA_5!$A:$J,MATCH('2020'!$A37,AVA_5!$A:$A,0),MATCH('2020'!$A$1,AVA_5!$3:$3,0))/(B37/1000)</f>
        <v>6.0211369726220489</v>
      </c>
      <c r="J37" s="93">
        <f>INDEX(IRA_1!$A:$J,MATCH('2020'!$A37,IRA_1!$A:$A,0),MATCH('2020'!$A$1,IRA_1!$3:$3,0))/(B37/1000)</f>
        <v>5.3269432562166701E-2</v>
      </c>
      <c r="K37" s="88">
        <f>INDEX(IRA_2!$A:$J,MATCH('2020'!$A37,IRA_2!$A:$A,0),MATCH('2020'!$A$1,IRA_2!$3:$3,0))/(B37/1000)</f>
        <v>0.13782408742274876</v>
      </c>
      <c r="L37" s="15">
        <f>INDEX(IRA_3!$A:$J,MATCH('2020'!$A37,IRA_3!$A:$A,0),MATCH('2020'!$A$1,IRA_3!$3:$3,0))</f>
        <v>0.32519750029477656</v>
      </c>
      <c r="M37" s="96">
        <f>INDEX(IRA_4!$A:$J,MATCH('2020'!$A37,IRA_4!$A:$A,0),MATCH('2020'!$A$1,IRA_4!$3:$3,0))/(B37/1000)</f>
        <v>4.0603145264051506</v>
      </c>
      <c r="N37" s="61">
        <f>INDEX(INV_1!$A:$J,MATCH('2020'!$A37,INV_1!$A:$A,0),MATCH('2020'!$A$1,INV_1!$3:$3,0))</f>
        <v>6.9737832069083211E-2</v>
      </c>
      <c r="O37" s="80">
        <f>INDEX(INV_2!$A:$J,MATCH('2020'!$A37,INV_2!$A:$A,0),MATCH('2020'!$A$1,INV_2!$3:$3,0))/B37*10^6/C37</f>
        <v>0.39876532154067462</v>
      </c>
      <c r="P37" s="87">
        <f>INDEX(INV_3!$A:$J,MATCH('2020'!$A37,INV_3!$A:$A,0),MATCH('2020'!$A$1,INV_3!$3:$3,0))/B37*10^6/C37</f>
        <v>4.9726504808322129</v>
      </c>
      <c r="Q37" s="87">
        <f>INDEX(INV_4!$A:$J,MATCH('2020'!$A37,INV_4!$A:$A,0),MATCH('2020'!$A$1,INV_4!$3:$3,0))/B37*10^3/C37</f>
        <v>0.30854006785519544</v>
      </c>
      <c r="R37" s="34">
        <f>INDEX(INV_5!$A:$J,MATCH('2020'!$A37,INV_5!$A:$A,0),MATCH('2020'!$A$1,INV_5!$3:$3,0))</f>
        <v>4.3700000000000003E-2</v>
      </c>
      <c r="S37" s="77">
        <f>INDEX(LUJ_1!$A:$J,MATCH('2020'!$A37,LUJ_1!$A:$A,0),MATCH('2020'!$A$1,LUJ_1!$3:$3,0))</f>
        <v>0.84104199893673581</v>
      </c>
      <c r="T37" s="73">
        <f>INDEX(LUJ_2!$A:$J,MATCH('2020'!$A37,LUJ_2!$A:$A,0),MATCH('2020'!$A$1,LUJ_2!$3:$3,0))</f>
        <v>0.23199999999999998</v>
      </c>
      <c r="U37" s="73">
        <f>INDEX(LUJ_3!$A:$J,MATCH('2020'!$A37,LUJ_3!$A:$A,0),MATCH('2020'!$A$1,LUJ_3!$3:$3,0))</f>
        <v>0.54181697428285169</v>
      </c>
      <c r="V37" s="14">
        <f>INDEX(LUJ_4!$A:$J,MATCH('2020'!$A37,LUJ_4!$A:$A,0),MATCH('2020'!$A$1,LUJ_4!$3:$3,0))</f>
        <v>32</v>
      </c>
      <c r="W37" s="34">
        <f>INDEX(LUJ_5!$A:$J,MATCH('2020'!$A37,LUJ_5!$A:$A,0),MATCH('2020'!$A$1,LUJ_5!$3:$3,0))</f>
        <v>15.4</v>
      </c>
      <c r="X37" s="98">
        <f>1/INDEX(GUL_1!$A:$J,MATCH('2020'!$A37,GUL_1!$A:$A,0),MATCH('2020'!$A$1,GUL_1!$3:$3,0))</f>
        <v>1.4001680201624194E-2</v>
      </c>
      <c r="Y37" s="57">
        <f>INDEX(GUL_2!$A:$J,MATCH('2020'!$A37,GUL_2!$A:$A,0),MATCH('2020'!$A$1,GUL_2!$3:$3,0))</f>
        <v>26.3</v>
      </c>
      <c r="Z37" s="57">
        <f>INDEX(GUL_3!$A:$J,MATCH('2020'!$A37,GUL_3!$A:$A,0),MATCH('2020'!$A$1,GUL_3!$3:$3,0))/(B37/1000)</f>
        <v>0.87260403816120691</v>
      </c>
      <c r="AA37" s="101">
        <f>INDEX(GUL_4!$A:$J,MATCH('2020'!$A37,GUL_4!$A:$A,0),MATCH('2020'!$A$1,GUL_4!$3:$3,0))/B37/C37*10^6</f>
        <v>0.32518978161058754</v>
      </c>
      <c r="AB37" s="73">
        <f>INDEX(GUL_5!$A:$J,MATCH('2020'!$A37,GUL_5!$A:$A,0),MATCH('2020'!$A$1,GUL_5!$3:$3,0))</f>
        <v>3.8112760497324483E-2</v>
      </c>
      <c r="AC37" s="49">
        <f>INDEX(GUL_6!$A:$J,MATCH('2020'!$A37,GUL_6!$A:$A,0),MATCH('2020'!$A$1,GUL_6!$3:$3,0))</f>
        <v>5.5199999999999999E-2</v>
      </c>
      <c r="AD37" s="49">
        <f>INDEX(GUL_7!$A:$J,MATCH('2020'!$A37,GUL_7!$A:$A,0),MATCH('2020'!$A$1,GUL_7!$3:$3,0))</f>
        <v>0.18970500000000001</v>
      </c>
      <c r="AE37" s="103">
        <f>INDEX(GUL_8!$A:$J,MATCH('2020'!$A37,GUL_8!$A:$A,0),MATCH('2020'!$A$1,GUL_8!$3:$3,0))/(B37/1000)</f>
        <v>3.3027048188543353</v>
      </c>
      <c r="AF37" s="41">
        <f>INDEX(DES_1!$A:$J,MATCH('2020'!$A37,DES_1!$A:$A,0),MATCH('2020'!$A$1,DES_1!$3:$3,0))/(B37/1000)</f>
        <v>0.24859068529011127</v>
      </c>
      <c r="AG37" s="100">
        <f>INDEX(DES_2!$A:$J,MATCH('2020'!$A37,DES_2!$A:$A,0),MATCH('2020'!$A$1,DES_2!$3:$3,0))/(B37/1000)</f>
        <v>0.3120066764355478</v>
      </c>
      <c r="AH37" s="57">
        <f>1/INDEX(DES_3!$A:$J,MATCH('2020'!$A37,DES_3!$A:$A,0),MATCH('2020'!$A$1,DES_3!$3:$3,0))</f>
        <v>8.1566068515497563E-3</v>
      </c>
      <c r="AI37" s="80">
        <f>INDEX(DES_4!$A:$J,MATCH('2020'!$A37,DES_4!$A:$A,0),MATCH('2020'!$A$1,DES_4!$3:$3,0))</f>
        <v>0.65828972924899998</v>
      </c>
      <c r="AJ37" s="110">
        <f>INDEX(DES_5!$A:$J,MATCH('2020'!$A37,DES_5!$A:$A,0),MATCH('2020'!$A$1,DES_5!$3:$3,0))</f>
        <v>0.43233975995900004</v>
      </c>
      <c r="AK37" s="57">
        <v>52</v>
      </c>
    </row>
    <row r="38" spans="1:37" x14ac:dyDescent="0.3">
      <c r="A38" s="29" t="s">
        <v>37</v>
      </c>
      <c r="B38" s="33">
        <f>INDEX(Population!$A:$J,MATCH('2020'!$A38,Population!$A:$A,0),MATCH('2020'!$A$1,Population!$3:$3,0))</f>
        <v>593582</v>
      </c>
      <c r="C38" s="14">
        <f>INDEX(Income!$A:$J,MATCH('2020'!$A38,Income!$A:$A,0),MATCH('2020'!$A$1,Income!$3:$3,0))</f>
        <v>25786</v>
      </c>
      <c r="D38" s="34">
        <f>INDEX(Livable_wage!$A:$J,MATCH('2020'!$A38,Livable_wage!$A:$A,0),MATCH('2020'!$A$1,Livable_wage!$3:$3,0))</f>
        <v>11993</v>
      </c>
      <c r="E38" s="41">
        <f>INDEX(AVA_1!$A:$J,MATCH('2020'!$A38,AVA_1!$A:$A,0),MATCH('2020'!$A$1,AVA_1!$3:$3,0))</f>
        <v>0.32900000000000001</v>
      </c>
      <c r="F38" s="15">
        <f>INDEX(AVA_2!$A:$J,MATCH('2020'!$A38,AVA_2!$A:$A,0),MATCH('2020'!$A$1,AVA_2!$3:$3,0))</f>
        <v>1.2719402757181558E-2</v>
      </c>
      <c r="G38" s="15">
        <f>INDEX(AVA_3!$A:$J,MATCH('2020'!$A38,AVA_3!$A:$A,0),MATCH('2020'!$A$1,AVA_3!$3:$3,0))</f>
        <v>1.9797046752470338E-2</v>
      </c>
      <c r="H38" s="87">
        <f>INDEX(AVA_4!$A:$J,MATCH('2020'!$A38,AVA_4!$A:$A,0),MATCH('2020'!$A$1,AVA_4!$3:$3,0))/(B38/1000)</f>
        <v>0.75473986744881083</v>
      </c>
      <c r="I38" s="89">
        <f>INDEX(AVA_5!$A:$J,MATCH('2020'!$A38,AVA_5!$A:$A,0),MATCH('2020'!$A$1,AVA_5!$3:$3,0))/(B38/1000)</f>
        <v>5.2444312664467585</v>
      </c>
      <c r="J38" s="93">
        <f>INDEX(IRA_1!$A:$J,MATCH('2020'!$A38,IRA_1!$A:$A,0),MATCH('2020'!$A$1,IRA_1!$3:$3,0))/(B38/1000)</f>
        <v>5.0540616123804297E-2</v>
      </c>
      <c r="K38" s="88">
        <f>INDEX(IRA_2!$A:$J,MATCH('2020'!$A38,IRA_2!$A:$A,0),MATCH('2020'!$A$1,IRA_2!$3:$3,0))/(B38/1000)</f>
        <v>0.13645966353427158</v>
      </c>
      <c r="L38" s="15">
        <f>INDEX(IRA_3!$A:$J,MATCH('2020'!$A38,IRA_3!$A:$A,0),MATCH('2020'!$A$1,IRA_3!$3:$3,0))</f>
        <v>0.34509705066801111</v>
      </c>
      <c r="M38" s="96">
        <f>INDEX(IRA_4!$A:$J,MATCH('2020'!$A38,IRA_4!$A:$A,0),MATCH('2020'!$A$1,IRA_4!$3:$3,0))/(B38/1000)</f>
        <v>3.2851400480472792</v>
      </c>
      <c r="N38" s="61">
        <f>INDEX(INV_1!$A:$J,MATCH('2020'!$A38,INV_1!$A:$A,0),MATCH('2020'!$A$1,INV_1!$3:$3,0))</f>
        <v>6.9717965912767646E-2</v>
      </c>
      <c r="O38" s="80">
        <f>INDEX(INV_2!$A:$J,MATCH('2020'!$A38,INV_2!$A:$A,0),MATCH('2020'!$A$1,INV_2!$3:$3,0))/B38*10^6/C38</f>
        <v>0.4126856239693964</v>
      </c>
      <c r="P38" s="87">
        <f>INDEX(INV_3!$A:$J,MATCH('2020'!$A38,INV_3!$A:$A,0),MATCH('2020'!$A$1,INV_3!$3:$3,0))/B38*10^6/C38</f>
        <v>4.0420471552360766</v>
      </c>
      <c r="Q38" s="87">
        <f>INDEX(INV_4!$A:$J,MATCH('2020'!$A38,INV_4!$A:$A,0),MATCH('2020'!$A$1,INV_4!$3:$3,0))/B38*10^3/C38</f>
        <v>0.33216479632548662</v>
      </c>
      <c r="R38" s="34">
        <f>INDEX(INV_5!$A:$J,MATCH('2020'!$A38,INV_5!$A:$A,0),MATCH('2020'!$A$1,INV_5!$3:$3,0))</f>
        <v>0.1429</v>
      </c>
      <c r="S38" s="77">
        <f>INDEX(LUJ_1!$A:$J,MATCH('2020'!$A38,LUJ_1!$A:$A,0),MATCH('2020'!$A$1,LUJ_1!$3:$3,0))</f>
        <v>0.85413181666109061</v>
      </c>
      <c r="T38" s="73">
        <f>INDEX(LUJ_2!$A:$J,MATCH('2020'!$A38,LUJ_2!$A:$A,0),MATCH('2020'!$A$1,LUJ_2!$3:$3,0))</f>
        <v>0.193</v>
      </c>
      <c r="U38" s="73">
        <f>INDEX(LUJ_3!$A:$J,MATCH('2020'!$A38,LUJ_3!$A:$A,0),MATCH('2020'!$A$1,LUJ_3!$3:$3,0))</f>
        <v>0.46763392857142855</v>
      </c>
      <c r="V38" s="14">
        <f>INDEX(LUJ_4!$A:$J,MATCH('2020'!$A38,LUJ_4!$A:$A,0),MATCH('2020'!$A$1,LUJ_4!$3:$3,0))</f>
        <v>12</v>
      </c>
      <c r="W38" s="34">
        <f>INDEX(LUJ_5!$A:$J,MATCH('2020'!$A38,LUJ_5!$A:$A,0),MATCH('2020'!$A$1,LUJ_5!$3:$3,0))</f>
        <v>33.200000000000003</v>
      </c>
      <c r="X38" s="98">
        <f>1/INDEX(GUL_1!$A:$J,MATCH('2020'!$A38,GUL_1!$A:$A,0),MATCH('2020'!$A$1,GUL_1!$3:$3,0))</f>
        <v>1.410039481105471E-2</v>
      </c>
      <c r="Y38" s="57">
        <f>INDEX(GUL_2!$A:$J,MATCH('2020'!$A38,GUL_2!$A:$A,0),MATCH('2020'!$A$1,GUL_2!$3:$3,0))</f>
        <v>25.5</v>
      </c>
      <c r="Z38" s="57">
        <f>INDEX(GUL_3!$A:$J,MATCH('2020'!$A38,GUL_3!$A:$A,0),MATCH('2020'!$A$1,GUL_3!$3:$3,0))/(B38/1000)</f>
        <v>0.91310046463673089</v>
      </c>
      <c r="AA38" s="101">
        <f>INDEX(GUL_4!$A:$J,MATCH('2020'!$A38,GUL_4!$A:$A,0),MATCH('2020'!$A$1,GUL_4!$3:$3,0))/B38/C38*10^6</f>
        <v>0.2416480150093768</v>
      </c>
      <c r="AB38" s="73">
        <f>INDEX(GUL_5!$A:$J,MATCH('2020'!$A38,GUL_5!$A:$A,0),MATCH('2020'!$A$1,GUL_5!$3:$3,0))</f>
        <v>3.371335863347024E-2</v>
      </c>
      <c r="AC38" s="49">
        <f>INDEX(GUL_6!$A:$J,MATCH('2020'!$A38,GUL_6!$A:$A,0),MATCH('2020'!$A$1,GUL_6!$3:$3,0))</f>
        <v>2.0299999999999999E-2</v>
      </c>
      <c r="AD38" s="49">
        <f>INDEX(GUL_7!$A:$J,MATCH('2020'!$A38,GUL_7!$A:$A,0),MATCH('2020'!$A$1,GUL_7!$3:$3,0))</f>
        <v>0.18321899999999999</v>
      </c>
      <c r="AE38" s="103">
        <f>INDEX(GUL_8!$A:$J,MATCH('2020'!$A38,GUL_8!$A:$A,0),MATCH('2020'!$A$1,GUL_8!$3:$3,0))/(B38/1000)</f>
        <v>2.8858691806692254</v>
      </c>
      <c r="AF38" s="41">
        <f>INDEX(DES_1!$A:$J,MATCH('2020'!$A38,DES_1!$A:$A,0),MATCH('2020'!$A$1,DES_1!$3:$3,0))/(B38/1000)</f>
        <v>0.17520746922918823</v>
      </c>
      <c r="AG38" s="100">
        <f>INDEX(DES_2!$A:$J,MATCH('2020'!$A38,DES_2!$A:$A,0),MATCH('2020'!$A$1,DES_2!$3:$3,0))/(B38/1000)</f>
        <v>0.41274836501106837</v>
      </c>
      <c r="AH38" s="57">
        <f>1/INDEX(DES_3!$A:$J,MATCH('2020'!$A38,DES_3!$A:$A,0),MATCH('2020'!$A$1,DES_3!$3:$3,0))</f>
        <v>8.1632653061224497E-3</v>
      </c>
      <c r="AI38" s="80">
        <f>INDEX(DES_4!$A:$J,MATCH('2020'!$A38,DES_4!$A:$A,0),MATCH('2020'!$A$1,DES_4!$3:$3,0))</f>
        <v>0.71209134944800001</v>
      </c>
      <c r="AJ38" s="110">
        <f>INDEX(DES_5!$A:$J,MATCH('2020'!$A38,DES_5!$A:$A,0),MATCH('2020'!$A$1,DES_5!$3:$3,0))</f>
        <v>0.37868050054399999</v>
      </c>
      <c r="AK38" s="57">
        <v>53</v>
      </c>
    </row>
    <row r="39" spans="1:37" x14ac:dyDescent="0.3">
      <c r="A39" s="29" t="s">
        <v>38</v>
      </c>
      <c r="B39" s="33">
        <f>INDEX(Population!$A:$J,MATCH('2020'!$A39,Population!$A:$A,0),MATCH('2020'!$A$1,Population!$3:$3,0))</f>
        <v>1249406</v>
      </c>
      <c r="C39" s="14">
        <f>INDEX(Income!$A:$J,MATCH('2020'!$A39,Income!$A:$A,0),MATCH('2020'!$A$1,Income!$3:$3,0))</f>
        <v>27692</v>
      </c>
      <c r="D39" s="34">
        <f>INDEX(Livable_wage!$A:$J,MATCH('2020'!$A39,Livable_wage!$A:$A,0),MATCH('2020'!$A$1,Livable_wage!$3:$3,0))</f>
        <v>12041</v>
      </c>
      <c r="E39" s="41">
        <f>INDEX(AVA_1!$A:$J,MATCH('2020'!$A39,AVA_1!$A:$A,0),MATCH('2020'!$A$1,AVA_1!$3:$3,0))</f>
        <v>0.33500000000000002</v>
      </c>
      <c r="F39" s="15">
        <f>INDEX(AVA_2!$A:$J,MATCH('2020'!$A39,AVA_2!$A:$A,0),MATCH('2020'!$A$1,AVA_2!$3:$3,0))</f>
        <v>1.0925736742319657E-2</v>
      </c>
      <c r="G39" s="15">
        <f>INDEX(AVA_3!$A:$J,MATCH('2020'!$A39,AVA_3!$A:$A,0),MATCH('2020'!$A$1,AVA_3!$3:$3,0))</f>
        <v>1.6578987978761638E-2</v>
      </c>
      <c r="H39" s="87">
        <f>INDEX(AVA_4!$A:$J,MATCH('2020'!$A39,AVA_4!$A:$A,0),MATCH('2020'!$A$1,AVA_4!$3:$3,0))/(B39/1000)</f>
        <v>0.5626673795387569</v>
      </c>
      <c r="I39" s="89">
        <f>INDEX(AVA_5!$A:$J,MATCH('2020'!$A39,AVA_5!$A:$A,0),MATCH('2020'!$A$1,AVA_5!$3:$3,0))/(B39/1000)</f>
        <v>7.6748470873359027</v>
      </c>
      <c r="J39" s="93">
        <f>INDEX(IRA_1!$A:$J,MATCH('2020'!$A39,IRA_1!$A:$A,0),MATCH('2020'!$A$1,IRA_1!$3:$3,0))/(B39/1000)</f>
        <v>6.0828905896081822E-2</v>
      </c>
      <c r="K39" s="88">
        <f>INDEX(IRA_2!$A:$J,MATCH('2020'!$A39,IRA_2!$A:$A,0),MATCH('2020'!$A$1,IRA_2!$3:$3,0))/(B39/1000)</f>
        <v>0.11925667076994989</v>
      </c>
      <c r="L39" s="15">
        <f>INDEX(IRA_3!$A:$J,MATCH('2020'!$A39,IRA_3!$A:$A,0),MATCH('2020'!$A$1,IRA_3!$3:$3,0))</f>
        <v>0.4454580495952718</v>
      </c>
      <c r="M39" s="96">
        <f>INDEX(IRA_4!$A:$J,MATCH('2020'!$A39,IRA_4!$A:$A,0),MATCH('2020'!$A$1,IRA_4!$3:$3,0))/(B39/1000)</f>
        <v>6.1485217775486918</v>
      </c>
      <c r="N39" s="61">
        <f>INDEX(INV_1!$A:$J,MATCH('2020'!$A39,INV_1!$A:$A,0),MATCH('2020'!$A$1,INV_1!$3:$3,0))</f>
        <v>6.0697193957055348E-2</v>
      </c>
      <c r="O39" s="80">
        <f>INDEX(INV_2!$A:$J,MATCH('2020'!$A39,INV_2!$A:$A,0),MATCH('2020'!$A$1,INV_2!$3:$3,0))/B39*10^6/C39</f>
        <v>0.25229480405437066</v>
      </c>
      <c r="P39" s="87">
        <f>INDEX(INV_3!$A:$J,MATCH('2020'!$A39,INV_3!$A:$A,0),MATCH('2020'!$A$1,INV_3!$3:$3,0))/B39*10^6/C39</f>
        <v>4.4833091482703669</v>
      </c>
      <c r="Q39" s="87">
        <f>INDEX(INV_4!$A:$J,MATCH('2020'!$A39,INV_4!$A:$A,0),MATCH('2020'!$A$1,INV_4!$3:$3,0))/B39*10^3/C39</f>
        <v>0.2739277637132414</v>
      </c>
      <c r="R39" s="34">
        <f>INDEX(INV_5!$A:$J,MATCH('2020'!$A39,INV_5!$A:$A,0),MATCH('2020'!$A$1,INV_5!$3:$3,0))</f>
        <v>6.2600000000000003E-2</v>
      </c>
      <c r="S39" s="77">
        <f>INDEX(LUJ_1!$A:$J,MATCH('2020'!$A39,LUJ_1!$A:$A,0),MATCH('2020'!$A$1,LUJ_1!$3:$3,0))</f>
        <v>0.79815653804093112</v>
      </c>
      <c r="T39" s="73">
        <f>INDEX(LUJ_2!$A:$J,MATCH('2020'!$A39,LUJ_2!$A:$A,0),MATCH('2020'!$A$1,LUJ_2!$3:$3,0))</f>
        <v>0.218</v>
      </c>
      <c r="U39" s="73">
        <f>INDEX(LUJ_3!$A:$J,MATCH('2020'!$A39,LUJ_3!$A:$A,0),MATCH('2020'!$A$1,LUJ_3!$3:$3,0))</f>
        <v>0.37507336902637317</v>
      </c>
      <c r="V39" s="14">
        <f>INDEX(LUJ_4!$A:$J,MATCH('2020'!$A39,LUJ_4!$A:$A,0),MATCH('2020'!$A$1,LUJ_4!$3:$3,0))</f>
        <v>26</v>
      </c>
      <c r="W39" s="34">
        <f>INDEX(LUJ_5!$A:$J,MATCH('2020'!$A39,LUJ_5!$A:$A,0),MATCH('2020'!$A$1,LUJ_5!$3:$3,0))</f>
        <v>48.4</v>
      </c>
      <c r="X39" s="98">
        <f>1/INDEX(GUL_1!$A:$J,MATCH('2020'!$A39,GUL_1!$A:$A,0),MATCH('2020'!$A$1,GUL_1!$3:$3,0))</f>
        <v>1.43348623853211E-2</v>
      </c>
      <c r="Y39" s="57">
        <f>INDEX(GUL_2!$A:$J,MATCH('2020'!$A39,GUL_2!$A:$A,0),MATCH('2020'!$A$1,GUL_2!$3:$3,0))</f>
        <v>25.6</v>
      </c>
      <c r="Z39" s="57">
        <f>INDEX(GUL_3!$A:$J,MATCH('2020'!$A39,GUL_3!$A:$A,0),MATCH('2020'!$A$1,GUL_3!$3:$3,0))/(B39/1000)</f>
        <v>0.9716617336558333</v>
      </c>
      <c r="AA39" s="101">
        <f>INDEX(GUL_4!$A:$J,MATCH('2020'!$A39,GUL_4!$A:$A,0),MATCH('2020'!$A$1,GUL_4!$3:$3,0))/B39/C39*10^6</f>
        <v>0.23053277609994635</v>
      </c>
      <c r="AB39" s="73">
        <f>INDEX(GUL_5!$A:$J,MATCH('2020'!$A39,GUL_5!$A:$A,0),MATCH('2020'!$A$1,GUL_5!$3:$3,0))</f>
        <v>3.6262436234694648E-2</v>
      </c>
      <c r="AC39" s="49">
        <f>INDEX(GUL_6!$A:$J,MATCH('2020'!$A39,GUL_6!$A:$A,0),MATCH('2020'!$A$1,GUL_6!$3:$3,0))</f>
        <v>6.2400000000000004E-2</v>
      </c>
      <c r="AD39" s="49">
        <f>INDEX(GUL_7!$A:$J,MATCH('2020'!$A39,GUL_7!$A:$A,0),MATCH('2020'!$A$1,GUL_7!$3:$3,0))</f>
        <v>0.2275383</v>
      </c>
      <c r="AE39" s="103">
        <f>INDEX(GUL_8!$A:$J,MATCH('2020'!$A39,GUL_8!$A:$A,0),MATCH('2020'!$A$1,GUL_8!$3:$3,0))/(B39/1000)</f>
        <v>2.3050953813252058</v>
      </c>
      <c r="AF39" s="41">
        <f>INDEX(DES_1!$A:$J,MATCH('2020'!$A39,DES_1!$A:$A,0),MATCH('2020'!$A$1,DES_1!$3:$3,0))/(B39/1000)</f>
        <v>0.17608367496234212</v>
      </c>
      <c r="AG39" s="100">
        <f>INDEX(DES_2!$A:$J,MATCH('2020'!$A39,DES_2!$A:$A,0),MATCH('2020'!$A$1,DES_2!$3:$3,0))/(B39/1000)</f>
        <v>0.31935175595442955</v>
      </c>
      <c r="AH39" s="57">
        <f>1/INDEX(DES_3!$A:$J,MATCH('2020'!$A39,DES_3!$A:$A,0),MATCH('2020'!$A$1,DES_3!$3:$3,0))</f>
        <v>8.9766606822262122E-3</v>
      </c>
      <c r="AI39" s="80">
        <f>INDEX(DES_4!$A:$J,MATCH('2020'!$A39,DES_4!$A:$A,0),MATCH('2020'!$A$1,DES_4!$3:$3,0))</f>
        <v>0.77046838430700004</v>
      </c>
      <c r="AJ39" s="110">
        <f>INDEX(DES_5!$A:$J,MATCH('2020'!$A39,DES_5!$A:$A,0),MATCH('2020'!$A$1,DES_5!$3:$3,0))</f>
        <v>0.52886397127700002</v>
      </c>
      <c r="AK39" s="57">
        <v>54</v>
      </c>
    </row>
    <row r="40" spans="1:37" x14ac:dyDescent="0.3">
      <c r="A40" s="29" t="s">
        <v>39</v>
      </c>
      <c r="B40" s="33">
        <f>INDEX(Population!$A:$J,MATCH('2020'!$A40,Population!$A:$A,0),MATCH('2020'!$A$1,Population!$3:$3,0))</f>
        <v>1513299</v>
      </c>
      <c r="C40" s="14">
        <f>INDEX(Income!$A:$J,MATCH('2020'!$A40,Income!$A:$A,0),MATCH('2020'!$A$1,Income!$3:$3,0))</f>
        <v>29396</v>
      </c>
      <c r="D40" s="34">
        <f>INDEX(Livable_wage!$A:$J,MATCH('2020'!$A40,Livable_wage!$A:$A,0),MATCH('2020'!$A$1,Livable_wage!$3:$3,0))</f>
        <v>11814</v>
      </c>
      <c r="E40" s="41">
        <f>INDEX(AVA_1!$A:$J,MATCH('2020'!$A40,AVA_1!$A:$A,0),MATCH('2020'!$A$1,AVA_1!$3:$3,0))</f>
        <v>0.34200000000000003</v>
      </c>
      <c r="F40" s="15">
        <f>INDEX(AVA_2!$A:$J,MATCH('2020'!$A40,AVA_2!$A:$A,0),MATCH('2020'!$A$1,AVA_2!$3:$3,0))</f>
        <v>1.0483507838236445E-2</v>
      </c>
      <c r="G40" s="15">
        <f>INDEX(AVA_3!$A:$J,MATCH('2020'!$A40,AVA_3!$A:$A,0),MATCH('2020'!$A$1,AVA_3!$3:$3,0))</f>
        <v>2.3062402224022099E-2</v>
      </c>
      <c r="H40" s="87">
        <f>INDEX(AVA_4!$A:$J,MATCH('2020'!$A40,AVA_4!$A:$A,0),MATCH('2020'!$A$1,AVA_4!$3:$3,0))/(B40/1000)</f>
        <v>0.6469309766278839</v>
      </c>
      <c r="I40" s="89">
        <f>INDEX(AVA_5!$A:$J,MATCH('2020'!$A40,AVA_5!$A:$A,0),MATCH('2020'!$A$1,AVA_5!$3:$3,0))/(B40/1000)</f>
        <v>2.9769397851977701</v>
      </c>
      <c r="J40" s="93">
        <f>INDEX(IRA_1!$A:$J,MATCH('2020'!$A40,IRA_1!$A:$A,0),MATCH('2020'!$A$1,IRA_1!$3:$3,0))/(B40/1000)</f>
        <v>4.2291708380168096E-2</v>
      </c>
      <c r="K40" s="88">
        <f>INDEX(IRA_2!$A:$J,MATCH('2020'!$A40,IRA_2!$A:$A,0),MATCH('2020'!$A$1,IRA_2!$3:$3,0))/(B40/1000)</f>
        <v>0.11894542981922278</v>
      </c>
      <c r="L40" s="15">
        <f>INDEX(IRA_3!$A:$J,MATCH('2020'!$A40,IRA_3!$A:$A,0),MATCH('2020'!$A$1,IRA_3!$3:$3,0))</f>
        <v>0.43677606177606176</v>
      </c>
      <c r="M40" s="96">
        <f>INDEX(IRA_4!$A:$J,MATCH('2020'!$A40,IRA_4!$A:$A,0),MATCH('2020'!$A$1,IRA_4!$3:$3,0))/(B40/1000)</f>
        <v>2.1833094451261781</v>
      </c>
      <c r="N40" s="61">
        <f>INDEX(INV_1!$A:$J,MATCH('2020'!$A40,INV_1!$A:$A,0),MATCH('2020'!$A$1,INV_1!$3:$3,0))</f>
        <v>6.3779678524621103E-2</v>
      </c>
      <c r="O40" s="80">
        <f>INDEX(INV_2!$A:$J,MATCH('2020'!$A40,INV_2!$A:$A,0),MATCH('2020'!$A$1,INV_2!$3:$3,0))/B40*10^6/C40</f>
        <v>0.31376835815767445</v>
      </c>
      <c r="P40" s="87">
        <f>INDEX(INV_3!$A:$J,MATCH('2020'!$A40,INV_3!$A:$A,0),MATCH('2020'!$A$1,INV_3!$3:$3,0))/B40*10^6/C40</f>
        <v>4.1564181224041539</v>
      </c>
      <c r="Q40" s="87">
        <f>INDEX(INV_4!$A:$J,MATCH('2020'!$A40,INV_4!$A:$A,0),MATCH('2020'!$A$1,INV_4!$3:$3,0))/B40*10^3/C40</f>
        <v>0.26020500815539371</v>
      </c>
      <c r="R40" s="34">
        <f>INDEX(INV_5!$A:$J,MATCH('2020'!$A40,INV_5!$A:$A,0),MATCH('2020'!$A$1,INV_5!$3:$3,0))</f>
        <v>6.9500000000000006E-2</v>
      </c>
      <c r="S40" s="77">
        <f>INDEX(LUJ_1!$A:$J,MATCH('2020'!$A40,LUJ_1!$A:$A,0),MATCH('2020'!$A$1,LUJ_1!$3:$3,0))</f>
        <v>0.80449826989619377</v>
      </c>
      <c r="T40" s="73">
        <f>INDEX(LUJ_2!$A:$J,MATCH('2020'!$A40,LUJ_2!$A:$A,0),MATCH('2020'!$A$1,LUJ_2!$3:$3,0))</f>
        <v>0.21199999999999999</v>
      </c>
      <c r="U40" s="73">
        <f>INDEX(LUJ_3!$A:$J,MATCH('2020'!$A40,LUJ_3!$A:$A,0),MATCH('2020'!$A$1,LUJ_3!$3:$3,0))</f>
        <v>0.36059651662460795</v>
      </c>
      <c r="V40" s="14">
        <f>INDEX(LUJ_4!$A:$J,MATCH('2020'!$A40,LUJ_4!$A:$A,0),MATCH('2020'!$A$1,LUJ_4!$3:$3,0))</f>
        <v>14</v>
      </c>
      <c r="W40" s="34">
        <f>INDEX(LUJ_5!$A:$J,MATCH('2020'!$A40,LUJ_5!$A:$A,0),MATCH('2020'!$A$1,LUJ_5!$3:$3,0))</f>
        <v>40.200000000000003</v>
      </c>
      <c r="X40" s="98">
        <f>1/INDEX(GUL_1!$A:$J,MATCH('2020'!$A40,GUL_1!$A:$A,0),MATCH('2020'!$A$1,GUL_1!$3:$3,0))</f>
        <v>1.4245014245014245E-2</v>
      </c>
      <c r="Y40" s="57">
        <f>INDEX(GUL_2!$A:$J,MATCH('2020'!$A40,GUL_2!$A:$A,0),MATCH('2020'!$A$1,GUL_2!$3:$3,0))</f>
        <v>26.1</v>
      </c>
      <c r="Z40" s="57">
        <f>INDEX(GUL_3!$A:$J,MATCH('2020'!$A40,GUL_3!$A:$A,0),MATCH('2020'!$A$1,GUL_3!$3:$3,0))/(B40/1000)</f>
        <v>1.0982628019974903</v>
      </c>
      <c r="AA40" s="101">
        <f>INDEX(GUL_4!$A:$J,MATCH('2020'!$A40,GUL_4!$A:$A,0),MATCH('2020'!$A$1,GUL_4!$3:$3,0))/B40/C40*10^6</f>
        <v>0.18165452109354618</v>
      </c>
      <c r="AB40" s="73">
        <f>INDEX(GUL_5!$A:$J,MATCH('2020'!$A40,GUL_5!$A:$A,0),MATCH('2020'!$A$1,GUL_5!$3:$3,0))</f>
        <v>3.0098423239531193E-2</v>
      </c>
      <c r="AC40" s="49">
        <f>INDEX(GUL_6!$A:$J,MATCH('2020'!$A40,GUL_6!$A:$A,0),MATCH('2020'!$A$1,GUL_6!$3:$3,0))</f>
        <v>2.5000000000000001E-2</v>
      </c>
      <c r="AD40" s="49">
        <f>INDEX(GUL_7!$A:$J,MATCH('2020'!$A40,GUL_7!$A:$A,0),MATCH('2020'!$A$1,GUL_7!$3:$3,0))</f>
        <v>0.18470880000000001</v>
      </c>
      <c r="AE40" s="103">
        <f>INDEX(GUL_8!$A:$J,MATCH('2020'!$A40,GUL_8!$A:$A,0),MATCH('2020'!$A$1,GUL_8!$3:$3,0))/(B40/1000)</f>
        <v>1.4927651442312457</v>
      </c>
      <c r="AF40" s="41">
        <f>INDEX(DES_1!$A:$J,MATCH('2020'!$A40,DES_1!$A:$A,0),MATCH('2020'!$A$1,DES_1!$3:$3,0))/(B40/1000)</f>
        <v>0.11431977421514189</v>
      </c>
      <c r="AG40" s="100">
        <f>INDEX(DES_2!$A:$J,MATCH('2020'!$A40,DES_2!$A:$A,0),MATCH('2020'!$A$1,DES_2!$3:$3,0))/(B40/1000)</f>
        <v>0.20485046246643923</v>
      </c>
      <c r="AH40" s="57">
        <f>1/INDEX(DES_3!$A:$J,MATCH('2020'!$A40,DES_3!$A:$A,0),MATCH('2020'!$A$1,DES_3!$3:$3,0))</f>
        <v>6.7024128686327079E-3</v>
      </c>
      <c r="AI40" s="80">
        <f>INDEX(DES_4!$A:$J,MATCH('2020'!$A40,DES_4!$A:$A,0),MATCH('2020'!$A$1,DES_4!$3:$3,0))</f>
        <v>0.91199756136599996</v>
      </c>
      <c r="AJ40" s="110">
        <f>INDEX(DES_5!$A:$J,MATCH('2020'!$A40,DES_5!$A:$A,0),MATCH('2020'!$A$1,DES_5!$3:$3,0))</f>
        <v>0.51383684730900003</v>
      </c>
      <c r="AK40" s="57">
        <v>65</v>
      </c>
    </row>
    <row r="41" spans="1:37" x14ac:dyDescent="0.3">
      <c r="A41" s="29" t="s">
        <v>40</v>
      </c>
      <c r="B41" s="33">
        <f>INDEX(Population!$A:$J,MATCH('2020'!$A41,Population!$A:$A,0),MATCH('2020'!$A$1,Population!$3:$3,0))</f>
        <v>1054095</v>
      </c>
      <c r="C41" s="14">
        <f>INDEX(Income!$A:$J,MATCH('2020'!$A41,Income!$A:$A,0),MATCH('2020'!$A$1,Income!$3:$3,0))</f>
        <v>32559</v>
      </c>
      <c r="D41" s="34">
        <f>INDEX(Livable_wage!$A:$J,MATCH('2020'!$A41,Livable_wage!$A:$A,0),MATCH('2020'!$A$1,Livable_wage!$3:$3,0))</f>
        <v>11518</v>
      </c>
      <c r="E41" s="41">
        <f>INDEX(AVA_1!$A:$J,MATCH('2020'!$A41,AVA_1!$A:$A,0),MATCH('2020'!$A$1,AVA_1!$3:$3,0))</f>
        <v>0.35899999999999999</v>
      </c>
      <c r="F41" s="15">
        <f>INDEX(AVA_2!$A:$J,MATCH('2020'!$A41,AVA_2!$A:$A,0),MATCH('2020'!$A$1,AVA_2!$3:$3,0))</f>
        <v>1.0115663538494793E-2</v>
      </c>
      <c r="G41" s="15">
        <f>INDEX(AVA_3!$A:$J,MATCH('2020'!$A41,AVA_3!$A:$A,0),MATCH('2020'!$A$1,AVA_3!$3:$3,0))</f>
        <v>2.5654377571968163E-2</v>
      </c>
      <c r="H41" s="87">
        <f>INDEX(AVA_4!$A:$J,MATCH('2020'!$A41,AVA_4!$A:$A,0),MATCH('2020'!$A$1,AVA_4!$3:$3,0))/(B41/1000)</f>
        <v>0.65364127521712934</v>
      </c>
      <c r="I41" s="89">
        <f>INDEX(AVA_5!$A:$J,MATCH('2020'!$A41,AVA_5!$A:$A,0),MATCH('2020'!$A$1,AVA_5!$3:$3,0))/(B41/1000)</f>
        <v>6.3001911592408648</v>
      </c>
      <c r="J41" s="93">
        <f>INDEX(IRA_1!$A:$J,MATCH('2020'!$A41,IRA_1!$A:$A,0),MATCH('2020'!$A$1,IRA_1!$3:$3,0))/(B41/1000)</f>
        <v>5.4074822478049893E-2</v>
      </c>
      <c r="K41" s="88">
        <f>INDEX(IRA_2!$A:$J,MATCH('2020'!$A41,IRA_2!$A:$A,0),MATCH('2020'!$A$1,IRA_2!$3:$3,0))/(B41/1000)</f>
        <v>0.11099568824441819</v>
      </c>
      <c r="L41" s="15">
        <f>INDEX(IRA_3!$A:$J,MATCH('2020'!$A41,IRA_3!$A:$A,0),MATCH('2020'!$A$1,IRA_3!$3:$3,0))</f>
        <v>0.48558839728290804</v>
      </c>
      <c r="M41" s="96">
        <f>INDEX(IRA_4!$A:$J,MATCH('2020'!$A41,IRA_4!$A:$A,0),MATCH('2020'!$A$1,IRA_4!$3:$3,0))/(B41/1000)</f>
        <v>5.1807474658356218</v>
      </c>
      <c r="N41" s="61">
        <f>INDEX(INV_1!$A:$J,MATCH('2020'!$A41,INV_1!$A:$A,0),MATCH('2020'!$A$1,INV_1!$3:$3,0))</f>
        <v>7.1481298435966373E-2</v>
      </c>
      <c r="O41" s="80">
        <f>INDEX(INV_2!$A:$J,MATCH('2020'!$A41,INV_2!$A:$A,0),MATCH('2020'!$A$1,INV_2!$3:$3,0))/B41*10^6/C41</f>
        <v>0.42087115567471134</v>
      </c>
      <c r="P41" s="87">
        <f>INDEX(INV_3!$A:$J,MATCH('2020'!$A41,INV_3!$A:$A,0),MATCH('2020'!$A$1,INV_3!$3:$3,0))/B41*10^6/C41</f>
        <v>4.3511592531962888</v>
      </c>
      <c r="Q41" s="87">
        <f>INDEX(INV_4!$A:$J,MATCH('2020'!$A41,INV_4!$A:$A,0),MATCH('2020'!$A$1,INV_4!$3:$3,0))/B41*10^3/C41</f>
        <v>0.24313688634263803</v>
      </c>
      <c r="R41" s="34">
        <f>INDEX(INV_5!$A:$J,MATCH('2020'!$A41,INV_5!$A:$A,0),MATCH('2020'!$A$1,INV_5!$3:$3,0))</f>
        <v>8.5099999999999995E-2</v>
      </c>
      <c r="S41" s="77">
        <f>INDEX(LUJ_1!$A:$J,MATCH('2020'!$A41,LUJ_1!$A:$A,0),MATCH('2020'!$A$1,LUJ_1!$3:$3,0))</f>
        <v>0.79383886255924174</v>
      </c>
      <c r="T41" s="73">
        <f>INDEX(LUJ_2!$A:$J,MATCH('2020'!$A41,LUJ_2!$A:$A,0),MATCH('2020'!$A$1,LUJ_2!$3:$3,0))</f>
        <v>0.20300000000000001</v>
      </c>
      <c r="U41" s="73">
        <f>INDEX(LUJ_3!$A:$J,MATCH('2020'!$A41,LUJ_3!$A:$A,0),MATCH('2020'!$A$1,LUJ_3!$3:$3,0))</f>
        <v>0.32649420160570919</v>
      </c>
      <c r="V41" s="14">
        <f>INDEX(LUJ_4!$A:$J,MATCH('2020'!$A41,LUJ_4!$A:$A,0),MATCH('2020'!$A$1,LUJ_4!$3:$3,0))</f>
        <v>20</v>
      </c>
      <c r="W41" s="34">
        <f>INDEX(LUJ_5!$A:$J,MATCH('2020'!$A41,LUJ_5!$A:$A,0),MATCH('2020'!$A$1,LUJ_5!$3:$3,0))</f>
        <v>24.8</v>
      </c>
      <c r="X41" s="98">
        <f>1/INDEX(GUL_1!$A:$J,MATCH('2020'!$A41,GUL_1!$A:$A,0),MATCH('2020'!$A$1,GUL_1!$3:$3,0))</f>
        <v>1.4208581983518046E-2</v>
      </c>
      <c r="Y41" s="57">
        <f>INDEX(GUL_2!$A:$J,MATCH('2020'!$A41,GUL_2!$A:$A,0),MATCH('2020'!$A$1,GUL_2!$3:$3,0))</f>
        <v>25.4</v>
      </c>
      <c r="Z41" s="57">
        <f>INDEX(GUL_3!$A:$J,MATCH('2020'!$A41,GUL_3!$A:$A,0),MATCH('2020'!$A$1,GUL_3!$3:$3,0))/(B41/1000)</f>
        <v>0.87942737609039034</v>
      </c>
      <c r="AA41" s="101">
        <f>INDEX(GUL_4!$A:$J,MATCH('2020'!$A41,GUL_4!$A:$A,0),MATCH('2020'!$A$1,GUL_4!$3:$3,0))/B41/C41*10^6</f>
        <v>0.27579583403274305</v>
      </c>
      <c r="AB41" s="73">
        <f>INDEX(GUL_5!$A:$J,MATCH('2020'!$A41,GUL_5!$A:$A,0),MATCH('2020'!$A$1,GUL_5!$3:$3,0))</f>
        <v>2.8239226333064863E-2</v>
      </c>
      <c r="AC41" s="49">
        <f>INDEX(GUL_6!$A:$J,MATCH('2020'!$A41,GUL_6!$A:$A,0),MATCH('2020'!$A$1,GUL_6!$3:$3,0))</f>
        <v>2.6800000000000001E-2</v>
      </c>
      <c r="AD41" s="49">
        <f>INDEX(GUL_7!$A:$J,MATCH('2020'!$A41,GUL_7!$A:$A,0),MATCH('2020'!$A$1,GUL_7!$3:$3,0))</f>
        <v>0.19572430000000002</v>
      </c>
      <c r="AE41" s="103">
        <f>INDEX(GUL_8!$A:$J,MATCH('2020'!$A41,GUL_8!$A:$A,0),MATCH('2020'!$A$1,GUL_8!$3:$3,0))/(B41/1000)</f>
        <v>1.8195703423315734</v>
      </c>
      <c r="AF41" s="41">
        <f>INDEX(DES_1!$A:$J,MATCH('2020'!$A41,DES_1!$A:$A,0),MATCH('2020'!$A$1,DES_1!$3:$3,0))/(B41/1000)</f>
        <v>0.13186667235875324</v>
      </c>
      <c r="AG41" s="100">
        <f>INDEX(DES_2!$A:$J,MATCH('2020'!$A41,DES_2!$A:$A,0),MATCH('2020'!$A$1,DES_2!$3:$3,0))/(B41/1000)</f>
        <v>0.33583310802157301</v>
      </c>
      <c r="AH41" s="57">
        <f>1/INDEX(DES_3!$A:$J,MATCH('2020'!$A41,DES_3!$A:$A,0),MATCH('2020'!$A$1,DES_3!$3:$3,0))</f>
        <v>7.8064012490241998E-3</v>
      </c>
      <c r="AI41" s="80">
        <f>INDEX(DES_4!$A:$J,MATCH('2020'!$A41,DES_4!$A:$A,0),MATCH('2020'!$A$1,DES_4!$3:$3,0))</f>
        <v>0.79966440393599991</v>
      </c>
      <c r="AJ41" s="110">
        <f>INDEX(DES_5!$A:$J,MATCH('2020'!$A41,DES_5!$A:$A,0),MATCH('2020'!$A$1,DES_5!$3:$3,0))</f>
        <v>0.56238432752800005</v>
      </c>
      <c r="AK41" s="57">
        <v>64</v>
      </c>
    </row>
    <row r="42" spans="1:37" x14ac:dyDescent="0.3">
      <c r="A42" s="29" t="s">
        <v>41</v>
      </c>
      <c r="B42" s="33">
        <f>INDEX(Population!$A:$J,MATCH('2020'!$A42,Population!$A:$A,0),MATCH('2020'!$A$1,Population!$3:$3,0))</f>
        <v>1213385</v>
      </c>
      <c r="C42" s="14">
        <f>INDEX(Income!$A:$J,MATCH('2020'!$A42,Income!$A:$A,0),MATCH('2020'!$A$1,Income!$3:$3,0))</f>
        <v>24596</v>
      </c>
      <c r="D42" s="34">
        <f>INDEX(Livable_wage!$A:$J,MATCH('2020'!$A42,Livable_wage!$A:$A,0),MATCH('2020'!$A$1,Livable_wage!$3:$3,0))</f>
        <v>11088</v>
      </c>
      <c r="E42" s="41">
        <f>INDEX(AVA_1!$A:$J,MATCH('2020'!$A42,AVA_1!$A:$A,0),MATCH('2020'!$A$1,AVA_1!$3:$3,0))</f>
        <v>0.34899999999999998</v>
      </c>
      <c r="F42" s="15">
        <f>INDEX(AVA_2!$A:$J,MATCH('2020'!$A42,AVA_2!$A:$A,0),MATCH('2020'!$A$1,AVA_2!$3:$3,0))</f>
        <v>1.3579920476145337E-2</v>
      </c>
      <c r="G42" s="15">
        <f>INDEX(AVA_3!$A:$J,MATCH('2020'!$A42,AVA_3!$A:$A,0),MATCH('2020'!$A$1,AVA_3!$3:$3,0))</f>
        <v>0.14356508368916301</v>
      </c>
      <c r="H42" s="87">
        <f>INDEX(AVA_4!$A:$J,MATCH('2020'!$A42,AVA_4!$A:$A,0),MATCH('2020'!$A$1,AVA_4!$3:$3,0))/(B42/1000)</f>
        <v>0.55547085220272219</v>
      </c>
      <c r="I42" s="89">
        <f>INDEX(AVA_5!$A:$J,MATCH('2020'!$A42,AVA_5!$A:$A,0),MATCH('2020'!$A$1,AVA_5!$3:$3,0))/(B42/1000)</f>
        <v>3.4399634081515762</v>
      </c>
      <c r="J42" s="93">
        <f>INDEX(IRA_1!$A:$J,MATCH('2020'!$A42,IRA_1!$A:$A,0),MATCH('2020'!$A$1,IRA_1!$3:$3,0))/(B42/1000)</f>
        <v>5.851399184924818E-2</v>
      </c>
      <c r="K42" s="88">
        <f>INDEX(IRA_2!$A:$J,MATCH('2020'!$A42,IRA_2!$A:$A,0),MATCH('2020'!$A$1,IRA_2!$3:$3,0))/(B42/1000)</f>
        <v>0.11867626515903856</v>
      </c>
      <c r="L42" s="15">
        <f>INDEX(IRA_3!$A:$J,MATCH('2020'!$A42,IRA_3!$A:$A,0),MATCH('2020'!$A$1,IRA_3!$3:$3,0))</f>
        <v>0.36622976098689286</v>
      </c>
      <c r="M42" s="96">
        <f>INDEX(IRA_4!$A:$J,MATCH('2020'!$A42,IRA_4!$A:$A,0),MATCH('2020'!$A$1,IRA_4!$3:$3,0))/(B42/1000)</f>
        <v>1.9713446268084738</v>
      </c>
      <c r="N42" s="61">
        <f>INDEX(INV_1!$A:$J,MATCH('2020'!$A42,INV_1!$A:$A,0),MATCH('2020'!$A$1,INV_1!$3:$3,0))</f>
        <v>6.5698485654380148E-2</v>
      </c>
      <c r="O42" s="80">
        <f>INDEX(INV_2!$A:$J,MATCH('2020'!$A42,INV_2!$A:$A,0),MATCH('2020'!$A$1,INV_2!$3:$3,0))/B42*10^6/C42</f>
        <v>0.34849338218578846</v>
      </c>
      <c r="P42" s="87">
        <f>INDEX(INV_3!$A:$J,MATCH('2020'!$A42,INV_3!$A:$A,0),MATCH('2020'!$A$1,INV_3!$3:$3,0))/B42*10^6/C42</f>
        <v>4.5955998365129425</v>
      </c>
      <c r="Q42" s="87">
        <f>INDEX(INV_4!$A:$J,MATCH('2020'!$A42,INV_4!$A:$A,0),MATCH('2020'!$A$1,INV_4!$3:$3,0))/B42*10^3/C42</f>
        <v>0.29265235958135533</v>
      </c>
      <c r="R42" s="34">
        <f>INDEX(INV_5!$A:$J,MATCH('2020'!$A42,INV_5!$A:$A,0),MATCH('2020'!$A$1,INV_5!$3:$3,0))</f>
        <v>7.0400000000000004E-2</v>
      </c>
      <c r="S42" s="77">
        <f>INDEX(LUJ_1!$A:$J,MATCH('2020'!$A42,LUJ_1!$A:$A,0),MATCH('2020'!$A$1,LUJ_1!$3:$3,0))</f>
        <v>0.75713065755764308</v>
      </c>
      <c r="T42" s="73">
        <f>INDEX(LUJ_2!$A:$J,MATCH('2020'!$A42,LUJ_2!$A:$A,0),MATCH('2020'!$A$1,LUJ_2!$3:$3,0))</f>
        <v>0.16899999999999998</v>
      </c>
      <c r="U42" s="73">
        <f>INDEX(LUJ_3!$A:$J,MATCH('2020'!$A42,LUJ_3!$A:$A,0),MATCH('2020'!$A$1,LUJ_3!$3:$3,0))</f>
        <v>0.43995390128322309</v>
      </c>
      <c r="V42" s="14">
        <f>INDEX(LUJ_4!$A:$J,MATCH('2020'!$A42,LUJ_4!$A:$A,0),MATCH('2020'!$A$1,LUJ_4!$3:$3,0))</f>
        <v>24</v>
      </c>
      <c r="W42" s="34">
        <f>INDEX(LUJ_5!$A:$J,MATCH('2020'!$A42,LUJ_5!$A:$A,0),MATCH('2020'!$A$1,LUJ_5!$3:$3,0))</f>
        <v>47.6</v>
      </c>
      <c r="X42" s="98">
        <f>1/INDEX(GUL_1!$A:$J,MATCH('2020'!$A42,GUL_1!$A:$A,0),MATCH('2020'!$A$1,GUL_1!$3:$3,0))</f>
        <v>1.4088475626937165E-2</v>
      </c>
      <c r="Y42" s="57">
        <f>INDEX(GUL_2!$A:$J,MATCH('2020'!$A42,GUL_2!$A:$A,0),MATCH('2020'!$A$1,GUL_2!$3:$3,0))</f>
        <v>25.6</v>
      </c>
      <c r="Z42" s="57">
        <f>INDEX(GUL_3!$A:$J,MATCH('2020'!$A42,GUL_3!$A:$A,0),MATCH('2020'!$A$1,GUL_3!$3:$3,0))/(B42/1000)</f>
        <v>0.81919588588947445</v>
      </c>
      <c r="AA42" s="101">
        <f>INDEX(GUL_4!$A:$J,MATCH('2020'!$A42,GUL_4!$A:$A,0),MATCH('2020'!$A$1,GUL_4!$3:$3,0))/B42/C42*10^6</f>
        <v>0.19930360537183026</v>
      </c>
      <c r="AB42" s="73">
        <f>INDEX(GUL_5!$A:$J,MATCH('2020'!$A42,GUL_5!$A:$A,0),MATCH('2020'!$A$1,GUL_5!$3:$3,0))</f>
        <v>1.7335075920340733E-2</v>
      </c>
      <c r="AC42" s="49">
        <f>INDEX(GUL_6!$A:$J,MATCH('2020'!$A42,GUL_6!$A:$A,0),MATCH('2020'!$A$1,GUL_6!$3:$3,0))</f>
        <v>2.4799999999999999E-2</v>
      </c>
      <c r="AD42" s="49">
        <f>INDEX(GUL_7!$A:$J,MATCH('2020'!$A42,GUL_7!$A:$A,0),MATCH('2020'!$A$1,GUL_7!$3:$3,0))</f>
        <v>0.1933068</v>
      </c>
      <c r="AE42" s="103">
        <f>INDEX(GUL_8!$A:$J,MATCH('2020'!$A42,GUL_8!$A:$A,0),MATCH('2020'!$A$1,GUL_8!$3:$3,0))/(B42/1000)</f>
        <v>2.1262830840994407</v>
      </c>
      <c r="AF42" s="41">
        <f>INDEX(DES_1!$A:$J,MATCH('2020'!$A42,DES_1!$A:$A,0),MATCH('2020'!$A$1,DES_1!$3:$3,0))/(B42/1000)</f>
        <v>9.147962106009222E-2</v>
      </c>
      <c r="AG42" s="100">
        <f>INDEX(DES_2!$A:$J,MATCH('2020'!$A42,DES_2!$A:$A,0),MATCH('2020'!$A$1,DES_2!$3:$3,0))/(B42/1000)</f>
        <v>0.58761234068329504</v>
      </c>
      <c r="AH42" s="57">
        <f>1/INDEX(DES_3!$A:$J,MATCH('2020'!$A42,DES_3!$A:$A,0),MATCH('2020'!$A$1,DES_3!$3:$3,0))</f>
        <v>8.1833060556464818E-3</v>
      </c>
      <c r="AI42" s="80">
        <f>INDEX(DES_4!$A:$J,MATCH('2020'!$A42,DES_4!$A:$A,0),MATCH('2020'!$A$1,DES_4!$3:$3,0))</f>
        <v>0.53299885923500001</v>
      </c>
      <c r="AJ42" s="110">
        <f>INDEX(DES_5!$A:$J,MATCH('2020'!$A42,DES_5!$A:$A,0),MATCH('2020'!$A$1,DES_5!$3:$3,0))</f>
        <v>0.38126070279399998</v>
      </c>
      <c r="AK42" s="57">
        <v>63</v>
      </c>
    </row>
    <row r="43" spans="1:37" x14ac:dyDescent="0.3">
      <c r="A43" s="29" t="s">
        <v>42</v>
      </c>
      <c r="B43" s="33">
        <f>INDEX(Population!$A:$J,MATCH('2020'!$A43,Population!$A:$A,0),MATCH('2020'!$A$1,Population!$3:$3,0))</f>
        <v>681613</v>
      </c>
      <c r="C43" s="14">
        <f>INDEX(Income!$A:$J,MATCH('2020'!$A43,Income!$A:$A,0),MATCH('2020'!$A$1,Income!$3:$3,0))</f>
        <v>21271</v>
      </c>
      <c r="D43" s="34">
        <f>INDEX(Livable_wage!$A:$J,MATCH('2020'!$A43,Livable_wage!$A:$A,0),MATCH('2020'!$A$1,Livable_wage!$3:$3,0))</f>
        <v>10568</v>
      </c>
      <c r="E43" s="41">
        <f>INDEX(AVA_1!$A:$J,MATCH('2020'!$A43,AVA_1!$A:$A,0),MATCH('2020'!$A$1,AVA_1!$3:$3,0))</f>
        <v>0.35499999999999998</v>
      </c>
      <c r="F43" s="15">
        <f>INDEX(AVA_2!$A:$J,MATCH('2020'!$A43,AVA_2!$A:$A,0),MATCH('2020'!$A$1,AVA_2!$3:$3,0))</f>
        <v>9.7245441691881859E-3</v>
      </c>
      <c r="G43" s="15">
        <f>INDEX(AVA_3!$A:$J,MATCH('2020'!$A43,AVA_3!$A:$A,0),MATCH('2020'!$A$1,AVA_3!$3:$3,0))</f>
        <v>7.6429213090643371E-3</v>
      </c>
      <c r="H43" s="87">
        <f>INDEX(AVA_4!$A:$J,MATCH('2020'!$A43,AVA_4!$A:$A,0),MATCH('2020'!$A$1,AVA_4!$3:$3,0))/(B43/1000)</f>
        <v>0.62645518791454968</v>
      </c>
      <c r="I43" s="89">
        <f>INDEX(AVA_5!$A:$J,MATCH('2020'!$A43,AVA_5!$A:$A,0),MATCH('2020'!$A$1,AVA_5!$3:$3,0))/(B43/1000)</f>
        <v>4.0404158958235827</v>
      </c>
      <c r="J43" s="93">
        <f>INDEX(IRA_1!$A:$J,MATCH('2020'!$A43,IRA_1!$A:$A,0),MATCH('2020'!$A$1,IRA_1!$3:$3,0))/(B43/1000)</f>
        <v>6.8954083915653011E-2</v>
      </c>
      <c r="K43" s="88">
        <f>INDEX(IRA_2!$A:$J,MATCH('2020'!$A43,IRA_2!$A:$A,0),MATCH('2020'!$A$1,IRA_2!$3:$3,0))/(B43/1000)</f>
        <v>0.14230949233656048</v>
      </c>
      <c r="L43" s="15">
        <f>INDEX(IRA_3!$A:$J,MATCH('2020'!$A43,IRA_3!$A:$A,0),MATCH('2020'!$A$1,IRA_3!$3:$3,0))</f>
        <v>0.42015267175572524</v>
      </c>
      <c r="M43" s="96">
        <f>INDEX(IRA_4!$A:$J,MATCH('2020'!$A43,IRA_4!$A:$A,0),MATCH('2020'!$A$1,IRA_4!$3:$3,0))/(B43/1000)</f>
        <v>3.5093227388562127</v>
      </c>
      <c r="N43" s="61">
        <f>INDEX(INV_1!$A:$J,MATCH('2020'!$A43,INV_1!$A:$A,0),MATCH('2020'!$A$1,INV_1!$3:$3,0))</f>
        <v>8.6146417708212381E-2</v>
      </c>
      <c r="O43" s="80">
        <f>INDEX(INV_2!$A:$J,MATCH('2020'!$A43,INV_2!$A:$A,0),MATCH('2020'!$A$1,INV_2!$3:$3,0))/B43*10^6/C43</f>
        <v>0.37084262879261753</v>
      </c>
      <c r="P43" s="87">
        <f>INDEX(INV_3!$A:$J,MATCH('2020'!$A43,INV_3!$A:$A,0),MATCH('2020'!$A$1,INV_3!$3:$3,0))/B43*10^6/C43</f>
        <v>4.8598518478168033</v>
      </c>
      <c r="Q43" s="87">
        <f>INDEX(INV_4!$A:$J,MATCH('2020'!$A43,INV_4!$A:$A,0),MATCH('2020'!$A$1,INV_4!$3:$3,0))/B43*10^3/C43</f>
        <v>0.31575899181655903</v>
      </c>
      <c r="R43" s="34">
        <f>INDEX(INV_5!$A:$J,MATCH('2020'!$A43,INV_5!$A:$A,0),MATCH('2020'!$A$1,INV_5!$3:$3,0))</f>
        <v>7.2800000000000004E-2</v>
      </c>
      <c r="S43" s="77">
        <f>INDEX(LUJ_1!$A:$J,MATCH('2020'!$A43,LUJ_1!$A:$A,0),MATCH('2020'!$A$1,LUJ_1!$3:$3,0))</f>
        <v>0.86631419939577037</v>
      </c>
      <c r="T43" s="73">
        <f>INDEX(LUJ_2!$A:$J,MATCH('2020'!$A43,LUJ_2!$A:$A,0),MATCH('2020'!$A$1,LUJ_2!$3:$3,0))</f>
        <v>0.23100000000000001</v>
      </c>
      <c r="U43" s="73">
        <f>INDEX(LUJ_3!$A:$J,MATCH('2020'!$A43,LUJ_3!$A:$A,0),MATCH('2020'!$A$1,LUJ_3!$3:$3,0))</f>
        <v>0.58732397971089989</v>
      </c>
      <c r="V43" s="14">
        <f>INDEX(LUJ_4!$A:$J,MATCH('2020'!$A43,LUJ_4!$A:$A,0),MATCH('2020'!$A$1,LUJ_4!$3:$3,0))</f>
        <v>8</v>
      </c>
      <c r="W43" s="34">
        <f>INDEX(LUJ_5!$A:$J,MATCH('2020'!$A43,LUJ_5!$A:$A,0),MATCH('2020'!$A$1,LUJ_5!$3:$3,0))</f>
        <v>32.4</v>
      </c>
      <c r="X43" s="98">
        <f>1/INDEX(GUL_1!$A:$J,MATCH('2020'!$A43,GUL_1!$A:$A,0),MATCH('2020'!$A$1,GUL_1!$3:$3,0))</f>
        <v>1.4074595355383534E-2</v>
      </c>
      <c r="Y43" s="57">
        <f>INDEX(GUL_2!$A:$J,MATCH('2020'!$A43,GUL_2!$A:$A,0),MATCH('2020'!$A$1,GUL_2!$3:$3,0))</f>
        <v>24.5</v>
      </c>
      <c r="Z43" s="57">
        <f>INDEX(GUL_3!$A:$J,MATCH('2020'!$A43,GUL_3!$A:$A,0),MATCH('2020'!$A$1,GUL_3!$3:$3,0))/(B43/1000)</f>
        <v>0.99469933818750511</v>
      </c>
      <c r="AA43" s="101">
        <f>INDEX(GUL_4!$A:$J,MATCH('2020'!$A43,GUL_4!$A:$A,0),MATCH('2020'!$A$1,GUL_4!$3:$3,0))/B43/C43*10^6</f>
        <v>0.29609016901511864</v>
      </c>
      <c r="AB43" s="73">
        <f>INDEX(GUL_5!$A:$J,MATCH('2020'!$A43,GUL_5!$A:$A,0),MATCH('2020'!$A$1,GUL_5!$3:$3,0))</f>
        <v>3.0674691650484108E-2</v>
      </c>
      <c r="AC43" s="49">
        <f>INDEX(GUL_6!$A:$J,MATCH('2020'!$A43,GUL_6!$A:$A,0),MATCH('2020'!$A$1,GUL_6!$3:$3,0))</f>
        <v>4.2000000000000003E-2</v>
      </c>
      <c r="AD43" s="49">
        <f>INDEX(GUL_7!$A:$J,MATCH('2020'!$A43,GUL_7!$A:$A,0),MATCH('2020'!$A$1,GUL_7!$3:$3,0))</f>
        <v>0.20144290000000001</v>
      </c>
      <c r="AE43" s="103">
        <f>INDEX(GUL_8!$A:$J,MATCH('2020'!$A43,GUL_8!$A:$A,0),MATCH('2020'!$A$1,GUL_8!$3:$3,0))/(B43/1000)</f>
        <v>2.1991951444588058</v>
      </c>
      <c r="AF43" s="41">
        <f>INDEX(DES_1!$A:$J,MATCH('2020'!$A43,DES_1!$A:$A,0),MATCH('2020'!$A$1,DES_1!$3:$3,0))/(B43/1000)</f>
        <v>0.13644105966288789</v>
      </c>
      <c r="AG43" s="100">
        <f>INDEX(DES_2!$A:$J,MATCH('2020'!$A43,DES_2!$A:$A,0),MATCH('2020'!$A$1,DES_2!$3:$3,0))/(B43/1000)</f>
        <v>0.20099381907328645</v>
      </c>
      <c r="AH43" s="57">
        <f>1/INDEX(DES_3!$A:$J,MATCH('2020'!$A43,DES_3!$A:$A,0),MATCH('2020'!$A$1,DES_3!$3:$3,0))</f>
        <v>7.6045627376425855E-3</v>
      </c>
      <c r="AI43" s="80">
        <f>INDEX(DES_4!$A:$J,MATCH('2020'!$A43,DES_4!$A:$A,0),MATCH('2020'!$A$1,DES_4!$3:$3,0))</f>
        <v>0.82205215372200002</v>
      </c>
      <c r="AJ43" s="110">
        <f>INDEX(DES_5!$A:$J,MATCH('2020'!$A43,DES_5!$A:$A,0),MATCH('2020'!$A$1,DES_5!$3:$3,0))</f>
        <v>0.46660850843200002</v>
      </c>
      <c r="AK43" s="57">
        <v>60</v>
      </c>
    </row>
    <row r="44" spans="1:37" x14ac:dyDescent="0.3">
      <c r="A44" s="29" t="s">
        <v>43</v>
      </c>
      <c r="B44" s="33">
        <f>INDEX(Population!$A:$J,MATCH('2020'!$A44,Population!$A:$A,0),MATCH('2020'!$A$1,Population!$3:$3,0))</f>
        <v>908257</v>
      </c>
      <c r="C44" s="14">
        <f>INDEX(Income!$A:$J,MATCH('2020'!$A44,Income!$A:$A,0),MATCH('2020'!$A$1,Income!$3:$3,0))</f>
        <v>28256</v>
      </c>
      <c r="D44" s="34">
        <f>INDEX(Livable_wage!$A:$J,MATCH('2020'!$A44,Livable_wage!$A:$A,0),MATCH('2020'!$A$1,Livable_wage!$3:$3,0))</f>
        <v>11572</v>
      </c>
      <c r="E44" s="41">
        <f>INDEX(AVA_1!$A:$J,MATCH('2020'!$A44,AVA_1!$A:$A,0),MATCH('2020'!$A$1,AVA_1!$3:$3,0))</f>
        <v>0.38100000000000001</v>
      </c>
      <c r="F44" s="15">
        <f>INDEX(AVA_2!$A:$J,MATCH('2020'!$A44,AVA_2!$A:$A,0),MATCH('2020'!$A$1,AVA_2!$3:$3,0))</f>
        <v>9.0642640906426417E-3</v>
      </c>
      <c r="G44" s="15">
        <f>INDEX(AVA_3!$A:$J,MATCH('2020'!$A44,AVA_3!$A:$A,0),MATCH('2020'!$A$1,AVA_3!$3:$3,0))</f>
        <v>1.0549453360026209E-2</v>
      </c>
      <c r="H44" s="87">
        <f>INDEX(AVA_4!$A:$J,MATCH('2020'!$A44,AVA_4!$A:$A,0),MATCH('2020'!$A$1,AVA_4!$3:$3,0))/(B44/1000)</f>
        <v>0.75639384006949584</v>
      </c>
      <c r="I44" s="89">
        <f>INDEX(AVA_5!$A:$J,MATCH('2020'!$A44,AVA_5!$A:$A,0),MATCH('2020'!$A$1,AVA_5!$3:$3,0))/(B44/1000)</f>
        <v>6.0148173919936765</v>
      </c>
      <c r="J44" s="93">
        <f>INDEX(IRA_1!$A:$J,MATCH('2020'!$A44,IRA_1!$A:$A,0),MATCH('2020'!$A$1,IRA_1!$3:$3,0))/(B44/1000)</f>
        <v>6.8262617298848235E-2</v>
      </c>
      <c r="K44" s="88">
        <f>INDEX(IRA_2!$A:$J,MATCH('2020'!$A44,IRA_2!$A:$A,0),MATCH('2020'!$A$1,IRA_2!$3:$3,0))/(B44/1000)</f>
        <v>0.12441412507693307</v>
      </c>
      <c r="L44" s="15">
        <f>INDEX(IRA_3!$A:$J,MATCH('2020'!$A44,IRA_3!$A:$A,0),MATCH('2020'!$A$1,IRA_3!$3:$3,0))</f>
        <v>0.45330403390362584</v>
      </c>
      <c r="M44" s="96">
        <f>INDEX(IRA_4!$A:$J,MATCH('2020'!$A44,IRA_4!$A:$A,0),MATCH('2020'!$A$1,IRA_4!$3:$3,0))/(B44/1000)</f>
        <v>4.8411407784360598</v>
      </c>
      <c r="N44" s="61">
        <f>INDEX(INV_1!$A:$J,MATCH('2020'!$A44,INV_1!$A:$A,0),MATCH('2020'!$A$1,INV_1!$3:$3,0))</f>
        <v>7.635447830601659E-2</v>
      </c>
      <c r="O44" s="80">
        <f>INDEX(INV_2!$A:$J,MATCH('2020'!$A44,INV_2!$A:$A,0),MATCH('2020'!$A$1,INV_2!$3:$3,0))/B44*10^6/C44</f>
        <v>0.29447967336958575</v>
      </c>
      <c r="P44" s="87">
        <f>INDEX(INV_3!$A:$J,MATCH('2020'!$A44,INV_3!$A:$A,0),MATCH('2020'!$A$1,INV_3!$3:$3,0))/B44*10^6/C44</f>
        <v>4.0173069612928085</v>
      </c>
      <c r="Q44" s="87">
        <f>INDEX(INV_4!$A:$J,MATCH('2020'!$A44,INV_4!$A:$A,0),MATCH('2020'!$A$1,INV_4!$3:$3,0))/B44*10^3/C44</f>
        <v>0.2572068049981478</v>
      </c>
      <c r="R44" s="34">
        <f>INDEX(INV_5!$A:$J,MATCH('2020'!$A44,INV_5!$A:$A,0),MATCH('2020'!$A$1,INV_5!$3:$3,0))</f>
        <v>5.3499999999999999E-2</v>
      </c>
      <c r="S44" s="77">
        <f>INDEX(LUJ_1!$A:$J,MATCH('2020'!$A44,LUJ_1!$A:$A,0),MATCH('2020'!$A$1,LUJ_1!$3:$3,0))</f>
        <v>0.88007016005262007</v>
      </c>
      <c r="T44" s="73">
        <f>INDEX(LUJ_2!$A:$J,MATCH('2020'!$A44,LUJ_2!$A:$A,0),MATCH('2020'!$A$1,LUJ_2!$3:$3,0))</f>
        <v>0.22600000000000001</v>
      </c>
      <c r="U44" s="73">
        <f>INDEX(LUJ_3!$A:$J,MATCH('2020'!$A44,LUJ_3!$A:$A,0),MATCH('2020'!$A$1,LUJ_3!$3:$3,0))</f>
        <v>0.52623527612054455</v>
      </c>
      <c r="V44" s="14">
        <f>INDEX(LUJ_4!$A:$J,MATCH('2020'!$A44,LUJ_4!$A:$A,0),MATCH('2020'!$A$1,LUJ_4!$3:$3,0))</f>
        <v>14</v>
      </c>
      <c r="W44" s="34">
        <f>INDEX(LUJ_5!$A:$J,MATCH('2020'!$A44,LUJ_5!$A:$A,0),MATCH('2020'!$A$1,LUJ_5!$3:$3,0))</f>
        <v>13.2</v>
      </c>
      <c r="X44" s="98">
        <f>1/INDEX(GUL_1!$A:$J,MATCH('2020'!$A44,GUL_1!$A:$A,0),MATCH('2020'!$A$1,GUL_1!$3:$3,0))</f>
        <v>1.4265335235378032E-2</v>
      </c>
      <c r="Y44" s="57">
        <f>INDEX(GUL_2!$A:$J,MATCH('2020'!$A44,GUL_2!$A:$A,0),MATCH('2020'!$A$1,GUL_2!$3:$3,0))</f>
        <v>26.200000000000003</v>
      </c>
      <c r="Z44" s="57">
        <f>INDEX(GUL_3!$A:$J,MATCH('2020'!$A44,GUL_3!$A:$A,0),MATCH('2020'!$A$1,GUL_3!$3:$3,0))/(B44/1000)</f>
        <v>0.83126251710694221</v>
      </c>
      <c r="AA44" s="101">
        <f>INDEX(GUL_4!$A:$J,MATCH('2020'!$A44,GUL_4!$A:$A,0),MATCH('2020'!$A$1,GUL_4!$3:$3,0))/B44/C44*10^6</f>
        <v>0.22132030193742927</v>
      </c>
      <c r="AB44" s="73">
        <f>INDEX(GUL_5!$A:$J,MATCH('2020'!$A44,GUL_5!$A:$A,0),MATCH('2020'!$A$1,GUL_5!$3:$3,0))</f>
        <v>1.1613019939256307E-2</v>
      </c>
      <c r="AC44" s="49">
        <f>INDEX(GUL_6!$A:$J,MATCH('2020'!$A44,GUL_6!$A:$A,0),MATCH('2020'!$A$1,GUL_6!$3:$3,0))</f>
        <v>1.8700000000000001E-2</v>
      </c>
      <c r="AD44" s="49">
        <f>INDEX(GUL_7!$A:$J,MATCH('2020'!$A44,GUL_7!$A:$A,0),MATCH('2020'!$A$1,GUL_7!$3:$3,0))</f>
        <v>0.19945489999999999</v>
      </c>
      <c r="AE44" s="103">
        <f>INDEX(GUL_8!$A:$J,MATCH('2020'!$A44,GUL_8!$A:$A,0),MATCH('2020'!$A$1,GUL_8!$3:$3,0))/(B44/1000)</f>
        <v>2.3627673665052953</v>
      </c>
      <c r="AF44" s="41">
        <f>INDEX(DES_1!$A:$J,MATCH('2020'!$A44,DES_1!$A:$A,0),MATCH('2020'!$A$1,DES_1!$3:$3,0))/(B44/1000)</f>
        <v>8.9181806471075917E-2</v>
      </c>
      <c r="AG44" s="100">
        <f>INDEX(DES_2!$A:$J,MATCH('2020'!$A44,DES_2!$A:$A,0),MATCH('2020'!$A$1,DES_2!$3:$3,0))/(B44/1000)</f>
        <v>0.49875751026416537</v>
      </c>
      <c r="AH44" s="57">
        <f>1/INDEX(DES_3!$A:$J,MATCH('2020'!$A44,DES_3!$A:$A,0),MATCH('2020'!$A$1,DES_3!$3:$3,0))</f>
        <v>7.5018754688672157E-3</v>
      </c>
      <c r="AI44" s="80">
        <f>INDEX(DES_4!$A:$J,MATCH('2020'!$A44,DES_4!$A:$A,0),MATCH('2020'!$A$1,DES_4!$3:$3,0))</f>
        <v>0.69688344572199989</v>
      </c>
      <c r="AJ44" s="110">
        <f>INDEX(DES_5!$A:$J,MATCH('2020'!$A44,DES_5!$A:$A,0),MATCH('2020'!$A$1,DES_5!$3:$3,0))</f>
        <v>0.376042700796</v>
      </c>
      <c r="AK44" s="57">
        <v>58</v>
      </c>
    </row>
    <row r="45" spans="1:37" x14ac:dyDescent="0.3">
      <c r="A45" s="29" t="s">
        <v>44</v>
      </c>
      <c r="B45" s="33">
        <f>INDEX(Population!$A:$J,MATCH('2020'!$A45,Population!$A:$A,0),MATCH('2020'!$A$1,Population!$3:$3,0))</f>
        <v>2562731</v>
      </c>
      <c r="C45" s="14">
        <f>INDEX(Income!$A:$J,MATCH('2020'!$A45,Income!$A:$A,0),MATCH('2020'!$A$1,Income!$3:$3,0))</f>
        <v>30237</v>
      </c>
      <c r="D45" s="34">
        <f>INDEX(Livable_wage!$A:$J,MATCH('2020'!$A45,Livable_wage!$A:$A,0),MATCH('2020'!$A$1,Livable_wage!$3:$3,0))</f>
        <v>11633</v>
      </c>
      <c r="E45" s="41">
        <f>INDEX(AVA_1!$A:$J,MATCH('2020'!$A45,AVA_1!$A:$A,0),MATCH('2020'!$A$1,AVA_1!$3:$3,0))</f>
        <v>0.38300000000000001</v>
      </c>
      <c r="F45" s="15">
        <f>INDEX(AVA_2!$A:$J,MATCH('2020'!$A45,AVA_2!$A:$A,0),MATCH('2020'!$A$1,AVA_2!$3:$3,0))</f>
        <v>1.1541293196528064E-2</v>
      </c>
      <c r="G45" s="15">
        <f>INDEX(AVA_3!$A:$J,MATCH('2020'!$A45,AVA_3!$A:$A,0),MATCH('2020'!$A$1,AVA_3!$3:$3,0))</f>
        <v>2.6035160638377804E-2</v>
      </c>
      <c r="H45" s="87">
        <f>INDEX(AVA_4!$A:$J,MATCH('2020'!$A45,AVA_4!$A:$A,0),MATCH('2020'!$A$1,AVA_4!$3:$3,0))/(B45/1000)</f>
        <v>0.63721085045601733</v>
      </c>
      <c r="I45" s="89">
        <f>INDEX(AVA_5!$A:$J,MATCH('2020'!$A45,AVA_5!$A:$A,0),MATCH('2020'!$A$1,AVA_5!$3:$3,0))/(B45/1000)</f>
        <v>5.4250719252235209</v>
      </c>
      <c r="J45" s="93">
        <f>INDEX(IRA_1!$A:$J,MATCH('2020'!$A45,IRA_1!$A:$A,0),MATCH('2020'!$A$1,IRA_1!$3:$3,0))/(B45/1000)</f>
        <v>6.7115900966586026E-2</v>
      </c>
      <c r="K45" s="88">
        <f>INDEX(IRA_2!$A:$J,MATCH('2020'!$A45,IRA_2!$A:$A,0),MATCH('2020'!$A$1,IRA_2!$3:$3,0))/(B45/1000)</f>
        <v>0.1993966592670085</v>
      </c>
      <c r="L45" s="15">
        <f>INDEX(IRA_3!$A:$J,MATCH('2020'!$A45,IRA_3!$A:$A,0),MATCH('2020'!$A$1,IRA_3!$3:$3,0))</f>
        <v>0.37092174309833448</v>
      </c>
      <c r="M45" s="96">
        <f>INDEX(IRA_4!$A:$J,MATCH('2020'!$A45,IRA_4!$A:$A,0),MATCH('2020'!$A$1,IRA_4!$3:$3,0))/(B45/1000)</f>
        <v>3.8681391062893451</v>
      </c>
      <c r="N45" s="61">
        <f>INDEX(INV_1!$A:$J,MATCH('2020'!$A45,INV_1!$A:$A,0),MATCH('2020'!$A$1,INV_1!$3:$3,0))</f>
        <v>5.544274858319434E-2</v>
      </c>
      <c r="O45" s="80">
        <f>INDEX(INV_2!$A:$J,MATCH('2020'!$A45,INV_2!$A:$A,0),MATCH('2020'!$A$1,INV_2!$3:$3,0))/B45*10^6/C45</f>
        <v>0.35464771806359291</v>
      </c>
      <c r="P45" s="87">
        <f>INDEX(INV_3!$A:$J,MATCH('2020'!$A45,INV_3!$A:$A,0),MATCH('2020'!$A$1,INV_3!$3:$3,0))/B45*10^6/C45</f>
        <v>4.5937569786617374</v>
      </c>
      <c r="Q45" s="87">
        <f>INDEX(INV_4!$A:$J,MATCH('2020'!$A45,INV_4!$A:$A,0),MATCH('2020'!$A$1,INV_4!$3:$3,0))/B45*10^3/C45</f>
        <v>0.25644658689648059</v>
      </c>
      <c r="R45" s="34">
        <f>INDEX(INV_5!$A:$J,MATCH('2020'!$A45,INV_5!$A:$A,0),MATCH('2020'!$A$1,INV_5!$3:$3,0))</f>
        <v>6.9500000000000006E-2</v>
      </c>
      <c r="S45" s="77">
        <f>INDEX(LUJ_1!$A:$J,MATCH('2020'!$A45,LUJ_1!$A:$A,0),MATCH('2020'!$A$1,LUJ_1!$3:$3,0))</f>
        <v>0.79529790166947467</v>
      </c>
      <c r="T45" s="73">
        <f>INDEX(LUJ_2!$A:$J,MATCH('2020'!$A45,LUJ_2!$A:$A,0),MATCH('2020'!$A$1,LUJ_2!$3:$3,0))</f>
        <v>0.28499999999999998</v>
      </c>
      <c r="U45" s="73">
        <f>INDEX(LUJ_3!$A:$J,MATCH('2020'!$A45,LUJ_3!$A:$A,0),MATCH('2020'!$A$1,LUJ_3!$3:$3,0))</f>
        <v>0.60743882801146853</v>
      </c>
      <c r="V45" s="14">
        <f>INDEX(LUJ_4!$A:$J,MATCH('2020'!$A45,LUJ_4!$A:$A,0),MATCH('2020'!$A$1,LUJ_4!$3:$3,0))</f>
        <v>91</v>
      </c>
      <c r="W45" s="34">
        <f>INDEX(LUJ_5!$A:$J,MATCH('2020'!$A45,LUJ_5!$A:$A,0),MATCH('2020'!$A$1,LUJ_5!$3:$3,0))</f>
        <v>117.2</v>
      </c>
      <c r="X45" s="98">
        <f>1/INDEX(GUL_1!$A:$J,MATCH('2020'!$A45,GUL_1!$A:$A,0),MATCH('2020'!$A$1,GUL_1!$3:$3,0))</f>
        <v>1.436988072998994E-2</v>
      </c>
      <c r="Y45" s="57">
        <f>INDEX(GUL_2!$A:$J,MATCH('2020'!$A45,GUL_2!$A:$A,0),MATCH('2020'!$A$1,GUL_2!$3:$3,0))</f>
        <v>24.7</v>
      </c>
      <c r="Z45" s="57">
        <f>INDEX(GUL_3!$A:$J,MATCH('2020'!$A45,GUL_3!$A:$A,0),MATCH('2020'!$A$1,GUL_3!$3:$3,0))/(B45/1000)</f>
        <v>0.86509274676116998</v>
      </c>
      <c r="AA45" s="101">
        <f>INDEX(GUL_4!$A:$J,MATCH('2020'!$A45,GUL_4!$A:$A,0),MATCH('2020'!$A$1,GUL_4!$3:$3,0))/B45/C45*10^6</f>
        <v>0.23142796021026349</v>
      </c>
      <c r="AB45" s="73">
        <f>INDEX(GUL_5!$A:$J,MATCH('2020'!$A45,GUL_5!$A:$A,0),MATCH('2020'!$A$1,GUL_5!$3:$3,0))</f>
        <v>3.7141336131980292E-2</v>
      </c>
      <c r="AC45" s="49">
        <f>INDEX(GUL_6!$A:$J,MATCH('2020'!$A45,GUL_6!$A:$A,0),MATCH('2020'!$A$1,GUL_6!$3:$3,0))</f>
        <v>4.53E-2</v>
      </c>
      <c r="AD45" s="49">
        <f>INDEX(GUL_7!$A:$J,MATCH('2020'!$A45,GUL_7!$A:$A,0),MATCH('2020'!$A$1,GUL_7!$3:$3,0))</f>
        <v>0.22993159999999999</v>
      </c>
      <c r="AE45" s="103">
        <f>INDEX(GUL_8!$A:$J,MATCH('2020'!$A45,GUL_8!$A:$A,0),MATCH('2020'!$A$1,GUL_8!$3:$3,0))/(B45/1000)</f>
        <v>2.9218829444057919</v>
      </c>
      <c r="AF45" s="41">
        <f>INDEX(DES_1!$A:$J,MATCH('2020'!$A45,DES_1!$A:$A,0),MATCH('2020'!$A$1,DES_1!$3:$3,0))/(B45/1000)</f>
        <v>0.26963423004599391</v>
      </c>
      <c r="AG45" s="100">
        <f>INDEX(DES_2!$A:$J,MATCH('2020'!$A45,DES_2!$A:$A,0),MATCH('2020'!$A$1,DES_2!$3:$3,0))/(B45/1000)</f>
        <v>0.53887825136543788</v>
      </c>
      <c r="AH45" s="57">
        <f>1/INDEX(DES_3!$A:$J,MATCH('2020'!$A45,DES_3!$A:$A,0),MATCH('2020'!$A$1,DES_3!$3:$3,0))</f>
        <v>8.6206896551724137E-3</v>
      </c>
      <c r="AI45" s="80">
        <f>INDEX(DES_4!$A:$J,MATCH('2020'!$A45,DES_4!$A:$A,0),MATCH('2020'!$A$1,DES_4!$3:$3,0))</f>
        <v>0.94417370185600002</v>
      </c>
      <c r="AJ45" s="110">
        <f>INDEX(DES_5!$A:$J,MATCH('2020'!$A45,DES_5!$A:$A,0),MATCH('2020'!$A$1,DES_5!$3:$3,0))</f>
        <v>0.78678015663900003</v>
      </c>
      <c r="AK45" s="57">
        <v>56</v>
      </c>
    </row>
    <row r="46" spans="1:37" x14ac:dyDescent="0.3">
      <c r="A46" s="29" t="s">
        <v>45</v>
      </c>
      <c r="B46" s="33">
        <f>INDEX(Population!$A:$J,MATCH('2020'!$A46,Population!$A:$A,0),MATCH('2020'!$A$1,Population!$3:$3,0))</f>
        <v>946222</v>
      </c>
      <c r="C46" s="14">
        <f>INDEX(Income!$A:$J,MATCH('2020'!$A46,Income!$A:$A,0),MATCH('2020'!$A$1,Income!$3:$3,0))</f>
        <v>26284</v>
      </c>
      <c r="D46" s="34">
        <f>INDEX(Livable_wage!$A:$J,MATCH('2020'!$A46,Livable_wage!$A:$A,0),MATCH('2020'!$A$1,Livable_wage!$3:$3,0))</f>
        <v>11535</v>
      </c>
      <c r="E46" s="41">
        <f>INDEX(AVA_1!$A:$J,MATCH('2020'!$A46,AVA_1!$A:$A,0),MATCH('2020'!$A$1,AVA_1!$3:$3,0))</f>
        <v>0.35199999999999998</v>
      </c>
      <c r="F46" s="15">
        <f>INDEX(AVA_2!$A:$J,MATCH('2020'!$A46,AVA_2!$A:$A,0),MATCH('2020'!$A$1,AVA_2!$3:$3,0))</f>
        <v>1.1682706071483627E-2</v>
      </c>
      <c r="G46" s="15">
        <f>INDEX(AVA_3!$A:$J,MATCH('2020'!$A46,AVA_3!$A:$A,0),MATCH('2020'!$A$1,AVA_3!$3:$3,0))</f>
        <v>1.7308071935731292E-2</v>
      </c>
      <c r="H46" s="87">
        <f>INDEX(AVA_4!$A:$J,MATCH('2020'!$A46,AVA_4!$A:$A,0),MATCH('2020'!$A$1,AVA_4!$3:$3,0))/(B46/1000)</f>
        <v>0.783114322009</v>
      </c>
      <c r="I46" s="89">
        <f>INDEX(AVA_5!$A:$J,MATCH('2020'!$A46,AVA_5!$A:$A,0),MATCH('2020'!$A$1,AVA_5!$3:$3,0))/(B46/1000)</f>
        <v>5.3697758031413345</v>
      </c>
      <c r="J46" s="93">
        <f>INDEX(IRA_1!$A:$J,MATCH('2020'!$A46,IRA_1!$A:$A,0),MATCH('2020'!$A$1,IRA_1!$3:$3,0))/(B46/1000)</f>
        <v>5.495539101817544E-2</v>
      </c>
      <c r="K46" s="88">
        <f>INDEX(IRA_2!$A:$J,MATCH('2020'!$A46,IRA_2!$A:$A,0),MATCH('2020'!$A$1,IRA_2!$3:$3,0))/(B46/1000)</f>
        <v>0.15324099418529691</v>
      </c>
      <c r="L46" s="15">
        <f>INDEX(IRA_3!$A:$J,MATCH('2020'!$A46,IRA_3!$A:$A,0),MATCH('2020'!$A$1,IRA_3!$3:$3,0))</f>
        <v>0.4066931366988088</v>
      </c>
      <c r="M46" s="96">
        <f>INDEX(IRA_4!$A:$J,MATCH('2020'!$A46,IRA_4!$A:$A,0),MATCH('2020'!$A$1,IRA_4!$3:$3,0))/(B46/1000)</f>
        <v>3.0373421881968503</v>
      </c>
      <c r="N46" s="61">
        <f>INDEX(INV_1!$A:$J,MATCH('2020'!$A46,INV_1!$A:$A,0),MATCH('2020'!$A$1,INV_1!$3:$3,0))</f>
        <v>7.5159677771527739E-2</v>
      </c>
      <c r="O46" s="80">
        <f>INDEX(INV_2!$A:$J,MATCH('2020'!$A46,INV_2!$A:$A,0),MATCH('2020'!$A$1,INV_2!$3:$3,0))/B46*10^6/C46</f>
        <v>0.45992657931485503</v>
      </c>
      <c r="P46" s="87">
        <f>INDEX(INV_3!$A:$J,MATCH('2020'!$A46,INV_3!$A:$A,0),MATCH('2020'!$A$1,INV_3!$3:$3,0))/B46*10^6/C46</f>
        <v>3.4940593605413848</v>
      </c>
      <c r="Q46" s="87">
        <f>INDEX(INV_4!$A:$J,MATCH('2020'!$A46,INV_4!$A:$A,0),MATCH('2020'!$A$1,INV_4!$3:$3,0))/B46*10^3/C46</f>
        <v>0.24691184877907885</v>
      </c>
      <c r="R46" s="34">
        <f>INDEX(INV_5!$A:$J,MATCH('2020'!$A46,INV_5!$A:$A,0),MATCH('2020'!$A$1,INV_5!$3:$3,0))</f>
        <v>7.0999999999999994E-2</v>
      </c>
      <c r="S46" s="77">
        <f>INDEX(LUJ_1!$A:$J,MATCH('2020'!$A46,LUJ_1!$A:$A,0),MATCH('2020'!$A$1,LUJ_1!$3:$3,0))</f>
        <v>0.8391240261107602</v>
      </c>
      <c r="T46" s="73">
        <f>INDEX(LUJ_2!$A:$J,MATCH('2020'!$A46,LUJ_2!$A:$A,0),MATCH('2020'!$A$1,LUJ_2!$3:$3,0))</f>
        <v>0.21299999999999999</v>
      </c>
      <c r="U46" s="73">
        <f>INDEX(LUJ_3!$A:$J,MATCH('2020'!$A46,LUJ_3!$A:$A,0),MATCH('2020'!$A$1,LUJ_3!$3:$3,0))</f>
        <v>0.34219269102990035</v>
      </c>
      <c r="V46" s="14">
        <f>INDEX(LUJ_4!$A:$J,MATCH('2020'!$A46,LUJ_4!$A:$A,0),MATCH('2020'!$A$1,LUJ_4!$3:$3,0))</f>
        <v>19</v>
      </c>
      <c r="W46" s="34">
        <f>INDEX(LUJ_5!$A:$J,MATCH('2020'!$A46,LUJ_5!$A:$A,0),MATCH('2020'!$A$1,LUJ_5!$3:$3,0))</f>
        <v>59.3</v>
      </c>
      <c r="X46" s="98">
        <f>1/INDEX(GUL_1!$A:$J,MATCH('2020'!$A46,GUL_1!$A:$A,0),MATCH('2020'!$A$1,GUL_1!$3:$3,0))</f>
        <v>1.4152278516841213E-2</v>
      </c>
      <c r="Y46" s="57">
        <f>INDEX(GUL_2!$A:$J,MATCH('2020'!$A46,GUL_2!$A:$A,0),MATCH('2020'!$A$1,GUL_2!$3:$3,0))</f>
        <v>25</v>
      </c>
      <c r="Z46" s="57">
        <f>INDEX(GUL_3!$A:$J,MATCH('2020'!$A46,GUL_3!$A:$A,0),MATCH('2020'!$A$1,GUL_3!$3:$3,0))/(B46/1000)</f>
        <v>1.1751999002348286</v>
      </c>
      <c r="AA46" s="101">
        <f>INDEX(GUL_4!$A:$J,MATCH('2020'!$A46,GUL_4!$A:$A,0),MATCH('2020'!$A$1,GUL_4!$3:$3,0))/B46/C46*10^6</f>
        <v>0.27492009656918565</v>
      </c>
      <c r="AB46" s="73">
        <f>INDEX(GUL_5!$A:$J,MATCH('2020'!$A46,GUL_5!$A:$A,0),MATCH('2020'!$A$1,GUL_5!$3:$3,0))</f>
        <v>5.2799812600353366E-2</v>
      </c>
      <c r="AC46" s="49">
        <f>INDEX(GUL_6!$A:$J,MATCH('2020'!$A46,GUL_6!$A:$A,0),MATCH('2020'!$A$1,GUL_6!$3:$3,0))</f>
        <v>7.0800000000000002E-2</v>
      </c>
      <c r="AD46" s="49">
        <f>INDEX(GUL_7!$A:$J,MATCH('2020'!$A46,GUL_7!$A:$A,0),MATCH('2020'!$A$1,GUL_7!$3:$3,0))</f>
        <v>0.16842669999999998</v>
      </c>
      <c r="AE46" s="103">
        <f>INDEX(GUL_8!$A:$J,MATCH('2020'!$A46,GUL_8!$A:$A,0),MATCH('2020'!$A$1,GUL_8!$3:$3,0))/(B46/1000)</f>
        <v>2.127407733068984</v>
      </c>
      <c r="AF46" s="41">
        <f>INDEX(DES_1!$A:$J,MATCH('2020'!$A46,DES_1!$A:$A,0),MATCH('2020'!$A$1,DES_1!$3:$3,0))/(B46/1000)</f>
        <v>0.16380933861186911</v>
      </c>
      <c r="AG46" s="100">
        <f>INDEX(DES_2!$A:$J,MATCH('2020'!$A46,DES_2!$A:$A,0),MATCH('2020'!$A$1,DES_2!$3:$3,0))/(B46/1000)</f>
        <v>0.32973234610905267</v>
      </c>
      <c r="AH46" s="57">
        <f>1/INDEX(DES_3!$A:$J,MATCH('2020'!$A46,DES_3!$A:$A,0),MATCH('2020'!$A$1,DES_3!$3:$3,0))</f>
        <v>9.3545369504209538E-3</v>
      </c>
      <c r="AI46" s="80">
        <f>INDEX(DES_4!$A:$J,MATCH('2020'!$A46,DES_4!$A:$A,0),MATCH('2020'!$A$1,DES_4!$3:$3,0))</f>
        <v>0.80232075094400002</v>
      </c>
      <c r="AJ46" s="110">
        <f>INDEX(DES_5!$A:$J,MATCH('2020'!$A46,DES_5!$A:$A,0),MATCH('2020'!$A$1,DES_5!$3:$3,0))</f>
        <v>0.62237561635399996</v>
      </c>
      <c r="AK46" s="57">
        <v>57</v>
      </c>
    </row>
    <row r="47" spans="1:37" x14ac:dyDescent="0.3">
      <c r="A47" s="29" t="s">
        <v>46</v>
      </c>
      <c r="B47" s="33">
        <f>INDEX(Population!$A:$J,MATCH('2020'!$A47,Population!$A:$A,0),MATCH('2020'!$A$1,Population!$3:$3,0))</f>
        <v>1200388</v>
      </c>
      <c r="C47" s="14">
        <f>INDEX(Income!$A:$J,MATCH('2020'!$A47,Income!$A:$A,0),MATCH('2020'!$A$1,Income!$3:$3,0))</f>
        <v>21164</v>
      </c>
      <c r="D47" s="34">
        <f>INDEX(Livable_wage!$A:$J,MATCH('2020'!$A47,Livable_wage!$A:$A,0),MATCH('2020'!$A$1,Livable_wage!$3:$3,0))</f>
        <v>10414</v>
      </c>
      <c r="E47" s="41">
        <f>INDEX(AVA_1!$A:$J,MATCH('2020'!$A47,AVA_1!$A:$A,0),MATCH('2020'!$A$1,AVA_1!$3:$3,0))</f>
        <v>0.34</v>
      </c>
      <c r="F47" s="15">
        <f>INDEX(AVA_2!$A:$J,MATCH('2020'!$A47,AVA_2!$A:$A,0),MATCH('2020'!$A$1,AVA_2!$3:$3,0))</f>
        <v>1.3145551971832797E-2</v>
      </c>
      <c r="G47" s="15">
        <f>INDEX(AVA_3!$A:$J,MATCH('2020'!$A47,AVA_3!$A:$A,0),MATCH('2020'!$A$1,AVA_3!$3:$3,0))</f>
        <v>2.1052808999497612E-2</v>
      </c>
      <c r="H47" s="87">
        <f>INDEX(AVA_4!$A:$J,MATCH('2020'!$A47,AVA_4!$A:$A,0),MATCH('2020'!$A$1,AVA_4!$3:$3,0))/(B47/1000)</f>
        <v>0.92886633321892598</v>
      </c>
      <c r="I47" s="89">
        <f>INDEX(AVA_5!$A:$J,MATCH('2020'!$A47,AVA_5!$A:$A,0),MATCH('2020'!$A$1,AVA_5!$3:$3,0))/(B47/1000)</f>
        <v>3.1114939502894066</v>
      </c>
      <c r="J47" s="93">
        <f>INDEX(IRA_1!$A:$J,MATCH('2020'!$A47,IRA_1!$A:$A,0),MATCH('2020'!$A$1,IRA_1!$3:$3,0))/(B47/1000)</f>
        <v>3.6654814943168378E-2</v>
      </c>
      <c r="K47" s="88">
        <f>INDEX(IRA_2!$A:$J,MATCH('2020'!$A47,IRA_2!$A:$A,0),MATCH('2020'!$A$1,IRA_2!$3:$3,0))/(B47/1000)</f>
        <v>9.996767711773194E-2</v>
      </c>
      <c r="L47" s="15">
        <f>INDEX(IRA_3!$A:$J,MATCH('2020'!$A47,IRA_3!$A:$A,0),MATCH('2020'!$A$1,IRA_3!$3:$3,0))</f>
        <v>0.38816841357257059</v>
      </c>
      <c r="M47" s="96">
        <f>INDEX(IRA_4!$A:$J,MATCH('2020'!$A47,IRA_4!$A:$A,0),MATCH('2020'!$A$1,IRA_4!$3:$3,0))/(B47/1000)</f>
        <v>2.7307837132660442</v>
      </c>
      <c r="N47" s="61">
        <f>INDEX(INV_1!$A:$J,MATCH('2020'!$A47,INV_1!$A:$A,0),MATCH('2020'!$A$1,INV_1!$3:$3,0))</f>
        <v>6.667726162753651E-2</v>
      </c>
      <c r="O47" s="80">
        <f>INDEX(INV_2!$A:$J,MATCH('2020'!$A47,INV_2!$A:$A,0),MATCH('2020'!$A$1,INV_2!$3:$3,0))/B47*10^6/C47</f>
        <v>0.41638007749131811</v>
      </c>
      <c r="P47" s="87">
        <f>INDEX(INV_3!$A:$J,MATCH('2020'!$A47,INV_3!$A:$A,0),MATCH('2020'!$A$1,INV_3!$3:$3,0))/B47*10^6/C47</f>
        <v>5.8815560553332009</v>
      </c>
      <c r="Q47" s="87">
        <f>INDEX(INV_4!$A:$J,MATCH('2020'!$A47,INV_4!$A:$A,0),MATCH('2020'!$A$1,INV_4!$3:$3,0))/B47*10^3/C47</f>
        <v>0.33009799843731868</v>
      </c>
      <c r="R47" s="34">
        <f>INDEX(INV_5!$A:$J,MATCH('2020'!$A47,INV_5!$A:$A,0),MATCH('2020'!$A$1,INV_5!$3:$3,0))</f>
        <v>7.4300000000000005E-2</v>
      </c>
      <c r="S47" s="77">
        <f>INDEX(LUJ_1!$A:$J,MATCH('2020'!$A47,LUJ_1!$A:$A,0),MATCH('2020'!$A$1,LUJ_1!$3:$3,0))</f>
        <v>0.79354419410745236</v>
      </c>
      <c r="T47" s="73">
        <f>INDEX(LUJ_2!$A:$J,MATCH('2020'!$A47,LUJ_2!$A:$A,0),MATCH('2020'!$A$1,LUJ_2!$3:$3,0))</f>
        <v>0.20399999999999999</v>
      </c>
      <c r="U47" s="73">
        <f>INDEX(LUJ_3!$A:$J,MATCH('2020'!$A47,LUJ_3!$A:$A,0),MATCH('2020'!$A$1,LUJ_3!$3:$3,0))</f>
        <v>0.49199469261388767</v>
      </c>
      <c r="V47" s="14">
        <f>INDEX(LUJ_4!$A:$J,MATCH('2020'!$A47,LUJ_4!$A:$A,0),MATCH('2020'!$A$1,LUJ_4!$3:$3,0))</f>
        <v>24</v>
      </c>
      <c r="W47" s="34">
        <f>INDEX(LUJ_5!$A:$J,MATCH('2020'!$A47,LUJ_5!$A:$A,0),MATCH('2020'!$A$1,LUJ_5!$3:$3,0))</f>
        <v>23</v>
      </c>
      <c r="X47" s="98">
        <f>1/INDEX(GUL_1!$A:$J,MATCH('2020'!$A47,GUL_1!$A:$A,0),MATCH('2020'!$A$1,GUL_1!$3:$3,0))</f>
        <v>1.4078558355624384E-2</v>
      </c>
      <c r="Y47" s="57">
        <f>INDEX(GUL_2!$A:$J,MATCH('2020'!$A47,GUL_2!$A:$A,0),MATCH('2020'!$A$1,GUL_2!$3:$3,0))</f>
        <v>24.6</v>
      </c>
      <c r="Z47" s="57">
        <f>INDEX(GUL_3!$A:$J,MATCH('2020'!$A47,GUL_3!$A:$A,0),MATCH('2020'!$A$1,GUL_3!$3:$3,0))/(B47/1000)</f>
        <v>0.80390673682176106</v>
      </c>
      <c r="AA47" s="101">
        <f>INDEX(GUL_4!$A:$J,MATCH('2020'!$A47,GUL_4!$A:$A,0),MATCH('2020'!$A$1,GUL_4!$3:$3,0))/B47/C47*10^6</f>
        <v>0.33430766035557152</v>
      </c>
      <c r="AB47" s="73">
        <f>INDEX(GUL_5!$A:$J,MATCH('2020'!$A47,GUL_5!$A:$A,0),MATCH('2020'!$A$1,GUL_5!$3:$3,0))</f>
        <v>2.5796903826454661E-2</v>
      </c>
      <c r="AC47" s="49">
        <f>INDEX(GUL_6!$A:$J,MATCH('2020'!$A47,GUL_6!$A:$A,0),MATCH('2020'!$A$1,GUL_6!$3:$3,0))</f>
        <v>3.3000000000000002E-2</v>
      </c>
      <c r="AD47" s="49">
        <f>INDEX(GUL_7!$A:$J,MATCH('2020'!$A47,GUL_7!$A:$A,0),MATCH('2020'!$A$1,GUL_7!$3:$3,0))</f>
        <v>0.15943680000000002</v>
      </c>
      <c r="AE47" s="103">
        <f>INDEX(GUL_8!$A:$J,MATCH('2020'!$A47,GUL_8!$A:$A,0),MATCH('2020'!$A$1,GUL_8!$3:$3,0))/(B47/1000)</f>
        <v>1.8152464036628158</v>
      </c>
      <c r="AF47" s="41">
        <f>INDEX(DES_1!$A:$J,MATCH('2020'!$A47,DES_1!$A:$A,0),MATCH('2020'!$A$1,DES_1!$3:$3,0))/(B47/1000)</f>
        <v>5.6648350366714763E-2</v>
      </c>
      <c r="AG47" s="100">
        <f>INDEX(DES_2!$A:$J,MATCH('2020'!$A47,DES_2!$A:$A,0),MATCH('2020'!$A$1,DES_2!$3:$3,0))/(B47/1000)</f>
        <v>0.23659016917863226</v>
      </c>
      <c r="AH47" s="57">
        <f>1/INDEX(DES_3!$A:$J,MATCH('2020'!$A47,DES_3!$A:$A,0),MATCH('2020'!$A$1,DES_3!$3:$3,0))</f>
        <v>7.6804915514592943E-3</v>
      </c>
      <c r="AI47" s="80">
        <f>INDEX(DES_4!$A:$J,MATCH('2020'!$A47,DES_4!$A:$A,0),MATCH('2020'!$A$1,DES_4!$3:$3,0))</f>
        <v>0.76819852449100001</v>
      </c>
      <c r="AJ47" s="110">
        <f>INDEX(DES_5!$A:$J,MATCH('2020'!$A47,DES_5!$A:$A,0),MATCH('2020'!$A$1,DES_5!$3:$3,0))</f>
        <v>0.540572803115</v>
      </c>
      <c r="AK47" s="57">
        <v>49</v>
      </c>
    </row>
    <row r="48" spans="1:37" x14ac:dyDescent="0.3">
      <c r="A48" s="29" t="s">
        <v>47</v>
      </c>
      <c r="B48" s="33">
        <f>INDEX(Population!$A:$J,MATCH('2020'!$A48,Population!$A:$A,0),MATCH('2020'!$A$1,Population!$3:$3,0))</f>
        <v>692869</v>
      </c>
      <c r="C48" s="14">
        <f>INDEX(Income!$A:$J,MATCH('2020'!$A48,Income!$A:$A,0),MATCH('2020'!$A$1,Income!$3:$3,0))</f>
        <v>23963</v>
      </c>
      <c r="D48" s="34">
        <f>INDEX(Livable_wage!$A:$J,MATCH('2020'!$A48,Livable_wage!$A:$A,0),MATCH('2020'!$A$1,Livable_wage!$3:$3,0))</f>
        <v>10433</v>
      </c>
      <c r="E48" s="41">
        <f>INDEX(AVA_1!$A:$J,MATCH('2020'!$A48,AVA_1!$A:$A,0),MATCH('2020'!$A$1,AVA_1!$3:$3,0))</f>
        <v>0.34899999999999998</v>
      </c>
      <c r="F48" s="15">
        <f>INDEX(AVA_2!$A:$J,MATCH('2020'!$A48,AVA_2!$A:$A,0),MATCH('2020'!$A$1,AVA_2!$3:$3,0))</f>
        <v>7.7405518409717593E-3</v>
      </c>
      <c r="G48" s="15">
        <f>INDEX(AVA_3!$A:$J,MATCH('2020'!$A48,AVA_3!$A:$A,0),MATCH('2020'!$A$1,AVA_3!$3:$3,0))</f>
        <v>1.0079198444701379E-2</v>
      </c>
      <c r="H48" s="87">
        <f>INDEX(AVA_4!$A:$J,MATCH('2020'!$A48,AVA_4!$A:$A,0),MATCH('2020'!$A$1,AVA_4!$3:$3,0))/(B48/1000)</f>
        <v>0.95544756656741747</v>
      </c>
      <c r="I48" s="89">
        <f>INDEX(AVA_5!$A:$J,MATCH('2020'!$A48,AVA_5!$A:$A,0),MATCH('2020'!$A$1,AVA_5!$3:$3,0))/(B48/1000)</f>
        <v>1.9152249559440528</v>
      </c>
      <c r="J48" s="93">
        <f>INDEX(IRA_1!$A:$J,MATCH('2020'!$A48,IRA_1!$A:$A,0),MATCH('2020'!$A$1,IRA_1!$3:$3,0))/(B48/1000)</f>
        <v>3.4638582473743233E-2</v>
      </c>
      <c r="K48" s="88">
        <f>INDEX(IRA_2!$A:$J,MATCH('2020'!$A48,IRA_2!$A:$A,0),MATCH('2020'!$A$1,IRA_2!$3:$3,0))/(B48/1000)</f>
        <v>4.1854953822439735E-2</v>
      </c>
      <c r="L48" s="15">
        <f>INDEX(IRA_3!$A:$J,MATCH('2020'!$A48,IRA_3!$A:$A,0),MATCH('2020'!$A$1,IRA_3!$3:$3,0))</f>
        <v>0.45165777880825408</v>
      </c>
      <c r="M48" s="96">
        <f>INDEX(IRA_4!$A:$J,MATCH('2020'!$A48,IRA_4!$A:$A,0),MATCH('2020'!$A$1,IRA_4!$3:$3,0))/(B48/1000)</f>
        <v>3.3916945338873581</v>
      </c>
      <c r="N48" s="61">
        <f>INDEX(INV_1!$A:$J,MATCH('2020'!$A48,INV_1!$A:$A,0),MATCH('2020'!$A$1,INV_1!$3:$3,0))</f>
        <v>0.10563013357663109</v>
      </c>
      <c r="O48" s="80">
        <f>INDEX(INV_2!$A:$J,MATCH('2020'!$A48,INV_2!$A:$A,0),MATCH('2020'!$A$1,INV_2!$3:$3,0))/B48*10^6/C48</f>
        <v>0.3358196940340738</v>
      </c>
      <c r="P48" s="87">
        <f>INDEX(INV_3!$A:$J,MATCH('2020'!$A48,INV_3!$A:$A,0),MATCH('2020'!$A$1,INV_3!$3:$3,0))/B48*10^6/C48</f>
        <v>3.5941823664271091</v>
      </c>
      <c r="Q48" s="87">
        <f>INDEX(INV_4!$A:$J,MATCH('2020'!$A48,INV_4!$A:$A,0),MATCH('2020'!$A$1,INV_4!$3:$3,0))/B48*10^3/C48</f>
        <v>0.35814915750058246</v>
      </c>
      <c r="R48" s="34">
        <f>INDEX(INV_5!$A:$J,MATCH('2020'!$A48,INV_5!$A:$A,0),MATCH('2020'!$A$1,INV_5!$3:$3,0))</f>
        <v>0.1893</v>
      </c>
      <c r="S48" s="77">
        <f>INDEX(LUJ_1!$A:$J,MATCH('2020'!$A48,LUJ_1!$A:$A,0),MATCH('2020'!$A$1,LUJ_1!$3:$3,0))</f>
        <v>0.62288732394366197</v>
      </c>
      <c r="T48" s="73">
        <f>INDEX(LUJ_2!$A:$J,MATCH('2020'!$A48,LUJ_2!$A:$A,0),MATCH('2020'!$A$1,LUJ_2!$3:$3,0))</f>
        <v>0.27300000000000002</v>
      </c>
      <c r="U48" s="73">
        <f>INDEX(LUJ_3!$A:$J,MATCH('2020'!$A48,LUJ_3!$A:$A,0),MATCH('2020'!$A$1,LUJ_3!$3:$3,0))</f>
        <v>0.2121654501216545</v>
      </c>
      <c r="V48" s="14">
        <f>INDEX(LUJ_4!$A:$J,MATCH('2020'!$A48,LUJ_4!$A:$A,0),MATCH('2020'!$A$1,LUJ_4!$3:$3,0))</f>
        <v>5</v>
      </c>
      <c r="W48" s="34">
        <f>INDEX(LUJ_5!$A:$J,MATCH('2020'!$A48,LUJ_5!$A:$A,0),MATCH('2020'!$A$1,LUJ_5!$3:$3,0))</f>
        <v>19.899999999999999</v>
      </c>
      <c r="X48" s="98">
        <f>1/INDEX(GUL_1!$A:$J,MATCH('2020'!$A48,GUL_1!$A:$A,0),MATCH('2020'!$A$1,GUL_1!$3:$3,0))</f>
        <v>1.3498920086393088E-2</v>
      </c>
      <c r="Y48" s="57">
        <f>INDEX(GUL_2!$A:$J,MATCH('2020'!$A48,GUL_2!$A:$A,0),MATCH('2020'!$A$1,GUL_2!$3:$3,0))</f>
        <v>24.9</v>
      </c>
      <c r="Z48" s="57">
        <f>INDEX(GUL_3!$A:$J,MATCH('2020'!$A48,GUL_3!$A:$A,0),MATCH('2020'!$A$1,GUL_3!$3:$3,0))/(B48/1000)</f>
        <v>0.68699855239590746</v>
      </c>
      <c r="AA48" s="101">
        <f>INDEX(GUL_4!$A:$J,MATCH('2020'!$A48,GUL_4!$A:$A,0),MATCH('2020'!$A$1,GUL_4!$3:$3,0))/B48/C48*10^6</f>
        <v>0.23122563185800837</v>
      </c>
      <c r="AB48" s="73">
        <f>INDEX(GUL_5!$A:$J,MATCH('2020'!$A48,GUL_5!$A:$A,0),MATCH('2020'!$A$1,GUL_5!$3:$3,0))</f>
        <v>1.2979489642893137E-2</v>
      </c>
      <c r="AC48" s="49">
        <f>INDEX(GUL_6!$A:$J,MATCH('2020'!$A48,GUL_6!$A:$A,0),MATCH('2020'!$A$1,GUL_6!$3:$3,0))</f>
        <v>1.0700000000000001E-2</v>
      </c>
      <c r="AD48" s="49">
        <f>INDEX(GUL_7!$A:$J,MATCH('2020'!$A48,GUL_7!$A:$A,0),MATCH('2020'!$A$1,GUL_7!$3:$3,0))</f>
        <v>9.4825380000000001E-2</v>
      </c>
      <c r="AE48" s="103">
        <f>INDEX(GUL_8!$A:$J,MATCH('2020'!$A48,GUL_8!$A:$A,0),MATCH('2020'!$A$1,GUL_8!$3:$3,0))/(B48/1000)</f>
        <v>0.58885590205363492</v>
      </c>
      <c r="AF48" s="41">
        <f>INDEX(DES_1!$A:$J,MATCH('2020'!$A48,DES_1!$A:$A,0),MATCH('2020'!$A$1,DES_1!$3:$3,0))/(B48/1000)</f>
        <v>5.773097078957205E-3</v>
      </c>
      <c r="AG48" s="100">
        <f>INDEX(DES_2!$A:$J,MATCH('2020'!$A48,DES_2!$A:$A,0),MATCH('2020'!$A$1,DES_2!$3:$3,0))/(B48/1000)</f>
        <v>1.4100789615352973</v>
      </c>
      <c r="AH48" s="57">
        <f>1/INDEX(DES_3!$A:$J,MATCH('2020'!$A48,DES_3!$A:$A,0),MATCH('2020'!$A$1,DES_3!$3:$3,0))</f>
        <v>8.5616438356164379E-3</v>
      </c>
      <c r="AI48" s="80">
        <f>INDEX(DES_4!$A:$J,MATCH('2020'!$A48,DES_4!$A:$A,0),MATCH('2020'!$A$1,DES_4!$3:$3,0))</f>
        <v>0.71248033809400002</v>
      </c>
      <c r="AJ48" s="110">
        <f>INDEX(DES_5!$A:$J,MATCH('2020'!$A48,DES_5!$A:$A,0),MATCH('2020'!$A$1,DES_5!$3:$3,0))</f>
        <v>0.239133235306</v>
      </c>
      <c r="AK48" s="57">
        <v>35</v>
      </c>
    </row>
    <row r="49" spans="1:37" x14ac:dyDescent="0.3">
      <c r="A49" s="29" t="s">
        <v>48</v>
      </c>
      <c r="B49" s="33">
        <f>INDEX(Population!$A:$J,MATCH('2020'!$A49,Population!$A:$A,0),MATCH('2020'!$A$1,Population!$3:$3,0))</f>
        <v>1184133</v>
      </c>
      <c r="C49" s="14">
        <f>INDEX(Income!$A:$J,MATCH('2020'!$A49,Income!$A:$A,0),MATCH('2020'!$A$1,Income!$3:$3,0))</f>
        <v>28636</v>
      </c>
      <c r="D49" s="34">
        <f>INDEX(Livable_wage!$A:$J,MATCH('2020'!$A49,Livable_wage!$A:$A,0),MATCH('2020'!$A$1,Livable_wage!$3:$3,0))</f>
        <v>11760</v>
      </c>
      <c r="E49" s="41">
        <f>INDEX(AVA_1!$A:$J,MATCH('2020'!$A49,AVA_1!$A:$A,0),MATCH('2020'!$A$1,AVA_1!$3:$3,0))</f>
        <v>0.36499999999999999</v>
      </c>
      <c r="F49" s="15">
        <f>INDEX(AVA_2!$A:$J,MATCH('2020'!$A49,AVA_2!$A:$A,0),MATCH('2020'!$A$1,AVA_2!$3:$3,0))</f>
        <v>9.5256791493028344E-3</v>
      </c>
      <c r="G49" s="15">
        <f>INDEX(AVA_3!$A:$J,MATCH('2020'!$A49,AVA_3!$A:$A,0),MATCH('2020'!$A$1,AVA_3!$3:$3,0))</f>
        <v>3.0053632392434905E-3</v>
      </c>
      <c r="H49" s="87">
        <f>INDEX(AVA_4!$A:$J,MATCH('2020'!$A49,AVA_4!$A:$A,0),MATCH('2020'!$A$1,AVA_4!$3:$3,0))/(B49/1000)</f>
        <v>0.61141780526342904</v>
      </c>
      <c r="I49" s="89">
        <f>INDEX(AVA_5!$A:$J,MATCH('2020'!$A49,AVA_5!$A:$A,0),MATCH('2020'!$A$1,AVA_5!$3:$3,0))/(B49/1000)</f>
        <v>3.8171387842412972</v>
      </c>
      <c r="J49" s="93">
        <f>INDEX(IRA_1!$A:$J,MATCH('2020'!$A49,IRA_1!$A:$A,0),MATCH('2020'!$A$1,IRA_1!$3:$3,0))/(B49/1000)</f>
        <v>4.3913986013395453E-2</v>
      </c>
      <c r="K49" s="88">
        <f>INDEX(IRA_2!$A:$J,MATCH('2020'!$A49,IRA_2!$A:$A,0),MATCH('2020'!$A$1,IRA_2!$3:$3,0))/(B49/1000)</f>
        <v>0.11569646315067648</v>
      </c>
      <c r="L49" s="15">
        <f>INDEX(IRA_3!$A:$J,MATCH('2020'!$A49,IRA_3!$A:$A,0),MATCH('2020'!$A$1,IRA_3!$3:$3,0))</f>
        <v>0.40832004638353381</v>
      </c>
      <c r="M49" s="96">
        <f>INDEX(IRA_4!$A:$J,MATCH('2020'!$A49,IRA_4!$A:$A,0),MATCH('2020'!$A$1,IRA_4!$3:$3,0))/(B49/1000)</f>
        <v>4.619413528716791</v>
      </c>
      <c r="N49" s="61">
        <f>INDEX(INV_1!$A:$J,MATCH('2020'!$A49,INV_1!$A:$A,0),MATCH('2020'!$A$1,INV_1!$3:$3,0))</f>
        <v>8.0699966153520805E-2</v>
      </c>
      <c r="O49" s="80">
        <f>INDEX(INV_2!$A:$J,MATCH('2020'!$A49,INV_2!$A:$A,0),MATCH('2020'!$A$1,INV_2!$3:$3,0))/B49*10^6/C49</f>
        <v>0.44708317989587754</v>
      </c>
      <c r="P49" s="87">
        <f>INDEX(INV_3!$A:$J,MATCH('2020'!$A49,INV_3!$A:$A,0),MATCH('2020'!$A$1,INV_3!$3:$3,0))/B49*10^6/C49</f>
        <v>3.3619264156072157</v>
      </c>
      <c r="Q49" s="87">
        <f>INDEX(INV_4!$A:$J,MATCH('2020'!$A49,INV_4!$A:$A,0),MATCH('2020'!$A$1,INV_4!$3:$3,0))/B49*10^3/C49</f>
        <v>0.29341854734099643</v>
      </c>
      <c r="R49" s="34">
        <f>INDEX(INV_5!$A:$J,MATCH('2020'!$A49,INV_5!$A:$A,0),MATCH('2020'!$A$1,INV_5!$3:$3,0))</f>
        <v>5.5599999999999997E-2</v>
      </c>
      <c r="S49" s="77">
        <f>INDEX(LUJ_1!$A:$J,MATCH('2020'!$A49,LUJ_1!$A:$A,0),MATCH('2020'!$A$1,LUJ_1!$3:$3,0))</f>
        <v>0.91282865713781547</v>
      </c>
      <c r="T49" s="73">
        <f>INDEX(LUJ_2!$A:$J,MATCH('2020'!$A49,LUJ_2!$A:$A,0),MATCH('2020'!$A$1,LUJ_2!$3:$3,0))</f>
        <v>0.19</v>
      </c>
      <c r="U49" s="73">
        <f>INDEX(LUJ_3!$A:$J,MATCH('2020'!$A49,LUJ_3!$A:$A,0),MATCH('2020'!$A$1,LUJ_3!$3:$3,0))</f>
        <v>0.5093050152455052</v>
      </c>
      <c r="V49" s="14">
        <f>INDEX(LUJ_4!$A:$J,MATCH('2020'!$A49,LUJ_4!$A:$A,0),MATCH('2020'!$A$1,LUJ_4!$3:$3,0))</f>
        <v>9</v>
      </c>
      <c r="W49" s="34">
        <f>INDEX(LUJ_5!$A:$J,MATCH('2020'!$A49,LUJ_5!$A:$A,0),MATCH('2020'!$A$1,LUJ_5!$3:$3,0))</f>
        <v>22</v>
      </c>
      <c r="X49" s="98">
        <f>1/INDEX(GUL_1!$A:$J,MATCH('2020'!$A49,GUL_1!$A:$A,0),MATCH('2020'!$A$1,GUL_1!$3:$3,0))</f>
        <v>1.4158289678606824E-2</v>
      </c>
      <c r="Y49" s="57">
        <f>INDEX(GUL_2!$A:$J,MATCH('2020'!$A49,GUL_2!$A:$A,0),MATCH('2020'!$A$1,GUL_2!$3:$3,0))</f>
        <v>25.4</v>
      </c>
      <c r="Z49" s="57">
        <f>INDEX(GUL_3!$A:$J,MATCH('2020'!$A49,GUL_3!$A:$A,0),MATCH('2020'!$A$1,GUL_3!$3:$3,0))/(B49/1000)</f>
        <v>0.99904318180474661</v>
      </c>
      <c r="AA49" s="101">
        <f>INDEX(GUL_4!$A:$J,MATCH('2020'!$A49,GUL_4!$A:$A,0),MATCH('2020'!$A$1,GUL_4!$3:$3,0))/B49/C49*10^6</f>
        <v>0.2618311903530991</v>
      </c>
      <c r="AB49" s="73">
        <f>INDEX(GUL_5!$A:$J,MATCH('2020'!$A49,GUL_5!$A:$A,0),MATCH('2020'!$A$1,GUL_5!$3:$3,0))</f>
        <v>2.3319682870254446E-2</v>
      </c>
      <c r="AC49" s="49">
        <f>INDEX(GUL_6!$A:$J,MATCH('2020'!$A49,GUL_6!$A:$A,0),MATCH('2020'!$A$1,GUL_6!$3:$3,0))</f>
        <v>3.6900000000000002E-2</v>
      </c>
      <c r="AD49" s="49">
        <f>INDEX(GUL_7!$A:$J,MATCH('2020'!$A49,GUL_7!$A:$A,0),MATCH('2020'!$A$1,GUL_7!$3:$3,0))</f>
        <v>0.17462900000000001</v>
      </c>
      <c r="AE49" s="103">
        <f>INDEX(GUL_8!$A:$J,MATCH('2020'!$A49,GUL_8!$A:$A,0),MATCH('2020'!$A$1,GUL_8!$3:$3,0))/(B49/1000)</f>
        <v>2.3122402635514758</v>
      </c>
      <c r="AF49" s="41">
        <f>INDEX(DES_1!$A:$J,MATCH('2020'!$A49,DES_1!$A:$A,0),MATCH('2020'!$A$1,DES_1!$3:$3,0))/(B49/1000)</f>
        <v>0.15538795050893775</v>
      </c>
      <c r="AG49" s="100">
        <f>INDEX(DES_2!$A:$J,MATCH('2020'!$A49,DES_2!$A:$A,0),MATCH('2020'!$A$1,DES_2!$3:$3,0))/(B49/1000)</f>
        <v>0.32513239644533171</v>
      </c>
      <c r="AH49" s="57">
        <f>1/INDEX(DES_3!$A:$J,MATCH('2020'!$A49,DES_3!$A:$A,0),MATCH('2020'!$A$1,DES_3!$3:$3,0))</f>
        <v>6.6269052352551355E-3</v>
      </c>
      <c r="AI49" s="80">
        <f>INDEX(DES_4!$A:$J,MATCH('2020'!$A49,DES_4!$A:$A,0),MATCH('2020'!$A$1,DES_4!$3:$3,0))</f>
        <v>0.86257218897699994</v>
      </c>
      <c r="AJ49" s="110">
        <f>INDEX(DES_5!$A:$J,MATCH('2020'!$A49,DES_5!$A:$A,0),MATCH('2020'!$A$1,DES_5!$3:$3,0))</f>
        <v>0.47263226694300003</v>
      </c>
      <c r="AK49" s="57">
        <v>27</v>
      </c>
    </row>
    <row r="50" spans="1:37" x14ac:dyDescent="0.3">
      <c r="A50" s="29" t="s">
        <v>49</v>
      </c>
      <c r="B50" s="33">
        <f>INDEX(Population!$A:$J,MATCH('2020'!$A50,Population!$A:$A,0),MATCH('2020'!$A$1,Population!$3:$3,0))</f>
        <v>1286654</v>
      </c>
      <c r="C50" s="14">
        <f>INDEX(Income!$A:$J,MATCH('2020'!$A50,Income!$A:$A,0),MATCH('2020'!$A$1,Income!$3:$3,0))</f>
        <v>24135</v>
      </c>
      <c r="D50" s="34">
        <f>INDEX(Livable_wage!$A:$J,MATCH('2020'!$A50,Livable_wage!$A:$A,0),MATCH('2020'!$A$1,Livable_wage!$3:$3,0))</f>
        <v>10396</v>
      </c>
      <c r="E50" s="41">
        <f>INDEX(AVA_1!$A:$J,MATCH('2020'!$A50,AVA_1!$A:$A,0),MATCH('2020'!$A$1,AVA_1!$3:$3,0))</f>
        <v>0.35299999999999998</v>
      </c>
      <c r="F50" s="15">
        <f>INDEX(AVA_2!$A:$J,MATCH('2020'!$A50,AVA_2!$A:$A,0),MATCH('2020'!$A$1,AVA_2!$3:$3,0))</f>
        <v>8.3959350666490701E-3</v>
      </c>
      <c r="G50" s="15">
        <f>INDEX(AVA_3!$A:$J,MATCH('2020'!$A50,AVA_3!$A:$A,0),MATCH('2020'!$A$1,AVA_3!$3:$3,0))</f>
        <v>1.1757318165099877E-2</v>
      </c>
      <c r="H50" s="87">
        <f>INDEX(AVA_4!$A:$J,MATCH('2020'!$A50,AVA_4!$A:$A,0),MATCH('2020'!$A$1,AVA_4!$3:$3,0))/(B50/1000)</f>
        <v>0.49663701352500361</v>
      </c>
      <c r="I50" s="89">
        <f>INDEX(AVA_5!$A:$J,MATCH('2020'!$A50,AVA_5!$A:$A,0),MATCH('2020'!$A$1,AVA_5!$3:$3,0))/(B50/1000)</f>
        <v>3.4313809306931002</v>
      </c>
      <c r="J50" s="93">
        <f>INDEX(IRA_1!$A:$J,MATCH('2020'!$A50,IRA_1!$A:$A,0),MATCH('2020'!$A$1,IRA_1!$3:$3,0))/(B50/1000)</f>
        <v>3.7306066743662242E-2</v>
      </c>
      <c r="K50" s="88">
        <f>INDEX(IRA_2!$A:$J,MATCH('2020'!$A50,IRA_2!$A:$A,0),MATCH('2020'!$A$1,IRA_2!$3:$3,0))/(B50/1000)</f>
        <v>0.11424982940246561</v>
      </c>
      <c r="L50" s="15">
        <f>INDEX(IRA_3!$A:$J,MATCH('2020'!$A50,IRA_3!$A:$A,0),MATCH('2020'!$A$1,IRA_3!$3:$3,0))</f>
        <v>0.39666256326083982</v>
      </c>
      <c r="M50" s="96">
        <f>INDEX(IRA_4!$A:$J,MATCH('2020'!$A50,IRA_4!$A:$A,0),MATCH('2020'!$A$1,IRA_4!$3:$3,0))/(B50/1000)</f>
        <v>1.8940600969646852</v>
      </c>
      <c r="N50" s="61">
        <f>INDEX(INV_1!$A:$J,MATCH('2020'!$A50,INV_1!$A:$A,0),MATCH('2020'!$A$1,INV_1!$3:$3,0))</f>
        <v>6.6190355194752734E-2</v>
      </c>
      <c r="O50" s="80">
        <f>INDEX(INV_2!$A:$J,MATCH('2020'!$A50,INV_2!$A:$A,0),MATCH('2020'!$A$1,INV_2!$3:$3,0))/B50*10^6/C50</f>
        <v>0.36239817582917117</v>
      </c>
      <c r="P50" s="87">
        <f>INDEX(INV_3!$A:$J,MATCH('2020'!$A50,INV_3!$A:$A,0),MATCH('2020'!$A$1,INV_3!$3:$3,0))/B50*10^6/C50</f>
        <v>4.3908243564829315</v>
      </c>
      <c r="Q50" s="87">
        <f>INDEX(INV_4!$A:$J,MATCH('2020'!$A50,INV_4!$A:$A,0),MATCH('2020'!$A$1,INV_4!$3:$3,0))/B50*10^3/C50</f>
        <v>0.32331473320561122</v>
      </c>
      <c r="R50" s="34">
        <f>INDEX(INV_5!$A:$J,MATCH('2020'!$A50,INV_5!$A:$A,0),MATCH('2020'!$A$1,INV_5!$3:$3,0))</f>
        <v>7.3200000000000001E-2</v>
      </c>
      <c r="S50" s="77">
        <f>INDEX(LUJ_1!$A:$J,MATCH('2020'!$A50,LUJ_1!$A:$A,0),MATCH('2020'!$A$1,LUJ_1!$3:$3,0))</f>
        <v>0.82525893752088209</v>
      </c>
      <c r="T50" s="73">
        <f>INDEX(LUJ_2!$A:$J,MATCH('2020'!$A50,LUJ_2!$A:$A,0),MATCH('2020'!$A$1,LUJ_2!$3:$3,0))</f>
        <v>0.14300000000000002</v>
      </c>
      <c r="U50" s="73">
        <f>INDEX(LUJ_3!$A:$J,MATCH('2020'!$A50,LUJ_3!$A:$A,0),MATCH('2020'!$A$1,LUJ_3!$3:$3,0))</f>
        <v>0.44163545568039952</v>
      </c>
      <c r="V50" s="14">
        <f>INDEX(LUJ_4!$A:$J,MATCH('2020'!$A50,LUJ_4!$A:$A,0),MATCH('2020'!$A$1,LUJ_4!$3:$3,0))</f>
        <v>17</v>
      </c>
      <c r="W50" s="34">
        <f>INDEX(LUJ_5!$A:$J,MATCH('2020'!$A50,LUJ_5!$A:$A,0),MATCH('2020'!$A$1,LUJ_5!$3:$3,0))</f>
        <v>25.2</v>
      </c>
      <c r="X50" s="98">
        <f>1/INDEX(GUL_1!$A:$J,MATCH('2020'!$A50,GUL_1!$A:$A,0),MATCH('2020'!$A$1,GUL_1!$3:$3,0))</f>
        <v>1.4017381553125876E-2</v>
      </c>
      <c r="Y50" s="57">
        <f>INDEX(GUL_2!$A:$J,MATCH('2020'!$A50,GUL_2!$A:$A,0),MATCH('2020'!$A$1,GUL_2!$3:$3,0))</f>
        <v>25.4</v>
      </c>
      <c r="Z50" s="57">
        <f>INDEX(GUL_3!$A:$J,MATCH('2020'!$A50,GUL_3!$A:$A,0),MATCH('2020'!$A$1,GUL_3!$3:$3,0))/(B50/1000)</f>
        <v>0.98239309091643912</v>
      </c>
      <c r="AA50" s="101">
        <f>INDEX(GUL_4!$A:$J,MATCH('2020'!$A50,GUL_4!$A:$A,0),MATCH('2020'!$A$1,GUL_4!$3:$3,0))/B50/C50*10^6</f>
        <v>0.28855428544523209</v>
      </c>
      <c r="AB50" s="73">
        <f>INDEX(GUL_5!$A:$J,MATCH('2020'!$A50,GUL_5!$A:$A,0),MATCH('2020'!$A$1,GUL_5!$3:$3,0))</f>
        <v>3.4421762137433254E-2</v>
      </c>
      <c r="AC50" s="49">
        <f>INDEX(GUL_6!$A:$J,MATCH('2020'!$A50,GUL_6!$A:$A,0),MATCH('2020'!$A$1,GUL_6!$3:$3,0))</f>
        <v>3.4799999999999998E-2</v>
      </c>
      <c r="AD50" s="49">
        <f>INDEX(GUL_7!$A:$J,MATCH('2020'!$A50,GUL_7!$A:$A,0),MATCH('2020'!$A$1,GUL_7!$3:$3,0))</f>
        <v>0.16766940000000002</v>
      </c>
      <c r="AE50" s="103">
        <f>INDEX(GUL_8!$A:$J,MATCH('2020'!$A50,GUL_8!$A:$A,0),MATCH('2020'!$A$1,GUL_8!$3:$3,0))/(B50/1000)</f>
        <v>2.2570170379915657</v>
      </c>
      <c r="AF50" s="41">
        <f>INDEX(DES_1!$A:$J,MATCH('2020'!$A50,DES_1!$A:$A,0),MATCH('2020'!$A$1,DES_1!$3:$3,0))/(B50/1000)</f>
        <v>0.18186707537535343</v>
      </c>
      <c r="AG50" s="100">
        <f>INDEX(DES_2!$A:$J,MATCH('2020'!$A50,DES_2!$A:$A,0),MATCH('2020'!$A$1,DES_2!$3:$3,0))/(B50/1000)</f>
        <v>0.44922722037159951</v>
      </c>
      <c r="AH50" s="57">
        <f>1/INDEX(DES_3!$A:$J,MATCH('2020'!$A50,DES_3!$A:$A,0),MATCH('2020'!$A$1,DES_3!$3:$3,0))</f>
        <v>6.7842605156037987E-3</v>
      </c>
      <c r="AI50" s="80">
        <f>INDEX(DES_4!$A:$J,MATCH('2020'!$A50,DES_4!$A:$A,0),MATCH('2020'!$A$1,DES_4!$3:$3,0))</f>
        <v>0.88841232239700008</v>
      </c>
      <c r="AJ50" s="110">
        <f>INDEX(DES_5!$A:$J,MATCH('2020'!$A50,DES_5!$A:$A,0),MATCH('2020'!$A$1,DES_5!$3:$3,0))</f>
        <v>0.51276146693000002</v>
      </c>
      <c r="AK50" s="57">
        <v>28</v>
      </c>
    </row>
    <row r="51" spans="1:37" x14ac:dyDescent="0.3">
      <c r="A51" s="29" t="s">
        <v>50</v>
      </c>
      <c r="B51" s="33">
        <f>INDEX(Population!$A:$J,MATCH('2020'!$A51,Population!$A:$A,0),MATCH('2020'!$A$1,Population!$3:$3,0))</f>
        <v>1549193</v>
      </c>
      <c r="C51" s="14">
        <f>INDEX(Income!$A:$J,MATCH('2020'!$A51,Income!$A:$A,0),MATCH('2020'!$A$1,Income!$3:$3,0))</f>
        <v>32884</v>
      </c>
      <c r="D51" s="34">
        <f>INDEX(Livable_wage!$A:$J,MATCH('2020'!$A51,Livable_wage!$A:$A,0),MATCH('2020'!$A$1,Livable_wage!$3:$3,0))</f>
        <v>10403</v>
      </c>
      <c r="E51" s="41">
        <f>INDEX(AVA_1!$A:$J,MATCH('2020'!$A51,AVA_1!$A:$A,0),MATCH('2020'!$A$1,AVA_1!$3:$3,0))</f>
        <v>0.377</v>
      </c>
      <c r="F51" s="15">
        <f>INDEX(AVA_2!$A:$J,MATCH('2020'!$A51,AVA_2!$A:$A,0),MATCH('2020'!$A$1,AVA_2!$3:$3,0))</f>
        <v>8.4550868070116577E-3</v>
      </c>
      <c r="G51" s="15">
        <f>INDEX(AVA_3!$A:$J,MATCH('2020'!$A51,AVA_3!$A:$A,0),MATCH('2020'!$A$1,AVA_3!$3:$3,0))</f>
        <v>1.6168163713567413E-2</v>
      </c>
      <c r="H51" s="87">
        <f>INDEX(AVA_4!$A:$J,MATCH('2020'!$A51,AVA_4!$A:$A,0),MATCH('2020'!$A$1,AVA_4!$3:$3,0))/(B51/1000)</f>
        <v>0.39568988499173441</v>
      </c>
      <c r="I51" s="89">
        <f>INDEX(AVA_5!$A:$J,MATCH('2020'!$A51,AVA_5!$A:$A,0),MATCH('2020'!$A$1,AVA_5!$3:$3,0))/(B51/1000)</f>
        <v>3.3804697026129089</v>
      </c>
      <c r="J51" s="93">
        <f>INDEX(IRA_1!$A:$J,MATCH('2020'!$A51,IRA_1!$A:$A,0),MATCH('2020'!$A$1,IRA_1!$3:$3,0))/(B51/1000)</f>
        <v>2.9692878808515143E-2</v>
      </c>
      <c r="K51" s="88">
        <f>INDEX(IRA_2!$A:$J,MATCH('2020'!$A51,IRA_2!$A:$A,0),MATCH('2020'!$A$1,IRA_2!$3:$3,0))/(B51/1000)</f>
        <v>7.8105181213702871E-2</v>
      </c>
      <c r="L51" s="15">
        <f>INDEX(IRA_3!$A:$J,MATCH('2020'!$A51,IRA_3!$A:$A,0),MATCH('2020'!$A$1,IRA_3!$3:$3,0))</f>
        <v>0.4436324055356865</v>
      </c>
      <c r="M51" s="96">
        <f>INDEX(IRA_4!$A:$J,MATCH('2020'!$A51,IRA_4!$A:$A,0),MATCH('2020'!$A$1,IRA_4!$3:$3,0))/(B51/1000)</f>
        <v>2.4386890464906568</v>
      </c>
      <c r="N51" s="61">
        <f>INDEX(INV_1!$A:$J,MATCH('2020'!$A51,INV_1!$A:$A,0),MATCH('2020'!$A$1,INV_1!$3:$3,0))</f>
        <v>6.4278058073179378E-2</v>
      </c>
      <c r="O51" s="80">
        <f>INDEX(INV_2!$A:$J,MATCH('2020'!$A51,INV_2!$A:$A,0),MATCH('2020'!$A$1,INV_2!$3:$3,0))/B51*10^6/C51</f>
        <v>0.48132889069550433</v>
      </c>
      <c r="P51" s="87">
        <f>INDEX(INV_3!$A:$J,MATCH('2020'!$A51,INV_3!$A:$A,0),MATCH('2020'!$A$1,INV_3!$3:$3,0))/B51*10^6/C51</f>
        <v>3.2969753525424044</v>
      </c>
      <c r="Q51" s="87">
        <f>INDEX(INV_4!$A:$J,MATCH('2020'!$A51,INV_4!$A:$A,0),MATCH('2020'!$A$1,INV_4!$3:$3,0))/B51*10^3/C51</f>
        <v>0.20927436806415856</v>
      </c>
      <c r="R51" s="34">
        <f>INDEX(INV_5!$A:$J,MATCH('2020'!$A51,INV_5!$A:$A,0),MATCH('2020'!$A$1,INV_5!$3:$3,0))</f>
        <v>7.1499999999999994E-2</v>
      </c>
      <c r="S51" s="77">
        <f>INDEX(LUJ_1!$A:$J,MATCH('2020'!$A51,LUJ_1!$A:$A,0),MATCH('2020'!$A$1,LUJ_1!$3:$3,0))</f>
        <v>0.8487158908507223</v>
      </c>
      <c r="T51" s="73">
        <f>INDEX(LUJ_2!$A:$J,MATCH('2020'!$A51,LUJ_2!$A:$A,0),MATCH('2020'!$A$1,LUJ_2!$3:$3,0))</f>
        <v>0.14000000000000001</v>
      </c>
      <c r="U51" s="73">
        <f>INDEX(LUJ_3!$A:$J,MATCH('2020'!$A51,LUJ_3!$A:$A,0),MATCH('2020'!$A$1,LUJ_3!$3:$3,0))</f>
        <v>0.25215552301935906</v>
      </c>
      <c r="V51" s="14">
        <f>INDEX(LUJ_4!$A:$J,MATCH('2020'!$A51,LUJ_4!$A:$A,0),MATCH('2020'!$A$1,LUJ_4!$3:$3,0))</f>
        <v>5</v>
      </c>
      <c r="W51" s="34">
        <f>INDEX(LUJ_5!$A:$J,MATCH('2020'!$A51,LUJ_5!$A:$A,0),MATCH('2020'!$A$1,LUJ_5!$3:$3,0))</f>
        <v>14.5</v>
      </c>
      <c r="X51" s="98">
        <f>1/INDEX(GUL_1!$A:$J,MATCH('2020'!$A51,GUL_1!$A:$A,0),MATCH('2020'!$A$1,GUL_1!$3:$3,0))</f>
        <v>1.381788033715628E-2</v>
      </c>
      <c r="Y51" s="57">
        <f>INDEX(GUL_2!$A:$J,MATCH('2020'!$A51,GUL_2!$A:$A,0),MATCH('2020'!$A$1,GUL_2!$3:$3,0))</f>
        <v>25.7</v>
      </c>
      <c r="Z51" s="57">
        <f>INDEX(GUL_3!$A:$J,MATCH('2020'!$A51,GUL_3!$A:$A,0),MATCH('2020'!$A$1,GUL_3!$3:$3,0))/(B51/1000)</f>
        <v>0.66938076792239576</v>
      </c>
      <c r="AA51" s="101">
        <f>INDEX(GUL_4!$A:$J,MATCH('2020'!$A51,GUL_4!$A:$A,0),MATCH('2020'!$A$1,GUL_4!$3:$3,0))/B51/C51*10^6</f>
        <v>0.18821163435040225</v>
      </c>
      <c r="AB51" s="73">
        <f>INDEX(GUL_5!$A:$J,MATCH('2020'!$A51,GUL_5!$A:$A,0),MATCH('2020'!$A$1,GUL_5!$3:$3,0))</f>
        <v>3.7567938055397092E-2</v>
      </c>
      <c r="AC51" s="49">
        <f>INDEX(GUL_6!$A:$J,MATCH('2020'!$A51,GUL_6!$A:$A,0),MATCH('2020'!$A$1,GUL_6!$3:$3,0))</f>
        <v>2.7900000000000001E-2</v>
      </c>
      <c r="AD51" s="49">
        <f>INDEX(GUL_7!$A:$J,MATCH('2020'!$A51,GUL_7!$A:$A,0),MATCH('2020'!$A$1,GUL_7!$3:$3,0))</f>
        <v>0.17657630000000002</v>
      </c>
      <c r="AE51" s="103">
        <f>INDEX(GUL_8!$A:$J,MATCH('2020'!$A51,GUL_8!$A:$A,0),MATCH('2020'!$A$1,GUL_8!$3:$3,0))/(B51/1000)</f>
        <v>1.2993861965552387</v>
      </c>
      <c r="AF51" s="41">
        <f>INDEX(DES_1!$A:$J,MATCH('2020'!$A51,DES_1!$A:$A,0),MATCH('2020'!$A$1,DES_1!$3:$3,0))/(B51/1000)</f>
        <v>9.3597117983362954E-2</v>
      </c>
      <c r="AG51" s="100">
        <f>INDEX(DES_2!$A:$J,MATCH('2020'!$A51,DES_2!$A:$A,0),MATCH('2020'!$A$1,DES_2!$3:$3,0))/(B51/1000)</f>
        <v>0.38084344558747685</v>
      </c>
      <c r="AH51" s="57">
        <f>1/INDEX(DES_3!$A:$J,MATCH('2020'!$A51,DES_3!$A:$A,0),MATCH('2020'!$A$1,DES_3!$3:$3,0))</f>
        <v>7.6687116564417178E-3</v>
      </c>
      <c r="AI51" s="80">
        <f>INDEX(DES_4!$A:$J,MATCH('2020'!$A51,DES_4!$A:$A,0),MATCH('2020'!$A$1,DES_4!$3:$3,0))</f>
        <v>0.78061284021299993</v>
      </c>
      <c r="AJ51" s="110">
        <f>INDEX(DES_5!$A:$J,MATCH('2020'!$A51,DES_5!$A:$A,0),MATCH('2020'!$A$1,DES_5!$3:$3,0))</f>
        <v>0.43694141941100001</v>
      </c>
      <c r="AK51" s="57">
        <v>26</v>
      </c>
    </row>
    <row r="52" spans="1:37" x14ac:dyDescent="0.3">
      <c r="A52" s="29" t="s">
        <v>51</v>
      </c>
      <c r="B52" s="33">
        <f>INDEX(Population!$A:$J,MATCH('2020'!$A52,Population!$A:$A,0),MATCH('2020'!$A$1,Population!$3:$3,0))</f>
        <v>1155138</v>
      </c>
      <c r="C52" s="14">
        <f>INDEX(Income!$A:$J,MATCH('2020'!$A52,Income!$A:$A,0),MATCH('2020'!$A$1,Income!$3:$3,0))</f>
        <v>32534</v>
      </c>
      <c r="D52" s="34">
        <f>INDEX(Livable_wage!$A:$J,MATCH('2020'!$A52,Livable_wage!$A:$A,0),MATCH('2020'!$A$1,Livable_wage!$3:$3,0))</f>
        <v>10627</v>
      </c>
      <c r="E52" s="41">
        <f>INDEX(AVA_1!$A:$J,MATCH('2020'!$A52,AVA_1!$A:$A,0),MATCH('2020'!$A$1,AVA_1!$3:$3,0))</f>
        <v>0.379</v>
      </c>
      <c r="F52" s="15">
        <f>INDEX(AVA_2!$A:$J,MATCH('2020'!$A52,AVA_2!$A:$A,0),MATCH('2020'!$A$1,AVA_2!$3:$3,0))</f>
        <v>9.9431277175281874E-3</v>
      </c>
      <c r="G52" s="15">
        <f>INDEX(AVA_3!$A:$J,MATCH('2020'!$A52,AVA_3!$A:$A,0),MATCH('2020'!$A$1,AVA_3!$3:$3,0))</f>
        <v>5.4272725424679901E-3</v>
      </c>
      <c r="H52" s="87">
        <f>INDEX(AVA_4!$A:$J,MATCH('2020'!$A52,AVA_4!$A:$A,0),MATCH('2020'!$A$1,AVA_4!$3:$3,0))/(B52/1000)</f>
        <v>0.47180510034298934</v>
      </c>
      <c r="I52" s="89">
        <f>INDEX(AVA_5!$A:$J,MATCH('2020'!$A52,AVA_5!$A:$A,0),MATCH('2020'!$A$1,AVA_5!$3:$3,0))/(B52/1000)</f>
        <v>4.0549267706542427</v>
      </c>
      <c r="J52" s="93">
        <f>INDEX(IRA_1!$A:$J,MATCH('2020'!$A52,IRA_1!$A:$A,0),MATCH('2020'!$A$1,IRA_1!$3:$3,0))/(B52/1000)</f>
        <v>4.3284871591099942E-2</v>
      </c>
      <c r="K52" s="88">
        <f>INDEX(IRA_2!$A:$J,MATCH('2020'!$A52,IRA_2!$A:$A,0),MATCH('2020'!$A$1,IRA_2!$3:$3,0))/(B52/1000)</f>
        <v>8.0509861159445889E-2</v>
      </c>
      <c r="L52" s="15">
        <f>INDEX(IRA_3!$A:$J,MATCH('2020'!$A52,IRA_3!$A:$A,0),MATCH('2020'!$A$1,IRA_3!$3:$3,0))</f>
        <v>0.41677357280307892</v>
      </c>
      <c r="M52" s="96">
        <f>INDEX(IRA_4!$A:$J,MATCH('2020'!$A52,IRA_4!$A:$A,0),MATCH('2020'!$A$1,IRA_4!$3:$3,0))/(B52/1000)</f>
        <v>3.1000625033545779</v>
      </c>
      <c r="N52" s="61">
        <f>INDEX(INV_1!$A:$J,MATCH('2020'!$A52,INV_1!$A:$A,0),MATCH('2020'!$A$1,INV_1!$3:$3,0))</f>
        <v>8.1011056512954691E-2</v>
      </c>
      <c r="O52" s="80">
        <f>INDEX(INV_2!$A:$J,MATCH('2020'!$A52,INV_2!$A:$A,0),MATCH('2020'!$A$1,INV_2!$3:$3,0))/B52*10^6/C52</f>
        <v>0.36625800499524142</v>
      </c>
      <c r="P52" s="87">
        <f>INDEX(INV_3!$A:$J,MATCH('2020'!$A52,INV_3!$A:$A,0),MATCH('2020'!$A$1,INV_3!$3:$3,0))/B52*10^6/C52</f>
        <v>3.175518888351796</v>
      </c>
      <c r="Q52" s="87">
        <f>INDEX(INV_4!$A:$J,MATCH('2020'!$A52,INV_4!$A:$A,0),MATCH('2020'!$A$1,INV_4!$3:$3,0))/B52*10^3/C52</f>
        <v>0.27143318700866925</v>
      </c>
      <c r="R52" s="34">
        <f>INDEX(INV_5!$A:$J,MATCH('2020'!$A52,INV_5!$A:$A,0),MATCH('2020'!$A$1,INV_5!$3:$3,0))</f>
        <v>6.3299999999999995E-2</v>
      </c>
      <c r="S52" s="77">
        <f>INDEX(LUJ_1!$A:$J,MATCH('2020'!$A52,LUJ_1!$A:$A,0),MATCH('2020'!$A$1,LUJ_1!$3:$3,0))</f>
        <v>0.8484689413823272</v>
      </c>
      <c r="T52" s="73">
        <f>INDEX(LUJ_2!$A:$J,MATCH('2020'!$A52,LUJ_2!$A:$A,0),MATCH('2020'!$A$1,LUJ_2!$3:$3,0))</f>
        <v>0.16800000000000001</v>
      </c>
      <c r="U52" s="73">
        <f>INDEX(LUJ_3!$A:$J,MATCH('2020'!$A52,LUJ_3!$A:$A,0),MATCH('2020'!$A$1,LUJ_3!$3:$3,0))</f>
        <v>0.34975002648024572</v>
      </c>
      <c r="V52" s="14">
        <f>INDEX(LUJ_4!$A:$J,MATCH('2020'!$A52,LUJ_4!$A:$A,0),MATCH('2020'!$A$1,LUJ_4!$3:$3,0))</f>
        <v>8</v>
      </c>
      <c r="W52" s="34">
        <f>INDEX(LUJ_5!$A:$J,MATCH('2020'!$A52,LUJ_5!$A:$A,0),MATCH('2020'!$A$1,LUJ_5!$3:$3,0))</f>
        <v>22.5</v>
      </c>
      <c r="X52" s="98">
        <f>1/INDEX(GUL_1!$A:$J,MATCH('2020'!$A52,GUL_1!$A:$A,0),MATCH('2020'!$A$1,GUL_1!$3:$3,0))</f>
        <v>1.4166312508853945E-2</v>
      </c>
      <c r="Y52" s="57">
        <f>INDEX(GUL_2!$A:$J,MATCH('2020'!$A52,GUL_2!$A:$A,0),MATCH('2020'!$A$1,GUL_2!$3:$3,0))</f>
        <v>26.200000000000003</v>
      </c>
      <c r="Z52" s="57">
        <f>INDEX(GUL_3!$A:$J,MATCH('2020'!$A52,GUL_3!$A:$A,0),MATCH('2020'!$A$1,GUL_3!$3:$3,0))/(B52/1000)</f>
        <v>0.71246898638950507</v>
      </c>
      <c r="AA52" s="101">
        <f>INDEX(GUL_4!$A:$J,MATCH('2020'!$A52,GUL_4!$A:$A,0),MATCH('2020'!$A$1,GUL_4!$3:$3,0))/B52/C52*10^6</f>
        <v>0.17832292091652752</v>
      </c>
      <c r="AB52" s="73">
        <f>INDEX(GUL_5!$A:$J,MATCH('2020'!$A52,GUL_5!$A:$A,0),MATCH('2020'!$A$1,GUL_5!$3:$3,0))</f>
        <v>2.9274656261406403E-2</v>
      </c>
      <c r="AC52" s="49">
        <f>INDEX(GUL_6!$A:$J,MATCH('2020'!$A52,GUL_6!$A:$A,0),MATCH('2020'!$A$1,GUL_6!$3:$3,0))</f>
        <v>2.8300000000000002E-2</v>
      </c>
      <c r="AD52" s="49">
        <f>INDEX(GUL_7!$A:$J,MATCH('2020'!$A52,GUL_7!$A:$A,0),MATCH('2020'!$A$1,GUL_7!$3:$3,0))</f>
        <v>0.22031539999999999</v>
      </c>
      <c r="AE52" s="103">
        <f>INDEX(GUL_8!$A:$J,MATCH('2020'!$A52,GUL_8!$A:$A,0),MATCH('2020'!$A$1,GUL_8!$3:$3,0))/(B52/1000)</f>
        <v>1.6586762793709497</v>
      </c>
      <c r="AF52" s="41">
        <f>INDEX(DES_1!$A:$J,MATCH('2020'!$A52,DES_1!$A:$A,0),MATCH('2020'!$A$1,DES_1!$3:$3,0))/(B52/1000)</f>
        <v>1.7313948636439976E-2</v>
      </c>
      <c r="AG52" s="100">
        <f>INDEX(DES_2!$A:$J,MATCH('2020'!$A52,DES_2!$A:$A,0),MATCH('2020'!$A$1,DES_2!$3:$3,0))/(B52/1000)</f>
        <v>0.55318065893425727</v>
      </c>
      <c r="AH52" s="57">
        <f>1/INDEX(DES_3!$A:$J,MATCH('2020'!$A52,DES_3!$A:$A,0),MATCH('2020'!$A$1,DES_3!$3:$3,0))</f>
        <v>8.2850041425020712E-3</v>
      </c>
      <c r="AI52" s="80">
        <f>INDEX(DES_4!$A:$J,MATCH('2020'!$A52,DES_4!$A:$A,0),MATCH('2020'!$A$1,DES_4!$3:$3,0))</f>
        <v>0.85828466084900001</v>
      </c>
      <c r="AJ52" s="110">
        <f>INDEX(DES_5!$A:$J,MATCH('2020'!$A52,DES_5!$A:$A,0),MATCH('2020'!$A$1,DES_5!$3:$3,0))</f>
        <v>0.49702248223000001</v>
      </c>
      <c r="AK52" s="57">
        <v>6</v>
      </c>
    </row>
    <row r="53" spans="1:37" x14ac:dyDescent="0.3">
      <c r="A53" s="29" t="s">
        <v>52</v>
      </c>
      <c r="B53" s="33">
        <f>INDEX(Population!$A:$J,MATCH('2020'!$A53,Population!$A:$A,0),MATCH('2020'!$A$1,Population!$3:$3,0))</f>
        <v>590560</v>
      </c>
      <c r="C53" s="14">
        <f>INDEX(Income!$A:$J,MATCH('2020'!$A53,Income!$A:$A,0),MATCH('2020'!$A$1,Income!$3:$3,0))</f>
        <v>26431</v>
      </c>
      <c r="D53" s="34">
        <f>INDEX(Livable_wage!$A:$J,MATCH('2020'!$A53,Livable_wage!$A:$A,0),MATCH('2020'!$A$1,Livable_wage!$3:$3,0))</f>
        <v>12346</v>
      </c>
      <c r="E53" s="41">
        <f>INDEX(AVA_1!$A:$J,MATCH('2020'!$A53,AVA_1!$A:$A,0),MATCH('2020'!$A$1,AVA_1!$3:$3,0))</f>
        <v>0.33400000000000002</v>
      </c>
      <c r="F53" s="15">
        <f>INDEX(AVA_2!$A:$J,MATCH('2020'!$A53,AVA_2!$A:$A,0),MATCH('2020'!$A$1,AVA_2!$3:$3,0))</f>
        <v>1.1428300927817586E-2</v>
      </c>
      <c r="G53" s="15">
        <f>INDEX(AVA_3!$A:$J,MATCH('2020'!$A53,AVA_3!$A:$A,0),MATCH('2020'!$A$1,AVA_3!$3:$3,0))</f>
        <v>3.4734476941552378E-2</v>
      </c>
      <c r="H53" s="87">
        <f>INDEX(AVA_4!$A:$J,MATCH('2020'!$A53,AVA_4!$A:$A,0),MATCH('2020'!$A$1,AVA_4!$3:$3,0))/(B53/1000)</f>
        <v>0.62652397724193987</v>
      </c>
      <c r="I53" s="89">
        <f>INDEX(AVA_5!$A:$J,MATCH('2020'!$A53,AVA_5!$A:$A,0),MATCH('2020'!$A$1,AVA_5!$3:$3,0))/(B53/1000)</f>
        <v>7.7909103224058525</v>
      </c>
      <c r="J53" s="93">
        <f>INDEX(IRA_1!$A:$J,MATCH('2020'!$A53,IRA_1!$A:$A,0),MATCH('2020'!$A$1,IRA_1!$3:$3,0))/(B53/1000)</f>
        <v>8.8052018423191561E-2</v>
      </c>
      <c r="K53" s="88">
        <f>INDEX(IRA_2!$A:$J,MATCH('2020'!$A53,IRA_2!$A:$A,0),MATCH('2020'!$A$1,IRA_2!$3:$3,0))/(B53/1000)</f>
        <v>0.14562449200758604</v>
      </c>
      <c r="L53" s="15">
        <f>INDEX(IRA_3!$A:$J,MATCH('2020'!$A53,IRA_3!$A:$A,0),MATCH('2020'!$A$1,IRA_3!$3:$3,0))</f>
        <v>0.43831325301204815</v>
      </c>
      <c r="M53" s="96">
        <f>INDEX(IRA_4!$A:$J,MATCH('2020'!$A53,IRA_4!$A:$A,0),MATCH('2020'!$A$1,IRA_4!$3:$3,0))/(B53/1000)</f>
        <v>6.273706312652398</v>
      </c>
      <c r="N53" s="61">
        <f>INDEX(INV_1!$A:$J,MATCH('2020'!$A53,INV_1!$A:$A,0),MATCH('2020'!$A$1,INV_1!$3:$3,0))</f>
        <v>6.0569448324956532E-2</v>
      </c>
      <c r="O53" s="80">
        <f>INDEX(INV_2!$A:$J,MATCH('2020'!$A53,INV_2!$A:$A,0),MATCH('2020'!$A$1,INV_2!$3:$3,0))/B53*10^6/C53</f>
        <v>0.39844526312004369</v>
      </c>
      <c r="P53" s="87">
        <f>INDEX(INV_3!$A:$J,MATCH('2020'!$A53,INV_3!$A:$A,0),MATCH('2020'!$A$1,INV_3!$3:$3,0))/B53*10^6/C53</f>
        <v>4.3889165884156887</v>
      </c>
      <c r="Q53" s="87">
        <f>INDEX(INV_4!$A:$J,MATCH('2020'!$A53,INV_4!$A:$A,0),MATCH('2020'!$A$1,INV_4!$3:$3,0))/B53*10^3/C53</f>
        <v>0.27949728074370117</v>
      </c>
      <c r="R53" s="34">
        <f>INDEX(INV_5!$A:$J,MATCH('2020'!$A53,INV_5!$A:$A,0),MATCH('2020'!$A$1,INV_5!$3:$3,0))</f>
        <v>4.4999999999999998E-2</v>
      </c>
      <c r="S53" s="77">
        <f>INDEX(LUJ_1!$A:$J,MATCH('2020'!$A53,LUJ_1!$A:$A,0),MATCH('2020'!$A$1,LUJ_1!$3:$3,0))</f>
        <v>0.91398929049531463</v>
      </c>
      <c r="T53" s="73">
        <f>INDEX(LUJ_2!$A:$J,MATCH('2020'!$A53,LUJ_2!$A:$A,0),MATCH('2020'!$A$1,LUJ_2!$3:$3,0))</f>
        <v>0.247</v>
      </c>
      <c r="U53" s="73">
        <f>INDEX(LUJ_3!$A:$J,MATCH('2020'!$A53,LUJ_3!$A:$A,0),MATCH('2020'!$A$1,LUJ_3!$3:$3,0))</f>
        <v>0.48834811301299236</v>
      </c>
      <c r="V53" s="14">
        <f>INDEX(LUJ_4!$A:$J,MATCH('2020'!$A53,LUJ_4!$A:$A,0),MATCH('2020'!$A$1,LUJ_4!$3:$3,0))</f>
        <v>20</v>
      </c>
      <c r="W53" s="34">
        <f>INDEX(LUJ_5!$A:$J,MATCH('2020'!$A53,LUJ_5!$A:$A,0),MATCH('2020'!$A$1,LUJ_5!$3:$3,0))</f>
        <v>47.8</v>
      </c>
      <c r="X53" s="98">
        <f>1/INDEX(GUL_1!$A:$J,MATCH('2020'!$A53,GUL_1!$A:$A,0),MATCH('2020'!$A$1,GUL_1!$3:$3,0))</f>
        <v>1.436988072998994E-2</v>
      </c>
      <c r="Y53" s="57">
        <f>INDEX(GUL_2!$A:$J,MATCH('2020'!$A53,GUL_2!$A:$A,0),MATCH('2020'!$A$1,GUL_2!$3:$3,0))</f>
        <v>25.5</v>
      </c>
      <c r="Z53" s="57">
        <f>INDEX(GUL_3!$A:$J,MATCH('2020'!$A53,GUL_3!$A:$A,0),MATCH('2020'!$A$1,GUL_3!$3:$3,0))/(B53/1000)</f>
        <v>1.1751557843402873</v>
      </c>
      <c r="AA53" s="101">
        <f>INDEX(GUL_4!$A:$J,MATCH('2020'!$A53,GUL_4!$A:$A,0),MATCH('2020'!$A$1,GUL_4!$3:$3,0))/B53/C53*10^6</f>
        <v>0.2991263163443999</v>
      </c>
      <c r="AB53" s="73">
        <f>INDEX(GUL_5!$A:$J,MATCH('2020'!$A53,GUL_5!$A:$A,0),MATCH('2020'!$A$1,GUL_5!$3:$3,0))</f>
        <v>1.9805702061437509E-2</v>
      </c>
      <c r="AC53" s="49">
        <f>INDEX(GUL_6!$A:$J,MATCH('2020'!$A53,GUL_6!$A:$A,0),MATCH('2020'!$A$1,GUL_6!$3:$3,0))</f>
        <v>5.0300000000000004E-2</v>
      </c>
      <c r="AD53" s="49">
        <f>INDEX(GUL_7!$A:$J,MATCH('2020'!$A53,GUL_7!$A:$A,0),MATCH('2020'!$A$1,GUL_7!$3:$3,0))</f>
        <v>0.1913328</v>
      </c>
      <c r="AE53" s="103">
        <f>INDEX(GUL_8!$A:$J,MATCH('2020'!$A53,GUL_8!$A:$A,0),MATCH('2020'!$A$1,GUL_8!$3:$3,0))/(B53/1000)</f>
        <v>2.8515307504741263</v>
      </c>
      <c r="AF53" s="41">
        <f>INDEX(DES_1!$A:$J,MATCH('2020'!$A53,DES_1!$A:$A,0),MATCH('2020'!$A$1,DES_1!$3:$3,0))/(B53/1000)</f>
        <v>0.15409103224058524</v>
      </c>
      <c r="AG53" s="100">
        <f>INDEX(DES_2!$A:$J,MATCH('2020'!$A53,DES_2!$A:$A,0),MATCH('2020'!$A$1,DES_2!$3:$3,0))/(B53/1000)</f>
        <v>0.42163370360335956</v>
      </c>
      <c r="AH53" s="57">
        <f>1/INDEX(DES_3!$A:$J,MATCH('2020'!$A53,DES_3!$A:$A,0),MATCH('2020'!$A$1,DES_3!$3:$3,0))</f>
        <v>6.7430883344571811E-3</v>
      </c>
      <c r="AI53" s="80">
        <f>INDEX(DES_4!$A:$J,MATCH('2020'!$A53,DES_4!$A:$A,0),MATCH('2020'!$A$1,DES_4!$3:$3,0))</f>
        <v>0.68052491124799996</v>
      </c>
      <c r="AJ53" s="110">
        <f>INDEX(DES_5!$A:$J,MATCH('2020'!$A53,DES_5!$A:$A,0),MATCH('2020'!$A$1,DES_5!$3:$3,0))</f>
        <v>0.37654022480400001</v>
      </c>
      <c r="AK53" s="57">
        <v>4</v>
      </c>
    </row>
    <row r="54" spans="1:37" x14ac:dyDescent="0.3">
      <c r="A54" s="29" t="s">
        <v>53</v>
      </c>
      <c r="B54" s="33">
        <f>INDEX(Population!$A:$J,MATCH('2020'!$A54,Population!$A:$A,0),MATCH('2020'!$A$1,Population!$3:$3,0))</f>
        <v>1046371</v>
      </c>
      <c r="C54" s="14">
        <f>INDEX(Income!$A:$J,MATCH('2020'!$A54,Income!$A:$A,0),MATCH('2020'!$A$1,Income!$3:$3,0))</f>
        <v>36785</v>
      </c>
      <c r="D54" s="34">
        <f>INDEX(Livable_wage!$A:$J,MATCH('2020'!$A54,Livable_wage!$A:$A,0),MATCH('2020'!$A$1,Livable_wage!$3:$3,0))</f>
        <v>14843.361110925283</v>
      </c>
      <c r="E54" s="41">
        <f>INDEX(AVA_1!$A:$J,MATCH('2020'!$A54,AVA_1!$A:$A,0),MATCH('2020'!$A$1,AVA_1!$3:$3,0))</f>
        <v>0.36599999999999999</v>
      </c>
      <c r="F54" s="15">
        <f>INDEX(AVA_2!$A:$J,MATCH('2020'!$A54,AVA_2!$A:$A,0),MATCH('2020'!$A$1,AVA_2!$3:$3,0))</f>
        <v>1.1727413715473683E-2</v>
      </c>
      <c r="G54" s="15">
        <f>INDEX(AVA_3!$A:$J,MATCH('2020'!$A54,AVA_3!$A:$A,0),MATCH('2020'!$A$1,AVA_3!$3:$3,0))</f>
        <v>6.6158924766657971E-3</v>
      </c>
      <c r="H54" s="87">
        <f>INDEX(AVA_4!$A:$J,MATCH('2020'!$A54,AVA_4!$A:$A,0),MATCH('2020'!$A$1,AVA_4!$3:$3,0))/(B54/1000)</f>
        <v>0.9614180821142787</v>
      </c>
      <c r="I54" s="89">
        <f>INDEX(AVA_5!$A:$J,MATCH('2020'!$A54,AVA_5!$A:$A,0),MATCH('2020'!$A$1,AVA_5!$3:$3,0))/(B54/1000)</f>
        <v>7.0061192445127007</v>
      </c>
      <c r="J54" s="93">
        <f>INDEX(IRA_1!$A:$J,MATCH('2020'!$A54,IRA_1!$A:$A,0),MATCH('2020'!$A$1,IRA_1!$3:$3,0))/(B54/1000)</f>
        <v>0.10894797351990831</v>
      </c>
      <c r="K54" s="88">
        <f>INDEX(IRA_2!$A:$J,MATCH('2020'!$A54,IRA_2!$A:$A,0),MATCH('2020'!$A$1,IRA_2!$3:$3,0))/(B54/1000)</f>
        <v>0.19018111167071716</v>
      </c>
      <c r="L54" s="15">
        <f>INDEX(IRA_3!$A:$J,MATCH('2020'!$A54,IRA_3!$A:$A,0),MATCH('2020'!$A$1,IRA_3!$3:$3,0))</f>
        <v>0.38419009528290793</v>
      </c>
      <c r="M54" s="96">
        <f>INDEX(IRA_4!$A:$J,MATCH('2020'!$A54,IRA_4!$A:$A,0),MATCH('2020'!$A$1,IRA_4!$3:$3,0))/(B54/1000)</f>
        <v>4.6780730735083438</v>
      </c>
      <c r="N54" s="61">
        <f>INDEX(INV_1!$A:$J,MATCH('2020'!$A54,INV_1!$A:$A,0),MATCH('2020'!$A$1,INV_1!$3:$3,0))</f>
        <v>6.4350653968832855E-2</v>
      </c>
      <c r="O54" s="80">
        <f>INDEX(INV_2!$A:$J,MATCH('2020'!$A54,INV_2!$A:$A,0),MATCH('2020'!$A$1,INV_2!$3:$3,0))/B54*10^6/C54</f>
        <v>0.42710771831870414</v>
      </c>
      <c r="P54" s="87">
        <f>INDEX(INV_3!$A:$J,MATCH('2020'!$A54,INV_3!$A:$A,0),MATCH('2020'!$A$1,INV_3!$3:$3,0))/B54*10^6/C54</f>
        <v>4.5787875495403982</v>
      </c>
      <c r="Q54" s="87">
        <f>INDEX(INV_4!$A:$J,MATCH('2020'!$A54,INV_4!$A:$A,0),MATCH('2020'!$A$1,INV_4!$3:$3,0))/B54*10^3/C54</f>
        <v>0.26268512563338248</v>
      </c>
      <c r="R54" s="34">
        <f>INDEX(INV_5!$A:$J,MATCH('2020'!$A54,INV_5!$A:$A,0),MATCH('2020'!$A$1,INV_5!$3:$3,0))</f>
        <v>3.6499999999999998E-2</v>
      </c>
      <c r="S54" s="77">
        <f>INDEX(LUJ_1!$A:$J,MATCH('2020'!$A54,LUJ_1!$A:$A,0),MATCH('2020'!$A$1,LUJ_1!$3:$3,0))</f>
        <v>0.8651428571428571</v>
      </c>
      <c r="T54" s="73">
        <f>INDEX(LUJ_2!$A:$J,MATCH('2020'!$A54,LUJ_2!$A:$A,0),MATCH('2020'!$A$1,LUJ_2!$3:$3,0))</f>
        <v>0.26100000000000001</v>
      </c>
      <c r="U54" s="73">
        <f>INDEX(LUJ_3!$A:$J,MATCH('2020'!$A54,LUJ_3!$A:$A,0),MATCH('2020'!$A$1,LUJ_3!$3:$3,0))</f>
        <v>0.60685187137585661</v>
      </c>
      <c r="V54" s="14">
        <f>INDEX(LUJ_4!$A:$J,MATCH('2020'!$A54,LUJ_4!$A:$A,0),MATCH('2020'!$A$1,LUJ_4!$3:$3,0))</f>
        <v>30</v>
      </c>
      <c r="W54" s="34">
        <f>INDEX(LUJ_5!$A:$J,MATCH('2020'!$A54,LUJ_5!$A:$A,0),MATCH('2020'!$A$1,LUJ_5!$3:$3,0))</f>
        <v>20.9</v>
      </c>
      <c r="X54" s="98">
        <f>1/INDEX(GUL_1!$A:$J,MATCH('2020'!$A54,GUL_1!$A:$A,0),MATCH('2020'!$A$1,GUL_1!$3:$3,0))</f>
        <v>1.4015416958654521E-2</v>
      </c>
      <c r="Y54" s="57">
        <f>INDEX(GUL_2!$A:$J,MATCH('2020'!$A54,GUL_2!$A:$A,0),MATCH('2020'!$A$1,GUL_2!$3:$3,0))</f>
        <v>25.4</v>
      </c>
      <c r="Z54" s="57">
        <f>INDEX(GUL_3!$A:$J,MATCH('2020'!$A54,GUL_3!$A:$A,0),MATCH('2020'!$A$1,GUL_3!$3:$3,0))/(B54/1000)</f>
        <v>0.80468590968212983</v>
      </c>
      <c r="AA54" s="101">
        <f>INDEX(GUL_4!$A:$J,MATCH('2020'!$A54,GUL_4!$A:$A,0),MATCH('2020'!$A$1,GUL_4!$3:$3,0))/B54/C54*10^6</f>
        <v>0.35390834004204025</v>
      </c>
      <c r="AB54" s="73">
        <f>INDEX(GUL_5!$A:$J,MATCH('2020'!$A54,GUL_5!$A:$A,0),MATCH('2020'!$A$1,GUL_5!$3:$3,0))</f>
        <v>2.4810873518274251E-2</v>
      </c>
      <c r="AC54" s="49">
        <f>INDEX(GUL_6!$A:$J,MATCH('2020'!$A54,GUL_6!$A:$A,0),MATCH('2020'!$A$1,GUL_6!$3:$3,0))</f>
        <v>5.2199999999999996E-2</v>
      </c>
      <c r="AD54" s="49">
        <f>INDEX(GUL_7!$A:$J,MATCH('2020'!$A54,GUL_7!$A:$A,0),MATCH('2020'!$A$1,GUL_7!$3:$3,0))</f>
        <v>0.17884530000000001</v>
      </c>
      <c r="AE54" s="103">
        <f>INDEX(GUL_8!$A:$J,MATCH('2020'!$A54,GUL_8!$A:$A,0),MATCH('2020'!$A$1,GUL_8!$3:$3,0))/(B54/1000)</f>
        <v>3.4031906465297679</v>
      </c>
      <c r="AF54" s="41">
        <f>INDEX(DES_1!$A:$J,MATCH('2020'!$A54,DES_1!$A:$A,0),MATCH('2020'!$A$1,DES_1!$3:$3,0))/(B54/1000)</f>
        <v>0.2800154056257293</v>
      </c>
      <c r="AG54" s="100">
        <f>INDEX(DES_2!$A:$J,MATCH('2020'!$A54,DES_2!$A:$A,0),MATCH('2020'!$A$1,DES_2!$3:$3,0))/(B54/1000)</f>
        <v>0.34691328410286598</v>
      </c>
      <c r="AH54" s="57">
        <f>1/INDEX(DES_3!$A:$J,MATCH('2020'!$A54,DES_3!$A:$A,0),MATCH('2020'!$A$1,DES_3!$3:$3,0))</f>
        <v>8.271298593879239E-3</v>
      </c>
      <c r="AI54" s="80">
        <f>INDEX(DES_4!$A:$J,MATCH('2020'!$A54,DES_4!$A:$A,0),MATCH('2020'!$A$1,DES_4!$3:$3,0))</f>
        <v>0.87318086521899996</v>
      </c>
      <c r="AJ54" s="110">
        <f>INDEX(DES_5!$A:$J,MATCH('2020'!$A54,DES_5!$A:$A,0),MATCH('2020'!$A$1,DES_5!$3:$3,0))</f>
        <v>0.62770356422899998</v>
      </c>
      <c r="AK54" s="57">
        <v>2</v>
      </c>
    </row>
    <row r="55" spans="1:37" x14ac:dyDescent="0.3">
      <c r="A55" s="29" t="s">
        <v>54</v>
      </c>
      <c r="B55" s="33">
        <f>INDEX(Population!$A:$J,MATCH('2020'!$A55,Population!$A:$A,0),MATCH('2020'!$A$1,Population!$3:$3,0))</f>
        <v>3159332</v>
      </c>
      <c r="C55" s="14">
        <f>INDEX(Income!$A:$J,MATCH('2020'!$A55,Income!$A:$A,0),MATCH('2020'!$A$1,Income!$3:$3,0))</f>
        <v>33814</v>
      </c>
      <c r="D55" s="34">
        <f>INDEX(Livable_wage!$A:$J,MATCH('2020'!$A55,Livable_wage!$A:$A,0),MATCH('2020'!$A$1,Livable_wage!$3:$3,0))</f>
        <v>11228</v>
      </c>
      <c r="E55" s="41">
        <f>INDEX(AVA_1!$A:$J,MATCH('2020'!$A55,AVA_1!$A:$A,0),MATCH('2020'!$A$1,AVA_1!$3:$3,0))</f>
        <v>0.38400000000000001</v>
      </c>
      <c r="F55" s="15">
        <f>INDEX(AVA_2!$A:$J,MATCH('2020'!$A55,AVA_2!$A:$A,0),MATCH('2020'!$A$1,AVA_2!$3:$3,0))</f>
        <v>1.3204022178676002E-2</v>
      </c>
      <c r="G55" s="15">
        <f>INDEX(AVA_3!$A:$J,MATCH('2020'!$A55,AVA_3!$A:$A,0),MATCH('2020'!$A$1,AVA_3!$3:$3,0))</f>
        <v>7.5284028913776939E-3</v>
      </c>
      <c r="H55" s="87">
        <f>INDEX(AVA_4!$A:$J,MATCH('2020'!$A55,AVA_4!$A:$A,0),MATCH('2020'!$A$1,AVA_4!$3:$3,0))/(B55/1000)</f>
        <v>0.83783533987564462</v>
      </c>
      <c r="I55" s="89">
        <f>INDEX(AVA_5!$A:$J,MATCH('2020'!$A55,AVA_5!$A:$A,0),MATCH('2020'!$A$1,AVA_5!$3:$3,0))/(B55/1000)</f>
        <v>4.8304515005070696</v>
      </c>
      <c r="J55" s="93">
        <f>INDEX(IRA_1!$A:$J,MATCH('2020'!$A55,IRA_1!$A:$A,0),MATCH('2020'!$A$1,IRA_1!$3:$3,0))/(B55/1000)</f>
        <v>5.6657546595292929E-2</v>
      </c>
      <c r="K55" s="88">
        <f>INDEX(IRA_2!$A:$J,MATCH('2020'!$A55,IRA_2!$A:$A,0),MATCH('2020'!$A$1,IRA_2!$3:$3,0))/(B55/1000)</f>
        <v>0.11299857058390825</v>
      </c>
      <c r="L55" s="15">
        <f>INDEX(IRA_3!$A:$J,MATCH('2020'!$A55,IRA_3!$A:$A,0),MATCH('2020'!$A$1,IRA_3!$3:$3,0))</f>
        <v>0.44471988101140303</v>
      </c>
      <c r="M55" s="96">
        <f>INDEX(IRA_4!$A:$J,MATCH('2020'!$A55,IRA_4!$A:$A,0),MATCH('2020'!$A$1,IRA_4!$3:$3,0))/(B55/1000)</f>
        <v>4.0046440196851742</v>
      </c>
      <c r="N55" s="61">
        <f>INDEX(INV_1!$A:$J,MATCH('2020'!$A55,INV_1!$A:$A,0),MATCH('2020'!$A$1,INV_1!$3:$3,0))</f>
        <v>7.8244664675199041E-2</v>
      </c>
      <c r="O55" s="80">
        <f>INDEX(INV_2!$A:$J,MATCH('2020'!$A55,INV_2!$A:$A,0),MATCH('2020'!$A$1,INV_2!$3:$3,0))/B55*10^6/C55</f>
        <v>0.38602122278060719</v>
      </c>
      <c r="P55" s="87">
        <f>INDEX(INV_3!$A:$J,MATCH('2020'!$A55,INV_3!$A:$A,0),MATCH('2020'!$A$1,INV_3!$3:$3,0))/B55*10^6/C55</f>
        <v>3.3874677337702832</v>
      </c>
      <c r="Q55" s="87">
        <f>INDEX(INV_4!$A:$J,MATCH('2020'!$A55,INV_4!$A:$A,0),MATCH('2020'!$A$1,INV_4!$3:$3,0))/B55*10^3/C55</f>
        <v>0.23411720691497653</v>
      </c>
      <c r="R55" s="34">
        <f>INDEX(INV_5!$A:$J,MATCH('2020'!$A55,INV_5!$A:$A,0),MATCH('2020'!$A$1,INV_5!$3:$3,0))</f>
        <v>8.6099999999999996E-2</v>
      </c>
      <c r="S55" s="77">
        <f>INDEX(LUJ_1!$A:$J,MATCH('2020'!$A55,LUJ_1!$A:$A,0),MATCH('2020'!$A$1,LUJ_1!$3:$3,0))</f>
        <v>0.76585971446306644</v>
      </c>
      <c r="T55" s="73">
        <f>INDEX(LUJ_2!$A:$J,MATCH('2020'!$A55,LUJ_2!$A:$A,0),MATCH('2020'!$A$1,LUJ_2!$3:$3,0))</f>
        <v>0.17100000000000001</v>
      </c>
      <c r="U55" s="73">
        <f>INDEX(LUJ_3!$A:$J,MATCH('2020'!$A55,LUJ_3!$A:$A,0),MATCH('2020'!$A$1,LUJ_3!$3:$3,0))</f>
        <v>0.40149586383029146</v>
      </c>
      <c r="V55" s="14">
        <f>INDEX(LUJ_4!$A:$J,MATCH('2020'!$A55,LUJ_4!$A:$A,0),MATCH('2020'!$A$1,LUJ_4!$3:$3,0))</f>
        <v>45</v>
      </c>
      <c r="W55" s="34">
        <f>INDEX(LUJ_5!$A:$J,MATCH('2020'!$A55,LUJ_5!$A:$A,0),MATCH('2020'!$A$1,LUJ_5!$3:$3,0))</f>
        <v>55</v>
      </c>
      <c r="X55" s="98">
        <f>1/INDEX(GUL_1!$A:$J,MATCH('2020'!$A55,GUL_1!$A:$A,0),MATCH('2020'!$A$1,GUL_1!$3:$3,0))</f>
        <v>1.4218683349921797E-2</v>
      </c>
      <c r="Y55" s="57">
        <f>INDEX(GUL_2!$A:$J,MATCH('2020'!$A55,GUL_2!$A:$A,0),MATCH('2020'!$A$1,GUL_2!$3:$3,0))</f>
        <v>25.6</v>
      </c>
      <c r="Z55" s="57">
        <f>INDEX(GUL_3!$A:$J,MATCH('2020'!$A55,GUL_3!$A:$A,0),MATCH('2020'!$A$1,GUL_3!$3:$3,0))/(B55/1000)</f>
        <v>0.99198184932764266</v>
      </c>
      <c r="AA55" s="101">
        <f>INDEX(GUL_4!$A:$J,MATCH('2020'!$A55,GUL_4!$A:$A,0),MATCH('2020'!$A$1,GUL_4!$3:$3,0))/B55/C55*10^6</f>
        <v>0.19907010415638735</v>
      </c>
      <c r="AB55" s="73">
        <f>INDEX(GUL_5!$A:$J,MATCH('2020'!$A55,GUL_5!$A:$A,0),MATCH('2020'!$A$1,GUL_5!$3:$3,0))</f>
        <v>3.1613725164766737E-2</v>
      </c>
      <c r="AC55" s="49">
        <f>INDEX(GUL_6!$A:$J,MATCH('2020'!$A55,GUL_6!$A:$A,0),MATCH('2020'!$A$1,GUL_6!$3:$3,0))</f>
        <v>3.8199999999999998E-2</v>
      </c>
      <c r="AD55" s="49">
        <f>INDEX(GUL_7!$A:$J,MATCH('2020'!$A55,GUL_7!$A:$A,0),MATCH('2020'!$A$1,GUL_7!$3:$3,0))</f>
        <v>0.19306879999999998</v>
      </c>
      <c r="AE55" s="103">
        <f>INDEX(GUL_8!$A:$J,MATCH('2020'!$A55,GUL_8!$A:$A,0),MATCH('2020'!$A$1,GUL_8!$3:$3,0))/(B55/1000)</f>
        <v>1.939967056327097</v>
      </c>
      <c r="AF55" s="41">
        <f>INDEX(DES_1!$A:$J,MATCH('2020'!$A55,DES_1!$A:$A,0),MATCH('2020'!$A$1,DES_1!$3:$3,0))/(B55/1000)</f>
        <v>7.8814129062725918E-2</v>
      </c>
      <c r="AG55" s="100">
        <f>INDEX(DES_2!$A:$J,MATCH('2020'!$A55,DES_2!$A:$A,0),MATCH('2020'!$A$1,DES_2!$3:$3,0))/(B55/1000)</f>
        <v>0.36906535938609808</v>
      </c>
      <c r="AH55" s="57">
        <f>1/INDEX(DES_3!$A:$J,MATCH('2020'!$A55,DES_3!$A:$A,0),MATCH('2020'!$A$1,DES_3!$3:$3,0))</f>
        <v>8.2372322899505763E-3</v>
      </c>
      <c r="AI55" s="80">
        <f>INDEX(DES_4!$A:$J,MATCH('2020'!$A55,DES_4!$A:$A,0),MATCH('2020'!$A$1,DES_4!$3:$3,0))</f>
        <v>0.89351667130899992</v>
      </c>
      <c r="AJ55" s="110">
        <f>INDEX(DES_5!$A:$J,MATCH('2020'!$A55,DES_5!$A:$A,0),MATCH('2020'!$A$1,DES_5!$3:$3,0))</f>
        <v>0.74780049506099999</v>
      </c>
      <c r="AK55" s="57">
        <v>62</v>
      </c>
    </row>
    <row r="56" spans="1:37" x14ac:dyDescent="0.3">
      <c r="A56" s="29" t="s">
        <v>55</v>
      </c>
      <c r="B56" s="33">
        <f>INDEX(Population!$A:$J,MATCH('2020'!$A56,Population!$A:$A,0),MATCH('2020'!$A$1,Population!$3:$3,0))</f>
        <v>794199</v>
      </c>
      <c r="C56" s="14">
        <f>INDEX(Income!$A:$J,MATCH('2020'!$A56,Income!$A:$A,0),MATCH('2020'!$A$1,Income!$3:$3,0))</f>
        <v>21865</v>
      </c>
      <c r="D56" s="34">
        <f>INDEX(Livable_wage!$A:$J,MATCH('2020'!$A56,Livable_wage!$A:$A,0),MATCH('2020'!$A$1,Livable_wage!$3:$3,0))</f>
        <v>11204</v>
      </c>
      <c r="E56" s="41">
        <f>INDEX(AVA_1!$A:$J,MATCH('2020'!$A56,AVA_1!$A:$A,0),MATCH('2020'!$A$1,AVA_1!$3:$3,0))</f>
        <v>0.34699999999999998</v>
      </c>
      <c r="F56" s="15">
        <f>INDEX(AVA_2!$A:$J,MATCH('2020'!$A56,AVA_2!$A:$A,0),MATCH('2020'!$A$1,AVA_2!$3:$3,0))</f>
        <v>7.519873952588985E-3</v>
      </c>
      <c r="G56" s="15">
        <f>INDEX(AVA_3!$A:$J,MATCH('2020'!$A56,AVA_3!$A:$A,0),MATCH('2020'!$A$1,AVA_3!$3:$3,0))</f>
        <v>2.5297684259186045E-2</v>
      </c>
      <c r="H56" s="87">
        <f>INDEX(AVA_4!$A:$J,MATCH('2020'!$A56,AVA_4!$A:$A,0),MATCH('2020'!$A$1,AVA_4!$3:$3,0))/(B56/1000)</f>
        <v>0.97204856717271115</v>
      </c>
      <c r="I56" s="89">
        <f>INDEX(AVA_5!$A:$J,MATCH('2020'!$A56,AVA_5!$A:$A,0),MATCH('2020'!$A$1,AVA_5!$3:$3,0))/(B56/1000)</f>
        <v>5.8045905371323814</v>
      </c>
      <c r="J56" s="93">
        <f>INDEX(IRA_1!$A:$J,MATCH('2020'!$A56,IRA_1!$A:$A,0),MATCH('2020'!$A$1,IRA_1!$3:$3,0))/(B56/1000)</f>
        <v>9.0657379321807258E-2</v>
      </c>
      <c r="K56" s="88">
        <f>INDEX(IRA_2!$A:$J,MATCH('2020'!$A56,IRA_2!$A:$A,0),MATCH('2020'!$A$1,IRA_2!$3:$3,0))/(B56/1000)</f>
        <v>0.12465389656748498</v>
      </c>
      <c r="L56" s="15">
        <f>INDEX(IRA_3!$A:$J,MATCH('2020'!$A56,IRA_3!$A:$A,0),MATCH('2020'!$A$1,IRA_3!$3:$3,0))</f>
        <v>0.330554796392457</v>
      </c>
      <c r="M56" s="96">
        <f>INDEX(IRA_4!$A:$J,MATCH('2020'!$A56,IRA_4!$A:$A,0),MATCH('2020'!$A$1,IRA_4!$3:$3,0))/(B56/1000)</f>
        <v>4.6827054680250164</v>
      </c>
      <c r="N56" s="61">
        <f>INDEX(INV_1!$A:$J,MATCH('2020'!$A56,INV_1!$A:$A,0),MATCH('2020'!$A$1,INV_1!$3:$3,0))</f>
        <v>6.7128377750925797E-2</v>
      </c>
      <c r="O56" s="80">
        <f>INDEX(INV_2!$A:$J,MATCH('2020'!$A56,INV_2!$A:$A,0),MATCH('2020'!$A$1,INV_2!$3:$3,0))/B56*10^6/C56</f>
        <v>0.47697585778837631</v>
      </c>
      <c r="P56" s="87">
        <f>INDEX(INV_3!$A:$J,MATCH('2020'!$A56,INV_3!$A:$A,0),MATCH('2020'!$A$1,INV_3!$3:$3,0))/B56*10^6/C56</f>
        <v>5.3782973433951957</v>
      </c>
      <c r="Q56" s="87">
        <f>INDEX(INV_4!$A:$J,MATCH('2020'!$A56,INV_4!$A:$A,0),MATCH('2020'!$A$1,INV_4!$3:$3,0))/B56*10^3/C56</f>
        <v>0.29683326632718865</v>
      </c>
      <c r="R56" s="34">
        <f>INDEX(INV_5!$A:$J,MATCH('2020'!$A56,INV_5!$A:$A,0),MATCH('2020'!$A$1,INV_5!$3:$3,0))</f>
        <v>3.3500000000000002E-2</v>
      </c>
      <c r="S56" s="77">
        <f>INDEX(LUJ_1!$A:$J,MATCH('2020'!$A56,LUJ_1!$A:$A,0),MATCH('2020'!$A$1,LUJ_1!$3:$3,0))</f>
        <v>0.91774234371045305</v>
      </c>
      <c r="T56" s="73">
        <f>INDEX(LUJ_2!$A:$J,MATCH('2020'!$A56,LUJ_2!$A:$A,0),MATCH('2020'!$A$1,LUJ_2!$3:$3,0))</f>
        <v>0.23800000000000002</v>
      </c>
      <c r="U56" s="73">
        <f>INDEX(LUJ_3!$A:$J,MATCH('2020'!$A56,LUJ_3!$A:$A,0),MATCH('2020'!$A$1,LUJ_3!$3:$3,0))</f>
        <v>0.57454251883745966</v>
      </c>
      <c r="V56" s="14">
        <f>INDEX(LUJ_4!$A:$J,MATCH('2020'!$A56,LUJ_4!$A:$A,0),MATCH('2020'!$A$1,LUJ_4!$3:$3,0))</f>
        <v>81</v>
      </c>
      <c r="W56" s="34">
        <f>INDEX(LUJ_5!$A:$J,MATCH('2020'!$A56,LUJ_5!$A:$A,0),MATCH('2020'!$A$1,LUJ_5!$3:$3,0))</f>
        <v>56.6</v>
      </c>
      <c r="X56" s="98">
        <f>1/INDEX(GUL_1!$A:$J,MATCH('2020'!$A56,GUL_1!$A:$A,0),MATCH('2020'!$A$1,GUL_1!$3:$3,0))</f>
        <v>1.4297969688304261E-2</v>
      </c>
      <c r="Y56" s="57">
        <f>INDEX(GUL_2!$A:$J,MATCH('2020'!$A56,GUL_2!$A:$A,0),MATCH('2020'!$A$1,GUL_2!$3:$3,0))</f>
        <v>26.200000000000003</v>
      </c>
      <c r="Z56" s="57">
        <f>INDEX(GUL_3!$A:$J,MATCH('2020'!$A56,GUL_3!$A:$A,0),MATCH('2020'!$A$1,GUL_3!$3:$3,0))/(B56/1000)</f>
        <v>0.81843467443298223</v>
      </c>
      <c r="AA56" s="101">
        <f>INDEX(GUL_4!$A:$J,MATCH('2020'!$A56,GUL_4!$A:$A,0),MATCH('2020'!$A$1,GUL_4!$3:$3,0))/B56/C56*10^6</f>
        <v>0.17323190822208284</v>
      </c>
      <c r="AB56" s="73">
        <f>INDEX(GUL_5!$A:$J,MATCH('2020'!$A56,GUL_5!$A:$A,0),MATCH('2020'!$A$1,GUL_5!$3:$3,0))</f>
        <v>3.8108326892053922E-2</v>
      </c>
      <c r="AC56" s="49">
        <f>INDEX(GUL_6!$A:$J,MATCH('2020'!$A56,GUL_6!$A:$A,0),MATCH('2020'!$A$1,GUL_6!$3:$3,0))</f>
        <v>5.4400000000000004E-2</v>
      </c>
      <c r="AD56" s="49">
        <f>INDEX(GUL_7!$A:$J,MATCH('2020'!$A56,GUL_7!$A:$A,0),MATCH('2020'!$A$1,GUL_7!$3:$3,0))</f>
        <v>0.21299990000000002</v>
      </c>
      <c r="AE56" s="103">
        <f>INDEX(GUL_8!$A:$J,MATCH('2020'!$A56,GUL_8!$A:$A,0),MATCH('2020'!$A$1,GUL_8!$3:$3,0))/(B56/1000)</f>
        <v>4.0556585943825167</v>
      </c>
      <c r="AF56" s="41">
        <f>INDEX(DES_1!$A:$J,MATCH('2020'!$A56,DES_1!$A:$A,0),MATCH('2020'!$A$1,DES_1!$3:$3,0))/(B56/1000)</f>
        <v>0.30345039467438262</v>
      </c>
      <c r="AG56" s="100">
        <f>INDEX(DES_2!$A:$J,MATCH('2020'!$A56,DES_2!$A:$A,0),MATCH('2020'!$A$1,DES_2!$3:$3,0))/(B56/1000)</f>
        <v>0.54520340619920205</v>
      </c>
      <c r="AH56" s="57">
        <f>1/INDEX(DES_3!$A:$J,MATCH('2020'!$A56,DES_3!$A:$A,0),MATCH('2020'!$A$1,DES_3!$3:$3,0))</f>
        <v>9.1157702825888781E-3</v>
      </c>
      <c r="AI56" s="80">
        <f>INDEX(DES_4!$A:$J,MATCH('2020'!$A56,DES_4!$A:$A,0),MATCH('2020'!$A$1,DES_4!$3:$3,0))</f>
        <v>0.77968140153600007</v>
      </c>
      <c r="AJ56" s="110">
        <f>INDEX(DES_5!$A:$J,MATCH('2020'!$A56,DES_5!$A:$A,0),MATCH('2020'!$A$1,DES_5!$3:$3,0))</f>
        <v>0.62677945632200005</v>
      </c>
      <c r="AK56" s="57">
        <v>1</v>
      </c>
    </row>
    <row r="57" spans="1:37" x14ac:dyDescent="0.3">
      <c r="A57" s="29" t="s">
        <v>56</v>
      </c>
      <c r="B57" s="33">
        <f>INDEX(Population!$A:$J,MATCH('2020'!$A57,Population!$A:$A,0),MATCH('2020'!$A$1,Population!$3:$3,0))</f>
        <v>1095604</v>
      </c>
      <c r="C57" s="14">
        <f>INDEX(Income!$A:$J,MATCH('2020'!$A57,Income!$A:$A,0),MATCH('2020'!$A$1,Income!$3:$3,0))</f>
        <v>29791</v>
      </c>
      <c r="D57" s="34">
        <f>INDEX(Livable_wage!$A:$J,MATCH('2020'!$A57,Livable_wage!$A:$A,0),MATCH('2020'!$A$1,Livable_wage!$3:$3,0))</f>
        <v>10748</v>
      </c>
      <c r="E57" s="41">
        <f>INDEX(AVA_1!$A:$J,MATCH('2020'!$A57,AVA_1!$A:$A,0),MATCH('2020'!$A$1,AVA_1!$3:$3,0))</f>
        <v>0.36199999999999999</v>
      </c>
      <c r="F57" s="15">
        <f>INDEX(AVA_2!$A:$J,MATCH('2020'!$A57,AVA_2!$A:$A,0),MATCH('2020'!$A$1,AVA_2!$3:$3,0))</f>
        <v>8.4252006000142855E-3</v>
      </c>
      <c r="G57" s="15">
        <f>INDEX(AVA_3!$A:$J,MATCH('2020'!$A57,AVA_3!$A:$A,0),MATCH('2020'!$A$1,AVA_3!$3:$3,0))</f>
        <v>1.2498470341554482E-2</v>
      </c>
      <c r="H57" s="87">
        <f>INDEX(AVA_4!$A:$J,MATCH('2020'!$A57,AVA_4!$A:$A,0),MATCH('2020'!$A$1,AVA_4!$3:$3,0))/(B57/1000)</f>
        <v>0.54216669526580774</v>
      </c>
      <c r="I57" s="89">
        <f>INDEX(AVA_5!$A:$J,MATCH('2020'!$A57,AVA_5!$A:$A,0),MATCH('2020'!$A$1,AVA_5!$3:$3,0))/(B57/1000)</f>
        <v>4.7261601819635564</v>
      </c>
      <c r="J57" s="93">
        <f>INDEX(IRA_1!$A:$J,MATCH('2020'!$A57,IRA_1!$A:$A,0),MATCH('2020'!$A$1,IRA_1!$3:$3,0))/(B57/1000)</f>
        <v>3.6509541768741258E-2</v>
      </c>
      <c r="K57" s="88">
        <f>INDEX(IRA_2!$A:$J,MATCH('2020'!$A57,IRA_2!$A:$A,0),MATCH('2020'!$A$1,IRA_2!$3:$3,0))/(B57/1000)</f>
        <v>9.036111587763461E-2</v>
      </c>
      <c r="L57" s="15">
        <f>INDEX(IRA_3!$A:$J,MATCH('2020'!$A57,IRA_3!$A:$A,0),MATCH('2020'!$A$1,IRA_3!$3:$3,0))</f>
        <v>0.39842338643455411</v>
      </c>
      <c r="M57" s="96">
        <f>INDEX(IRA_4!$A:$J,MATCH('2020'!$A57,IRA_4!$A:$A,0),MATCH('2020'!$A$1,IRA_4!$3:$3,0))/(B57/1000)</f>
        <v>3.9585470662757709</v>
      </c>
      <c r="N57" s="61">
        <f>INDEX(INV_1!$A:$J,MATCH('2020'!$A57,INV_1!$A:$A,0),MATCH('2020'!$A$1,INV_1!$3:$3,0))</f>
        <v>9.3897233134800487E-2</v>
      </c>
      <c r="O57" s="80">
        <f>INDEX(INV_2!$A:$J,MATCH('2020'!$A57,INV_2!$A:$A,0),MATCH('2020'!$A$1,INV_2!$3:$3,0))/B57*10^6/C57</f>
        <v>0.56342411146225668</v>
      </c>
      <c r="P57" s="87">
        <f>INDEX(INV_3!$A:$J,MATCH('2020'!$A57,INV_3!$A:$A,0),MATCH('2020'!$A$1,INV_3!$3:$3,0))/B57*10^6/C57</f>
        <v>3.548776235718448</v>
      </c>
      <c r="Q57" s="87">
        <f>INDEX(INV_4!$A:$J,MATCH('2020'!$A57,INV_4!$A:$A,0),MATCH('2020'!$A$1,INV_4!$3:$3,0))/B57*10^3/C57</f>
        <v>0.23624164398923106</v>
      </c>
      <c r="R57" s="34">
        <f>INDEX(INV_5!$A:$J,MATCH('2020'!$A57,INV_5!$A:$A,0),MATCH('2020'!$A$1,INV_5!$3:$3,0))</f>
        <v>5.0299999999999997E-2</v>
      </c>
      <c r="S57" s="77">
        <f>INDEX(LUJ_1!$A:$J,MATCH('2020'!$A57,LUJ_1!$A:$A,0),MATCH('2020'!$A$1,LUJ_1!$3:$3,0))</f>
        <v>0.85322307836872768</v>
      </c>
      <c r="T57" s="73">
        <f>INDEX(LUJ_2!$A:$J,MATCH('2020'!$A57,LUJ_2!$A:$A,0),MATCH('2020'!$A$1,LUJ_2!$3:$3,0))</f>
        <v>0.17499999999999999</v>
      </c>
      <c r="U57" s="73">
        <f>INDEX(LUJ_3!$A:$J,MATCH('2020'!$A57,LUJ_3!$A:$A,0),MATCH('2020'!$A$1,LUJ_3!$3:$3,0))</f>
        <v>0.41703152364273205</v>
      </c>
      <c r="V57" s="14">
        <f>INDEX(LUJ_4!$A:$J,MATCH('2020'!$A57,LUJ_4!$A:$A,0),MATCH('2020'!$A$1,LUJ_4!$3:$3,0))</f>
        <v>51</v>
      </c>
      <c r="W57" s="34">
        <f>INDEX(LUJ_5!$A:$J,MATCH('2020'!$A57,LUJ_5!$A:$A,0),MATCH('2020'!$A$1,LUJ_5!$3:$3,0))</f>
        <v>15.5</v>
      </c>
      <c r="X57" s="98">
        <f>1/INDEX(GUL_1!$A:$J,MATCH('2020'!$A57,GUL_1!$A:$A,0),MATCH('2020'!$A$1,GUL_1!$3:$3,0))</f>
        <v>1.4180374361883154E-2</v>
      </c>
      <c r="Y57" s="57">
        <f>INDEX(GUL_2!$A:$J,MATCH('2020'!$A57,GUL_2!$A:$A,0),MATCH('2020'!$A$1,GUL_2!$3:$3,0))</f>
        <v>26.1</v>
      </c>
      <c r="Z57" s="57">
        <f>INDEX(GUL_3!$A:$J,MATCH('2020'!$A57,GUL_3!$A:$A,0),MATCH('2020'!$A$1,GUL_3!$3:$3,0))/(B57/1000)</f>
        <v>0.84428315340214166</v>
      </c>
      <c r="AA57" s="101">
        <f>INDEX(GUL_4!$A:$J,MATCH('2020'!$A57,GUL_4!$A:$A,0),MATCH('2020'!$A$1,GUL_4!$3:$3,0))/B57/C57*10^6</f>
        <v>0.18956076153652032</v>
      </c>
      <c r="AB57" s="73">
        <f>INDEX(GUL_5!$A:$J,MATCH('2020'!$A57,GUL_5!$A:$A,0),MATCH('2020'!$A$1,GUL_5!$3:$3,0))</f>
        <v>3.6125612832222424E-2</v>
      </c>
      <c r="AC57" s="49">
        <f>INDEX(GUL_6!$A:$J,MATCH('2020'!$A57,GUL_6!$A:$A,0),MATCH('2020'!$A$1,GUL_6!$3:$3,0))</f>
        <v>7.0199999999999999E-2</v>
      </c>
      <c r="AD57" s="49">
        <f>INDEX(GUL_7!$A:$J,MATCH('2020'!$A57,GUL_7!$A:$A,0),MATCH('2020'!$A$1,GUL_7!$3:$3,0))</f>
        <v>0.1940239</v>
      </c>
      <c r="AE57" s="103">
        <f>INDEX(GUL_8!$A:$J,MATCH('2020'!$A57,GUL_8!$A:$A,0),MATCH('2020'!$A$1,GUL_8!$3:$3,0))/(B57/1000)</f>
        <v>2.0399706463284177</v>
      </c>
      <c r="AF57" s="41">
        <f>INDEX(DES_1!$A:$J,MATCH('2020'!$A57,DES_1!$A:$A,0),MATCH('2020'!$A$1,DES_1!$3:$3,0))/(B57/1000)</f>
        <v>9.85757627756014E-2</v>
      </c>
      <c r="AG57" s="100">
        <f>INDEX(DES_2!$A:$J,MATCH('2020'!$A57,DES_2!$A:$A,0),MATCH('2020'!$A$1,DES_2!$3:$3,0))/(B57/1000)</f>
        <v>0.36600815623163113</v>
      </c>
      <c r="AH57" s="57">
        <f>1/INDEX(DES_3!$A:$J,MATCH('2020'!$A57,DES_3!$A:$A,0),MATCH('2020'!$A$1,DES_3!$3:$3,0))</f>
        <v>6.8119891008174378E-3</v>
      </c>
      <c r="AI57" s="80">
        <f>INDEX(DES_4!$A:$J,MATCH('2020'!$A57,DES_4!$A:$A,0),MATCH('2020'!$A$1,DES_4!$3:$3,0))</f>
        <v>0.81973371445099996</v>
      </c>
      <c r="AJ57" s="110">
        <f>INDEX(DES_5!$A:$J,MATCH('2020'!$A57,DES_5!$A:$A,0),MATCH('2020'!$A$1,DES_5!$3:$3,0))</f>
        <v>0.45373846183900002</v>
      </c>
      <c r="AK57" s="57">
        <v>5</v>
      </c>
    </row>
    <row r="58" spans="1:37" x14ac:dyDescent="0.3">
      <c r="A58" s="29" t="s">
        <v>57</v>
      </c>
      <c r="B58" s="33">
        <f>INDEX(Population!$A:$J,MATCH('2020'!$A58,Population!$A:$A,0),MATCH('2020'!$A$1,Population!$3:$3,0))</f>
        <v>1019906</v>
      </c>
      <c r="C58" s="14">
        <f>INDEX(Income!$A:$J,MATCH('2020'!$A58,Income!$A:$A,0),MATCH('2020'!$A$1,Income!$3:$3,0))</f>
        <v>27048</v>
      </c>
      <c r="D58" s="34">
        <f>INDEX(Livable_wage!$A:$J,MATCH('2020'!$A58,Livable_wage!$A:$A,0),MATCH('2020'!$A$1,Livable_wage!$3:$3,0))</f>
        <v>13518</v>
      </c>
      <c r="E58" s="41">
        <f>INDEX(AVA_1!$A:$J,MATCH('2020'!$A58,AVA_1!$A:$A,0),MATCH('2020'!$A$1,AVA_1!$3:$3,0))</f>
        <v>0.35</v>
      </c>
      <c r="F58" s="15">
        <f>INDEX(AVA_2!$A:$J,MATCH('2020'!$A58,AVA_2!$A:$A,0),MATCH('2020'!$A$1,AVA_2!$3:$3,0))</f>
        <v>8.8339365542146452E-3</v>
      </c>
      <c r="G58" s="15">
        <f>INDEX(AVA_3!$A:$J,MATCH('2020'!$A58,AVA_3!$A:$A,0),MATCH('2020'!$A$1,AVA_3!$3:$3,0))</f>
        <v>9.5854933950608838E-3</v>
      </c>
      <c r="H58" s="87">
        <f>INDEX(AVA_4!$A:$J,MATCH('2020'!$A58,AVA_4!$A:$A,0),MATCH('2020'!$A$1,AVA_4!$3:$3,0))/(B58/1000)</f>
        <v>0.50887042531370541</v>
      </c>
      <c r="I58" s="89">
        <f>INDEX(AVA_5!$A:$J,MATCH('2020'!$A58,AVA_5!$A:$A,0),MATCH('2020'!$A$1,AVA_5!$3:$3,0))/(B58/1000)</f>
        <v>11.243038530166125</v>
      </c>
      <c r="J58" s="93">
        <f>INDEX(IRA_1!$A:$J,MATCH('2020'!$A58,IRA_1!$A:$A,0),MATCH('2020'!$A$1,IRA_1!$3:$3,0))/(B58/1000)</f>
        <v>0.16570154504434723</v>
      </c>
      <c r="K58" s="88">
        <f>INDEX(IRA_2!$A:$J,MATCH('2020'!$A58,IRA_2!$A:$A,0),MATCH('2020'!$A$1,IRA_2!$3:$3,0))/(B58/1000)</f>
        <v>0.40886120877806387</v>
      </c>
      <c r="L58" s="15">
        <f>INDEX(IRA_3!$A:$J,MATCH('2020'!$A58,IRA_3!$A:$A,0),MATCH('2020'!$A$1,IRA_3!$3:$3,0))</f>
        <v>0.36548867095028748</v>
      </c>
      <c r="M58" s="96">
        <f>INDEX(IRA_4!$A:$J,MATCH('2020'!$A58,IRA_4!$A:$A,0),MATCH('2020'!$A$1,IRA_4!$3:$3,0))/(B58/1000)</f>
        <v>8.2036972034677706</v>
      </c>
      <c r="N58" s="61">
        <f>INDEX(INV_1!$A:$J,MATCH('2020'!$A58,INV_1!$A:$A,0),MATCH('2020'!$A$1,INV_1!$3:$3,0))</f>
        <v>8.213064798192736E-2</v>
      </c>
      <c r="O58" s="80">
        <f>INDEX(INV_2!$A:$J,MATCH('2020'!$A58,INV_2!$A:$A,0),MATCH('2020'!$A$1,INV_2!$3:$3,0))/B58*10^6/C58</f>
        <v>0.36741891542854482</v>
      </c>
      <c r="P58" s="87">
        <f>INDEX(INV_3!$A:$J,MATCH('2020'!$A58,INV_3!$A:$A,0),MATCH('2020'!$A$1,INV_3!$3:$3,0))/B58*10^6/C58</f>
        <v>4.8012758473482577</v>
      </c>
      <c r="Q58" s="87">
        <f>INDEX(INV_4!$A:$J,MATCH('2020'!$A58,INV_4!$A:$A,0),MATCH('2020'!$A$1,INV_4!$3:$3,0))/B58*10^3/C58</f>
        <v>0.3536935053000021</v>
      </c>
      <c r="R58" s="34">
        <f>INDEX(INV_5!$A:$J,MATCH('2020'!$A58,INV_5!$A:$A,0),MATCH('2020'!$A$1,INV_5!$3:$3,0))</f>
        <v>4.7500000000000001E-2</v>
      </c>
      <c r="S58" s="77">
        <f>INDEX(LUJ_1!$A:$J,MATCH('2020'!$A58,LUJ_1!$A:$A,0),MATCH('2020'!$A$1,LUJ_1!$3:$3,0))</f>
        <v>0.88136521263004197</v>
      </c>
      <c r="T58" s="73">
        <f>INDEX(LUJ_2!$A:$J,MATCH('2020'!$A58,LUJ_2!$A:$A,0),MATCH('2020'!$A$1,LUJ_2!$3:$3,0))</f>
        <v>0.309</v>
      </c>
      <c r="U58" s="73">
        <f>INDEX(LUJ_3!$A:$J,MATCH('2020'!$A58,LUJ_3!$A:$A,0),MATCH('2020'!$A$1,LUJ_3!$3:$3,0))</f>
        <v>0.46972175311620423</v>
      </c>
      <c r="V58" s="14">
        <f>INDEX(LUJ_4!$A:$J,MATCH('2020'!$A58,LUJ_4!$A:$A,0),MATCH('2020'!$A$1,LUJ_4!$3:$3,0))</f>
        <v>46</v>
      </c>
      <c r="W58" s="34">
        <f>INDEX(LUJ_5!$A:$J,MATCH('2020'!$A58,LUJ_5!$A:$A,0),MATCH('2020'!$A$1,LUJ_5!$3:$3,0))</f>
        <v>37.700000000000003</v>
      </c>
      <c r="X58" s="98">
        <f>1/INDEX(GUL_1!$A:$J,MATCH('2020'!$A58,GUL_1!$A:$A,0),MATCH('2020'!$A$1,GUL_1!$3:$3,0))</f>
        <v>1.465630954125751E-2</v>
      </c>
      <c r="Y58" s="57">
        <f>INDEX(GUL_2!$A:$J,MATCH('2020'!$A58,GUL_2!$A:$A,0),MATCH('2020'!$A$1,GUL_2!$3:$3,0))</f>
        <v>24.9</v>
      </c>
      <c r="Z58" s="57">
        <f>INDEX(GUL_3!$A:$J,MATCH('2020'!$A58,GUL_3!$A:$A,0),MATCH('2020'!$A$1,GUL_3!$3:$3,0))/(B58/1000)</f>
        <v>0.75791298413775388</v>
      </c>
      <c r="AA58" s="101">
        <f>INDEX(GUL_4!$A:$J,MATCH('2020'!$A58,GUL_4!$A:$A,0),MATCH('2020'!$A$1,GUL_4!$3:$3,0))/B58/C58*10^6</f>
        <v>0.30293494991276843</v>
      </c>
      <c r="AB58" s="73">
        <f>INDEX(GUL_5!$A:$J,MATCH('2020'!$A58,GUL_5!$A:$A,0),MATCH('2020'!$A$1,GUL_5!$3:$3,0))</f>
        <v>3.7947288095045759E-2</v>
      </c>
      <c r="AC58" s="49">
        <f>INDEX(GUL_6!$A:$J,MATCH('2020'!$A58,GUL_6!$A:$A,0),MATCH('2020'!$A$1,GUL_6!$3:$3,0))</f>
        <v>2.18E-2</v>
      </c>
      <c r="AD58" s="49">
        <f>INDEX(GUL_7!$A:$J,MATCH('2020'!$A58,GUL_7!$A:$A,0),MATCH('2020'!$A$1,GUL_7!$3:$3,0))</f>
        <v>0.24670000000000003</v>
      </c>
      <c r="AE58" s="103">
        <f>INDEX(GUL_8!$A:$J,MATCH('2020'!$A58,GUL_8!$A:$A,0),MATCH('2020'!$A$1,GUL_8!$3:$3,0))/(B58/1000)</f>
        <v>5.591691783360428</v>
      </c>
      <c r="AF58" s="41">
        <f>INDEX(DES_1!$A:$J,MATCH('2020'!$A58,DES_1!$A:$A,0),MATCH('2020'!$A$1,DES_1!$3:$3,0))/(B58/1000)</f>
        <v>0.29806668457681396</v>
      </c>
      <c r="AG58" s="100">
        <f>INDEX(DES_2!$A:$J,MATCH('2020'!$A58,DES_2!$A:$A,0),MATCH('2020'!$A$1,DES_2!$3:$3,0))/(B58/1000)</f>
        <v>1.1638327453706518</v>
      </c>
      <c r="AH58" s="57">
        <f>1/INDEX(DES_3!$A:$J,MATCH('2020'!$A58,DES_3!$A:$A,0),MATCH('2020'!$A$1,DES_3!$3:$3,0))</f>
        <v>8.4674005080440304E-3</v>
      </c>
      <c r="AI58" s="80">
        <f>INDEX(DES_4!$A:$J,MATCH('2020'!$A58,DES_4!$A:$A,0),MATCH('2020'!$A$1,DES_4!$3:$3,0))</f>
        <v>0.84507928198900006</v>
      </c>
      <c r="AJ58" s="110">
        <f>INDEX(DES_5!$A:$J,MATCH('2020'!$A58,DES_5!$A:$A,0),MATCH('2020'!$A$1,DES_5!$3:$3,0))</f>
        <v>0.37796396470100002</v>
      </c>
      <c r="AK58" s="57">
        <v>9</v>
      </c>
    </row>
    <row r="59" spans="1:37" x14ac:dyDescent="0.3">
      <c r="A59" s="29" t="s">
        <v>58</v>
      </c>
      <c r="B59" s="33">
        <f>INDEX(Population!$A:$J,MATCH('2020'!$A59,Population!$A:$A,0),MATCH('2020'!$A$1,Population!$3:$3,0))</f>
        <v>211229</v>
      </c>
      <c r="C59" s="14">
        <f>INDEX(Income!$A:$J,MATCH('2020'!$A59,Income!$A:$A,0),MATCH('2020'!$A$1,Income!$3:$3,0))</f>
        <v>21683</v>
      </c>
      <c r="D59" s="34">
        <f>INDEX(Livable_wage!$A:$J,MATCH('2020'!$A59,Livable_wage!$A:$A,0),MATCH('2020'!$A$1,Livable_wage!$3:$3,0))</f>
        <v>11138</v>
      </c>
      <c r="E59" s="41">
        <f>INDEX(AVA_1!$A:$J,MATCH('2020'!$A59,AVA_1!$A:$A,0),MATCH('2020'!$A$1,AVA_1!$3:$3,0))</f>
        <v>0.36899999999999999</v>
      </c>
      <c r="F59" s="15">
        <f>INDEX(AVA_2!$A:$J,MATCH('2020'!$A59,AVA_2!$A:$A,0),MATCH('2020'!$A$1,AVA_2!$3:$3,0))</f>
        <v>7.4015947011764078E-3</v>
      </c>
      <c r="G59" s="15">
        <f>INDEX(AVA_3!$A:$J,MATCH('2020'!$A59,AVA_3!$A:$A,0),MATCH('2020'!$A$1,AVA_3!$3:$3,0))</f>
        <v>0.19715917852630901</v>
      </c>
      <c r="H59" s="87">
        <f>INDEX(AVA_4!$A:$J,MATCH('2020'!$A59,AVA_4!$A:$A,0),MATCH('2020'!$A$1,AVA_4!$3:$3,0))/(B59/1000)</f>
        <v>0.72906655809571597</v>
      </c>
      <c r="I59" s="89">
        <f>INDEX(AVA_5!$A:$J,MATCH('2020'!$A59,AVA_5!$A:$A,0),MATCH('2020'!$A$1,AVA_5!$3:$3,0))/(B59/1000)</f>
        <v>6.1733947516676206</v>
      </c>
      <c r="J59" s="93">
        <f>INDEX(IRA_1!$A:$J,MATCH('2020'!$A59,IRA_1!$A:$A,0),MATCH('2020'!$A$1,IRA_1!$3:$3,0))/(B59/1000)</f>
        <v>0.12782335758820995</v>
      </c>
      <c r="K59" s="88">
        <f>INDEX(IRA_2!$A:$J,MATCH('2020'!$A59,IRA_2!$A:$A,0),MATCH('2020'!$A$1,IRA_2!$3:$3,0))/(B59/1000)</f>
        <v>0.32192549318512131</v>
      </c>
      <c r="L59" s="15">
        <f>INDEX(IRA_3!$A:$J,MATCH('2020'!$A59,IRA_3!$A:$A,0),MATCH('2020'!$A$1,IRA_3!$3:$3,0))</f>
        <v>0.32398648648648654</v>
      </c>
      <c r="M59" s="96">
        <f>INDEX(IRA_4!$A:$J,MATCH('2020'!$A59,IRA_4!$A:$A,0),MATCH('2020'!$A$1,IRA_4!$3:$3,0))/(B59/1000)</f>
        <v>7.0255504689223542</v>
      </c>
      <c r="N59" s="61">
        <f>INDEX(INV_1!$A:$J,MATCH('2020'!$A59,INV_1!$A:$A,0),MATCH('2020'!$A$1,INV_1!$3:$3,0))</f>
        <v>8.3556092394441048E-2</v>
      </c>
      <c r="O59" s="80">
        <f>INDEX(INV_2!$A:$J,MATCH('2020'!$A59,INV_2!$A:$A,0),MATCH('2020'!$A$1,INV_2!$3:$3,0))/B59*10^6/C59</f>
        <v>0.43081655435948085</v>
      </c>
      <c r="P59" s="87">
        <f>INDEX(INV_3!$A:$J,MATCH('2020'!$A59,INV_3!$A:$A,0),MATCH('2020'!$A$1,INV_3!$3:$3,0))/B59*10^6/C59</f>
        <v>4.8258999160841221</v>
      </c>
      <c r="Q59" s="87">
        <f>INDEX(INV_4!$A:$J,MATCH('2020'!$A59,INV_4!$A:$A,0),MATCH('2020'!$A$1,INV_4!$3:$3,0))/B59*10^3/C59</f>
        <v>0.2585057273671254</v>
      </c>
      <c r="R59" s="34">
        <f>INDEX(INV_5!$A:$J,MATCH('2020'!$A59,INV_5!$A:$A,0),MATCH('2020'!$A$1,INV_5!$3:$3,0))</f>
        <v>0.15279999999999999</v>
      </c>
      <c r="S59" s="77">
        <f>INDEX(LUJ_1!$A:$J,MATCH('2020'!$A59,LUJ_1!$A:$A,0),MATCH('2020'!$A$1,LUJ_1!$3:$3,0))</f>
        <v>0.80650154798761609</v>
      </c>
      <c r="T59" s="73">
        <f>INDEX(LUJ_2!$A:$J,MATCH('2020'!$A59,LUJ_2!$A:$A,0),MATCH('2020'!$A$1,LUJ_2!$3:$3,0))</f>
        <v>0.29399999999999998</v>
      </c>
      <c r="U59" s="73">
        <f>INDEX(LUJ_3!$A:$J,MATCH('2020'!$A59,LUJ_3!$A:$A,0),MATCH('2020'!$A$1,LUJ_3!$3:$3,0))</f>
        <v>0.48653256051824073</v>
      </c>
      <c r="V59" s="14">
        <f>INDEX(LUJ_4!$A:$J,MATCH('2020'!$A59,LUJ_4!$A:$A,0),MATCH('2020'!$A$1,LUJ_4!$3:$3,0))</f>
        <v>3</v>
      </c>
      <c r="W59" s="34">
        <f>INDEX(LUJ_5!$A:$J,MATCH('2020'!$A59,LUJ_5!$A:$A,0),MATCH('2020'!$A$1,LUJ_5!$3:$3,0))</f>
        <v>22.7</v>
      </c>
      <c r="X59" s="98">
        <f>1/INDEX(GUL_1!$A:$J,MATCH('2020'!$A59,GUL_1!$A:$A,0),MATCH('2020'!$A$1,GUL_1!$3:$3,0))</f>
        <v>1.4461315979754157E-2</v>
      </c>
      <c r="Y59" s="57">
        <f>INDEX(GUL_2!$A:$J,MATCH('2020'!$A59,GUL_2!$A:$A,0),MATCH('2020'!$A$1,GUL_2!$3:$3,0))</f>
        <v>24.1</v>
      </c>
      <c r="Z59" s="57">
        <f>INDEX(GUL_3!$A:$J,MATCH('2020'!$A59,GUL_3!$A:$A,0),MATCH('2020'!$A$1,GUL_3!$3:$3,0))/(B59/1000)</f>
        <v>0.57283800993234824</v>
      </c>
      <c r="AA59" s="101">
        <f>INDEX(GUL_4!$A:$J,MATCH('2020'!$A59,GUL_4!$A:$A,0),MATCH('2020'!$A$1,GUL_4!$3:$3,0))/B59/C59*10^6</f>
        <v>0.21685218281024068</v>
      </c>
      <c r="AB59" s="73">
        <f>INDEX(GUL_5!$A:$J,MATCH('2020'!$A59,GUL_5!$A:$A,0),MATCH('2020'!$A$1,GUL_5!$3:$3,0))</f>
        <v>3.8574231009167209E-2</v>
      </c>
      <c r="AC59" s="49">
        <f>INDEX(GUL_6!$A:$J,MATCH('2020'!$A59,GUL_6!$A:$A,0),MATCH('2020'!$A$1,GUL_6!$3:$3,0))</f>
        <v>3.61E-2</v>
      </c>
      <c r="AD59" s="49">
        <f>INDEX(GUL_7!$A:$J,MATCH('2020'!$A59,GUL_7!$A:$A,0),MATCH('2020'!$A$1,GUL_7!$3:$3,0))</f>
        <v>0.29343219999999998</v>
      </c>
      <c r="AE59" s="103">
        <f>INDEX(GUL_8!$A:$J,MATCH('2020'!$A59,GUL_8!$A:$A,0),MATCH('2020'!$A$1,GUL_8!$3:$3,0))/(B59/1000)</f>
        <v>6.5237254354278997</v>
      </c>
      <c r="AF59" s="41">
        <f>INDEX(DES_1!$A:$J,MATCH('2020'!$A59,DES_1!$A:$A,0),MATCH('2020'!$A$1,DES_1!$3:$3,0))/(B59/1000)</f>
        <v>0.44974885077333127</v>
      </c>
      <c r="AG59" s="100">
        <f>INDEX(DES_2!$A:$J,MATCH('2020'!$A59,DES_2!$A:$A,0),MATCH('2020'!$A$1,DES_2!$3:$3,0))/(B59/1000)</f>
        <v>1.0036500669889077</v>
      </c>
      <c r="AH59" s="57">
        <f>1/INDEX(DES_3!$A:$J,MATCH('2020'!$A59,DES_3!$A:$A,0),MATCH('2020'!$A$1,DES_3!$3:$3,0))</f>
        <v>7.5528700906344406E-3</v>
      </c>
      <c r="AI59" s="80">
        <f>INDEX(DES_4!$A:$J,MATCH('2020'!$A59,DES_4!$A:$A,0),MATCH('2020'!$A$1,DES_4!$3:$3,0))</f>
        <v>0.49691160183100003</v>
      </c>
      <c r="AJ59" s="110">
        <f>INDEX(DES_5!$A:$J,MATCH('2020'!$A59,DES_5!$A:$A,0),MATCH('2020'!$A$1,DES_5!$3:$3,0))</f>
        <v>0.43111416477299996</v>
      </c>
      <c r="AK59" s="57">
        <v>77</v>
      </c>
    </row>
    <row r="60" spans="1:37" x14ac:dyDescent="0.3">
      <c r="A60" s="29" t="s">
        <v>59</v>
      </c>
      <c r="B60" s="33">
        <f>INDEX(Population!$A:$J,MATCH('2020'!$A60,Population!$A:$A,0),MATCH('2020'!$A$1,Population!$3:$3,0))</f>
        <v>1115127</v>
      </c>
      <c r="C60" s="14">
        <f>INDEX(Income!$A:$J,MATCH('2020'!$A60,Income!$A:$A,0),MATCH('2020'!$A$1,Income!$3:$3,0))</f>
        <v>27328</v>
      </c>
      <c r="D60" s="34">
        <f>INDEX(Livable_wage!$A:$J,MATCH('2020'!$A60,Livable_wage!$A:$A,0),MATCH('2020'!$A$1,Livable_wage!$3:$3,0))</f>
        <v>11643</v>
      </c>
      <c r="E60" s="41">
        <f>INDEX(AVA_1!$A:$J,MATCH('2020'!$A60,AVA_1!$A:$A,0),MATCH('2020'!$A$1,AVA_1!$3:$3,0))</f>
        <v>0.35799999999999998</v>
      </c>
      <c r="F60" s="15">
        <f>INDEX(AVA_2!$A:$J,MATCH('2020'!$A60,AVA_2!$A:$A,0),MATCH('2020'!$A$1,AVA_2!$3:$3,0))</f>
        <v>1.179472885849827E-2</v>
      </c>
      <c r="G60" s="15">
        <f>INDEX(AVA_3!$A:$J,MATCH('2020'!$A60,AVA_3!$A:$A,0),MATCH('2020'!$A$1,AVA_3!$3:$3,0))</f>
        <v>1.3773070466542607E-2</v>
      </c>
      <c r="H60" s="87">
        <f>INDEX(AVA_4!$A:$J,MATCH('2020'!$A60,AVA_4!$A:$A,0),MATCH('2020'!$A$1,AVA_4!$3:$3,0))/(B60/1000)</f>
        <v>0.61158953195465626</v>
      </c>
      <c r="I60" s="89">
        <f>INDEX(AVA_5!$A:$J,MATCH('2020'!$A60,AVA_5!$A:$A,0),MATCH('2020'!$A$1,AVA_5!$3:$3,0))/(B60/1000)</f>
        <v>2.5898395429399521</v>
      </c>
      <c r="J60" s="93">
        <f>INDEX(IRA_1!$A:$J,MATCH('2020'!$A60,IRA_1!$A:$A,0),MATCH('2020'!$A$1,IRA_1!$3:$3,0))/(B60/1000)</f>
        <v>4.4837942225414686E-2</v>
      </c>
      <c r="K60" s="88">
        <f>INDEX(IRA_2!$A:$J,MATCH('2020'!$A60,IRA_2!$A:$A,0),MATCH('2020'!$A$1,IRA_2!$3:$3,0))/(B60/1000)</f>
        <v>6.5463395649105444E-2</v>
      </c>
      <c r="L60" s="15">
        <f>INDEX(IRA_3!$A:$J,MATCH('2020'!$A60,IRA_3!$A:$A,0),MATCH('2020'!$A$1,IRA_3!$3:$3,0))</f>
        <v>0.43473193473193472</v>
      </c>
      <c r="M60" s="96">
        <f>INDEX(IRA_4!$A:$J,MATCH('2020'!$A60,IRA_4!$A:$A,0),MATCH('2020'!$A$1,IRA_4!$3:$3,0))/(B60/1000)</f>
        <v>3.1879776922269842</v>
      </c>
      <c r="N60" s="61">
        <f>INDEX(INV_1!$A:$J,MATCH('2020'!$A60,INV_1!$A:$A,0),MATCH('2020'!$A$1,INV_1!$3:$3,0))</f>
        <v>6.9011072255267855E-2</v>
      </c>
      <c r="O60" s="80">
        <f>INDEX(INV_2!$A:$J,MATCH('2020'!$A60,INV_2!$A:$A,0),MATCH('2020'!$A$1,INV_2!$3:$3,0))/B60*10^6/C60</f>
        <v>0.41327939741429426</v>
      </c>
      <c r="P60" s="87">
        <f>INDEX(INV_3!$A:$J,MATCH('2020'!$A60,INV_3!$A:$A,0),MATCH('2020'!$A$1,INV_3!$3:$3,0))/B60*10^6/C60</f>
        <v>4.3838736033403647</v>
      </c>
      <c r="Q60" s="87">
        <f>INDEX(INV_4!$A:$J,MATCH('2020'!$A60,INV_4!$A:$A,0),MATCH('2020'!$A$1,INV_4!$3:$3,0))/B60*10^3/C60</f>
        <v>0.33012996189348254</v>
      </c>
      <c r="R60" s="34">
        <f>INDEX(INV_5!$A:$J,MATCH('2020'!$A60,INV_5!$A:$A,0),MATCH('2020'!$A$1,INV_5!$3:$3,0))</f>
        <v>6.5699999999999995E-2</v>
      </c>
      <c r="S60" s="77">
        <f>INDEX(LUJ_1!$A:$J,MATCH('2020'!$A60,LUJ_1!$A:$A,0),MATCH('2020'!$A$1,LUJ_1!$3:$3,0))</f>
        <v>0.85820749166503241</v>
      </c>
      <c r="T60" s="73">
        <f>INDEX(LUJ_2!$A:$J,MATCH('2020'!$A60,LUJ_2!$A:$A,0),MATCH('2020'!$A$1,LUJ_2!$3:$3,0))</f>
        <v>0.184</v>
      </c>
      <c r="U60" s="73">
        <f>INDEX(LUJ_3!$A:$J,MATCH('2020'!$A60,LUJ_3!$A:$A,0),MATCH('2020'!$A$1,LUJ_3!$3:$3,0))</f>
        <v>0.38738934993084367</v>
      </c>
      <c r="V60" s="14">
        <f>INDEX(LUJ_4!$A:$J,MATCH('2020'!$A60,LUJ_4!$A:$A,0),MATCH('2020'!$A$1,LUJ_4!$3:$3,0))</f>
        <v>17</v>
      </c>
      <c r="W60" s="34">
        <f>INDEX(LUJ_5!$A:$J,MATCH('2020'!$A60,LUJ_5!$A:$A,0),MATCH('2020'!$A$1,LUJ_5!$3:$3,0))</f>
        <v>19.399999999999999</v>
      </c>
      <c r="X60" s="98">
        <f>1/INDEX(GUL_1!$A:$J,MATCH('2020'!$A60,GUL_1!$A:$A,0),MATCH('2020'!$A$1,GUL_1!$3:$3,0))</f>
        <v>1.4094432699083861E-2</v>
      </c>
      <c r="Y60" s="57">
        <f>INDEX(GUL_2!$A:$J,MATCH('2020'!$A60,GUL_2!$A:$A,0),MATCH('2020'!$A$1,GUL_2!$3:$3,0))</f>
        <v>27</v>
      </c>
      <c r="Z60" s="57">
        <f>INDEX(GUL_3!$A:$J,MATCH('2020'!$A60,GUL_3!$A:$A,0),MATCH('2020'!$A$1,GUL_3!$3:$3,0))/(B60/1000)</f>
        <v>0.94966761633428309</v>
      </c>
      <c r="AA60" s="101">
        <f>INDEX(GUL_4!$A:$J,MATCH('2020'!$A60,GUL_4!$A:$A,0),MATCH('2020'!$A$1,GUL_4!$3:$3,0))/B60/C60*10^6</f>
        <v>0.23052261106126748</v>
      </c>
      <c r="AB60" s="73">
        <f>INDEX(GUL_5!$A:$J,MATCH('2020'!$A60,GUL_5!$A:$A,0),MATCH('2020'!$A$1,GUL_5!$3:$3,0))</f>
        <v>2.1885020424722391E-2</v>
      </c>
      <c r="AC60" s="49">
        <f>INDEX(GUL_6!$A:$J,MATCH('2020'!$A60,GUL_6!$A:$A,0),MATCH('2020'!$A$1,GUL_6!$3:$3,0))</f>
        <v>4.4199999999999996E-2</v>
      </c>
      <c r="AD60" s="49">
        <f>INDEX(GUL_7!$A:$J,MATCH('2020'!$A60,GUL_7!$A:$A,0),MATCH('2020'!$A$1,GUL_7!$3:$3,0))</f>
        <v>0.16113369999999999</v>
      </c>
      <c r="AE60" s="103">
        <f>INDEX(GUL_8!$A:$J,MATCH('2020'!$A60,GUL_8!$A:$A,0),MATCH('2020'!$A$1,GUL_8!$3:$3,0))/(B60/1000)</f>
        <v>1.382802138231789</v>
      </c>
      <c r="AF60" s="41">
        <f>INDEX(DES_1!$A:$J,MATCH('2020'!$A60,DES_1!$A:$A,0),MATCH('2020'!$A$1,DES_1!$3:$3,0))/(B60/1000)</f>
        <v>2.6006006490740519E-2</v>
      </c>
      <c r="AG60" s="100">
        <f>INDEX(DES_2!$A:$J,MATCH('2020'!$A60,DES_2!$A:$A,0),MATCH('2020'!$A$1,DES_2!$3:$3,0))/(B60/1000)</f>
        <v>0.52101688865931861</v>
      </c>
      <c r="AH60" s="57">
        <f>1/INDEX(DES_3!$A:$J,MATCH('2020'!$A60,DES_3!$A:$A,0),MATCH('2020'!$A$1,DES_3!$3:$3,0))</f>
        <v>8.4602368866328256E-3</v>
      </c>
      <c r="AI60" s="80">
        <f>INDEX(DES_4!$A:$J,MATCH('2020'!$A60,DES_4!$A:$A,0),MATCH('2020'!$A$1,DES_4!$3:$3,0))</f>
        <v>0.71814986963400007</v>
      </c>
      <c r="AJ60" s="110">
        <f>INDEX(DES_5!$A:$J,MATCH('2020'!$A60,DES_5!$A:$A,0),MATCH('2020'!$A$1,DES_5!$3:$3,0))</f>
        <v>0.30686387707000001</v>
      </c>
      <c r="AK60" s="57">
        <v>74</v>
      </c>
    </row>
    <row r="61" spans="1:37" x14ac:dyDescent="0.3">
      <c r="A61" s="29" t="s">
        <v>60</v>
      </c>
      <c r="B61" s="33">
        <f>INDEX(Population!$A:$J,MATCH('2020'!$A61,Population!$A:$A,0),MATCH('2020'!$A$1,Population!$3:$3,0))</f>
        <v>509422</v>
      </c>
      <c r="C61" s="14">
        <f>INDEX(Income!$A:$J,MATCH('2020'!$A61,Income!$A:$A,0),MATCH('2020'!$A$1,Income!$3:$3,0))</f>
        <v>90130</v>
      </c>
      <c r="D61" s="34">
        <f>INDEX(Livable_wage!$A:$J,MATCH('2020'!$A61,Livable_wage!$A:$A,0),MATCH('2020'!$A$1,Livable_wage!$3:$3,0))</f>
        <v>17403</v>
      </c>
      <c r="E61" s="41">
        <f>INDEX(AVA_1!$A:$J,MATCH('2020'!$A61,AVA_1!$A:$A,0),MATCH('2020'!$A$1,AVA_1!$3:$3,0))</f>
        <v>0.438</v>
      </c>
      <c r="F61" s="15">
        <f>INDEX(AVA_2!$A:$J,MATCH('2020'!$A61,AVA_2!$A:$A,0),MATCH('2020'!$A$1,AVA_2!$3:$3,0))</f>
        <v>8.2093672675054019E-3</v>
      </c>
      <c r="G61" s="15">
        <f>INDEX(AVA_3!$A:$J,MATCH('2020'!$A61,AVA_3!$A:$A,0),MATCH('2020'!$A$1,AVA_3!$3:$3,0))</f>
        <v>0.10071832934746985</v>
      </c>
      <c r="H61" s="87">
        <f>INDEX(AVA_4!$A:$J,MATCH('2020'!$A61,AVA_4!$A:$A,0),MATCH('2020'!$A$1,AVA_4!$3:$3,0))/(B61/1000)</f>
        <v>0.47504819187235725</v>
      </c>
      <c r="I61" s="89">
        <f>INDEX(AVA_5!$A:$J,MATCH('2020'!$A61,AVA_5!$A:$A,0),MATCH('2020'!$A$1,AVA_5!$3:$3,0))/(B61/1000)</f>
        <v>4.3146939079976914</v>
      </c>
      <c r="J61" s="93">
        <f>INDEX(IRA_1!$A:$J,MATCH('2020'!$A61,IRA_1!$A:$A,0),MATCH('2020'!$A$1,IRA_1!$3:$3,0))/(B61/1000)</f>
        <v>8.8335407579570563E-2</v>
      </c>
      <c r="K61" s="88">
        <f>INDEX(IRA_2!$A:$J,MATCH('2020'!$A61,IRA_2!$A:$A,0),MATCH('2020'!$A$1,IRA_2!$3:$3,0))/(B61/1000)</f>
        <v>0.20415294196167419</v>
      </c>
      <c r="L61" s="15">
        <f>INDEX(IRA_3!$A:$J,MATCH('2020'!$A61,IRA_3!$A:$A,0),MATCH('2020'!$A$1,IRA_3!$3:$3,0))</f>
        <v>0.42478632478632483</v>
      </c>
      <c r="M61" s="96">
        <f>INDEX(IRA_4!$A:$J,MATCH('2020'!$A61,IRA_4!$A:$A,0),MATCH('2020'!$A$1,IRA_4!$3:$3,0))/(B61/1000)</f>
        <v>3.3783385876542433</v>
      </c>
      <c r="N61" s="61">
        <f>INDEX(INV_1!$A:$J,MATCH('2020'!$A61,INV_1!$A:$A,0),MATCH('2020'!$A$1,INV_1!$3:$3,0))</f>
        <v>7.3586052459356954E-2</v>
      </c>
      <c r="O61" s="80">
        <f>INDEX(INV_2!$A:$J,MATCH('2020'!$A61,INV_2!$A:$A,0),MATCH('2020'!$A$1,INV_2!$3:$3,0))/B61*10^6/C61</f>
        <v>0.21980978894817782</v>
      </c>
      <c r="P61" s="87">
        <f>INDEX(INV_3!$A:$J,MATCH('2020'!$A61,INV_3!$A:$A,0),MATCH('2020'!$A$1,INV_3!$3:$3,0))/B61*10^6/C61</f>
        <v>3.7279094894903952</v>
      </c>
      <c r="Q61" s="87">
        <f>INDEX(INV_4!$A:$J,MATCH('2020'!$A61,INV_4!$A:$A,0),MATCH('2020'!$A$1,INV_4!$3:$3,0))/B61*10^3/C61</f>
        <v>0.17726748453593932</v>
      </c>
      <c r="R61" s="34">
        <f>INDEX(INV_5!$A:$J,MATCH('2020'!$A61,INV_5!$A:$A,0),MATCH('2020'!$A$1,INV_5!$3:$3,0))</f>
        <v>7.5700000000000003E-2</v>
      </c>
      <c r="S61" s="77">
        <f>INDEX(LUJ_1!$A:$J,MATCH('2020'!$A61,LUJ_1!$A:$A,0),MATCH('2020'!$A$1,LUJ_1!$3:$3,0))</f>
        <v>0.82784479947831757</v>
      </c>
      <c r="T61" s="73">
        <f>INDEX(LUJ_2!$A:$J,MATCH('2020'!$A61,LUJ_2!$A:$A,0),MATCH('2020'!$A$1,LUJ_2!$3:$3,0))</f>
        <v>0.217</v>
      </c>
      <c r="U61" s="73">
        <f>INDEX(LUJ_3!$A:$J,MATCH('2020'!$A61,LUJ_3!$A:$A,0),MATCH('2020'!$A$1,LUJ_3!$3:$3,0))</f>
        <v>0.43186016768509305</v>
      </c>
      <c r="V61" s="14">
        <f>INDEX(LUJ_4!$A:$J,MATCH('2020'!$A61,LUJ_4!$A:$A,0),MATCH('2020'!$A$1,LUJ_4!$3:$3,0))</f>
        <v>27</v>
      </c>
      <c r="W61" s="34">
        <f>INDEX(LUJ_5!$A:$J,MATCH('2020'!$A61,LUJ_5!$A:$A,0),MATCH('2020'!$A$1,LUJ_5!$3:$3,0))</f>
        <v>20.399999999999999</v>
      </c>
      <c r="X61" s="98">
        <f>1/INDEX(GUL_1!$A:$J,MATCH('2020'!$A61,GUL_1!$A:$A,0),MATCH('2020'!$A$1,GUL_1!$3:$3,0))</f>
        <v>1.3906271728549576E-2</v>
      </c>
      <c r="Y61" s="57">
        <f>INDEX(GUL_2!$A:$J,MATCH('2020'!$A61,GUL_2!$A:$A,0),MATCH('2020'!$A$1,GUL_2!$3:$3,0))</f>
        <v>24.9</v>
      </c>
      <c r="Z61" s="57">
        <f>INDEX(GUL_3!$A:$J,MATCH('2020'!$A61,GUL_3!$A:$A,0),MATCH('2020'!$A$1,GUL_3!$3:$3,0))/(B61/1000)</f>
        <v>0.37493472994884397</v>
      </c>
      <c r="AA61" s="101">
        <f>INDEX(GUL_4!$A:$J,MATCH('2020'!$A61,GUL_4!$A:$A,0),MATCH('2020'!$A$1,GUL_4!$3:$3,0))/B61/C61*10^6</f>
        <v>0.32027321489805283</v>
      </c>
      <c r="AB61" s="73">
        <f>INDEX(GUL_5!$A:$J,MATCH('2020'!$A61,GUL_5!$A:$A,0),MATCH('2020'!$A$1,GUL_5!$3:$3,0))</f>
        <v>5.6155516022760671E-2</v>
      </c>
      <c r="AC61" s="49">
        <f>INDEX(GUL_6!$A:$J,MATCH('2020'!$A61,GUL_6!$A:$A,0),MATCH('2020'!$A$1,GUL_6!$3:$3,0))</f>
        <v>4.7E-2</v>
      </c>
      <c r="AD61" s="49">
        <f>INDEX(GUL_7!$A:$J,MATCH('2020'!$A61,GUL_7!$A:$A,0),MATCH('2020'!$A$1,GUL_7!$3:$3,0))</f>
        <v>0.25060769999999999</v>
      </c>
      <c r="AE61" s="103">
        <f>INDEX(GUL_8!$A:$J,MATCH('2020'!$A61,GUL_8!$A:$A,0),MATCH('2020'!$A$1,GUL_8!$3:$3,0))/(B61/1000)</f>
        <v>3.1368884736034173</v>
      </c>
      <c r="AF61" s="41">
        <f>INDEX(DES_1!$A:$J,MATCH('2020'!$A61,DES_1!$A:$A,0),MATCH('2020'!$A$1,DES_1!$3:$3,0))/(B61/1000)</f>
        <v>0.13741063401266532</v>
      </c>
      <c r="AG61" s="100">
        <f>INDEX(DES_2!$A:$J,MATCH('2020'!$A61,DES_2!$A:$A,0),MATCH('2020'!$A$1,DES_2!$3:$3,0))/(B61/1000)</f>
        <v>0.55553156322263264</v>
      </c>
      <c r="AH61" s="57">
        <f>1/INDEX(DES_3!$A:$J,MATCH('2020'!$A61,DES_3!$A:$A,0),MATCH('2020'!$A$1,DES_3!$3:$3,0))</f>
        <v>7.1377587437544618E-3</v>
      </c>
      <c r="AI61" s="80">
        <f>INDEX(DES_4!$A:$J,MATCH('2020'!$A61,DES_4!$A:$A,0),MATCH('2020'!$A$1,DES_4!$3:$3,0))</f>
        <v>0.81559515103299995</v>
      </c>
      <c r="AJ61" s="110">
        <f>INDEX(DES_5!$A:$J,MATCH('2020'!$A61,DES_5!$A:$A,0),MATCH('2020'!$A$1,DES_5!$3:$3,0))</f>
        <v>0.70837342361099997</v>
      </c>
      <c r="AK61" s="57">
        <v>70</v>
      </c>
    </row>
    <row r="62" spans="1:37" x14ac:dyDescent="0.3">
      <c r="A62" s="29" t="s">
        <v>61</v>
      </c>
      <c r="B62" s="33">
        <f>INDEX(Population!$A:$J,MATCH('2020'!$A62,Population!$A:$A,0),MATCH('2020'!$A$1,Population!$3:$3,0))</f>
        <v>2867233</v>
      </c>
      <c r="C62" s="14">
        <f>INDEX(Income!$A:$J,MATCH('2020'!$A62,Income!$A:$A,0),MATCH('2020'!$A$1,Income!$3:$3,0))</f>
        <v>32872</v>
      </c>
      <c r="D62" s="34">
        <f>INDEX(Livable_wage!$A:$J,MATCH('2020'!$A62,Livable_wage!$A:$A,0),MATCH('2020'!$A$1,Livable_wage!$3:$3,0))</f>
        <v>13839</v>
      </c>
      <c r="E62" s="41">
        <f>INDEX(AVA_1!$A:$J,MATCH('2020'!$A62,AVA_1!$A:$A,0),MATCH('2020'!$A$1,AVA_1!$3:$3,0))</f>
        <v>0.38400000000000001</v>
      </c>
      <c r="F62" s="15">
        <f>INDEX(AVA_2!$A:$J,MATCH('2020'!$A62,AVA_2!$A:$A,0),MATCH('2020'!$A$1,AVA_2!$3:$3,0))</f>
        <v>1.2165247617497642E-2</v>
      </c>
      <c r="G62" s="15">
        <f>INDEX(AVA_3!$A:$J,MATCH('2020'!$A62,AVA_3!$A:$A,0),MATCH('2020'!$A$1,AVA_3!$3:$3,0))</f>
        <v>0.12659294102353236</v>
      </c>
      <c r="H62" s="87">
        <f>INDEX(AVA_4!$A:$J,MATCH('2020'!$A62,AVA_4!$A:$A,0),MATCH('2020'!$A$1,AVA_4!$3:$3,0))/(B62/1000)</f>
        <v>0.51513078985907312</v>
      </c>
      <c r="I62" s="89">
        <f>INDEX(AVA_5!$A:$J,MATCH('2020'!$A62,AVA_5!$A:$A,0),MATCH('2020'!$A$1,AVA_5!$3:$3,0))/(B62/1000)</f>
        <v>7.0545365514417551</v>
      </c>
      <c r="J62" s="93">
        <f>INDEX(IRA_1!$A:$J,MATCH('2020'!$A62,IRA_1!$A:$A,0),MATCH('2020'!$A$1,IRA_1!$3:$3,0))/(B62/1000)</f>
        <v>8.3006857133689507E-2</v>
      </c>
      <c r="K62" s="88">
        <f>INDEX(IRA_2!$A:$J,MATCH('2020'!$A62,IRA_2!$A:$A,0),MATCH('2020'!$A$1,IRA_2!$3:$3,0))/(B62/1000)</f>
        <v>0.25285702278119704</v>
      </c>
      <c r="L62" s="15">
        <f>INDEX(IRA_3!$A:$J,MATCH('2020'!$A62,IRA_3!$A:$A,0),MATCH('2020'!$A$1,IRA_3!$3:$3,0))</f>
        <v>0.33386258660508084</v>
      </c>
      <c r="M62" s="96">
        <f>INDEX(IRA_4!$A:$J,MATCH('2020'!$A62,IRA_4!$A:$A,0),MATCH('2020'!$A$1,IRA_4!$3:$3,0))/(B62/1000)</f>
        <v>5.9618454447196996</v>
      </c>
      <c r="N62" s="61">
        <f>INDEX(INV_1!$A:$J,MATCH('2020'!$A62,INV_1!$A:$A,0),MATCH('2020'!$A$1,INV_1!$3:$3,0))</f>
        <v>7.9417127574064966E-2</v>
      </c>
      <c r="O62" s="80">
        <f>INDEX(INV_2!$A:$J,MATCH('2020'!$A62,INV_2!$A:$A,0),MATCH('2020'!$A$1,INV_2!$3:$3,0))/B62*10^6/C62</f>
        <v>0.3173310105894846</v>
      </c>
      <c r="P62" s="87">
        <f>INDEX(INV_3!$A:$J,MATCH('2020'!$A62,INV_3!$A:$A,0),MATCH('2020'!$A$1,INV_3!$3:$3,0))/B62*10^6/C62</f>
        <v>4.6193870000919546</v>
      </c>
      <c r="Q62" s="87">
        <f>INDEX(INV_4!$A:$J,MATCH('2020'!$A62,INV_4!$A:$A,0),MATCH('2020'!$A$1,INV_4!$3:$3,0))/B62*10^3/C62</f>
        <v>0.25679179707384797</v>
      </c>
      <c r="R62" s="34">
        <f>INDEX(INV_5!$A:$J,MATCH('2020'!$A62,INV_5!$A:$A,0),MATCH('2020'!$A$1,INV_5!$3:$3,0))</f>
        <v>0.1168</v>
      </c>
      <c r="S62" s="77">
        <f>INDEX(LUJ_1!$A:$J,MATCH('2020'!$A62,LUJ_1!$A:$A,0),MATCH('2020'!$A$1,LUJ_1!$3:$3,0))</f>
        <v>0.78388391478851493</v>
      </c>
      <c r="T62" s="73">
        <f>INDEX(LUJ_2!$A:$J,MATCH('2020'!$A62,LUJ_2!$A:$A,0),MATCH('2020'!$A$1,LUJ_2!$3:$3,0))</f>
        <v>0.25900000000000001</v>
      </c>
      <c r="U62" s="73">
        <f>INDEX(LUJ_3!$A:$J,MATCH('2020'!$A62,LUJ_3!$A:$A,0),MATCH('2020'!$A$1,LUJ_3!$3:$3,0))</f>
        <v>0.62821561080612831</v>
      </c>
      <c r="V62" s="14">
        <f>INDEX(LUJ_4!$A:$J,MATCH('2020'!$A62,LUJ_4!$A:$A,0),MATCH('2020'!$A$1,LUJ_4!$3:$3,0))</f>
        <v>83</v>
      </c>
      <c r="W62" s="34">
        <f>INDEX(LUJ_5!$A:$J,MATCH('2020'!$A62,LUJ_5!$A:$A,0),MATCH('2020'!$A$1,LUJ_5!$3:$3,0))</f>
        <v>74.8</v>
      </c>
      <c r="X62" s="98">
        <f>1/INDEX(GUL_1!$A:$J,MATCH('2020'!$A62,GUL_1!$A:$A,0),MATCH('2020'!$A$1,GUL_1!$3:$3,0))</f>
        <v>1.4322543683758238E-2</v>
      </c>
      <c r="Y62" s="57">
        <f>INDEX(GUL_2!$A:$J,MATCH('2020'!$A62,GUL_2!$A:$A,0),MATCH('2020'!$A$1,GUL_2!$3:$3,0))</f>
        <v>24.9</v>
      </c>
      <c r="Z62" s="57">
        <f>INDEX(GUL_3!$A:$J,MATCH('2020'!$A62,GUL_3!$A:$A,0),MATCH('2020'!$A$1,GUL_3!$3:$3,0))/(B62/1000)</f>
        <v>0.98631677300031073</v>
      </c>
      <c r="AA62" s="101">
        <f>INDEX(GUL_4!$A:$J,MATCH('2020'!$A62,GUL_4!$A:$A,0),MATCH('2020'!$A$1,GUL_4!$3:$3,0))/B62/C62*10^6</f>
        <v>0.25635499744743573</v>
      </c>
      <c r="AB62" s="73">
        <f>INDEX(GUL_5!$A:$J,MATCH('2020'!$A62,GUL_5!$A:$A,0),MATCH('2020'!$A$1,GUL_5!$3:$3,0))</f>
        <v>3.7622626070146242E-2</v>
      </c>
      <c r="AC62" s="49">
        <f>INDEX(GUL_6!$A:$J,MATCH('2020'!$A62,GUL_6!$A:$A,0),MATCH('2020'!$A$1,GUL_6!$3:$3,0))</f>
        <v>5.4600000000000003E-2</v>
      </c>
      <c r="AD62" s="49">
        <f>INDEX(GUL_7!$A:$J,MATCH('2020'!$A62,GUL_7!$A:$A,0),MATCH('2020'!$A$1,GUL_7!$3:$3,0))</f>
        <v>0.25330829999999999</v>
      </c>
      <c r="AE62" s="103">
        <f>INDEX(GUL_8!$A:$J,MATCH('2020'!$A62,GUL_8!$A:$A,0),MATCH('2020'!$A$1,GUL_8!$3:$3,0))/(B62/1000)</f>
        <v>2.8145602397851865</v>
      </c>
      <c r="AF62" s="41">
        <f>INDEX(DES_1!$A:$J,MATCH('2020'!$A62,DES_1!$A:$A,0),MATCH('2020'!$A$1,DES_1!$3:$3,0))/(B62/1000)</f>
        <v>0.1220689075495434</v>
      </c>
      <c r="AG62" s="100">
        <f>INDEX(DES_2!$A:$J,MATCH('2020'!$A62,DES_2!$A:$A,0),MATCH('2020'!$A$1,DES_2!$3:$3,0))/(B62/1000)</f>
        <v>0.65115042969999293</v>
      </c>
      <c r="AH62" s="57">
        <f>1/INDEX(DES_3!$A:$J,MATCH('2020'!$A62,DES_3!$A:$A,0),MATCH('2020'!$A$1,DES_3!$3:$3,0))</f>
        <v>8.5324232081911266E-3</v>
      </c>
      <c r="AI62" s="80">
        <f>INDEX(DES_4!$A:$J,MATCH('2020'!$A62,DES_4!$A:$A,0),MATCH('2020'!$A$1,DES_4!$3:$3,0))</f>
        <v>0.97985656889599992</v>
      </c>
      <c r="AJ62" s="110">
        <f>INDEX(DES_5!$A:$J,MATCH('2020'!$A62,DES_5!$A:$A,0),MATCH('2020'!$A$1,DES_5!$3:$3,0))</f>
        <v>0.77431899094399992</v>
      </c>
      <c r="AK62" s="57">
        <v>69</v>
      </c>
    </row>
    <row r="63" spans="1:37" x14ac:dyDescent="0.3">
      <c r="A63" s="29" t="s">
        <v>62</v>
      </c>
      <c r="B63" s="33">
        <f>INDEX(Population!$A:$J,MATCH('2020'!$A63,Population!$A:$A,0),MATCH('2020'!$A$1,Population!$3:$3,0))</f>
        <v>981987</v>
      </c>
      <c r="C63" s="14">
        <f>INDEX(Income!$A:$J,MATCH('2020'!$A63,Income!$A:$A,0),MATCH('2020'!$A$1,Income!$3:$3,0))</f>
        <v>46344</v>
      </c>
      <c r="D63" s="34">
        <f>INDEX(Livable_wage!$A:$J,MATCH('2020'!$A63,Livable_wage!$A:$A,0),MATCH('2020'!$A$1,Livable_wage!$3:$3,0))</f>
        <v>18853</v>
      </c>
      <c r="E63" s="41">
        <f>INDEX(AVA_1!$A:$J,MATCH('2020'!$A63,AVA_1!$A:$A,0),MATCH('2020'!$A$1,AVA_1!$3:$3,0))</f>
        <v>0.39700000000000002</v>
      </c>
      <c r="F63" s="15">
        <f>INDEX(AVA_2!$A:$J,MATCH('2020'!$A63,AVA_2!$A:$A,0),MATCH('2020'!$A$1,AVA_2!$3:$3,0))</f>
        <v>1.1120840906298923E-2</v>
      </c>
      <c r="G63" s="15">
        <f>INDEX(AVA_3!$A:$J,MATCH('2020'!$A63,AVA_3!$A:$A,0),MATCH('2020'!$A$1,AVA_3!$3:$3,0))</f>
        <v>0.17028968341219633</v>
      </c>
      <c r="H63" s="87">
        <f>INDEX(AVA_4!$A:$J,MATCH('2020'!$A63,AVA_4!$A:$A,0),MATCH('2020'!$A$1,AVA_4!$3:$3,0))/(B63/1000)</f>
        <v>0.63748298093559286</v>
      </c>
      <c r="I63" s="89">
        <f>INDEX(AVA_5!$A:$J,MATCH('2020'!$A63,AVA_5!$A:$A,0),MATCH('2020'!$A$1,AVA_5!$3:$3,0))/(B63/1000)</f>
        <v>3.1151125218561959</v>
      </c>
      <c r="J63" s="93">
        <f>INDEX(IRA_1!$A:$J,MATCH('2020'!$A63,IRA_1!$A:$A,0),MATCH('2020'!$A$1,IRA_1!$3:$3,0))/(B63/1000)</f>
        <v>0.11914618014291432</v>
      </c>
      <c r="K63" s="88">
        <f>INDEX(IRA_2!$A:$J,MATCH('2020'!$A63,IRA_2!$A:$A,0),MATCH('2020'!$A$1,IRA_2!$3:$3,0))/(B63/1000)</f>
        <v>0.2953195918072235</v>
      </c>
      <c r="L63" s="15">
        <f>INDEX(IRA_3!$A:$J,MATCH('2020'!$A63,IRA_3!$A:$A,0),MATCH('2020'!$A$1,IRA_3!$3:$3,0))</f>
        <v>0.465695616662129</v>
      </c>
      <c r="M63" s="96">
        <f>INDEX(IRA_4!$A:$J,MATCH('2020'!$A63,IRA_4!$A:$A,0),MATCH('2020'!$A$1,IRA_4!$3:$3,0))/(B63/1000)</f>
        <v>3.7587055633119379</v>
      </c>
      <c r="N63" s="61">
        <f>INDEX(INV_1!$A:$J,MATCH('2020'!$A63,INV_1!$A:$A,0),MATCH('2020'!$A$1,INV_1!$3:$3,0))</f>
        <v>9.7832541292692324E-2</v>
      </c>
      <c r="O63" s="80">
        <f>INDEX(INV_2!$A:$J,MATCH('2020'!$A63,INV_2!$A:$A,0),MATCH('2020'!$A$1,INV_2!$3:$3,0))/B63*10^6/C63</f>
        <v>0.14247458848761291</v>
      </c>
      <c r="P63" s="87">
        <f>INDEX(INV_3!$A:$J,MATCH('2020'!$A63,INV_3!$A:$A,0),MATCH('2020'!$A$1,INV_3!$3:$3,0))/B63*10^6/C63</f>
        <v>4.8019515494627862</v>
      </c>
      <c r="Q63" s="87">
        <f>INDEX(INV_4!$A:$J,MATCH('2020'!$A63,INV_4!$A:$A,0),MATCH('2020'!$A$1,INV_4!$3:$3,0))/B63*10^3/C63</f>
        <v>0.26710428712101075</v>
      </c>
      <c r="R63" s="34">
        <f>INDEX(INV_5!$A:$J,MATCH('2020'!$A63,INV_5!$A:$A,0),MATCH('2020'!$A$1,INV_5!$3:$3,0))</f>
        <v>0.105</v>
      </c>
      <c r="S63" s="77">
        <f>INDEX(LUJ_1!$A:$J,MATCH('2020'!$A63,LUJ_1!$A:$A,0),MATCH('2020'!$A$1,LUJ_1!$3:$3,0))</f>
        <v>0.72976618705035967</v>
      </c>
      <c r="T63" s="73">
        <f>INDEX(LUJ_2!$A:$J,MATCH('2020'!$A63,LUJ_2!$A:$A,0),MATCH('2020'!$A$1,LUJ_2!$3:$3,0))</f>
        <v>0.33299999999999996</v>
      </c>
      <c r="U63" s="73">
        <f>INDEX(LUJ_3!$A:$J,MATCH('2020'!$A63,LUJ_3!$A:$A,0),MATCH('2020'!$A$1,LUJ_3!$3:$3,0))</f>
        <v>0.55463083148812709</v>
      </c>
      <c r="V63" s="14">
        <f>INDEX(LUJ_4!$A:$J,MATCH('2020'!$A63,LUJ_4!$A:$A,0),MATCH('2020'!$A$1,LUJ_4!$3:$3,0))</f>
        <v>56</v>
      </c>
      <c r="W63" s="34">
        <f>INDEX(LUJ_5!$A:$J,MATCH('2020'!$A63,LUJ_5!$A:$A,0),MATCH('2020'!$A$1,LUJ_5!$3:$3,0))</f>
        <v>9.4</v>
      </c>
      <c r="X63" s="98">
        <f>1/INDEX(GUL_1!$A:$J,MATCH('2020'!$A63,GUL_1!$A:$A,0),MATCH('2020'!$A$1,GUL_1!$3:$3,0))</f>
        <v>1.4064697609001408E-2</v>
      </c>
      <c r="Y63" s="57">
        <f>INDEX(GUL_2!$A:$J,MATCH('2020'!$A63,GUL_2!$A:$A,0),MATCH('2020'!$A$1,GUL_2!$3:$3,0))</f>
        <v>23.8</v>
      </c>
      <c r="Z63" s="57">
        <f>INDEX(GUL_3!$A:$J,MATCH('2020'!$A63,GUL_3!$A:$A,0),MATCH('2020'!$A$1,GUL_3!$3:$3,0))/(B63/1000)</f>
        <v>0.4450160745508851</v>
      </c>
      <c r="AA63" s="101">
        <f>INDEX(GUL_4!$A:$J,MATCH('2020'!$A63,GUL_4!$A:$A,0),MATCH('2020'!$A$1,GUL_4!$3:$3,0))/B63/C63*10^6</f>
        <v>0.45733362642849607</v>
      </c>
      <c r="AB63" s="73">
        <f>INDEX(GUL_5!$A:$J,MATCH('2020'!$A63,GUL_5!$A:$A,0),MATCH('2020'!$A$1,GUL_5!$3:$3,0))</f>
        <v>2.6918267331027441E-2</v>
      </c>
      <c r="AC63" s="49">
        <f>INDEX(GUL_6!$A:$J,MATCH('2020'!$A63,GUL_6!$A:$A,0),MATCH('2020'!$A$1,GUL_6!$3:$3,0))</f>
        <v>1.83E-2</v>
      </c>
      <c r="AD63" s="49">
        <f>INDEX(GUL_7!$A:$J,MATCH('2020'!$A63,GUL_7!$A:$A,0),MATCH('2020'!$A$1,GUL_7!$3:$3,0))</f>
        <v>0.27081479999999997</v>
      </c>
      <c r="AE63" s="103">
        <f>INDEX(GUL_8!$A:$J,MATCH('2020'!$A63,GUL_8!$A:$A,0),MATCH('2020'!$A$1,GUL_8!$3:$3,0))/(B63/1000)</f>
        <v>3.9053470157955248</v>
      </c>
      <c r="AF63" s="41">
        <f>INDEX(DES_1!$A:$J,MATCH('2020'!$A63,DES_1!$A:$A,0),MATCH('2020'!$A$1,DES_1!$3:$3,0))/(B63/1000)</f>
        <v>0.20366868400498175</v>
      </c>
      <c r="AG63" s="100">
        <f>INDEX(DES_2!$A:$J,MATCH('2020'!$A63,DES_2!$A:$A,0),MATCH('2020'!$A$1,DES_2!$3:$3,0))/(B63/1000)</f>
        <v>0.39206221670958985</v>
      </c>
      <c r="AH63" s="57">
        <f>1/INDEX(DES_3!$A:$J,MATCH('2020'!$A63,DES_3!$A:$A,0),MATCH('2020'!$A$1,DES_3!$3:$3,0))</f>
        <v>9.1324200913242004E-3</v>
      </c>
      <c r="AI63" s="80">
        <f>INDEX(DES_4!$A:$J,MATCH('2020'!$A63,DES_4!$A:$A,0),MATCH('2020'!$A$1,DES_4!$3:$3,0))</f>
        <v>0.71666952359000002</v>
      </c>
      <c r="AJ63" s="110">
        <f>INDEX(DES_5!$A:$J,MATCH('2020'!$A63,DES_5!$A:$A,0),MATCH('2020'!$A$1,DES_5!$3:$3,0))</f>
        <v>0.441076093083</v>
      </c>
      <c r="AK63" s="57">
        <v>67</v>
      </c>
    </row>
    <row r="64" spans="1:37" x14ac:dyDescent="0.3">
      <c r="A64" s="29" t="s">
        <v>63</v>
      </c>
      <c r="B64" s="33">
        <f>INDEX(Population!$A:$J,MATCH('2020'!$A64,Population!$A:$A,0),MATCH('2020'!$A$1,Population!$3:$3,0))</f>
        <v>3152863</v>
      </c>
      <c r="C64" s="14">
        <f>INDEX(Income!$A:$J,MATCH('2020'!$A64,Income!$A:$A,0),MATCH('2020'!$A$1,Income!$3:$3,0))</f>
        <v>27666</v>
      </c>
      <c r="D64" s="34">
        <f>INDEX(Livable_wage!$A:$J,MATCH('2020'!$A64,Livable_wage!$A:$A,0),MATCH('2020'!$A$1,Livable_wage!$3:$3,0))</f>
        <v>10775</v>
      </c>
      <c r="E64" s="41">
        <f>INDEX(AVA_1!$A:$J,MATCH('2020'!$A64,AVA_1!$A:$A,0),MATCH('2020'!$A$1,AVA_1!$3:$3,0))</f>
        <v>0.38300000000000001</v>
      </c>
      <c r="F64" s="15">
        <f>INDEX(AVA_2!$A:$J,MATCH('2020'!$A64,AVA_2!$A:$A,0),MATCH('2020'!$A$1,AVA_2!$3:$3,0))</f>
        <v>5.1044325613459783E-3</v>
      </c>
      <c r="G64" s="15">
        <f>INDEX(AVA_3!$A:$J,MATCH('2020'!$A64,AVA_3!$A:$A,0),MATCH('2020'!$A$1,AVA_3!$3:$3,0))</f>
        <v>2.9016069262920996E-2</v>
      </c>
      <c r="H64" s="87">
        <f>INDEX(AVA_4!$A:$J,MATCH('2020'!$A64,AVA_4!$A:$A,0),MATCH('2020'!$A$1,AVA_4!$3:$3,0))/(B64/1000)</f>
        <v>0.63783297910502301</v>
      </c>
      <c r="I64" s="89">
        <f>INDEX(AVA_5!$A:$J,MATCH('2020'!$A64,AVA_5!$A:$A,0),MATCH('2020'!$A$1,AVA_5!$3:$3,0))/(B64/1000)</f>
        <v>0.43516004342719622</v>
      </c>
      <c r="J64" s="93">
        <f>INDEX(IRA_1!$A:$J,MATCH('2020'!$A64,IRA_1!$A:$A,0),MATCH('2020'!$A$1,IRA_1!$3:$3,0))/(B64/1000)</f>
        <v>1.8078806468914129E-2</v>
      </c>
      <c r="K64" s="88">
        <f>INDEX(IRA_2!$A:$J,MATCH('2020'!$A64,IRA_2!$A:$A,0),MATCH('2020'!$A$1,IRA_2!$3:$3,0))/(B64/1000)</f>
        <v>2.7593967768342616E-2</v>
      </c>
      <c r="L64" s="15">
        <f>INDEX(IRA_3!$A:$J,MATCH('2020'!$A64,IRA_3!$A:$A,0),MATCH('2020'!$A$1,IRA_3!$3:$3,0))</f>
        <v>0.58429160338468211</v>
      </c>
      <c r="M64" s="96">
        <f>INDEX(IRA_4!$A:$J,MATCH('2020'!$A64,IRA_4!$A:$A,0),MATCH('2020'!$A$1,IRA_4!$3:$3,0))/(B64/1000)</f>
        <v>1.2337992484925606</v>
      </c>
      <c r="N64" s="61">
        <f>INDEX(INV_1!$A:$J,MATCH('2020'!$A64,INV_1!$A:$A,0),MATCH('2020'!$A$1,INV_1!$3:$3,0))</f>
        <v>6.8343014483690609E-2</v>
      </c>
      <c r="O64" s="80">
        <f>INDEX(INV_2!$A:$J,MATCH('2020'!$A64,INV_2!$A:$A,0),MATCH('2020'!$A$1,INV_2!$3:$3,0))/B64*10^6/C64</f>
        <v>0.31027797840193527</v>
      </c>
      <c r="P64" s="87">
        <f>INDEX(INV_3!$A:$J,MATCH('2020'!$A64,INV_3!$A:$A,0),MATCH('2020'!$A$1,INV_3!$3:$3,0))/B64*10^6/C64</f>
        <v>0.94107212895031955</v>
      </c>
      <c r="Q64" s="87">
        <f>INDEX(INV_4!$A:$J,MATCH('2020'!$A64,INV_4!$A:$A,0),MATCH('2020'!$A$1,INV_4!$3:$3,0))/B64*10^3/C64</f>
        <v>0.20235243542602938</v>
      </c>
      <c r="R64" s="34">
        <f>INDEX(INV_5!$A:$J,MATCH('2020'!$A64,INV_5!$A:$A,0),MATCH('2020'!$A$1,INV_5!$3:$3,0))</f>
        <v>0.18379999999999999</v>
      </c>
      <c r="S64" s="77">
        <f>INDEX(LUJ_1!$A:$J,MATCH('2020'!$A64,LUJ_1!$A:$A,0),MATCH('2020'!$A$1,LUJ_1!$3:$3,0))</f>
        <v>0.38395249474980087</v>
      </c>
      <c r="T64" s="73">
        <f>INDEX(LUJ_2!$A:$J,MATCH('2020'!$A64,LUJ_2!$A:$A,0),MATCH('2020'!$A$1,LUJ_2!$3:$3,0))</f>
        <v>0.22600000000000001</v>
      </c>
      <c r="U64" s="73">
        <f>INDEX(LUJ_3!$A:$J,MATCH('2020'!$A64,LUJ_3!$A:$A,0),MATCH('2020'!$A$1,LUJ_3!$3:$3,0))</f>
        <v>0.11062466485827398</v>
      </c>
      <c r="V64" s="14">
        <f>INDEX(LUJ_4!$A:$J,MATCH('2020'!$A64,LUJ_4!$A:$A,0),MATCH('2020'!$A$1,LUJ_4!$3:$3,0))</f>
        <v>56</v>
      </c>
      <c r="W64" s="34">
        <f>INDEX(LUJ_5!$A:$J,MATCH('2020'!$A64,LUJ_5!$A:$A,0),MATCH('2020'!$A$1,LUJ_5!$3:$3,0))</f>
        <v>7.1</v>
      </c>
      <c r="X64" s="98">
        <f>1/INDEX(GUL_1!$A:$J,MATCH('2020'!$A64,GUL_1!$A:$A,0),MATCH('2020'!$A$1,GUL_1!$3:$3,0))</f>
        <v>1.3083867591259976E-2</v>
      </c>
      <c r="Y64" s="57">
        <f>INDEX(GUL_2!$A:$J,MATCH('2020'!$A64,GUL_2!$A:$A,0),MATCH('2020'!$A$1,GUL_2!$3:$3,0))</f>
        <v>24</v>
      </c>
      <c r="Z64" s="57">
        <f>INDEX(GUL_3!$A:$J,MATCH('2020'!$A64,GUL_3!$A:$A,0),MATCH('2020'!$A$1,GUL_3!$3:$3,0))/(B64/1000)</f>
        <v>0.1785678603859413</v>
      </c>
      <c r="AA64" s="101">
        <f>INDEX(GUL_4!$A:$J,MATCH('2020'!$A64,GUL_4!$A:$A,0),MATCH('2020'!$A$1,GUL_4!$3:$3,0))/B64/C64*10^6</f>
        <v>0.62860493038611798</v>
      </c>
      <c r="AB64" s="73">
        <f>INDEX(GUL_5!$A:$J,MATCH('2020'!$A64,GUL_5!$A:$A,0),MATCH('2020'!$A$1,GUL_5!$3:$3,0))</f>
        <v>1.2364753281522832E-2</v>
      </c>
      <c r="AC64" s="49">
        <f>INDEX(GUL_6!$A:$J,MATCH('2020'!$A64,GUL_6!$A:$A,0),MATCH('2020'!$A$1,GUL_6!$3:$3,0))</f>
        <v>9.1999999999999998E-3</v>
      </c>
      <c r="AD64" s="49">
        <f>INDEX(GUL_7!$A:$J,MATCH('2020'!$A64,GUL_7!$A:$A,0),MATCH('2020'!$A$1,GUL_7!$3:$3,0))</f>
        <v>7.1729870000000001E-2</v>
      </c>
      <c r="AE64" s="103">
        <f>INDEX(GUL_8!$A:$J,MATCH('2020'!$A64,GUL_8!$A:$A,0),MATCH('2020'!$A$1,GUL_8!$3:$3,0))/(B64/1000)</f>
        <v>0.22899821527291228</v>
      </c>
      <c r="AF64" s="41">
        <f>INDEX(DES_1!$A:$J,MATCH('2020'!$A64,DES_1!$A:$A,0),MATCH('2020'!$A$1,DES_1!$3:$3,0))/(B64/1000)</f>
        <v>1.395556990582845E-2</v>
      </c>
      <c r="AG64" s="100">
        <f>INDEX(DES_2!$A:$J,MATCH('2020'!$A64,DES_2!$A:$A,0),MATCH('2020'!$A$1,DES_2!$3:$3,0))/(B64/1000)</f>
        <v>0.65844916192045133</v>
      </c>
      <c r="AH64" s="57">
        <f>1/INDEX(DES_3!$A:$J,MATCH('2020'!$A64,DES_3!$A:$A,0),MATCH('2020'!$A$1,DES_3!$3:$3,0))</f>
        <v>8.2850041425020712E-3</v>
      </c>
      <c r="AI64" s="80">
        <f>INDEX(DES_4!$A:$J,MATCH('2020'!$A64,DES_4!$A:$A,0),MATCH('2020'!$A$1,DES_4!$3:$3,0))</f>
        <v>0.93884799693400001</v>
      </c>
      <c r="AJ64" s="110">
        <f>INDEX(DES_5!$A:$J,MATCH('2020'!$A64,DES_5!$A:$A,0),MATCH('2020'!$A$1,DES_5!$3:$3,0))</f>
        <v>0.38273255749000001</v>
      </c>
      <c r="AK64" s="57">
        <v>14</v>
      </c>
    </row>
    <row r="65" spans="1:37" x14ac:dyDescent="0.3">
      <c r="A65" s="29" t="s">
        <v>64</v>
      </c>
      <c r="B65" s="33">
        <f>INDEX(Population!$A:$J,MATCH('2020'!$A65,Population!$A:$A,0),MATCH('2020'!$A$1,Population!$3:$3,0))</f>
        <v>1890857</v>
      </c>
      <c r="C65" s="14">
        <f>INDEX(Income!$A:$J,MATCH('2020'!$A65,Income!$A:$A,0),MATCH('2020'!$A$1,Income!$3:$3,0))</f>
        <v>27377</v>
      </c>
      <c r="D65" s="34">
        <f>INDEX(Livable_wage!$A:$J,MATCH('2020'!$A65,Livable_wage!$A:$A,0),MATCH('2020'!$A$1,Livable_wage!$3:$3,0))</f>
        <v>10956</v>
      </c>
      <c r="E65" s="41">
        <f>INDEX(AVA_1!$A:$J,MATCH('2020'!$A65,AVA_1!$A:$A,0),MATCH('2020'!$A$1,AVA_1!$3:$3,0))</f>
        <v>0.37</v>
      </c>
      <c r="F65" s="15">
        <f>INDEX(AVA_2!$A:$J,MATCH('2020'!$A65,AVA_2!$A:$A,0),MATCH('2020'!$A$1,AVA_2!$3:$3,0))</f>
        <v>1.0297294341707414E-2</v>
      </c>
      <c r="G65" s="15">
        <f>INDEX(AVA_3!$A:$J,MATCH('2020'!$A65,AVA_3!$A:$A,0),MATCH('2020'!$A$1,AVA_3!$3:$3,0))</f>
        <v>7.4200546027053463E-3</v>
      </c>
      <c r="H65" s="87">
        <f>INDEX(AVA_4!$A:$J,MATCH('2020'!$A65,AVA_4!$A:$A,0),MATCH('2020'!$A$1,AVA_4!$3:$3,0))/(B65/1000)</f>
        <v>0.77901184489361175</v>
      </c>
      <c r="I65" s="89">
        <f>INDEX(AVA_5!$A:$J,MATCH('2020'!$A65,AVA_5!$A:$A,0),MATCH('2020'!$A$1,AVA_5!$3:$3,0))/(B65/1000)</f>
        <v>4.6465703117686852</v>
      </c>
      <c r="J65" s="93">
        <f>INDEX(IRA_1!$A:$J,MATCH('2020'!$A65,IRA_1!$A:$A,0),MATCH('2020'!$A$1,IRA_1!$3:$3,0))/(B65/1000)</f>
        <v>4.1251136389478422E-2</v>
      </c>
      <c r="K65" s="88">
        <f>INDEX(IRA_2!$A:$J,MATCH('2020'!$A65,IRA_2!$A:$A,0),MATCH('2020'!$A$1,IRA_2!$3:$3,0))/(B65/1000)</f>
        <v>0.16711998844968182</v>
      </c>
      <c r="L65" s="15">
        <f>INDEX(IRA_3!$A:$J,MATCH('2020'!$A65,IRA_3!$A:$A,0),MATCH('2020'!$A$1,IRA_3!$3:$3,0))</f>
        <v>0.3226173791170287</v>
      </c>
      <c r="M65" s="96">
        <f>INDEX(IRA_4!$A:$J,MATCH('2020'!$A65,IRA_4!$A:$A,0),MATCH('2020'!$A$1,IRA_4!$3:$3,0))/(B65/1000)</f>
        <v>2.8886372687093735</v>
      </c>
      <c r="N65" s="61">
        <f>INDEX(INV_1!$A:$J,MATCH('2020'!$A65,INV_1!$A:$A,0),MATCH('2020'!$A$1,INV_1!$3:$3,0))</f>
        <v>6.5134956439832303E-2</v>
      </c>
      <c r="O65" s="80">
        <f>INDEX(INV_2!$A:$J,MATCH('2020'!$A65,INV_2!$A:$A,0),MATCH('2020'!$A$1,INV_2!$3:$3,0))/B65*10^6/C65</f>
        <v>0.37690405781184566</v>
      </c>
      <c r="P65" s="87">
        <f>INDEX(INV_3!$A:$J,MATCH('2020'!$A65,INV_3!$A:$A,0),MATCH('2020'!$A$1,INV_3!$3:$3,0))/B65*10^6/C65</f>
        <v>4.4279456598825115</v>
      </c>
      <c r="Q65" s="87">
        <f>INDEX(INV_4!$A:$J,MATCH('2020'!$A65,INV_4!$A:$A,0),MATCH('2020'!$A$1,INV_4!$3:$3,0))/B65*10^3/C65</f>
        <v>0.24246071394557644</v>
      </c>
      <c r="R65" s="34">
        <f>INDEX(INV_5!$A:$J,MATCH('2020'!$A65,INV_5!$A:$A,0),MATCH('2020'!$A$1,INV_5!$3:$3,0))</f>
        <v>7.3400000000000007E-2</v>
      </c>
      <c r="S65" s="77">
        <f>INDEX(LUJ_1!$A:$J,MATCH('2020'!$A65,LUJ_1!$A:$A,0),MATCH('2020'!$A$1,LUJ_1!$3:$3,0))</f>
        <v>0.73161340007701192</v>
      </c>
      <c r="T65" s="73">
        <f>INDEX(LUJ_2!$A:$J,MATCH('2020'!$A65,LUJ_2!$A:$A,0),MATCH('2020'!$A$1,LUJ_2!$3:$3,0))</f>
        <v>0.223</v>
      </c>
      <c r="U65" s="73">
        <f>INDEX(LUJ_3!$A:$J,MATCH('2020'!$A65,LUJ_3!$A:$A,0),MATCH('2020'!$A$1,LUJ_3!$3:$3,0))</f>
        <v>0.35163851918129962</v>
      </c>
      <c r="V65" s="14">
        <f>INDEX(LUJ_4!$A:$J,MATCH('2020'!$A65,LUJ_4!$A:$A,0),MATCH('2020'!$A$1,LUJ_4!$3:$3,0))</f>
        <v>24</v>
      </c>
      <c r="W65" s="34">
        <f>INDEX(LUJ_5!$A:$J,MATCH('2020'!$A65,LUJ_5!$A:$A,0),MATCH('2020'!$A$1,LUJ_5!$3:$3,0))</f>
        <v>50.7</v>
      </c>
      <c r="X65" s="98">
        <f>1/INDEX(GUL_1!$A:$J,MATCH('2020'!$A65,GUL_1!$A:$A,0),MATCH('2020'!$A$1,GUL_1!$3:$3,0))</f>
        <v>1.4220705346985212E-2</v>
      </c>
      <c r="Y65" s="57">
        <f>INDEX(GUL_2!$A:$J,MATCH('2020'!$A65,GUL_2!$A:$A,0),MATCH('2020'!$A$1,GUL_2!$3:$3,0))</f>
        <v>26.3</v>
      </c>
      <c r="Z65" s="57">
        <f>INDEX(GUL_3!$A:$J,MATCH('2020'!$A65,GUL_3!$A:$A,0),MATCH('2020'!$A$1,GUL_3!$3:$3,0))/(B65/1000)</f>
        <v>0.61400729933569809</v>
      </c>
      <c r="AA65" s="101">
        <f>INDEX(GUL_4!$A:$J,MATCH('2020'!$A65,GUL_4!$A:$A,0),MATCH('2020'!$A$1,GUL_4!$3:$3,0))/B65/C65*10^6</f>
        <v>0.284406603754214</v>
      </c>
      <c r="AB65" s="73">
        <f>INDEX(GUL_5!$A:$J,MATCH('2020'!$A65,GUL_5!$A:$A,0),MATCH('2020'!$A$1,GUL_5!$3:$3,0))</f>
        <v>3.371751254975882E-2</v>
      </c>
      <c r="AC65" s="49">
        <f>INDEX(GUL_6!$A:$J,MATCH('2020'!$A65,GUL_6!$A:$A,0),MATCH('2020'!$A$1,GUL_6!$3:$3,0))</f>
        <v>3.1E-2</v>
      </c>
      <c r="AD65" s="49">
        <f>INDEX(GUL_7!$A:$J,MATCH('2020'!$A65,GUL_7!$A:$A,0),MATCH('2020'!$A$1,GUL_7!$3:$3,0))</f>
        <v>0.2038044</v>
      </c>
      <c r="AE65" s="103">
        <f>INDEX(GUL_8!$A:$J,MATCH('2020'!$A65,GUL_8!$A:$A,0),MATCH('2020'!$A$1,GUL_8!$3:$3,0))/(B65/1000)</f>
        <v>2.2164552898500522</v>
      </c>
      <c r="AF65" s="41">
        <f>INDEX(DES_1!$A:$J,MATCH('2020'!$A65,DES_1!$A:$A,0),MATCH('2020'!$A$1,DES_1!$3:$3,0))/(B65/1000)</f>
        <v>0.16447568483497166</v>
      </c>
      <c r="AG65" s="100">
        <f>INDEX(DES_2!$A:$J,MATCH('2020'!$A65,DES_2!$A:$A,0),MATCH('2020'!$A$1,DES_2!$3:$3,0))/(B65/1000)</f>
        <v>0.60660324921450959</v>
      </c>
      <c r="AH65" s="57">
        <f>1/INDEX(DES_3!$A:$J,MATCH('2020'!$A65,DES_3!$A:$A,0),MATCH('2020'!$A$1,DES_3!$3:$3,0))</f>
        <v>8.9525514771709933E-3</v>
      </c>
      <c r="AI65" s="80">
        <f>INDEX(DES_4!$A:$J,MATCH('2020'!$A65,DES_4!$A:$A,0),MATCH('2020'!$A$1,DES_4!$3:$3,0))</f>
        <v>0.85622069377299992</v>
      </c>
      <c r="AJ65" s="110">
        <f>INDEX(DES_5!$A:$J,MATCH('2020'!$A65,DES_5!$A:$A,0),MATCH('2020'!$A$1,DES_5!$3:$3,0))</f>
        <v>0.58918437288799996</v>
      </c>
      <c r="AK65" s="57">
        <v>21</v>
      </c>
    </row>
    <row r="66" spans="1:37" x14ac:dyDescent="0.3">
      <c r="A66" s="29" t="s">
        <v>65</v>
      </c>
      <c r="B66" s="33">
        <f>INDEX(Population!$A:$J,MATCH('2020'!$A66,Population!$A:$A,0),MATCH('2020'!$A$1,Population!$3:$3,0))</f>
        <v>756916</v>
      </c>
      <c r="C66" s="14">
        <f>INDEX(Income!$A:$J,MATCH('2020'!$A66,Income!$A:$A,0),MATCH('2020'!$A$1,Income!$3:$3,0))</f>
        <v>36687</v>
      </c>
      <c r="D66" s="34">
        <f>INDEX(Livable_wage!$A:$J,MATCH('2020'!$A66,Livable_wage!$A:$A,0),MATCH('2020'!$A$1,Livable_wage!$3:$3,0))</f>
        <v>15715</v>
      </c>
      <c r="E66" s="41">
        <f>INDEX(AVA_1!$A:$J,MATCH('2020'!$A66,AVA_1!$A:$A,0),MATCH('2020'!$A$1,AVA_1!$3:$3,0))</f>
        <v>0.374</v>
      </c>
      <c r="F66" s="15">
        <f>INDEX(AVA_2!$A:$J,MATCH('2020'!$A66,AVA_2!$A:$A,0),MATCH('2020'!$A$1,AVA_2!$3:$3,0))</f>
        <v>1.104041768362519E-2</v>
      </c>
      <c r="G66" s="15">
        <f>INDEX(AVA_3!$A:$J,MATCH('2020'!$A66,AVA_3!$A:$A,0),MATCH('2020'!$A$1,AVA_3!$3:$3,0))</f>
        <v>4.4457951007177915E-3</v>
      </c>
      <c r="H66" s="87">
        <f>INDEX(AVA_4!$A:$J,MATCH('2020'!$A66,AVA_4!$A:$A,0),MATCH('2020'!$A$1,AVA_4!$3:$3,0))/(B66/1000)</f>
        <v>0.82836140337897457</v>
      </c>
      <c r="I66" s="89">
        <f>INDEX(AVA_5!$A:$J,MATCH('2020'!$A66,AVA_5!$A:$A,0),MATCH('2020'!$A$1,AVA_5!$3:$3,0))/(B66/1000)</f>
        <v>6.8950847914431712</v>
      </c>
      <c r="J66" s="93">
        <f>INDEX(IRA_1!$A:$J,MATCH('2020'!$A66,IRA_1!$A:$A,0),MATCH('2020'!$A$1,IRA_1!$3:$3,0))/(B66/1000)</f>
        <v>7.5305582125361328E-2</v>
      </c>
      <c r="K66" s="88">
        <f>INDEX(IRA_2!$A:$J,MATCH('2020'!$A66,IRA_2!$A:$A,0),MATCH('2020'!$A$1,IRA_2!$3:$3,0))/(B66/1000)</f>
        <v>0.31443383413747361</v>
      </c>
      <c r="L66" s="15">
        <f>INDEX(IRA_3!$A:$J,MATCH('2020'!$A66,IRA_3!$A:$A,0),MATCH('2020'!$A$1,IRA_3!$3:$3,0))</f>
        <v>0.33110119047619047</v>
      </c>
      <c r="M66" s="96">
        <f>INDEX(IRA_4!$A:$J,MATCH('2020'!$A66,IRA_4!$A:$A,0),MATCH('2020'!$A$1,IRA_4!$3:$3,0))/(B66/1000)</f>
        <v>6.3771937705108623</v>
      </c>
      <c r="N66" s="61">
        <f>INDEX(INV_1!$A:$J,MATCH('2020'!$A66,INV_1!$A:$A,0),MATCH('2020'!$A$1,INV_1!$3:$3,0))</f>
        <v>6.8211047498398361E-2</v>
      </c>
      <c r="O66" s="80">
        <f>INDEX(INV_2!$A:$J,MATCH('2020'!$A66,INV_2!$A:$A,0),MATCH('2020'!$A$1,INV_2!$3:$3,0))/B66*10^6/C66</f>
        <v>0.3464280770171333</v>
      </c>
      <c r="P66" s="87">
        <f>INDEX(INV_3!$A:$J,MATCH('2020'!$A66,INV_3!$A:$A,0),MATCH('2020'!$A$1,INV_3!$3:$3,0))/B66*10^6/C66</f>
        <v>5.1700499622418725</v>
      </c>
      <c r="Q66" s="87">
        <f>INDEX(INV_4!$A:$J,MATCH('2020'!$A66,INV_4!$A:$A,0),MATCH('2020'!$A$1,INV_4!$3:$3,0))/B66*10^3/C66</f>
        <v>0.27393708489910779</v>
      </c>
      <c r="R66" s="34">
        <f>INDEX(INV_5!$A:$J,MATCH('2020'!$A66,INV_5!$A:$A,0),MATCH('2020'!$A$1,INV_5!$3:$3,0))</f>
        <v>3.9699999999999999E-2</v>
      </c>
      <c r="S66" s="77">
        <f>INDEX(LUJ_1!$A:$J,MATCH('2020'!$A66,LUJ_1!$A:$A,0),MATCH('2020'!$A$1,LUJ_1!$3:$3,0))</f>
        <v>0.89757767245918907</v>
      </c>
      <c r="T66" s="73">
        <f>INDEX(LUJ_2!$A:$J,MATCH('2020'!$A66,LUJ_2!$A:$A,0),MATCH('2020'!$A$1,LUJ_2!$3:$3,0))</f>
        <v>0.29600000000000004</v>
      </c>
      <c r="U66" s="73">
        <f>INDEX(LUJ_3!$A:$J,MATCH('2020'!$A66,LUJ_3!$A:$A,0),MATCH('2020'!$A$1,LUJ_3!$3:$3,0))</f>
        <v>0.59325161460392772</v>
      </c>
      <c r="V66" s="14">
        <f>INDEX(LUJ_4!$A:$J,MATCH('2020'!$A66,LUJ_4!$A:$A,0),MATCH('2020'!$A$1,LUJ_4!$3:$3,0))</f>
        <v>21</v>
      </c>
      <c r="W66" s="34">
        <f>INDEX(LUJ_5!$A:$J,MATCH('2020'!$A66,LUJ_5!$A:$A,0),MATCH('2020'!$A$1,LUJ_5!$3:$3,0))</f>
        <v>39.200000000000003</v>
      </c>
      <c r="X66" s="98">
        <f>1/INDEX(GUL_1!$A:$J,MATCH('2020'!$A66,GUL_1!$A:$A,0),MATCH('2020'!$A$1,GUL_1!$3:$3,0))</f>
        <v>1.422475106685633E-2</v>
      </c>
      <c r="Y66" s="57">
        <f>INDEX(GUL_2!$A:$J,MATCH('2020'!$A66,GUL_2!$A:$A,0),MATCH('2020'!$A$1,GUL_2!$3:$3,0))</f>
        <v>25.4</v>
      </c>
      <c r="Z66" s="57">
        <f>INDEX(GUL_3!$A:$J,MATCH('2020'!$A66,GUL_3!$A:$A,0),MATCH('2020'!$A$1,GUL_3!$3:$3,0))/(B66/1000)</f>
        <v>1.1044818711719662</v>
      </c>
      <c r="AA66" s="101">
        <f>INDEX(GUL_4!$A:$J,MATCH('2020'!$A66,GUL_4!$A:$A,0),MATCH('2020'!$A$1,GUL_4!$3:$3,0))/B66/C66*10^6</f>
        <v>0.34046950669385129</v>
      </c>
      <c r="AB66" s="73">
        <f>INDEX(GUL_5!$A:$J,MATCH('2020'!$A66,GUL_5!$A:$A,0),MATCH('2020'!$A$1,GUL_5!$3:$3,0))</f>
        <v>3.6843525429530448E-2</v>
      </c>
      <c r="AC66" s="49">
        <f>INDEX(GUL_6!$A:$J,MATCH('2020'!$A66,GUL_6!$A:$A,0),MATCH('2020'!$A$1,GUL_6!$3:$3,0))</f>
        <v>7.8899999999999998E-2</v>
      </c>
      <c r="AD66" s="49">
        <f>INDEX(GUL_7!$A:$J,MATCH('2020'!$A66,GUL_7!$A:$A,0),MATCH('2020'!$A$1,GUL_7!$3:$3,0))</f>
        <v>0.2890336</v>
      </c>
      <c r="AE66" s="103">
        <f>INDEX(GUL_8!$A:$J,MATCH('2020'!$A66,GUL_8!$A:$A,0),MATCH('2020'!$A$1,GUL_8!$3:$3,0))/(B66/1000)</f>
        <v>4.8327687616591533</v>
      </c>
      <c r="AF66" s="41">
        <f>INDEX(DES_1!$A:$J,MATCH('2020'!$A66,DES_1!$A:$A,0),MATCH('2020'!$A$1,DES_1!$3:$3,0))/(B66/1000)</f>
        <v>0.25233975764814059</v>
      </c>
      <c r="AG66" s="100">
        <f>INDEX(DES_2!$A:$J,MATCH('2020'!$A66,DES_2!$A:$A,0),MATCH('2020'!$A$1,DES_2!$3:$3,0))/(B66/1000)</f>
        <v>0.42541048148011135</v>
      </c>
      <c r="AH66" s="57">
        <f>1/INDEX(DES_3!$A:$J,MATCH('2020'!$A66,DES_3!$A:$A,0),MATCH('2020'!$A$1,DES_3!$3:$3,0))</f>
        <v>9.7751710654936461E-3</v>
      </c>
      <c r="AI66" s="80">
        <f>INDEX(DES_4!$A:$J,MATCH('2020'!$A66,DES_4!$A:$A,0),MATCH('2020'!$A$1,DES_4!$3:$3,0))</f>
        <v>0.82324737432000006</v>
      </c>
      <c r="AJ66" s="110">
        <f>INDEX(DES_5!$A:$J,MATCH('2020'!$A66,DES_5!$A:$A,0),MATCH('2020'!$A$1,DES_5!$3:$3,0))</f>
        <v>0.61886601550599996</v>
      </c>
      <c r="AK66" s="57">
        <v>25</v>
      </c>
    </row>
    <row r="67" spans="1:37" x14ac:dyDescent="0.3">
      <c r="A67" s="29" t="s">
        <v>66</v>
      </c>
      <c r="B67" s="33">
        <f>INDEX(Population!$A:$J,MATCH('2020'!$A67,Population!$A:$A,0),MATCH('2020'!$A$1,Population!$3:$3,0))</f>
        <v>1487170</v>
      </c>
      <c r="C67" s="14">
        <f>INDEX(Income!$A:$J,MATCH('2020'!$A67,Income!$A:$A,0),MATCH('2020'!$A$1,Income!$3:$3,0))</f>
        <v>24625</v>
      </c>
      <c r="D67" s="34">
        <f>INDEX(Livable_wage!$A:$J,MATCH('2020'!$A67,Livable_wage!$A:$A,0),MATCH('2020'!$A$1,Livable_wage!$3:$3,0))</f>
        <v>11572</v>
      </c>
      <c r="E67" s="41">
        <f>INDEX(AVA_1!$A:$J,MATCH('2020'!$A67,AVA_1!$A:$A,0),MATCH('2020'!$A$1,AVA_1!$3:$3,0))</f>
        <v>0.36799999999999999</v>
      </c>
      <c r="F67" s="15">
        <f>INDEX(AVA_2!$A:$J,MATCH('2020'!$A67,AVA_2!$A:$A,0),MATCH('2020'!$A$1,AVA_2!$3:$3,0))</f>
        <v>7.5028160222698932E-3</v>
      </c>
      <c r="G67" s="15">
        <f>INDEX(AVA_3!$A:$J,MATCH('2020'!$A67,AVA_3!$A:$A,0),MATCH('2020'!$A$1,AVA_3!$3:$3,0))</f>
        <v>9.4314116540914608E-2</v>
      </c>
      <c r="H67" s="87">
        <f>INDEX(AVA_4!$A:$J,MATCH('2020'!$A67,AVA_4!$A:$A,0),MATCH('2020'!$A$1,AVA_4!$3:$3,0))/(B67/1000)</f>
        <v>0.38193347095490088</v>
      </c>
      <c r="I67" s="89">
        <f>INDEX(AVA_5!$A:$J,MATCH('2020'!$A67,AVA_5!$A:$A,0),MATCH('2020'!$A$1,AVA_5!$3:$3,0))/(B67/1000)</f>
        <v>0.48145134718962862</v>
      </c>
      <c r="J67" s="93">
        <f>INDEX(IRA_1!$A:$J,MATCH('2020'!$A67,IRA_1!$A:$A,0),MATCH('2020'!$A$1,IRA_1!$3:$3,0))/(B67/1000)</f>
        <v>1.2103525488007423E-2</v>
      </c>
      <c r="K67" s="88">
        <f>INDEX(IRA_2!$A:$J,MATCH('2020'!$A67,IRA_2!$A:$A,0),MATCH('2020'!$A$1,IRA_2!$3:$3,0))/(B67/1000)</f>
        <v>2.0172542480012372E-3</v>
      </c>
      <c r="L67" s="15">
        <f>INDEX(IRA_3!$A:$J,MATCH('2020'!$A67,IRA_3!$A:$A,0),MATCH('2020'!$A$1,IRA_3!$3:$3,0))</f>
        <v>0.6859601095033242</v>
      </c>
      <c r="M67" s="96">
        <f>INDEX(IRA_4!$A:$J,MATCH('2020'!$A67,IRA_4!$A:$A,0),MATCH('2020'!$A$1,IRA_4!$3:$3,0))/(B67/1000)</f>
        <v>0.42900273674159645</v>
      </c>
      <c r="N67" s="61">
        <f>INDEX(INV_1!$A:$J,MATCH('2020'!$A67,INV_1!$A:$A,0),MATCH('2020'!$A$1,INV_1!$3:$3,0))</f>
        <v>9.2265819475846542E-2</v>
      </c>
      <c r="O67" s="80">
        <f>INDEX(INV_2!$A:$J,MATCH('2020'!$A67,INV_2!$A:$A,0),MATCH('2020'!$A$1,INV_2!$3:$3,0))/B67*10^6/C67</f>
        <v>0.40456440671272581</v>
      </c>
      <c r="P67" s="87">
        <f>INDEX(INV_3!$A:$J,MATCH('2020'!$A67,INV_3!$A:$A,0),MATCH('2020'!$A$1,INV_3!$3:$3,0))/B67*10^6/C67</f>
        <v>1.0507744259537815</v>
      </c>
      <c r="Q67" s="87">
        <f>INDEX(INV_4!$A:$J,MATCH('2020'!$A67,INV_4!$A:$A,0),MATCH('2020'!$A$1,INV_4!$3:$3,0))/B67*10^3/C67</f>
        <v>0.22504613153269101</v>
      </c>
      <c r="R67" s="34">
        <f>INDEX(INV_5!$A:$J,MATCH('2020'!$A67,INV_5!$A:$A,0),MATCH('2020'!$A$1,INV_5!$3:$3,0))</f>
        <v>0.1137</v>
      </c>
      <c r="S67" s="77">
        <f>INDEX(LUJ_1!$A:$J,MATCH('2020'!$A67,LUJ_1!$A:$A,0),MATCH('2020'!$A$1,LUJ_1!$3:$3,0))</f>
        <v>0.17923483823348504</v>
      </c>
      <c r="T67" s="73">
        <f>INDEX(LUJ_2!$A:$J,MATCH('2020'!$A67,LUJ_2!$A:$A,0),MATCH('2020'!$A$1,LUJ_2!$3:$3,0))</f>
        <v>0.19500000000000001</v>
      </c>
      <c r="U67" s="73">
        <f>INDEX(LUJ_3!$A:$J,MATCH('2020'!$A67,LUJ_3!$A:$A,0),MATCH('2020'!$A$1,LUJ_3!$3:$3,0))</f>
        <v>0.13663185057383029</v>
      </c>
      <c r="V67" s="14">
        <f>INDEX(LUJ_4!$A:$J,MATCH('2020'!$A67,LUJ_4!$A:$A,0),MATCH('2020'!$A$1,LUJ_4!$3:$3,0))</f>
        <v>0.1</v>
      </c>
      <c r="W67" s="34">
        <f>INDEX(LUJ_5!$A:$J,MATCH('2020'!$A67,LUJ_5!$A:$A,0),MATCH('2020'!$A$1,LUJ_5!$3:$3,0))</f>
        <v>4.5</v>
      </c>
      <c r="X67" s="98">
        <f>1/INDEX(GUL_1!$A:$J,MATCH('2020'!$A67,GUL_1!$A:$A,0),MATCH('2020'!$A$1,GUL_1!$3:$3,0))</f>
        <v>1.3867702121758425E-2</v>
      </c>
      <c r="Y67" s="57">
        <f>INDEX(GUL_2!$A:$J,MATCH('2020'!$A67,GUL_2!$A:$A,0),MATCH('2020'!$A$1,GUL_2!$3:$3,0))</f>
        <v>24.7</v>
      </c>
      <c r="Z67" s="57">
        <f>INDEX(GUL_3!$A:$J,MATCH('2020'!$A67,GUL_3!$A:$A,0),MATCH('2020'!$A$1,GUL_3!$3:$3,0))/(B67/1000)</f>
        <v>0.10019029431739478</v>
      </c>
      <c r="AA67" s="101">
        <f>INDEX(GUL_4!$A:$J,MATCH('2020'!$A67,GUL_4!$A:$A,0),MATCH('2020'!$A$1,GUL_4!$3:$3,0))/B67/C67*10^6</f>
        <v>0.34439274486147148</v>
      </c>
      <c r="AB67" s="73">
        <f>INDEX(GUL_5!$A:$J,MATCH('2020'!$A67,GUL_5!$A:$A,0),MATCH('2020'!$A$1,GUL_5!$3:$3,0))</f>
        <v>9.5218324316797892E-4</v>
      </c>
      <c r="AC67" s="49">
        <f>INDEX(GUL_6!$A:$J,MATCH('2020'!$A67,GUL_6!$A:$A,0),MATCH('2020'!$A$1,GUL_6!$3:$3,0))</f>
        <v>1E-3</v>
      </c>
      <c r="AD67" s="49">
        <f>INDEX(GUL_7!$A:$J,MATCH('2020'!$A67,GUL_7!$A:$A,0),MATCH('2020'!$A$1,GUL_7!$3:$3,0))</f>
        <v>1E-3</v>
      </c>
      <c r="AE67" s="103">
        <f>INDEX(GUL_8!$A:$J,MATCH('2020'!$A67,GUL_8!$A:$A,0),MATCH('2020'!$A$1,GUL_8!$3:$3,0))/(B67/1000)</f>
        <v>9.9517876234727701E-2</v>
      </c>
      <c r="AF67" s="41">
        <f>INDEX(DES_1!$A:$J,MATCH('2020'!$A67,DES_1!$A:$A,0),MATCH('2020'!$A$1,DES_1!$3:$3,0))/(B67/1000)</f>
        <v>1.3448361653341581E-3</v>
      </c>
      <c r="AG67" s="100">
        <f>INDEX(DES_2!$A:$J,MATCH('2020'!$A67,DES_2!$A:$A,0),MATCH('2020'!$A$1,DES_2!$3:$3,0))/(B67/1000)</f>
        <v>0.2911570297948452</v>
      </c>
      <c r="AH67" s="57">
        <f>1/INDEX(DES_3!$A:$J,MATCH('2020'!$A67,DES_3!$A:$A,0),MATCH('2020'!$A$1,DES_3!$3:$3,0))</f>
        <v>8.3822296730930428E-3</v>
      </c>
      <c r="AI67" s="80">
        <f>INDEX(DES_4!$A:$J,MATCH('2020'!$A67,DES_4!$A:$A,0),MATCH('2020'!$A$1,DES_4!$3:$3,0))</f>
        <v>0.8609184396409999</v>
      </c>
      <c r="AJ67" s="110">
        <f>INDEX(DES_5!$A:$J,MATCH('2020'!$A67,DES_5!$A:$A,0),MATCH('2020'!$A$1,DES_5!$3:$3,0))</f>
        <v>0.19152374085400001</v>
      </c>
      <c r="AK67" s="57">
        <v>32</v>
      </c>
    </row>
    <row r="68" spans="1:37" x14ac:dyDescent="0.3">
      <c r="A68" s="29" t="s">
        <v>67</v>
      </c>
      <c r="B68" s="33">
        <f>INDEX(Population!$A:$J,MATCH('2020'!$A68,Population!$A:$A,0),MATCH('2020'!$A$1,Population!$3:$3,0))</f>
        <v>898978</v>
      </c>
      <c r="C68" s="14">
        <f>INDEX(Income!$A:$J,MATCH('2020'!$A68,Income!$A:$A,0),MATCH('2020'!$A$1,Income!$3:$3,0))</f>
        <v>22016</v>
      </c>
      <c r="D68" s="34">
        <f>INDEX(Livable_wage!$A:$J,MATCH('2020'!$A68,Livable_wage!$A:$A,0),MATCH('2020'!$A$1,Livable_wage!$3:$3,0))</f>
        <v>11819</v>
      </c>
      <c r="E68" s="41">
        <f>INDEX(AVA_1!$A:$J,MATCH('2020'!$A68,AVA_1!$A:$A,0),MATCH('2020'!$A$1,AVA_1!$3:$3,0))</f>
        <v>0.34</v>
      </c>
      <c r="F68" s="15">
        <f>INDEX(AVA_2!$A:$J,MATCH('2020'!$A68,AVA_2!$A:$A,0),MATCH('2020'!$A$1,AVA_2!$3:$3,0))</f>
        <v>5.6367829791406972E-3</v>
      </c>
      <c r="G68" s="15">
        <f>INDEX(AVA_3!$A:$J,MATCH('2020'!$A68,AVA_3!$A:$A,0),MATCH('2020'!$A$1,AVA_3!$3:$3,0))</f>
        <v>1.7376785056766264E-2</v>
      </c>
      <c r="H68" s="87">
        <f>INDEX(AVA_4!$A:$J,MATCH('2020'!$A68,AVA_4!$A:$A,0),MATCH('2020'!$A$1,AVA_4!$3:$3,0))/(B68/1000)</f>
        <v>0.73082989795078412</v>
      </c>
      <c r="I68" s="89">
        <f>INDEX(AVA_5!$A:$J,MATCH('2020'!$A68,AVA_5!$A:$A,0),MATCH('2020'!$A$1,AVA_5!$3:$3,0))/(B68/1000)</f>
        <v>1.8965981369955662</v>
      </c>
      <c r="J68" s="93">
        <f>INDEX(IRA_1!$A:$J,MATCH('2020'!$A68,IRA_1!$A:$A,0),MATCH('2020'!$A$1,IRA_1!$3:$3,0))/(B68/1000)</f>
        <v>2.2247485477953854E-2</v>
      </c>
      <c r="K68" s="88">
        <f>INDEX(IRA_2!$A:$J,MATCH('2020'!$A68,IRA_2!$A:$A,0),MATCH('2020'!$A$1,IRA_2!$3:$3,0))/(B68/1000)</f>
        <v>4.1157848134214629E-2</v>
      </c>
      <c r="L68" s="15">
        <f>INDEX(IRA_3!$A:$J,MATCH('2020'!$A68,IRA_3!$A:$A,0),MATCH('2020'!$A$1,IRA_3!$3:$3,0))</f>
        <v>0.51117734724292108</v>
      </c>
      <c r="M68" s="96">
        <f>INDEX(IRA_4!$A:$J,MATCH('2020'!$A68,IRA_4!$A:$A,0),MATCH('2020'!$A$1,IRA_4!$3:$3,0))/(B68/1000)</f>
        <v>2.6463383976026109</v>
      </c>
      <c r="N68" s="61">
        <f>INDEX(INV_1!$A:$J,MATCH('2020'!$A68,INV_1!$A:$A,0),MATCH('2020'!$A$1,INV_1!$3:$3,0))</f>
        <v>9.2697414076546997E-2</v>
      </c>
      <c r="O68" s="80">
        <f>INDEX(INV_2!$A:$J,MATCH('2020'!$A68,INV_2!$A:$A,0),MATCH('2020'!$A$1,INV_2!$3:$3,0))/B68*10^6/C68</f>
        <v>0.44297684764615064</v>
      </c>
      <c r="P68" s="87">
        <f>INDEX(INV_3!$A:$J,MATCH('2020'!$A68,INV_3!$A:$A,0),MATCH('2020'!$A$1,INV_3!$3:$3,0))/B68*10^6/C68</f>
        <v>2.7115133440676589</v>
      </c>
      <c r="Q68" s="87">
        <f>INDEX(INV_4!$A:$J,MATCH('2020'!$A68,INV_4!$A:$A,0),MATCH('2020'!$A$1,INV_4!$3:$3,0))/B68*10^3/C68</f>
        <v>0.32253690719602418</v>
      </c>
      <c r="R68" s="34">
        <f>INDEX(INV_5!$A:$J,MATCH('2020'!$A68,INV_5!$A:$A,0),MATCH('2020'!$A$1,INV_5!$3:$3,0))</f>
        <v>0.12809999999999999</v>
      </c>
      <c r="S68" s="77">
        <f>INDEX(LUJ_1!$A:$J,MATCH('2020'!$A68,LUJ_1!$A:$A,0),MATCH('2020'!$A$1,LUJ_1!$3:$3,0))</f>
        <v>0.56773866801721951</v>
      </c>
      <c r="T68" s="73">
        <f>INDEX(LUJ_2!$A:$J,MATCH('2020'!$A68,LUJ_2!$A:$A,0),MATCH('2020'!$A$1,LUJ_2!$3:$3,0))</f>
        <v>0.10400000000000001</v>
      </c>
      <c r="U68" s="73">
        <f>INDEX(LUJ_3!$A:$J,MATCH('2020'!$A68,LUJ_3!$A:$A,0),MATCH('2020'!$A$1,LUJ_3!$3:$3,0))</f>
        <v>0.11347461159871959</v>
      </c>
      <c r="V68" s="14">
        <f>INDEX(LUJ_4!$A:$J,MATCH('2020'!$A68,LUJ_4!$A:$A,0),MATCH('2020'!$A$1,LUJ_4!$3:$3,0))</f>
        <v>15</v>
      </c>
      <c r="W68" s="34">
        <f>INDEX(LUJ_5!$A:$J,MATCH('2020'!$A68,LUJ_5!$A:$A,0),MATCH('2020'!$A$1,LUJ_5!$3:$3,0))</f>
        <v>20.5</v>
      </c>
      <c r="X68" s="98">
        <f>1/INDEX(GUL_1!$A:$J,MATCH('2020'!$A68,GUL_1!$A:$A,0),MATCH('2020'!$A$1,GUL_1!$3:$3,0))</f>
        <v>1.344628210299852E-2</v>
      </c>
      <c r="Y68" s="57">
        <f>INDEX(GUL_2!$A:$J,MATCH('2020'!$A68,GUL_2!$A:$A,0),MATCH('2020'!$A$1,GUL_2!$3:$3,0))</f>
        <v>24.7</v>
      </c>
      <c r="Z68" s="57">
        <f>INDEX(GUL_3!$A:$J,MATCH('2020'!$A68,GUL_3!$A:$A,0),MATCH('2020'!$A$1,GUL_3!$3:$3,0))/(B68/1000)</f>
        <v>0.39378049295978323</v>
      </c>
      <c r="AA68" s="101">
        <f>INDEX(GUL_4!$A:$J,MATCH('2020'!$A68,GUL_4!$A:$A,0),MATCH('2020'!$A$1,GUL_4!$3:$3,0))/B68/C68*10^6</f>
        <v>0.2492984548099503</v>
      </c>
      <c r="AB68" s="73">
        <f>INDEX(GUL_5!$A:$J,MATCH('2020'!$A68,GUL_5!$A:$A,0),MATCH('2020'!$A$1,GUL_5!$3:$3,0))</f>
        <v>1.690105875772431E-2</v>
      </c>
      <c r="AC68" s="49">
        <f>INDEX(GUL_6!$A:$J,MATCH('2020'!$A68,GUL_6!$A:$A,0),MATCH('2020'!$A$1,GUL_6!$3:$3,0))</f>
        <v>8.6999999999999994E-3</v>
      </c>
      <c r="AD68" s="49">
        <f>INDEX(GUL_7!$A:$J,MATCH('2020'!$A68,GUL_7!$A:$A,0),MATCH('2020'!$A$1,GUL_7!$3:$3,0))</f>
        <v>0.10269550000000001</v>
      </c>
      <c r="AE68" s="103">
        <f>INDEX(GUL_8!$A:$J,MATCH('2020'!$A68,GUL_8!$A:$A,0),MATCH('2020'!$A$1,GUL_8!$3:$3,0))/(B68/1000)</f>
        <v>0.66186269296912725</v>
      </c>
      <c r="AF68" s="41">
        <f>INDEX(DES_1!$A:$J,MATCH('2020'!$A68,DES_1!$A:$A,0),MATCH('2020'!$A$1,DES_1!$3:$3,0))/(B68/1000)</f>
        <v>4.4494970955907709E-2</v>
      </c>
      <c r="AG68" s="100">
        <f>INDEX(DES_2!$A:$J,MATCH('2020'!$A68,DES_2!$A:$A,0),MATCH('2020'!$A$1,DES_2!$3:$3,0))/(B68/1000)</f>
        <v>0.74529076351145418</v>
      </c>
      <c r="AH68" s="57">
        <f>1/INDEX(DES_3!$A:$J,MATCH('2020'!$A68,DES_3!$A:$A,0),MATCH('2020'!$A$1,DES_3!$3:$3,0))</f>
        <v>9.0744101633393835E-3</v>
      </c>
      <c r="AI68" s="80">
        <f>INDEX(DES_4!$A:$J,MATCH('2020'!$A68,DES_4!$A:$A,0),MATCH('2020'!$A$1,DES_4!$3:$3,0))</f>
        <v>0.72602519219599992</v>
      </c>
      <c r="AJ68" s="110">
        <f>INDEX(DES_5!$A:$J,MATCH('2020'!$A68,DES_5!$A:$A,0),MATCH('2020'!$A$1,DES_5!$3:$3,0))</f>
        <v>0.31868136324500002</v>
      </c>
      <c r="AK68" s="57">
        <v>36</v>
      </c>
    </row>
    <row r="69" spans="1:37" x14ac:dyDescent="0.3">
      <c r="A69" s="29" t="s">
        <v>68</v>
      </c>
      <c r="B69" s="33">
        <f>INDEX(Population!$A:$J,MATCH('2020'!$A69,Population!$A:$A,0),MATCH('2020'!$A$1,Population!$3:$3,0))</f>
        <v>2467866</v>
      </c>
      <c r="C69" s="14">
        <f>INDEX(Income!$A:$J,MATCH('2020'!$A69,Income!$A:$A,0),MATCH('2020'!$A$1,Income!$3:$3,0))</f>
        <v>24095</v>
      </c>
      <c r="D69" s="34">
        <f>INDEX(Livable_wage!$A:$J,MATCH('2020'!$A69,Livable_wage!$A:$A,0),MATCH('2020'!$A$1,Livable_wage!$3:$3,0))</f>
        <v>10409</v>
      </c>
      <c r="E69" s="41">
        <f>INDEX(AVA_1!$A:$J,MATCH('2020'!$A69,AVA_1!$A:$A,0),MATCH('2020'!$A$1,AVA_1!$3:$3,0))</f>
        <v>0.36499999999999999</v>
      </c>
      <c r="F69" s="15">
        <f>INDEX(AVA_2!$A:$J,MATCH('2020'!$A69,AVA_2!$A:$A,0),MATCH('2020'!$A$1,AVA_2!$3:$3,0))</f>
        <v>1.2053557791844147E-2</v>
      </c>
      <c r="G69" s="15">
        <f>INDEX(AVA_3!$A:$J,MATCH('2020'!$A69,AVA_3!$A:$A,0),MATCH('2020'!$A$1,AVA_3!$3:$3,0))</f>
        <v>1.5540108786168997E-2</v>
      </c>
      <c r="H69" s="87">
        <f>INDEX(AVA_4!$A:$J,MATCH('2020'!$A69,AVA_4!$A:$A,0),MATCH('2020'!$A$1,AVA_4!$3:$3,0))/(B69/1000)</f>
        <v>0.66737821259339036</v>
      </c>
      <c r="I69" s="89">
        <f>INDEX(AVA_5!$A:$J,MATCH('2020'!$A69,AVA_5!$A:$A,0),MATCH('2020'!$A$1,AVA_5!$3:$3,0))/(B69/1000)</f>
        <v>4.6461193598031656</v>
      </c>
      <c r="J69" s="93">
        <f>INDEX(IRA_1!$A:$J,MATCH('2020'!$A69,IRA_1!$A:$A,0),MATCH('2020'!$A$1,IRA_1!$3:$3,0))/(B69/1000)</f>
        <v>3.201146253483779E-2</v>
      </c>
      <c r="K69" s="88">
        <f>INDEX(IRA_2!$A:$J,MATCH('2020'!$A69,IRA_2!$A:$A,0),MATCH('2020'!$A$1,IRA_2!$3:$3,0))/(B69/1000)</f>
        <v>7.8610426984285206E-2</v>
      </c>
      <c r="L69" s="15">
        <f>INDEX(IRA_3!$A:$J,MATCH('2020'!$A69,IRA_3!$A:$A,0),MATCH('2020'!$A$1,IRA_3!$3:$3,0))</f>
        <v>0.38076923076923075</v>
      </c>
      <c r="M69" s="96">
        <f>INDEX(IRA_4!$A:$J,MATCH('2020'!$A69,IRA_4!$A:$A,0),MATCH('2020'!$A$1,IRA_4!$3:$3,0))/(B69/1000)</f>
        <v>3.8040963326209769</v>
      </c>
      <c r="N69" s="61">
        <f>INDEX(INV_1!$A:$J,MATCH('2020'!$A69,INV_1!$A:$A,0),MATCH('2020'!$A$1,INV_1!$3:$3,0))</f>
        <v>9.1957232056987803E-2</v>
      </c>
      <c r="O69" s="80">
        <f>INDEX(INV_2!$A:$J,MATCH('2020'!$A69,INV_2!$A:$A,0),MATCH('2020'!$A$1,INV_2!$3:$3,0))/B69*10^6/C69</f>
        <v>0.44079848005542138</v>
      </c>
      <c r="P69" s="87">
        <f>INDEX(INV_3!$A:$J,MATCH('2020'!$A69,INV_3!$A:$A,0),MATCH('2020'!$A$1,INV_3!$3:$3,0))/B69*10^6/C69</f>
        <v>4.2403010165242909</v>
      </c>
      <c r="Q69" s="87">
        <f>INDEX(INV_4!$A:$J,MATCH('2020'!$A69,INV_4!$A:$A,0),MATCH('2020'!$A$1,INV_4!$3:$3,0))/B69*10^3/C69</f>
        <v>0.31656090996011566</v>
      </c>
      <c r="R69" s="34">
        <f>INDEX(INV_5!$A:$J,MATCH('2020'!$A69,INV_5!$A:$A,0),MATCH('2020'!$A$1,INV_5!$3:$3,0))</f>
        <v>7.4999999999999997E-2</v>
      </c>
      <c r="S69" s="77">
        <f>INDEX(LUJ_1!$A:$J,MATCH('2020'!$A69,LUJ_1!$A:$A,0),MATCH('2020'!$A$1,LUJ_1!$3:$3,0))</f>
        <v>0.83447295977266678</v>
      </c>
      <c r="T69" s="73">
        <f>INDEX(LUJ_2!$A:$J,MATCH('2020'!$A69,LUJ_2!$A:$A,0),MATCH('2020'!$A$1,LUJ_2!$3:$3,0))</f>
        <v>0.222</v>
      </c>
      <c r="U69" s="73">
        <f>INDEX(LUJ_3!$A:$J,MATCH('2020'!$A69,LUJ_3!$A:$A,0),MATCH('2020'!$A$1,LUJ_3!$3:$3,0))</f>
        <v>0.45671865787640026</v>
      </c>
      <c r="V69" s="14">
        <f>INDEX(LUJ_4!$A:$J,MATCH('2020'!$A69,LUJ_4!$A:$A,0),MATCH('2020'!$A$1,LUJ_4!$3:$3,0))</f>
        <v>32</v>
      </c>
      <c r="W69" s="34">
        <f>INDEX(LUJ_5!$A:$J,MATCH('2020'!$A69,LUJ_5!$A:$A,0),MATCH('2020'!$A$1,LUJ_5!$3:$3,0))</f>
        <v>37.200000000000003</v>
      </c>
      <c r="X69" s="98">
        <f>1/INDEX(GUL_1!$A:$J,MATCH('2020'!$A69,GUL_1!$A:$A,0),MATCH('2020'!$A$1,GUL_1!$3:$3,0))</f>
        <v>1.4056789429294348E-2</v>
      </c>
      <c r="Y69" s="57">
        <f>INDEX(GUL_2!$A:$J,MATCH('2020'!$A69,GUL_2!$A:$A,0),MATCH('2020'!$A$1,GUL_2!$3:$3,0))</f>
        <v>25.4</v>
      </c>
      <c r="Z69" s="57">
        <f>INDEX(GUL_3!$A:$J,MATCH('2020'!$A69,GUL_3!$A:$A,0),MATCH('2020'!$A$1,GUL_3!$3:$3,0))/(B69/1000)</f>
        <v>1.006942840494581</v>
      </c>
      <c r="AA69" s="101">
        <f>INDEX(GUL_4!$A:$J,MATCH('2020'!$A69,GUL_4!$A:$A,0),MATCH('2020'!$A$1,GUL_4!$3:$3,0))/B69/C69*10^6</f>
        <v>0.23445564094384608</v>
      </c>
      <c r="AB69" s="73">
        <f>INDEX(GUL_5!$A:$J,MATCH('2020'!$A69,GUL_5!$A:$A,0),MATCH('2020'!$A$1,GUL_5!$3:$3,0))</f>
        <v>2.8084583535561151E-2</v>
      </c>
      <c r="AC69" s="49">
        <f>INDEX(GUL_6!$A:$J,MATCH('2020'!$A69,GUL_6!$A:$A,0),MATCH('2020'!$A$1,GUL_6!$3:$3,0))</f>
        <v>3.7499999999999999E-2</v>
      </c>
      <c r="AD69" s="49">
        <f>INDEX(GUL_7!$A:$J,MATCH('2020'!$A69,GUL_7!$A:$A,0),MATCH('2020'!$A$1,GUL_7!$3:$3,0))</f>
        <v>0.19683010000000001</v>
      </c>
      <c r="AE69" s="103">
        <f>INDEX(GUL_8!$A:$J,MATCH('2020'!$A69,GUL_8!$A:$A,0),MATCH('2020'!$A$1,GUL_8!$3:$3,0))/(B69/1000)</f>
        <v>1.905289833402624</v>
      </c>
      <c r="AF69" s="41">
        <f>INDEX(DES_1!$A:$J,MATCH('2020'!$A69,DES_1!$A:$A,0),MATCH('2020'!$A$1,DES_1!$3:$3,0))/(B69/1000)</f>
        <v>0.10373334694833512</v>
      </c>
      <c r="AG69" s="100">
        <f>INDEX(DES_2!$A:$J,MATCH('2020'!$A69,DES_2!$A:$A,0),MATCH('2020'!$A$1,DES_2!$3:$3,0))/(B69/1000)</f>
        <v>0.42222713875064527</v>
      </c>
      <c r="AH69" s="57">
        <f>1/INDEX(DES_3!$A:$J,MATCH('2020'!$A69,DES_3!$A:$A,0),MATCH('2020'!$A$1,DES_3!$3:$3,0))</f>
        <v>7.6628352490421452E-3</v>
      </c>
      <c r="AI69" s="80">
        <f>INDEX(DES_4!$A:$J,MATCH('2020'!$A69,DES_4!$A:$A,0),MATCH('2020'!$A$1,DES_4!$3:$3,0))</f>
        <v>0.92382140618999997</v>
      </c>
      <c r="AJ69" s="110">
        <f>INDEX(DES_5!$A:$J,MATCH('2020'!$A69,DES_5!$A:$A,0),MATCH('2020'!$A$1,DES_5!$3:$3,0))</f>
        <v>0.52000508673599999</v>
      </c>
      <c r="AK69" s="57">
        <v>41</v>
      </c>
    </row>
    <row r="70" spans="1:37" x14ac:dyDescent="0.3">
      <c r="A70" s="29" t="s">
        <v>69</v>
      </c>
      <c r="B70" s="33">
        <f>INDEX(Population!$A:$J,MATCH('2020'!$A70,Population!$A:$A,0),MATCH('2020'!$A$1,Population!$3:$3,0))</f>
        <v>1018468</v>
      </c>
      <c r="C70" s="14">
        <f>INDEX(Income!$A:$J,MATCH('2020'!$A70,Income!$A:$A,0),MATCH('2020'!$A$1,Income!$3:$3,0))</f>
        <v>29621</v>
      </c>
      <c r="D70" s="34">
        <f>INDEX(Livable_wage!$A:$J,MATCH('2020'!$A70,Livable_wage!$A:$A,0),MATCH('2020'!$A$1,Livable_wage!$3:$3,0))</f>
        <v>12943</v>
      </c>
      <c r="E70" s="41">
        <f>INDEX(AVA_1!$A:$J,MATCH('2020'!$A70,AVA_1!$A:$A,0),MATCH('2020'!$A$1,AVA_1!$3:$3,0))</f>
        <v>0.35299999999999998</v>
      </c>
      <c r="F70" s="15">
        <f>INDEX(AVA_2!$A:$J,MATCH('2020'!$A70,AVA_2!$A:$A,0),MATCH('2020'!$A$1,AVA_2!$3:$3,0))</f>
        <v>1.2362668460560743E-2</v>
      </c>
      <c r="G70" s="15">
        <f>INDEX(AVA_3!$A:$J,MATCH('2020'!$A70,AVA_3!$A:$A,0),MATCH('2020'!$A$1,AVA_3!$3:$3,0))</f>
        <v>0.6342121674024237</v>
      </c>
      <c r="H70" s="87">
        <f>INDEX(AVA_4!$A:$J,MATCH('2020'!$A70,AVA_4!$A:$A,0),MATCH('2020'!$A$1,AVA_4!$3:$3,0))/(B70/1000)</f>
        <v>0.48700597367811266</v>
      </c>
      <c r="I70" s="89">
        <f>INDEX(AVA_5!$A:$J,MATCH('2020'!$A70,AVA_5!$A:$A,0),MATCH('2020'!$A$1,AVA_5!$3:$3,0))/(B70/1000)</f>
        <v>5.8224706127242092</v>
      </c>
      <c r="J70" s="93">
        <f>INDEX(IRA_1!$A:$J,MATCH('2020'!$A70,IRA_1!$A:$A,0),MATCH('2020'!$A$1,IRA_1!$3:$3,0))/(B70/1000)</f>
        <v>4.7129610355946386E-2</v>
      </c>
      <c r="K70" s="88">
        <f>INDEX(IRA_2!$A:$J,MATCH('2020'!$A70,IRA_2!$A:$A,0),MATCH('2020'!$A$1,IRA_2!$3:$3,0))/(B70/1000)</f>
        <v>9.3277353829477216E-2</v>
      </c>
      <c r="L70" s="15">
        <f>INDEX(IRA_3!$A:$J,MATCH('2020'!$A70,IRA_3!$A:$A,0),MATCH('2020'!$A$1,IRA_3!$3:$3,0))</f>
        <v>0.39278093883357046</v>
      </c>
      <c r="M70" s="96">
        <f>INDEX(IRA_4!$A:$J,MATCH('2020'!$A70,IRA_4!$A:$A,0),MATCH('2020'!$A$1,IRA_4!$3:$3,0))/(B70/1000)</f>
        <v>4.7159066362418853</v>
      </c>
      <c r="N70" s="61">
        <f>INDEX(INV_1!$A:$J,MATCH('2020'!$A70,INV_1!$A:$A,0),MATCH('2020'!$A$1,INV_1!$3:$3,0))</f>
        <v>6.0893584028921796E-2</v>
      </c>
      <c r="O70" s="80">
        <f>INDEX(INV_2!$A:$J,MATCH('2020'!$A70,INV_2!$A:$A,0),MATCH('2020'!$A$1,INV_2!$3:$3,0))/B70*10^6/C70</f>
        <v>0.30923730039468839</v>
      </c>
      <c r="P70" s="87">
        <f>INDEX(INV_3!$A:$J,MATCH('2020'!$A70,INV_3!$A:$A,0),MATCH('2020'!$A$1,INV_3!$3:$3,0))/B70*10^6/C70</f>
        <v>4.5189544021453374</v>
      </c>
      <c r="Q70" s="87">
        <f>INDEX(INV_4!$A:$J,MATCH('2020'!$A70,INV_4!$A:$A,0),MATCH('2020'!$A$1,INV_4!$3:$3,0))/B70*10^3/C70</f>
        <v>0.29656648240178174</v>
      </c>
      <c r="R70" s="34">
        <f>INDEX(INV_5!$A:$J,MATCH('2020'!$A70,INV_5!$A:$A,0),MATCH('2020'!$A$1,INV_5!$3:$3,0))</f>
        <v>0.29780000000000001</v>
      </c>
      <c r="S70" s="77">
        <f>INDEX(LUJ_1!$A:$J,MATCH('2020'!$A70,LUJ_1!$A:$A,0),MATCH('2020'!$A$1,LUJ_1!$3:$3,0))</f>
        <v>0.78175895765472314</v>
      </c>
      <c r="T70" s="73">
        <f>INDEX(LUJ_2!$A:$J,MATCH('2020'!$A70,LUJ_2!$A:$A,0),MATCH('2020'!$A$1,LUJ_2!$3:$3,0))</f>
        <v>0.19800000000000001</v>
      </c>
      <c r="U70" s="73">
        <f>INDEX(LUJ_3!$A:$J,MATCH('2020'!$A70,LUJ_3!$A:$A,0),MATCH('2020'!$A$1,LUJ_3!$3:$3,0))</f>
        <v>0.47438945320942294</v>
      </c>
      <c r="V70" s="14">
        <f>INDEX(LUJ_4!$A:$J,MATCH('2020'!$A70,LUJ_4!$A:$A,0),MATCH('2020'!$A$1,LUJ_4!$3:$3,0))</f>
        <v>16</v>
      </c>
      <c r="W70" s="34">
        <f>INDEX(LUJ_5!$A:$J,MATCH('2020'!$A70,LUJ_5!$A:$A,0),MATCH('2020'!$A$1,LUJ_5!$3:$3,0))</f>
        <v>36.1</v>
      </c>
      <c r="X70" s="98">
        <f>1/INDEX(GUL_1!$A:$J,MATCH('2020'!$A70,GUL_1!$A:$A,0),MATCH('2020'!$A$1,GUL_1!$3:$3,0))</f>
        <v>1.371177841766077E-2</v>
      </c>
      <c r="Y70" s="57">
        <f>INDEX(GUL_2!$A:$J,MATCH('2020'!$A70,GUL_2!$A:$A,0),MATCH('2020'!$A$1,GUL_2!$3:$3,0))</f>
        <v>25.900000000000002</v>
      </c>
      <c r="Z70" s="57">
        <f>INDEX(GUL_3!$A:$J,MATCH('2020'!$A70,GUL_3!$A:$A,0),MATCH('2020'!$A$1,GUL_3!$3:$3,0))/(B70/1000)</f>
        <v>0.59304759697899201</v>
      </c>
      <c r="AA70" s="101">
        <f>INDEX(GUL_4!$A:$J,MATCH('2020'!$A70,GUL_4!$A:$A,0),MATCH('2020'!$A$1,GUL_4!$3:$3,0))/B70/C70*10^6</f>
        <v>0.37555604421602479</v>
      </c>
      <c r="AB70" s="73">
        <f>INDEX(GUL_5!$A:$J,MATCH('2020'!$A70,GUL_5!$A:$A,0),MATCH('2020'!$A$1,GUL_5!$3:$3,0))</f>
        <v>4.3192097283657672E-2</v>
      </c>
      <c r="AC70" s="49">
        <f>INDEX(GUL_6!$A:$J,MATCH('2020'!$A70,GUL_6!$A:$A,0),MATCH('2020'!$A$1,GUL_6!$3:$3,0))</f>
        <v>3.4099999999999998E-2</v>
      </c>
      <c r="AD70" s="49">
        <f>INDEX(GUL_7!$A:$J,MATCH('2020'!$A70,GUL_7!$A:$A,0),MATCH('2020'!$A$1,GUL_7!$3:$3,0))</f>
        <v>0.17239679999999999</v>
      </c>
      <c r="AE70" s="103">
        <f>INDEX(GUL_8!$A:$J,MATCH('2020'!$A70,GUL_8!$A:$A,0),MATCH('2020'!$A$1,GUL_8!$3:$3,0))/(B70/1000)</f>
        <v>1.7830702584666382</v>
      </c>
      <c r="AF70" s="41">
        <f>INDEX(DES_1!$A:$J,MATCH('2020'!$A70,DES_1!$A:$A,0),MATCH('2020'!$A$1,DES_1!$3:$3,0))/(B70/1000)</f>
        <v>0.14728003236233245</v>
      </c>
      <c r="AG70" s="100">
        <f>INDEX(DES_2!$A:$J,MATCH('2020'!$A70,DES_2!$A:$A,0),MATCH('2020'!$A$1,DES_2!$3:$3,0))/(B70/1000)</f>
        <v>0.32696167184437802</v>
      </c>
      <c r="AH70" s="57">
        <f>1/INDEX(DES_3!$A:$J,MATCH('2020'!$A70,DES_3!$A:$A,0),MATCH('2020'!$A$1,DES_3!$3:$3,0))</f>
        <v>8.291873963515755E-3</v>
      </c>
      <c r="AI70" s="80">
        <f>INDEX(DES_4!$A:$J,MATCH('2020'!$A70,DES_4!$A:$A,0),MATCH('2020'!$A$1,DES_4!$3:$3,0))</f>
        <v>0.86284774315599999</v>
      </c>
      <c r="AJ70" s="110">
        <f>INDEX(DES_5!$A:$J,MATCH('2020'!$A70,DES_5!$A:$A,0),MATCH('2020'!$A$1,DES_5!$3:$3,0))</f>
        <v>0.50965303349899993</v>
      </c>
      <c r="AK70" s="57">
        <v>47</v>
      </c>
    </row>
    <row r="71" spans="1:37" x14ac:dyDescent="0.3">
      <c r="A71" s="29" t="s">
        <v>70</v>
      </c>
      <c r="B71" s="33">
        <f>INDEX(Population!$A:$J,MATCH('2020'!$A71,Population!$A:$A,0),MATCH('2020'!$A$1,Population!$3:$3,0))</f>
        <v>725578</v>
      </c>
      <c r="C71" s="14">
        <f>INDEX(Income!$A:$J,MATCH('2020'!$A71,Income!$A:$A,0),MATCH('2020'!$A$1,Income!$3:$3,0))</f>
        <v>26990</v>
      </c>
      <c r="D71" s="34">
        <f>INDEX(Livable_wage!$A:$J,MATCH('2020'!$A71,Livable_wage!$A:$A,0),MATCH('2020'!$A$1,Livable_wage!$3:$3,0))</f>
        <v>11132</v>
      </c>
      <c r="E71" s="41">
        <f>INDEX(AVA_1!$A:$J,MATCH('2020'!$A71,AVA_1!$A:$A,0),MATCH('2020'!$A$1,AVA_1!$3:$3,0))</f>
        <v>0.35599999999999998</v>
      </c>
      <c r="F71" s="15">
        <f>INDEX(AVA_2!$A:$J,MATCH('2020'!$A71,AVA_2!$A:$A,0),MATCH('2020'!$A$1,AVA_2!$3:$3,0))</f>
        <v>1.2449693224765581E-2</v>
      </c>
      <c r="G71" s="15">
        <f>INDEX(AVA_3!$A:$J,MATCH('2020'!$A71,AVA_3!$A:$A,0),MATCH('2020'!$A$1,AVA_3!$3:$3,0))</f>
        <v>3.7993943322540476E-2</v>
      </c>
      <c r="H71" s="87">
        <f>INDEX(AVA_4!$A:$J,MATCH('2020'!$A71,AVA_4!$A:$A,0),MATCH('2020'!$A$1,AVA_4!$3:$3,0))/(B71/1000)</f>
        <v>0.650515864593469</v>
      </c>
      <c r="I71" s="89">
        <f>INDEX(AVA_5!$A:$J,MATCH('2020'!$A71,AVA_5!$A:$A,0),MATCH('2020'!$A$1,AVA_5!$3:$3,0))/(B71/1000)</f>
        <v>3.4496635785539254</v>
      </c>
      <c r="J71" s="93">
        <f>INDEX(IRA_1!$A:$J,MATCH('2020'!$A71,IRA_1!$A:$A,0),MATCH('2020'!$A$1,IRA_1!$3:$3,0))/(B71/1000)</f>
        <v>3.8589924170799005E-2</v>
      </c>
      <c r="K71" s="88">
        <f>INDEX(IRA_2!$A:$J,MATCH('2020'!$A71,IRA_2!$A:$A,0),MATCH('2020'!$A$1,IRA_2!$3:$3,0))/(B71/1000)</f>
        <v>6.8910578876426792E-2</v>
      </c>
      <c r="L71" s="15">
        <f>INDEX(IRA_3!$A:$J,MATCH('2020'!$A71,IRA_3!$A:$A,0),MATCH('2020'!$A$1,IRA_3!$3:$3,0))</f>
        <v>0.42489772063120979</v>
      </c>
      <c r="M71" s="96">
        <f>INDEX(IRA_4!$A:$J,MATCH('2020'!$A71,IRA_4!$A:$A,0),MATCH('2020'!$A$1,IRA_4!$3:$3,0))/(B71/1000)</f>
        <v>4.3275843534396028</v>
      </c>
      <c r="N71" s="61">
        <f>INDEX(INV_1!$A:$J,MATCH('2020'!$A71,INV_1!$A:$A,0),MATCH('2020'!$A$1,INV_1!$3:$3,0))</f>
        <v>6.7398200001111644E-2</v>
      </c>
      <c r="O71" s="80">
        <f>INDEX(INV_2!$A:$J,MATCH('2020'!$A71,INV_2!$A:$A,0),MATCH('2020'!$A$1,INV_2!$3:$3,0))/B71*10^6/C71</f>
        <v>0.53644215882281265</v>
      </c>
      <c r="P71" s="87">
        <f>INDEX(INV_3!$A:$J,MATCH('2020'!$A71,INV_3!$A:$A,0),MATCH('2020'!$A$1,INV_3!$3:$3,0))/B71*10^6/C71</f>
        <v>4.158685775676231</v>
      </c>
      <c r="Q71" s="87">
        <f>INDEX(INV_4!$A:$J,MATCH('2020'!$A71,INV_4!$A:$A,0),MATCH('2020'!$A$1,INV_4!$3:$3,0))/B71*10^3/C71</f>
        <v>0.28978464033208717</v>
      </c>
      <c r="R71" s="34">
        <f>INDEX(INV_5!$A:$J,MATCH('2020'!$A71,INV_5!$A:$A,0),MATCH('2020'!$A$1,INV_5!$3:$3,0))</f>
        <v>5.0500000000000003E-2</v>
      </c>
      <c r="S71" s="77">
        <f>INDEX(LUJ_1!$A:$J,MATCH('2020'!$A71,LUJ_1!$A:$A,0),MATCH('2020'!$A$1,LUJ_1!$3:$3,0))</f>
        <v>0.84161397169527252</v>
      </c>
      <c r="T71" s="73">
        <f>INDEX(LUJ_2!$A:$J,MATCH('2020'!$A71,LUJ_2!$A:$A,0),MATCH('2020'!$A$1,LUJ_2!$3:$3,0))</f>
        <v>0.19699999999999998</v>
      </c>
      <c r="U71" s="73">
        <f>INDEX(LUJ_3!$A:$J,MATCH('2020'!$A71,LUJ_3!$A:$A,0),MATCH('2020'!$A$1,LUJ_3!$3:$3,0))</f>
        <v>0.53119026933101654</v>
      </c>
      <c r="V71" s="14">
        <f>INDEX(LUJ_4!$A:$J,MATCH('2020'!$A71,LUJ_4!$A:$A,0),MATCH('2020'!$A$1,LUJ_4!$3:$3,0))</f>
        <v>11</v>
      </c>
      <c r="W71" s="34">
        <f>INDEX(LUJ_5!$A:$J,MATCH('2020'!$A71,LUJ_5!$A:$A,0),MATCH('2020'!$A$1,LUJ_5!$3:$3,0))</f>
        <v>24</v>
      </c>
      <c r="X71" s="98">
        <f>1/INDEX(GUL_1!$A:$J,MATCH('2020'!$A71,GUL_1!$A:$A,0),MATCH('2020'!$A$1,GUL_1!$3:$3,0))</f>
        <v>1.4265335235378032E-2</v>
      </c>
      <c r="Y71" s="57">
        <f>INDEX(GUL_2!$A:$J,MATCH('2020'!$A71,GUL_2!$A:$A,0),MATCH('2020'!$A$1,GUL_2!$3:$3,0))</f>
        <v>26.400000000000002</v>
      </c>
      <c r="Z71" s="57">
        <f>INDEX(GUL_3!$A:$J,MATCH('2020'!$A71,GUL_3!$A:$A,0),MATCH('2020'!$A$1,GUL_3!$3:$3,0))/(B71/1000)</f>
        <v>1.0060944515958312</v>
      </c>
      <c r="AA71" s="101">
        <f>INDEX(GUL_4!$A:$J,MATCH('2020'!$A71,GUL_4!$A:$A,0),MATCH('2020'!$A$1,GUL_4!$3:$3,0))/B71/C71*10^6</f>
        <v>0.18278231047230895</v>
      </c>
      <c r="AB71" s="73">
        <f>INDEX(GUL_5!$A:$J,MATCH('2020'!$A71,GUL_5!$A:$A,0),MATCH('2020'!$A$1,GUL_5!$3:$3,0))</f>
        <v>2.30641465477485E-2</v>
      </c>
      <c r="AC71" s="49">
        <f>INDEX(GUL_6!$A:$J,MATCH('2020'!$A71,GUL_6!$A:$A,0),MATCH('2020'!$A$1,GUL_6!$3:$3,0))</f>
        <v>4.1399999999999999E-2</v>
      </c>
      <c r="AD71" s="49">
        <f>INDEX(GUL_7!$A:$J,MATCH('2020'!$A71,GUL_7!$A:$A,0),MATCH('2020'!$A$1,GUL_7!$3:$3,0))</f>
        <v>0.1944294</v>
      </c>
      <c r="AE71" s="103">
        <f>INDEX(GUL_8!$A:$J,MATCH('2020'!$A71,GUL_8!$A:$A,0),MATCH('2020'!$A$1,GUL_8!$3:$3,0))/(B71/1000)</f>
        <v>1.4760645995330619</v>
      </c>
      <c r="AF71" s="41">
        <f>INDEX(DES_1!$A:$J,MATCH('2020'!$A71,DES_1!$A:$A,0),MATCH('2020'!$A$1,DES_1!$3:$3,0))/(B71/1000)</f>
        <v>0.11852619566745409</v>
      </c>
      <c r="AG71" s="100">
        <f>INDEX(DES_2!$A:$J,MATCH('2020'!$A71,DES_2!$A:$A,0),MATCH('2020'!$A$1,DES_2!$3:$3,0))/(B71/1000)</f>
        <v>0.35006574069224811</v>
      </c>
      <c r="AH71" s="57">
        <f>1/INDEX(DES_3!$A:$J,MATCH('2020'!$A71,DES_3!$A:$A,0),MATCH('2020'!$A$1,DES_3!$3:$3,0))</f>
        <v>7.7339520494972922E-3</v>
      </c>
      <c r="AI71" s="80">
        <f>INDEX(DES_4!$A:$J,MATCH('2020'!$A71,DES_4!$A:$A,0),MATCH('2020'!$A$1,DES_4!$3:$3,0))</f>
        <v>0.78907531337699988</v>
      </c>
      <c r="AJ71" s="110">
        <f>INDEX(DES_5!$A:$J,MATCH('2020'!$A71,DES_5!$A:$A,0),MATCH('2020'!$A$1,DES_5!$3:$3,0))</f>
        <v>0.27683339927399997</v>
      </c>
      <c r="AK71" s="57">
        <v>51</v>
      </c>
    </row>
    <row r="72" spans="1:37" x14ac:dyDescent="0.3">
      <c r="A72" s="29" t="s">
        <v>71</v>
      </c>
      <c r="B72" s="33">
        <f>INDEX(Population!$A:$J,MATCH('2020'!$A72,Population!$A:$A,0),MATCH('2020'!$A$1,Population!$3:$3,0))</f>
        <v>546093</v>
      </c>
      <c r="C72" s="14">
        <f>INDEX(Income!$A:$J,MATCH('2020'!$A72,Income!$A:$A,0),MATCH('2020'!$A$1,Income!$3:$3,0))</f>
        <v>32596</v>
      </c>
      <c r="D72" s="34">
        <f>INDEX(Livable_wage!$A:$J,MATCH('2020'!$A72,Livable_wage!$A:$A,0),MATCH('2020'!$A$1,Livable_wage!$3:$3,0))</f>
        <v>15438</v>
      </c>
      <c r="E72" s="41">
        <f>INDEX(AVA_1!$A:$J,MATCH('2020'!$A72,AVA_1!$A:$A,0),MATCH('2020'!$A$1,AVA_1!$3:$3,0))</f>
        <v>0.34200000000000003</v>
      </c>
      <c r="F72" s="15">
        <f>INDEX(AVA_2!$A:$J,MATCH('2020'!$A72,AVA_2!$A:$A,0),MATCH('2020'!$A$1,AVA_2!$3:$3,0))</f>
        <v>1.038247133267981E-2</v>
      </c>
      <c r="G72" s="15">
        <f>INDEX(AVA_3!$A:$J,MATCH('2020'!$A72,AVA_3!$A:$A,0),MATCH('2020'!$A$1,AVA_3!$3:$3,0))</f>
        <v>4.3817310068590045E-3</v>
      </c>
      <c r="H72" s="87">
        <f>INDEX(AVA_4!$A:$J,MATCH('2020'!$A72,AVA_4!$A:$A,0),MATCH('2020'!$A$1,AVA_4!$3:$3,0))/(B72/1000)</f>
        <v>0.80572356723122263</v>
      </c>
      <c r="I72" s="89">
        <f>INDEX(AVA_5!$A:$J,MATCH('2020'!$A72,AVA_5!$A:$A,0),MATCH('2020'!$A$1,AVA_5!$3:$3,0))/(B72/1000)</f>
        <v>9.8957503575398338</v>
      </c>
      <c r="J72" s="93">
        <f>INDEX(IRA_1!$A:$J,MATCH('2020'!$A72,IRA_1!$A:$A,0),MATCH('2020'!$A$1,IRA_1!$3:$3,0))/(B72/1000)</f>
        <v>0.10804020560600484</v>
      </c>
      <c r="K72" s="88">
        <f>INDEX(IRA_2!$A:$J,MATCH('2020'!$A72,IRA_2!$A:$A,0),MATCH('2020'!$A$1,IRA_2!$3:$3,0))/(B72/1000)</f>
        <v>0.20875565150990766</v>
      </c>
      <c r="L72" s="15">
        <f>INDEX(IRA_3!$A:$J,MATCH('2020'!$A72,IRA_3!$A:$A,0),MATCH('2020'!$A$1,IRA_3!$3:$3,0))</f>
        <v>0.36764705882352944</v>
      </c>
      <c r="M72" s="96">
        <f>INDEX(IRA_4!$A:$J,MATCH('2020'!$A72,IRA_4!$A:$A,0),MATCH('2020'!$A$1,IRA_4!$3:$3,0))/(B72/1000)</f>
        <v>7.6488803189200381</v>
      </c>
      <c r="N72" s="61">
        <f>INDEX(INV_1!$A:$J,MATCH('2020'!$A72,INV_1!$A:$A,0),MATCH('2020'!$A$1,INV_1!$3:$3,0))</f>
        <v>5.0141939640309337E-2</v>
      </c>
      <c r="O72" s="80">
        <f>INDEX(INV_2!$A:$J,MATCH('2020'!$A72,INV_2!$A:$A,0),MATCH('2020'!$A$1,INV_2!$3:$3,0))/B72*10^6/C72</f>
        <v>0.39233894609943964</v>
      </c>
      <c r="P72" s="87">
        <f>INDEX(INV_3!$A:$J,MATCH('2020'!$A72,INV_3!$A:$A,0),MATCH('2020'!$A$1,INV_3!$3:$3,0))/B72*10^6/C72</f>
        <v>5.0526258041427914</v>
      </c>
      <c r="Q72" s="87">
        <f>INDEX(INV_4!$A:$J,MATCH('2020'!$A72,INV_4!$A:$A,0),MATCH('2020'!$A$1,INV_4!$3:$3,0))/B72*10^3/C72</f>
        <v>0.35686186123658148</v>
      </c>
      <c r="R72" s="34">
        <f>INDEX(INV_5!$A:$J,MATCH('2020'!$A72,INV_5!$A:$A,0),MATCH('2020'!$A$1,INV_5!$3:$3,0))</f>
        <v>8.6599999999999996E-2</v>
      </c>
      <c r="S72" s="77">
        <f>INDEX(LUJ_1!$A:$J,MATCH('2020'!$A72,LUJ_1!$A:$A,0),MATCH('2020'!$A$1,LUJ_1!$3:$3,0))</f>
        <v>0.73509526736324526</v>
      </c>
      <c r="T72" s="73">
        <f>INDEX(LUJ_2!$A:$J,MATCH('2020'!$A72,LUJ_2!$A:$A,0),MATCH('2020'!$A$1,LUJ_2!$3:$3,0))</f>
        <v>0.24199999999999999</v>
      </c>
      <c r="U72" s="73">
        <f>INDEX(LUJ_3!$A:$J,MATCH('2020'!$A72,LUJ_3!$A:$A,0),MATCH('2020'!$A$1,LUJ_3!$3:$3,0))</f>
        <v>0.48402002310358105</v>
      </c>
      <c r="V72" s="14">
        <f>INDEX(LUJ_4!$A:$J,MATCH('2020'!$A72,LUJ_4!$A:$A,0),MATCH('2020'!$A$1,LUJ_4!$3:$3,0))</f>
        <v>19</v>
      </c>
      <c r="W72" s="34">
        <f>INDEX(LUJ_5!$A:$J,MATCH('2020'!$A72,LUJ_5!$A:$A,0),MATCH('2020'!$A$1,LUJ_5!$3:$3,0))</f>
        <v>49.2</v>
      </c>
      <c r="X72" s="98">
        <f>1/INDEX(GUL_1!$A:$J,MATCH('2020'!$A72,GUL_1!$A:$A,0),MATCH('2020'!$A$1,GUL_1!$3:$3,0))</f>
        <v>1.436162573603332E-2</v>
      </c>
      <c r="Y72" s="57">
        <f>INDEX(GUL_2!$A:$J,MATCH('2020'!$A72,GUL_2!$A:$A,0),MATCH('2020'!$A$1,GUL_2!$3:$3,0))</f>
        <v>25.2</v>
      </c>
      <c r="Z72" s="57">
        <f>INDEX(GUL_3!$A:$J,MATCH('2020'!$A72,GUL_3!$A:$A,0),MATCH('2020'!$A$1,GUL_3!$3:$3,0))/(B72/1000)</f>
        <v>1.1390001336768647</v>
      </c>
      <c r="AA72" s="101">
        <f>INDEX(GUL_4!$A:$J,MATCH('2020'!$A72,GUL_4!$A:$A,0),MATCH('2020'!$A$1,GUL_4!$3:$3,0))/B72/C72*10^6</f>
        <v>0.32314861877864026</v>
      </c>
      <c r="AB72" s="73">
        <f>INDEX(GUL_5!$A:$J,MATCH('2020'!$A72,GUL_5!$A:$A,0),MATCH('2020'!$A$1,GUL_5!$3:$3,0))</f>
        <v>3.540175796145742E-2</v>
      </c>
      <c r="AC72" s="49">
        <f>INDEX(GUL_6!$A:$J,MATCH('2020'!$A72,GUL_6!$A:$A,0),MATCH('2020'!$A$1,GUL_6!$3:$3,0))</f>
        <v>3.8399999999999997E-2</v>
      </c>
      <c r="AD72" s="49">
        <f>INDEX(GUL_7!$A:$J,MATCH('2020'!$A72,GUL_7!$A:$A,0),MATCH('2020'!$A$1,GUL_7!$3:$3,0))</f>
        <v>0.2385776</v>
      </c>
      <c r="AE72" s="103">
        <f>INDEX(GUL_8!$A:$J,MATCH('2020'!$A72,GUL_8!$A:$A,0),MATCH('2020'!$A$1,GUL_8!$3:$3,0))/(B72/1000)</f>
        <v>3.9590326189861438</v>
      </c>
      <c r="AF72" s="41">
        <f>INDEX(DES_1!$A:$J,MATCH('2020'!$A72,DES_1!$A:$A,0),MATCH('2020'!$A$1,DES_1!$3:$3,0))/(B72/1000)</f>
        <v>0.10987139553153036</v>
      </c>
      <c r="AG72" s="100">
        <f>INDEX(DES_2!$A:$J,MATCH('2020'!$A72,DES_2!$A:$A,0),MATCH('2020'!$A$1,DES_2!$3:$3,0))/(B72/1000)</f>
        <v>0.53287626832792223</v>
      </c>
      <c r="AH72" s="57">
        <f>1/INDEX(DES_3!$A:$J,MATCH('2020'!$A72,DES_3!$A:$A,0),MATCH('2020'!$A$1,DES_3!$3:$3,0))</f>
        <v>8.0710250201775618E-3</v>
      </c>
      <c r="AI72" s="80">
        <f>INDEX(DES_4!$A:$J,MATCH('2020'!$A72,DES_4!$A:$A,0),MATCH('2020'!$A$1,DES_4!$3:$3,0))</f>
        <v>0.71038129403100003</v>
      </c>
      <c r="AJ72" s="110">
        <f>INDEX(DES_5!$A:$J,MATCH('2020'!$A72,DES_5!$A:$A,0),MATCH('2020'!$A$1,DES_5!$3:$3,0))</f>
        <v>0.45138544553800003</v>
      </c>
      <c r="AK72" s="57">
        <v>83</v>
      </c>
    </row>
    <row r="73" spans="1:37" x14ac:dyDescent="0.3">
      <c r="A73" s="29" t="s">
        <v>72</v>
      </c>
      <c r="B73" s="33">
        <f>INDEX(Population!$A:$J,MATCH('2020'!$A73,Population!$A:$A,0),MATCH('2020'!$A$1,Population!$3:$3,0))</f>
        <v>2388558</v>
      </c>
      <c r="C73" s="14">
        <f>INDEX(Income!$A:$J,MATCH('2020'!$A73,Income!$A:$A,0),MATCH('2020'!$A$1,Income!$3:$3,0))</f>
        <v>27577</v>
      </c>
      <c r="D73" s="34">
        <f>INDEX(Livable_wage!$A:$J,MATCH('2020'!$A73,Livable_wage!$A:$A,0),MATCH('2020'!$A$1,Livable_wage!$3:$3,0))</f>
        <v>12745</v>
      </c>
      <c r="E73" s="41">
        <f>INDEX(AVA_1!$A:$J,MATCH('2020'!$A73,AVA_1!$A:$A,0),MATCH('2020'!$A$1,AVA_1!$3:$3,0))</f>
        <v>0.35899999999999999</v>
      </c>
      <c r="F73" s="15">
        <f>INDEX(AVA_2!$A:$J,MATCH('2020'!$A73,AVA_2!$A:$A,0),MATCH('2020'!$A$1,AVA_2!$3:$3,0))</f>
        <v>9.3704654853263344E-3</v>
      </c>
      <c r="G73" s="15">
        <f>INDEX(AVA_3!$A:$J,MATCH('2020'!$A73,AVA_3!$A:$A,0),MATCH('2020'!$A$1,AVA_3!$3:$3,0))</f>
        <v>1.8562853435020829E-2</v>
      </c>
      <c r="H73" s="87">
        <f>INDEX(AVA_4!$A:$J,MATCH('2020'!$A73,AVA_4!$A:$A,0),MATCH('2020'!$A$1,AVA_4!$3:$3,0))/(B73/1000)</f>
        <v>0.61669006990828779</v>
      </c>
      <c r="I73" s="89">
        <f>INDEX(AVA_5!$A:$J,MATCH('2020'!$A73,AVA_5!$A:$A,0),MATCH('2020'!$A$1,AVA_5!$3:$3,0))/(B73/1000)</f>
        <v>7.3261775514766647</v>
      </c>
      <c r="J73" s="93">
        <f>INDEX(IRA_1!$A:$J,MATCH('2020'!$A73,IRA_1!$A:$A,0),MATCH('2020'!$A$1,IRA_1!$3:$3,0))/(B73/1000)</f>
        <v>0.10382833492006474</v>
      </c>
      <c r="K73" s="88">
        <f>INDEX(IRA_2!$A:$J,MATCH('2020'!$A73,IRA_2!$A:$A,0),MATCH('2020'!$A$1,IRA_2!$3:$3,0))/(B73/1000)</f>
        <v>0.35251394355925209</v>
      </c>
      <c r="L73" s="15">
        <f>INDEX(IRA_3!$A:$J,MATCH('2020'!$A73,IRA_3!$A:$A,0),MATCH('2020'!$A$1,IRA_3!$3:$3,0))</f>
        <v>0.35785329465395777</v>
      </c>
      <c r="M73" s="96">
        <f>INDEX(IRA_4!$A:$J,MATCH('2020'!$A73,IRA_4!$A:$A,0),MATCH('2020'!$A$1,IRA_4!$3:$3,0))/(B73/1000)</f>
        <v>5.916121777239657</v>
      </c>
      <c r="N73" s="61">
        <f>INDEX(INV_1!$A:$J,MATCH('2020'!$A73,INV_1!$A:$A,0),MATCH('2020'!$A$1,INV_1!$3:$3,0))</f>
        <v>8.9305733126427977E-2</v>
      </c>
      <c r="O73" s="80">
        <f>INDEX(INV_2!$A:$J,MATCH('2020'!$A73,INV_2!$A:$A,0),MATCH('2020'!$A$1,INV_2!$3:$3,0))/B73*10^6/C73</f>
        <v>0.26783187809880921</v>
      </c>
      <c r="P73" s="87">
        <f>INDEX(INV_3!$A:$J,MATCH('2020'!$A73,INV_3!$A:$A,0),MATCH('2020'!$A$1,INV_3!$3:$3,0))/B73*10^6/C73</f>
        <v>5.2267473366289536</v>
      </c>
      <c r="Q73" s="87">
        <f>INDEX(INV_4!$A:$J,MATCH('2020'!$A73,INV_4!$A:$A,0),MATCH('2020'!$A$1,INV_4!$3:$3,0))/B73*10^3/C73</f>
        <v>0.28164218898173565</v>
      </c>
      <c r="R73" s="34">
        <f>INDEX(INV_5!$A:$J,MATCH('2020'!$A73,INV_5!$A:$A,0),MATCH('2020'!$A$1,INV_5!$3:$3,0))</f>
        <v>0.12540000000000001</v>
      </c>
      <c r="S73" s="77">
        <f>INDEX(LUJ_1!$A:$J,MATCH('2020'!$A73,LUJ_1!$A:$A,0),MATCH('2020'!$A$1,LUJ_1!$3:$3,0))</f>
        <v>0.75887331958176252</v>
      </c>
      <c r="T73" s="73">
        <f>INDEX(LUJ_2!$A:$J,MATCH('2020'!$A73,LUJ_2!$A:$A,0),MATCH('2020'!$A$1,LUJ_2!$3:$3,0))</f>
        <v>0.29799999999999999</v>
      </c>
      <c r="U73" s="73">
        <f>INDEX(LUJ_3!$A:$J,MATCH('2020'!$A73,LUJ_3!$A:$A,0),MATCH('2020'!$A$1,LUJ_3!$3:$3,0))</f>
        <v>0.56308466791029677</v>
      </c>
      <c r="V73" s="14">
        <f>INDEX(LUJ_4!$A:$J,MATCH('2020'!$A73,LUJ_4!$A:$A,0),MATCH('2020'!$A$1,LUJ_4!$3:$3,0))</f>
        <v>51</v>
      </c>
      <c r="W73" s="34">
        <f>INDEX(LUJ_5!$A:$J,MATCH('2020'!$A73,LUJ_5!$A:$A,0),MATCH('2020'!$A$1,LUJ_5!$3:$3,0))</f>
        <v>79.2</v>
      </c>
      <c r="X73" s="98">
        <f>1/INDEX(GUL_1!$A:$J,MATCH('2020'!$A73,GUL_1!$A:$A,0),MATCH('2020'!$A$1,GUL_1!$3:$3,0))</f>
        <v>1.4652014652014652E-2</v>
      </c>
      <c r="Y73" s="57">
        <f>INDEX(GUL_2!$A:$J,MATCH('2020'!$A73,GUL_2!$A:$A,0),MATCH('2020'!$A$1,GUL_2!$3:$3,0))</f>
        <v>25</v>
      </c>
      <c r="Z73" s="57">
        <f>INDEX(GUL_3!$A:$J,MATCH('2020'!$A73,GUL_3!$A:$A,0),MATCH('2020'!$A$1,GUL_3!$3:$3,0))/(B73/1000)</f>
        <v>0.75987269306418348</v>
      </c>
      <c r="AA73" s="101">
        <f>INDEX(GUL_4!$A:$J,MATCH('2020'!$A73,GUL_4!$A:$A,0),MATCH('2020'!$A$1,GUL_4!$3:$3,0))/B73/C73*10^6</f>
        <v>0.19085836463102404</v>
      </c>
      <c r="AB73" s="73">
        <f>INDEX(GUL_5!$A:$J,MATCH('2020'!$A73,GUL_5!$A:$A,0),MATCH('2020'!$A$1,GUL_5!$3:$3,0))</f>
        <v>3.4185893167895165E-2</v>
      </c>
      <c r="AC73" s="49">
        <f>INDEX(GUL_6!$A:$J,MATCH('2020'!$A73,GUL_6!$A:$A,0),MATCH('2020'!$A$1,GUL_6!$3:$3,0))</f>
        <v>4.9200000000000001E-2</v>
      </c>
      <c r="AD73" s="49">
        <f>INDEX(GUL_7!$A:$J,MATCH('2020'!$A73,GUL_7!$A:$A,0),MATCH('2020'!$A$1,GUL_7!$3:$3,0))</f>
        <v>0.22749919999999998</v>
      </c>
      <c r="AE73" s="103">
        <f>INDEX(GUL_8!$A:$J,MATCH('2020'!$A73,GUL_8!$A:$A,0),MATCH('2020'!$A$1,GUL_8!$3:$3,0))/(B73/1000)</f>
        <v>3.5310007125638148</v>
      </c>
      <c r="AF73" s="41">
        <f>INDEX(DES_1!$A:$J,MATCH('2020'!$A73,DES_1!$A:$A,0),MATCH('2020'!$A$1,DES_1!$3:$3,0))/(B73/1000)</f>
        <v>0.14443861107831588</v>
      </c>
      <c r="AG73" s="100">
        <f>INDEX(DES_2!$A:$J,MATCH('2020'!$A73,DES_2!$A:$A,0),MATCH('2020'!$A$1,DES_2!$3:$3,0))/(B73/1000)</f>
        <v>0.55807730019534796</v>
      </c>
      <c r="AH73" s="57">
        <f>1/INDEX(DES_3!$A:$J,MATCH('2020'!$A73,DES_3!$A:$A,0),MATCH('2020'!$A$1,DES_3!$3:$3,0))</f>
        <v>7.3746312684365781E-3</v>
      </c>
      <c r="AI73" s="80">
        <f>INDEX(DES_4!$A:$J,MATCH('2020'!$A73,DES_4!$A:$A,0),MATCH('2020'!$A$1,DES_4!$3:$3,0))</f>
        <v>0.94810830626099996</v>
      </c>
      <c r="AJ73" s="110">
        <f>INDEX(DES_5!$A:$J,MATCH('2020'!$A73,DES_5!$A:$A,0),MATCH('2020'!$A$1,DES_5!$3:$3,0))</f>
        <v>0.73751762373199992</v>
      </c>
      <c r="AK73" s="57">
        <v>82</v>
      </c>
    </row>
    <row r="74" spans="1:37" x14ac:dyDescent="0.3">
      <c r="A74" s="29" t="s">
        <v>73</v>
      </c>
      <c r="B74" s="33">
        <f>INDEX(Population!$A:$J,MATCH('2020'!$A74,Population!$A:$A,0),MATCH('2020'!$A$1,Population!$3:$3,0))</f>
        <v>778191</v>
      </c>
      <c r="C74" s="14">
        <f>INDEX(Income!$A:$J,MATCH('2020'!$A74,Income!$A:$A,0),MATCH('2020'!$A$1,Income!$3:$3,0))</f>
        <v>35508</v>
      </c>
      <c r="D74" s="34">
        <f>INDEX(Livable_wage!$A:$J,MATCH('2020'!$A74,Livable_wage!$A:$A,0),MATCH('2020'!$A$1,Livable_wage!$3:$3,0))</f>
        <v>14331</v>
      </c>
      <c r="E74" s="41">
        <f>INDEX(AVA_1!$A:$J,MATCH('2020'!$A74,AVA_1!$A:$A,0),MATCH('2020'!$A$1,AVA_1!$3:$3,0))</f>
        <v>0.39100000000000001</v>
      </c>
      <c r="F74" s="15">
        <f>INDEX(AVA_2!$A:$J,MATCH('2020'!$A74,AVA_2!$A:$A,0),MATCH('2020'!$A$1,AVA_2!$3:$3,0))</f>
        <v>1.2585803596381414E-2</v>
      </c>
      <c r="G74" s="15">
        <f>INDEX(AVA_3!$A:$J,MATCH('2020'!$A74,AVA_3!$A:$A,0),MATCH('2020'!$A$1,AVA_3!$3:$3,0))</f>
        <v>2.962710126931228E-3</v>
      </c>
      <c r="H74" s="87">
        <f>INDEX(AVA_4!$A:$J,MATCH('2020'!$A74,AVA_4!$A:$A,0),MATCH('2020'!$A$1,AVA_4!$3:$3,0))/(B74/1000)</f>
        <v>0.51401262672017534</v>
      </c>
      <c r="I74" s="89">
        <f>INDEX(AVA_5!$A:$J,MATCH('2020'!$A74,AVA_5!$A:$A,0),MATCH('2020'!$A$1,AVA_5!$3:$3,0))/(B74/1000)</f>
        <v>9.6685775086064982</v>
      </c>
      <c r="J74" s="93">
        <f>INDEX(IRA_1!$A:$J,MATCH('2020'!$A74,IRA_1!$A:$A,0),MATCH('2020'!$A$1,IRA_1!$3:$3,0))/(B74/1000)</f>
        <v>0.13107321981364473</v>
      </c>
      <c r="K74" s="88">
        <f>INDEX(IRA_2!$A:$J,MATCH('2020'!$A74,IRA_2!$A:$A,0),MATCH('2020'!$A$1,IRA_2!$3:$3,0))/(B74/1000)</f>
        <v>0.26214643962728945</v>
      </c>
      <c r="L74" s="15">
        <f>INDEX(IRA_3!$A:$J,MATCH('2020'!$A74,IRA_3!$A:$A,0),MATCH('2020'!$A$1,IRA_3!$3:$3,0))</f>
        <v>0.31288912438733607</v>
      </c>
      <c r="M74" s="96">
        <f>INDEX(IRA_4!$A:$J,MATCH('2020'!$A74,IRA_4!$A:$A,0),MATCH('2020'!$A$1,IRA_4!$3:$3,0))/(B74/1000)</f>
        <v>7.8155619892802664</v>
      </c>
      <c r="N74" s="61">
        <f>INDEX(INV_1!$A:$J,MATCH('2020'!$A74,INV_1!$A:$A,0),MATCH('2020'!$A$1,INV_1!$3:$3,0))</f>
        <v>5.9332959364750512E-2</v>
      </c>
      <c r="O74" s="80">
        <f>INDEX(INV_2!$A:$J,MATCH('2020'!$A74,INV_2!$A:$A,0),MATCH('2020'!$A$1,INV_2!$3:$3,0))/B74*10^6/C74</f>
        <v>0.34009301953963794</v>
      </c>
      <c r="P74" s="87">
        <f>INDEX(INV_3!$A:$J,MATCH('2020'!$A74,INV_3!$A:$A,0),MATCH('2020'!$A$1,INV_3!$3:$3,0))/B74*10^6/C74</f>
        <v>4.2265480067446664</v>
      </c>
      <c r="Q74" s="87">
        <f>INDEX(INV_4!$A:$J,MATCH('2020'!$A74,INV_4!$A:$A,0),MATCH('2020'!$A$1,INV_4!$3:$3,0))/B74*10^3/C74</f>
        <v>0.29580459673168391</v>
      </c>
      <c r="R74" s="34">
        <f>INDEX(INV_5!$A:$J,MATCH('2020'!$A74,INV_5!$A:$A,0),MATCH('2020'!$A$1,INV_5!$3:$3,0))</f>
        <v>0.1056</v>
      </c>
      <c r="S74" s="77">
        <f>INDEX(LUJ_1!$A:$J,MATCH('2020'!$A74,LUJ_1!$A:$A,0),MATCH('2020'!$A$1,LUJ_1!$3:$3,0))</f>
        <v>0.73604766633565044</v>
      </c>
      <c r="T74" s="73">
        <f>INDEX(LUJ_2!$A:$J,MATCH('2020'!$A74,LUJ_2!$A:$A,0),MATCH('2020'!$A$1,LUJ_2!$3:$3,0))</f>
        <v>0.29899999999999999</v>
      </c>
      <c r="U74" s="73">
        <f>INDEX(LUJ_3!$A:$J,MATCH('2020'!$A74,LUJ_3!$A:$A,0),MATCH('2020'!$A$1,LUJ_3!$3:$3,0))</f>
        <v>0.54820512820512823</v>
      </c>
      <c r="V74" s="14">
        <f>INDEX(LUJ_4!$A:$J,MATCH('2020'!$A74,LUJ_4!$A:$A,0),MATCH('2020'!$A$1,LUJ_4!$3:$3,0))</f>
        <v>22</v>
      </c>
      <c r="W74" s="34">
        <f>INDEX(LUJ_5!$A:$J,MATCH('2020'!$A74,LUJ_5!$A:$A,0),MATCH('2020'!$A$1,LUJ_5!$3:$3,0))</f>
        <v>18.100000000000001</v>
      </c>
      <c r="X74" s="98">
        <f>1/INDEX(GUL_1!$A:$J,MATCH('2020'!$A74,GUL_1!$A:$A,0),MATCH('2020'!$A$1,GUL_1!$3:$3,0))</f>
        <v>1.4841199168892847E-2</v>
      </c>
      <c r="Y74" s="57">
        <f>INDEX(GUL_2!$A:$J,MATCH('2020'!$A74,GUL_2!$A:$A,0),MATCH('2020'!$A$1,GUL_2!$3:$3,0))</f>
        <v>25.3</v>
      </c>
      <c r="Z74" s="57">
        <f>INDEX(GUL_3!$A:$J,MATCH('2020'!$A74,GUL_3!$A:$A,0),MATCH('2020'!$A$1,GUL_3!$3:$3,0))/(B74/1000)</f>
        <v>1.157813441687195</v>
      </c>
      <c r="AA74" s="101">
        <f>INDEX(GUL_4!$A:$J,MATCH('2020'!$A74,GUL_4!$A:$A,0),MATCH('2020'!$A$1,GUL_4!$3:$3,0))/B74/C74*10^6</f>
        <v>0.23042807654095085</v>
      </c>
      <c r="AB74" s="73">
        <f>INDEX(GUL_5!$A:$J,MATCH('2020'!$A74,GUL_5!$A:$A,0),MATCH('2020'!$A$1,GUL_5!$3:$3,0))</f>
        <v>2.6379436564835948E-2</v>
      </c>
      <c r="AC74" s="49">
        <f>INDEX(GUL_6!$A:$J,MATCH('2020'!$A74,GUL_6!$A:$A,0),MATCH('2020'!$A$1,GUL_6!$3:$3,0))</f>
        <v>8.7300000000000003E-2</v>
      </c>
      <c r="AD74" s="49">
        <f>INDEX(GUL_7!$A:$J,MATCH('2020'!$A74,GUL_7!$A:$A,0),MATCH('2020'!$A$1,GUL_7!$3:$3,0))</f>
        <v>0.22482350000000001</v>
      </c>
      <c r="AE74" s="103">
        <f>INDEX(GUL_8!$A:$J,MATCH('2020'!$A74,GUL_8!$A:$A,0),MATCH('2020'!$A$1,GUL_8!$3:$3,0))/(B74/1000)</f>
        <v>3.7548622381908809</v>
      </c>
      <c r="AF74" s="41">
        <f>INDEX(DES_1!$A:$J,MATCH('2020'!$A74,DES_1!$A:$A,0),MATCH('2020'!$A$1,DES_1!$3:$3,0))/(B74/1000)</f>
        <v>0.29298719723049993</v>
      </c>
      <c r="AG74" s="100">
        <f>INDEX(DES_2!$A:$J,MATCH('2020'!$A74,DES_2!$A:$A,0),MATCH('2020'!$A$1,DES_2!$3:$3,0))/(B74/1000)</f>
        <v>1.5394678170269251</v>
      </c>
      <c r="AH74" s="57">
        <f>1/INDEX(DES_3!$A:$J,MATCH('2020'!$A74,DES_3!$A:$A,0),MATCH('2020'!$A$1,DES_3!$3:$3,0))</f>
        <v>8.8183421516754845E-3</v>
      </c>
      <c r="AI74" s="80">
        <f>INDEX(DES_4!$A:$J,MATCH('2020'!$A74,DES_4!$A:$A,0),MATCH('2020'!$A$1,DES_4!$3:$3,0))</f>
        <v>0.81421800803599997</v>
      </c>
      <c r="AJ74" s="110">
        <f>INDEX(DES_5!$A:$J,MATCH('2020'!$A74,DES_5!$A:$A,0),MATCH('2020'!$A$1,DES_5!$3:$3,0))</f>
        <v>0.58850012382200001</v>
      </c>
      <c r="AK74" s="57">
        <v>81</v>
      </c>
    </row>
    <row r="75" spans="1:37" x14ac:dyDescent="0.3">
      <c r="A75" s="29" t="s">
        <v>74</v>
      </c>
      <c r="B75" s="33">
        <f>INDEX(Population!$A:$J,MATCH('2020'!$A75,Population!$A:$A,0),MATCH('2020'!$A$1,Population!$3:$3,0))</f>
        <v>153641</v>
      </c>
      <c r="C75" s="14">
        <f>INDEX(Income!$A:$J,MATCH('2020'!$A75,Income!$A:$A,0),MATCH('2020'!$A$1,Income!$3:$3,0))</f>
        <v>28126</v>
      </c>
      <c r="D75" s="34">
        <f>INDEX(Livable_wage!$A:$J,MATCH('2020'!$A75,Livable_wage!$A:$A,0),MATCH('2020'!$A$1,Livable_wage!$3:$3,0))</f>
        <v>16336</v>
      </c>
      <c r="E75" s="41">
        <f>INDEX(AVA_1!$A:$J,MATCH('2020'!$A75,AVA_1!$A:$A,0),MATCH('2020'!$A$1,AVA_1!$3:$3,0))</f>
        <v>0.32700000000000001</v>
      </c>
      <c r="F75" s="15">
        <f>INDEX(AVA_2!$A:$J,MATCH('2020'!$A75,AVA_2!$A:$A,0),MATCH('2020'!$A$1,AVA_2!$3:$3,0))</f>
        <v>8.8320358257227855E-3</v>
      </c>
      <c r="G75" s="15">
        <f>INDEX(AVA_3!$A:$J,MATCH('2020'!$A75,AVA_3!$A:$A,0),MATCH('2020'!$A$1,AVA_3!$3:$3,0))</f>
        <v>1.3323911007436748E-2</v>
      </c>
      <c r="H75" s="87">
        <f>INDEX(AVA_4!$A:$J,MATCH('2020'!$A75,AVA_4!$A:$A,0),MATCH('2020'!$A$1,AVA_4!$3:$3,0))/(B75/1000)</f>
        <v>0.48164226996700105</v>
      </c>
      <c r="I75" s="89">
        <f>INDEX(AVA_5!$A:$J,MATCH('2020'!$A75,AVA_5!$A:$A,0),MATCH('2020'!$A$1,AVA_5!$3:$3,0))/(B75/1000)</f>
        <v>9.3009027538222231</v>
      </c>
      <c r="J75" s="93">
        <f>INDEX(IRA_1!$A:$J,MATCH('2020'!$A75,IRA_1!$A:$A,0),MATCH('2020'!$A$1,IRA_1!$3:$3,0))/(B75/1000)</f>
        <v>0.11064754850593267</v>
      </c>
      <c r="K75" s="88">
        <f>INDEX(IRA_2!$A:$J,MATCH('2020'!$A75,IRA_2!$A:$A,0),MATCH('2020'!$A$1,IRA_2!$3:$3,0))/(B75/1000)</f>
        <v>0.32543396619391962</v>
      </c>
      <c r="L75" s="15">
        <f>INDEX(IRA_3!$A:$J,MATCH('2020'!$A75,IRA_3!$A:$A,0),MATCH('2020'!$A$1,IRA_3!$3:$3,0))</f>
        <v>0.37825520833333337</v>
      </c>
      <c r="M75" s="96">
        <f>INDEX(IRA_4!$A:$J,MATCH('2020'!$A75,IRA_4!$A:$A,0),MATCH('2020'!$A$1,IRA_4!$3:$3,0))/(B75/1000)</f>
        <v>8.2660227413255587</v>
      </c>
      <c r="N75" s="61">
        <f>INDEX(INV_1!$A:$J,MATCH('2020'!$A75,INV_1!$A:$A,0),MATCH('2020'!$A$1,INV_1!$3:$3,0))</f>
        <v>6.7532404553127867E-2</v>
      </c>
      <c r="O75" s="80">
        <f>INDEX(INV_2!$A:$J,MATCH('2020'!$A75,INV_2!$A:$A,0),MATCH('2020'!$A$1,INV_2!$3:$3,0))/B75*10^6/C75</f>
        <v>0.18711741234433804</v>
      </c>
      <c r="P75" s="87">
        <f>INDEX(INV_3!$A:$J,MATCH('2020'!$A75,INV_3!$A:$A,0),MATCH('2020'!$A$1,INV_3!$3:$3,0))/B75*10^6/C75</f>
        <v>4.2260364720424946</v>
      </c>
      <c r="Q75" s="87">
        <f>INDEX(INV_4!$A:$J,MATCH('2020'!$A75,INV_4!$A:$A,0),MATCH('2020'!$A$1,INV_4!$3:$3,0))/B75*10^3/C75</f>
        <v>0.24240988819445455</v>
      </c>
      <c r="R75" s="34">
        <f>INDEX(INV_5!$A:$J,MATCH('2020'!$A75,INV_5!$A:$A,0),MATCH('2020'!$A$1,INV_5!$3:$3,0))</f>
        <v>6.4199999999999993E-2</v>
      </c>
      <c r="S75" s="77">
        <f>INDEX(LUJ_1!$A:$J,MATCH('2020'!$A75,LUJ_1!$A:$A,0),MATCH('2020'!$A$1,LUJ_1!$3:$3,0))</f>
        <v>0.68139773895169575</v>
      </c>
      <c r="T75" s="73">
        <f>INDEX(LUJ_2!$A:$J,MATCH('2020'!$A75,LUJ_2!$A:$A,0),MATCH('2020'!$A$1,LUJ_2!$3:$3,0))</f>
        <v>0.33200000000000002</v>
      </c>
      <c r="U75" s="73">
        <f>INDEX(LUJ_3!$A:$J,MATCH('2020'!$A75,LUJ_3!$A:$A,0),MATCH('2020'!$A$1,LUJ_3!$3:$3,0))</f>
        <v>0.70664206642066418</v>
      </c>
      <c r="V75" s="14">
        <f>INDEX(LUJ_4!$A:$J,MATCH('2020'!$A75,LUJ_4!$A:$A,0),MATCH('2020'!$A$1,LUJ_4!$3:$3,0))</f>
        <v>9</v>
      </c>
      <c r="W75" s="34">
        <f>INDEX(LUJ_5!$A:$J,MATCH('2020'!$A75,LUJ_5!$A:$A,0),MATCH('2020'!$A$1,LUJ_5!$3:$3,0))</f>
        <v>15.2</v>
      </c>
      <c r="X75" s="98">
        <f>1/INDEX(GUL_1!$A:$J,MATCH('2020'!$A75,GUL_1!$A:$A,0),MATCH('2020'!$A$1,GUL_1!$3:$3,0))</f>
        <v>1.4814814814814815E-2</v>
      </c>
      <c r="Y75" s="57">
        <f>INDEX(GUL_2!$A:$J,MATCH('2020'!$A75,GUL_2!$A:$A,0),MATCH('2020'!$A$1,GUL_2!$3:$3,0))</f>
        <v>26.3</v>
      </c>
      <c r="Z75" s="57">
        <f>INDEX(GUL_3!$A:$J,MATCH('2020'!$A75,GUL_3!$A:$A,0),MATCH('2020'!$A$1,GUL_3!$3:$3,0))/(B75/1000)</f>
        <v>0.90470642601909657</v>
      </c>
      <c r="AA75" s="101">
        <f>INDEX(GUL_4!$A:$J,MATCH('2020'!$A75,GUL_4!$A:$A,0),MATCH('2020'!$A$1,GUL_4!$3:$3,0))/B75/C75*10^6</f>
        <v>0.15583249152740203</v>
      </c>
      <c r="AB75" s="73">
        <f>INDEX(GUL_5!$A:$J,MATCH('2020'!$A75,GUL_5!$A:$A,0),MATCH('2020'!$A$1,GUL_5!$3:$3,0))</f>
        <v>6.0636109201680805E-2</v>
      </c>
      <c r="AC75" s="49">
        <f>INDEX(GUL_6!$A:$J,MATCH('2020'!$A75,GUL_6!$A:$A,0),MATCH('2020'!$A$1,GUL_6!$3:$3,0))</f>
        <v>7.1500000000000008E-2</v>
      </c>
      <c r="AD75" s="49">
        <f>INDEX(GUL_7!$A:$J,MATCH('2020'!$A75,GUL_7!$A:$A,0),MATCH('2020'!$A$1,GUL_7!$3:$3,0))</f>
        <v>0.35012290000000001</v>
      </c>
      <c r="AE75" s="103">
        <f>INDEX(GUL_8!$A:$J,MATCH('2020'!$A75,GUL_8!$A:$A,0),MATCH('2020'!$A$1,GUL_8!$3:$3,0))/(B75/1000)</f>
        <v>3.1697268307287771</v>
      </c>
      <c r="AF75" s="41">
        <f>INDEX(DES_1!$A:$J,MATCH('2020'!$A75,DES_1!$A:$A,0),MATCH('2020'!$A$1,DES_1!$3:$3,0))/(B75/1000)</f>
        <v>0.21478641768798695</v>
      </c>
      <c r="AG75" s="100">
        <f>INDEX(DES_2!$A:$J,MATCH('2020'!$A75,DES_2!$A:$A,0),MATCH('2020'!$A$1,DES_2!$3:$3,0))/(B75/1000)</f>
        <v>1.9460951178396393</v>
      </c>
      <c r="AH75" s="57">
        <f>1/INDEX(DES_3!$A:$J,MATCH('2020'!$A75,DES_3!$A:$A,0),MATCH('2020'!$A$1,DES_3!$3:$3,0))</f>
        <v>9.6805421103581795E-3</v>
      </c>
      <c r="AI75" s="80">
        <f>INDEX(DES_4!$A:$J,MATCH('2020'!$A75,DES_4!$A:$A,0),MATCH('2020'!$A$1,DES_4!$3:$3,0))</f>
        <v>0.51505853100700005</v>
      </c>
      <c r="AJ75" s="110">
        <f>INDEX(DES_5!$A:$J,MATCH('2020'!$A75,DES_5!$A:$A,0),MATCH('2020'!$A$1,DES_5!$3:$3,0))</f>
        <v>0.38370327821099998</v>
      </c>
      <c r="AK75" s="57">
        <v>80</v>
      </c>
    </row>
    <row r="76" spans="1:37" x14ac:dyDescent="0.3">
      <c r="A76" s="29" t="s">
        <v>75</v>
      </c>
      <c r="B76" s="33">
        <f>INDEX(Population!$A:$J,MATCH('2020'!$A76,Population!$A:$A,0),MATCH('2020'!$A$1,Population!$3:$3,0))</f>
        <v>1302772</v>
      </c>
      <c r="C76" s="14">
        <f>INDEX(Income!$A:$J,MATCH('2020'!$A76,Income!$A:$A,0),MATCH('2020'!$A$1,Income!$3:$3,0))</f>
        <v>41751</v>
      </c>
      <c r="D76" s="34">
        <f>INDEX(Livable_wage!$A:$J,MATCH('2020'!$A76,Livable_wage!$A:$A,0),MATCH('2020'!$A$1,Livable_wage!$3:$3,0))</f>
        <v>16510</v>
      </c>
      <c r="E76" s="41">
        <f>INDEX(AVA_1!$A:$J,MATCH('2020'!$A76,AVA_1!$A:$A,0),MATCH('2020'!$A$1,AVA_1!$3:$3,0))</f>
        <v>0.36399999999999999</v>
      </c>
      <c r="F76" s="15">
        <f>INDEX(AVA_2!$A:$J,MATCH('2020'!$A76,AVA_2!$A:$A,0),MATCH('2020'!$A$1,AVA_2!$3:$3,0))</f>
        <v>1.4298204377785246E-2</v>
      </c>
      <c r="G76" s="15">
        <f>INDEX(AVA_3!$A:$J,MATCH('2020'!$A76,AVA_3!$A:$A,0),MATCH('2020'!$A$1,AVA_3!$3:$3,0))</f>
        <v>9.8209240307051034E-3</v>
      </c>
      <c r="H76" s="87">
        <f>INDEX(AVA_4!$A:$J,MATCH('2020'!$A76,AVA_4!$A:$A,0),MATCH('2020'!$A$1,AVA_4!$3:$3,0))/(B76/1000)</f>
        <v>0.48128145216507573</v>
      </c>
      <c r="I76" s="89">
        <f>INDEX(AVA_5!$A:$J,MATCH('2020'!$A76,AVA_5!$A:$A,0),MATCH('2020'!$A$1,AVA_5!$3:$3,0))/(B76/1000)</f>
        <v>6.9382823702075269</v>
      </c>
      <c r="J76" s="93">
        <f>INDEX(IRA_1!$A:$J,MATCH('2020'!$A76,IRA_1!$A:$A,0),MATCH('2020'!$A$1,IRA_1!$3:$3,0))/(B76/1000)</f>
        <v>0.12204744959210054</v>
      </c>
      <c r="K76" s="88">
        <f>INDEX(IRA_2!$A:$J,MATCH('2020'!$A76,IRA_2!$A:$A,0),MATCH('2020'!$A$1,IRA_2!$3:$3,0))/(B76/1000)</f>
        <v>0.22567264264199724</v>
      </c>
      <c r="L76" s="15">
        <f>INDEX(IRA_3!$A:$J,MATCH('2020'!$A76,IRA_3!$A:$A,0),MATCH('2020'!$A$1,IRA_3!$3:$3,0))</f>
        <v>0.32695374800637955</v>
      </c>
      <c r="M76" s="96">
        <f>INDEX(IRA_4!$A:$J,MATCH('2020'!$A76,IRA_4!$A:$A,0),MATCH('2020'!$A$1,IRA_4!$3:$3,0))/(B76/1000)</f>
        <v>7.0749141062288725</v>
      </c>
      <c r="N76" s="61">
        <f>INDEX(INV_1!$A:$J,MATCH('2020'!$A76,INV_1!$A:$A,0),MATCH('2020'!$A$1,INV_1!$3:$3,0))</f>
        <v>7.6111116110170893E-2</v>
      </c>
      <c r="O76" s="80">
        <f>INDEX(INV_2!$A:$J,MATCH('2020'!$A76,INV_2!$A:$A,0),MATCH('2020'!$A$1,INV_2!$3:$3,0))/B76*10^6/C76</f>
        <v>0.23672310496740884</v>
      </c>
      <c r="P76" s="87">
        <f>INDEX(INV_3!$A:$J,MATCH('2020'!$A76,INV_3!$A:$A,0),MATCH('2020'!$A$1,INV_3!$3:$3,0))/B76*10^6/C76</f>
        <v>3.7592821194573518</v>
      </c>
      <c r="Q76" s="87">
        <f>INDEX(INV_4!$A:$J,MATCH('2020'!$A76,INV_4!$A:$A,0),MATCH('2020'!$A$1,INV_4!$3:$3,0))/B76*10^3/C76</f>
        <v>0.33187080787724443</v>
      </c>
      <c r="R76" s="34">
        <f>INDEX(INV_5!$A:$J,MATCH('2020'!$A76,INV_5!$A:$A,0),MATCH('2020'!$A$1,INV_5!$3:$3,0))</f>
        <v>0.15029999999999999</v>
      </c>
      <c r="S76" s="77">
        <f>INDEX(LUJ_1!$A:$J,MATCH('2020'!$A76,LUJ_1!$A:$A,0),MATCH('2020'!$A$1,LUJ_1!$3:$3,0))</f>
        <v>0.7624862620588595</v>
      </c>
      <c r="T76" s="73">
        <f>INDEX(LUJ_2!$A:$J,MATCH('2020'!$A76,LUJ_2!$A:$A,0),MATCH('2020'!$A$1,LUJ_2!$3:$3,0))</f>
        <v>0.30599999999999999</v>
      </c>
      <c r="U76" s="73">
        <f>INDEX(LUJ_3!$A:$J,MATCH('2020'!$A76,LUJ_3!$A:$A,0),MATCH('2020'!$A$1,LUJ_3!$3:$3,0))</f>
        <v>0.56538740043446778</v>
      </c>
      <c r="V76" s="14">
        <f>INDEX(LUJ_4!$A:$J,MATCH('2020'!$A76,LUJ_4!$A:$A,0),MATCH('2020'!$A$1,LUJ_4!$3:$3,0))</f>
        <v>40</v>
      </c>
      <c r="W76" s="34">
        <f>INDEX(LUJ_5!$A:$J,MATCH('2020'!$A76,LUJ_5!$A:$A,0),MATCH('2020'!$A$1,LUJ_5!$3:$3,0))</f>
        <v>23.3</v>
      </c>
      <c r="X76" s="98">
        <f>1/INDEX(GUL_1!$A:$J,MATCH('2020'!$A76,GUL_1!$A:$A,0),MATCH('2020'!$A$1,GUL_1!$3:$3,0))</f>
        <v>1.4575134819997086E-2</v>
      </c>
      <c r="Y76" s="57">
        <f>INDEX(GUL_2!$A:$J,MATCH('2020'!$A76,GUL_2!$A:$A,0),MATCH('2020'!$A$1,GUL_2!$3:$3,0))</f>
        <v>24.4</v>
      </c>
      <c r="Z76" s="57">
        <f>INDEX(GUL_3!$A:$J,MATCH('2020'!$A76,GUL_3!$A:$A,0),MATCH('2020'!$A$1,GUL_3!$3:$3,0))/(B76/1000)</f>
        <v>0.91190169883909089</v>
      </c>
      <c r="AA76" s="101">
        <f>INDEX(GUL_4!$A:$J,MATCH('2020'!$A76,GUL_4!$A:$A,0),MATCH('2020'!$A$1,GUL_4!$3:$3,0))/B76/C76*10^6</f>
        <v>0.29959718123996171</v>
      </c>
      <c r="AB76" s="73">
        <f>INDEX(GUL_5!$A:$J,MATCH('2020'!$A76,GUL_5!$A:$A,0),MATCH('2020'!$A$1,GUL_5!$3:$3,0))</f>
        <v>2.878462852750446E-2</v>
      </c>
      <c r="AC76" s="49">
        <f>INDEX(GUL_6!$A:$J,MATCH('2020'!$A76,GUL_6!$A:$A,0),MATCH('2020'!$A$1,GUL_6!$3:$3,0))</f>
        <v>9.11E-2</v>
      </c>
      <c r="AD76" s="49">
        <f>INDEX(GUL_7!$A:$J,MATCH('2020'!$A76,GUL_7!$A:$A,0),MATCH('2020'!$A$1,GUL_7!$3:$3,0))</f>
        <v>0.2943866</v>
      </c>
      <c r="AE76" s="103">
        <f>INDEX(GUL_8!$A:$J,MATCH('2020'!$A76,GUL_8!$A:$A,0),MATCH('2020'!$A$1,GUL_8!$3:$3,0))/(B76/1000)</f>
        <v>2.910716533668209</v>
      </c>
      <c r="AF76" s="41">
        <f>INDEX(DES_1!$A:$J,MATCH('2020'!$A76,DES_1!$A:$A,0),MATCH('2020'!$A$1,DES_1!$3:$3,0))/(B76/1000)</f>
        <v>3.8379701129591364E-3</v>
      </c>
      <c r="AG76" s="100">
        <f>INDEX(DES_2!$A:$J,MATCH('2020'!$A76,DES_2!$A:$A,0),MATCH('2020'!$A$1,DES_2!$3:$3,0))/(B76/1000)</f>
        <v>0.58720942728274794</v>
      </c>
      <c r="AH76" s="57">
        <f>1/INDEX(DES_3!$A:$J,MATCH('2020'!$A76,DES_3!$A:$A,0),MATCH('2020'!$A$1,DES_3!$3:$3,0))</f>
        <v>9.1743119266055051E-3</v>
      </c>
      <c r="AI76" s="80">
        <f>INDEX(DES_4!$A:$J,MATCH('2020'!$A76,DES_4!$A:$A,0),MATCH('2020'!$A$1,DES_4!$3:$3,0))</f>
        <v>0.93870391713599999</v>
      </c>
      <c r="AJ76" s="110">
        <f>INDEX(DES_5!$A:$J,MATCH('2020'!$A76,DES_5!$A:$A,0),MATCH('2020'!$A$1,DES_5!$3:$3,0))</f>
        <v>0.73442528736099999</v>
      </c>
      <c r="AK76" s="57">
        <v>79</v>
      </c>
    </row>
    <row r="77" spans="1:37" x14ac:dyDescent="0.3">
      <c r="A77" s="29" t="s">
        <v>76</v>
      </c>
      <c r="B77" s="33">
        <f>INDEX(Population!$A:$J,MATCH('2020'!$A77,Population!$A:$A,0),MATCH('2020'!$A$1,Population!$3:$3,0))</f>
        <v>2634981</v>
      </c>
      <c r="C77" s="14">
        <f>INDEX(Income!$A:$J,MATCH('2020'!$A77,Income!$A:$A,0),MATCH('2020'!$A$1,Income!$3:$3,0))</f>
        <v>25441</v>
      </c>
      <c r="D77" s="34">
        <f>INDEX(Livable_wage!$A:$J,MATCH('2020'!$A77,Livable_wage!$A:$A,0),MATCH('2020'!$A$1,Livable_wage!$3:$3,0))</f>
        <v>11023</v>
      </c>
      <c r="E77" s="41">
        <f>INDEX(AVA_1!$A:$J,MATCH('2020'!$A77,AVA_1!$A:$A,0),MATCH('2020'!$A$1,AVA_1!$3:$3,0))</f>
        <v>0.34100000000000003</v>
      </c>
      <c r="F77" s="15">
        <f>INDEX(AVA_2!$A:$J,MATCH('2020'!$A77,AVA_2!$A:$A,0),MATCH('2020'!$A$1,AVA_2!$3:$3,0))</f>
        <v>1.065750280848962E-2</v>
      </c>
      <c r="G77" s="15">
        <f>INDEX(AVA_3!$A:$J,MATCH('2020'!$A77,AVA_3!$A:$A,0),MATCH('2020'!$A$1,AVA_3!$3:$3,0))</f>
        <v>1.1744199835088247E-2</v>
      </c>
      <c r="H77" s="87">
        <f>INDEX(AVA_4!$A:$J,MATCH('2020'!$A77,AVA_4!$A:$A,0),MATCH('2020'!$A$1,AVA_4!$3:$3,0))/(B77/1000)</f>
        <v>0.39962337489340527</v>
      </c>
      <c r="I77" s="89">
        <f>INDEX(AVA_5!$A:$J,MATCH('2020'!$A77,AVA_5!$A:$A,0),MATCH('2020'!$A$1,AVA_5!$3:$3,0))/(B77/1000)</f>
        <v>7.5985367636426977</v>
      </c>
      <c r="J77" s="93">
        <f>INDEX(IRA_1!$A:$J,MATCH('2020'!$A77,IRA_1!$A:$A,0),MATCH('2020'!$A$1,IRA_1!$3:$3,0))/(B77/1000)</f>
        <v>8.3492063130625987E-2</v>
      </c>
      <c r="K77" s="88">
        <f>INDEX(IRA_2!$A:$J,MATCH('2020'!$A77,IRA_2!$A:$A,0),MATCH('2020'!$A$1,IRA_2!$3:$3,0))/(B77/1000)</f>
        <v>0.25844588632707405</v>
      </c>
      <c r="L77" s="15">
        <f>INDEX(IRA_3!$A:$J,MATCH('2020'!$A77,IRA_3!$A:$A,0),MATCH('2020'!$A$1,IRA_3!$3:$3,0))</f>
        <v>0.30447311827956991</v>
      </c>
      <c r="M77" s="96">
        <f>INDEX(IRA_4!$A:$J,MATCH('2020'!$A77,IRA_4!$A:$A,0),MATCH('2020'!$A$1,IRA_4!$3:$3,0))/(B77/1000)</f>
        <v>6.1112395117839551</v>
      </c>
      <c r="N77" s="61">
        <f>INDEX(INV_1!$A:$J,MATCH('2020'!$A77,INV_1!$A:$A,0),MATCH('2020'!$A$1,INV_1!$3:$3,0))</f>
        <v>7.6177570895997374E-2</v>
      </c>
      <c r="O77" s="80">
        <f>INDEX(INV_2!$A:$J,MATCH('2020'!$A77,INV_2!$A:$A,0),MATCH('2020'!$A$1,INV_2!$3:$3,0))/B77*10^6/C77</f>
        <v>0.33243961097513791</v>
      </c>
      <c r="P77" s="87">
        <f>INDEX(INV_3!$A:$J,MATCH('2020'!$A77,INV_3!$A:$A,0),MATCH('2020'!$A$1,INV_3!$3:$3,0))/B77*10^6/C77</f>
        <v>4.7398619457099711</v>
      </c>
      <c r="Q77" s="87">
        <f>INDEX(INV_4!$A:$J,MATCH('2020'!$A77,INV_4!$A:$A,0),MATCH('2020'!$A$1,INV_4!$3:$3,0))/B77*10^3/C77</f>
        <v>0.32631573314918794</v>
      </c>
      <c r="R77" s="34">
        <f>INDEX(INV_5!$A:$J,MATCH('2020'!$A77,INV_5!$A:$A,0),MATCH('2020'!$A$1,INV_5!$3:$3,0))</f>
        <v>7.8100000000000003E-2</v>
      </c>
      <c r="S77" s="77">
        <f>INDEX(LUJ_1!$A:$J,MATCH('2020'!$A77,LUJ_1!$A:$A,0),MATCH('2020'!$A$1,LUJ_1!$3:$3,0))</f>
        <v>0.78730487534216176</v>
      </c>
      <c r="T77" s="73">
        <f>INDEX(LUJ_2!$A:$J,MATCH('2020'!$A77,LUJ_2!$A:$A,0),MATCH('2020'!$A$1,LUJ_2!$3:$3,0))</f>
        <v>0.27500000000000002</v>
      </c>
      <c r="U77" s="73">
        <f>INDEX(LUJ_3!$A:$J,MATCH('2020'!$A77,LUJ_3!$A:$A,0),MATCH('2020'!$A$1,LUJ_3!$3:$3,0))</f>
        <v>0.62749463629690549</v>
      </c>
      <c r="V77" s="14">
        <f>INDEX(LUJ_4!$A:$J,MATCH('2020'!$A77,LUJ_4!$A:$A,0),MATCH('2020'!$A$1,LUJ_4!$3:$3,0))</f>
        <v>58</v>
      </c>
      <c r="W77" s="34">
        <f>INDEX(LUJ_5!$A:$J,MATCH('2020'!$A77,LUJ_5!$A:$A,0),MATCH('2020'!$A$1,LUJ_5!$3:$3,0))</f>
        <v>125.1</v>
      </c>
      <c r="X77" s="98">
        <f>1/INDEX(GUL_1!$A:$J,MATCH('2020'!$A77,GUL_1!$A:$A,0),MATCH('2020'!$A$1,GUL_1!$3:$3,0))</f>
        <v>1.4596409283316304E-2</v>
      </c>
      <c r="Y77" s="57">
        <f>INDEX(GUL_2!$A:$J,MATCH('2020'!$A77,GUL_2!$A:$A,0),MATCH('2020'!$A$1,GUL_2!$3:$3,0))</f>
        <v>25.5</v>
      </c>
      <c r="Z77" s="57">
        <f>INDEX(GUL_3!$A:$J,MATCH('2020'!$A77,GUL_3!$A:$A,0),MATCH('2020'!$A$1,GUL_3!$3:$3,0))/(B77/1000)</f>
        <v>0.93700865395234345</v>
      </c>
      <c r="AA77" s="101">
        <f>INDEX(GUL_4!$A:$J,MATCH('2020'!$A77,GUL_4!$A:$A,0),MATCH('2020'!$A$1,GUL_4!$3:$3,0))/B77/C77*10^6</f>
        <v>0.25844989906331267</v>
      </c>
      <c r="AB77" s="73">
        <f>INDEX(GUL_5!$A:$J,MATCH('2020'!$A77,GUL_5!$A:$A,0),MATCH('2020'!$A$1,GUL_5!$3:$3,0))</f>
        <v>2.8317909969575901E-2</v>
      </c>
      <c r="AC77" s="49">
        <f>INDEX(GUL_6!$A:$J,MATCH('2020'!$A77,GUL_6!$A:$A,0),MATCH('2020'!$A$1,GUL_6!$3:$3,0))</f>
        <v>5.45E-2</v>
      </c>
      <c r="AD77" s="49">
        <f>INDEX(GUL_7!$A:$J,MATCH('2020'!$A77,GUL_7!$A:$A,0),MATCH('2020'!$A$1,GUL_7!$3:$3,0))</f>
        <v>0.22329059999999998</v>
      </c>
      <c r="AE77" s="103">
        <f>INDEX(GUL_8!$A:$J,MATCH('2020'!$A77,GUL_8!$A:$A,0),MATCH('2020'!$A$1,GUL_8!$3:$3,0))/(B77/1000)</f>
        <v>3.7704256691034961</v>
      </c>
      <c r="AF77" s="41">
        <f>INDEX(DES_1!$A:$J,MATCH('2020'!$A77,DES_1!$A:$A,0),MATCH('2020'!$A$1,DES_1!$3:$3,0))/(B77/1000)</f>
        <v>0.23757287054441756</v>
      </c>
      <c r="AG77" s="100">
        <f>INDEX(DES_2!$A:$J,MATCH('2020'!$A77,DES_2!$A:$A,0),MATCH('2020'!$A$1,DES_2!$3:$3,0))/(B77/1000)</f>
        <v>0.70019480216365881</v>
      </c>
      <c r="AH77" s="57">
        <f>1/INDEX(DES_3!$A:$J,MATCH('2020'!$A77,DES_3!$A:$A,0),MATCH('2020'!$A$1,DES_3!$3:$3,0))</f>
        <v>9.5419847328244278E-3</v>
      </c>
      <c r="AI77" s="80">
        <f>INDEX(DES_4!$A:$J,MATCH('2020'!$A77,DES_4!$A:$A,0),MATCH('2020'!$A$1,DES_4!$3:$3,0))</f>
        <v>0.885406488396</v>
      </c>
      <c r="AJ77" s="110">
        <f>INDEX(DES_5!$A:$J,MATCH('2020'!$A77,DES_5!$A:$A,0),MATCH('2020'!$A$1,DES_5!$3:$3,0))</f>
        <v>0.75921106328300003</v>
      </c>
      <c r="AK77" s="57">
        <v>78</v>
      </c>
    </row>
    <row r="78" spans="1:37" x14ac:dyDescent="0.3">
      <c r="A78" s="29" t="s">
        <v>77</v>
      </c>
      <c r="B78" s="33">
        <f>INDEX(Population!$A:$J,MATCH('2020'!$A78,Population!$A:$A,0),MATCH('2020'!$A$1,Population!$3:$3,0))</f>
        <v>537293</v>
      </c>
      <c r="C78" s="14">
        <f>INDEX(Income!$A:$J,MATCH('2020'!$A78,Income!$A:$A,0),MATCH('2020'!$A$1,Income!$3:$3,0))</f>
        <v>23843</v>
      </c>
      <c r="D78" s="34">
        <f>INDEX(Livable_wage!$A:$J,MATCH('2020'!$A78,Livable_wage!$A:$A,0),MATCH('2020'!$A$1,Livable_wage!$3:$3,0))</f>
        <v>12428</v>
      </c>
      <c r="E78" s="41">
        <f>INDEX(AVA_1!$A:$J,MATCH('2020'!$A78,AVA_1!$A:$A,0),MATCH('2020'!$A$1,AVA_1!$3:$3,0))</f>
        <v>0.32900000000000001</v>
      </c>
      <c r="F78" s="15">
        <f>INDEX(AVA_2!$A:$J,MATCH('2020'!$A78,AVA_2!$A:$A,0),MATCH('2020'!$A$1,AVA_2!$3:$3,0))</f>
        <v>1.0371111624828599E-2</v>
      </c>
      <c r="G78" s="15">
        <f>INDEX(AVA_3!$A:$J,MATCH('2020'!$A78,AVA_3!$A:$A,0),MATCH('2020'!$A$1,AVA_3!$3:$3,0))</f>
        <v>1.7616334959526154E-2</v>
      </c>
      <c r="H78" s="87">
        <f>INDEX(AVA_4!$A:$J,MATCH('2020'!$A78,AVA_4!$A:$A,0),MATCH('2020'!$A$1,AVA_4!$3:$3,0))/(B78/1000)</f>
        <v>0.51554738289908852</v>
      </c>
      <c r="I78" s="89">
        <f>INDEX(AVA_5!$A:$J,MATCH('2020'!$A78,AVA_5!$A:$A,0),MATCH('2020'!$A$1,AVA_5!$3:$3,0))/(B78/1000)</f>
        <v>6.4303834220806895</v>
      </c>
      <c r="J78" s="93">
        <f>INDEX(IRA_1!$A:$J,MATCH('2020'!$A78,IRA_1!$A:$A,0),MATCH('2020'!$A$1,IRA_1!$3:$3,0))/(B78/1000)</f>
        <v>0.10422618571245112</v>
      </c>
      <c r="K78" s="88">
        <f>INDEX(IRA_2!$A:$J,MATCH('2020'!$A78,IRA_2!$A:$A,0),MATCH('2020'!$A$1,IRA_2!$3:$3,0))/(B78/1000)</f>
        <v>0.26242664616885014</v>
      </c>
      <c r="L78" s="15">
        <f>INDEX(IRA_3!$A:$J,MATCH('2020'!$A78,IRA_3!$A:$A,0),MATCH('2020'!$A$1,IRA_3!$3:$3,0))</f>
        <v>0.30054366292898405</v>
      </c>
      <c r="M78" s="96">
        <f>INDEX(IRA_4!$A:$J,MATCH('2020'!$A78,IRA_4!$A:$A,0),MATCH('2020'!$A$1,IRA_4!$3:$3,0))/(B78/1000)</f>
        <v>6.1512061389223387</v>
      </c>
      <c r="N78" s="61">
        <f>INDEX(INV_1!$A:$J,MATCH('2020'!$A78,INV_1!$A:$A,0),MATCH('2020'!$A$1,INV_1!$3:$3,0))</f>
        <v>7.8288143101754443E-2</v>
      </c>
      <c r="O78" s="80">
        <f>INDEX(INV_2!$A:$J,MATCH('2020'!$A78,INV_2!$A:$A,0),MATCH('2020'!$A$1,INV_2!$3:$3,0))/B78*10^6/C78</f>
        <v>0.35820970120144385</v>
      </c>
      <c r="P78" s="87">
        <f>INDEX(INV_3!$A:$J,MATCH('2020'!$A78,INV_3!$A:$A,0),MATCH('2020'!$A$1,INV_3!$3:$3,0))/B78*10^6/C78</f>
        <v>4.9171484071386038</v>
      </c>
      <c r="Q78" s="87">
        <f>INDEX(INV_4!$A:$J,MATCH('2020'!$A78,INV_4!$A:$A,0),MATCH('2020'!$A$1,INV_4!$3:$3,0))/B78*10^3/C78</f>
        <v>0.33585227309500132</v>
      </c>
      <c r="R78" s="34">
        <f>INDEX(INV_5!$A:$J,MATCH('2020'!$A78,INV_5!$A:$A,0),MATCH('2020'!$A$1,INV_5!$3:$3,0))</f>
        <v>8.2799999999999999E-2</v>
      </c>
      <c r="S78" s="77">
        <f>INDEX(LUJ_1!$A:$J,MATCH('2020'!$A78,LUJ_1!$A:$A,0),MATCH('2020'!$A$1,LUJ_1!$3:$3,0))</f>
        <v>0.84395011796427366</v>
      </c>
      <c r="T78" s="73">
        <f>INDEX(LUJ_2!$A:$J,MATCH('2020'!$A78,LUJ_2!$A:$A,0),MATCH('2020'!$A$1,LUJ_2!$3:$3,0))</f>
        <v>0.26100000000000001</v>
      </c>
      <c r="U78" s="73">
        <f>INDEX(LUJ_3!$A:$J,MATCH('2020'!$A78,LUJ_3!$A:$A,0),MATCH('2020'!$A$1,LUJ_3!$3:$3,0))</f>
        <v>0.4491241147968692</v>
      </c>
      <c r="V78" s="14">
        <f>INDEX(LUJ_4!$A:$J,MATCH('2020'!$A78,LUJ_4!$A:$A,0),MATCH('2020'!$A$1,LUJ_4!$3:$3,0))</f>
        <v>45</v>
      </c>
      <c r="W78" s="34">
        <f>INDEX(LUJ_5!$A:$J,MATCH('2020'!$A78,LUJ_5!$A:$A,0),MATCH('2020'!$A$1,LUJ_5!$3:$3,0))</f>
        <v>39.5</v>
      </c>
      <c r="X78" s="98">
        <f>1/INDEX(GUL_1!$A:$J,MATCH('2020'!$A78,GUL_1!$A:$A,0),MATCH('2020'!$A$1,GUL_1!$3:$3,0))</f>
        <v>1.4273479874393376E-2</v>
      </c>
      <c r="Y78" s="57">
        <f>INDEX(GUL_2!$A:$J,MATCH('2020'!$A78,GUL_2!$A:$A,0),MATCH('2020'!$A$1,GUL_2!$3:$3,0))</f>
        <v>25</v>
      </c>
      <c r="Z78" s="57">
        <f>INDEX(GUL_3!$A:$J,MATCH('2020'!$A78,GUL_3!$A:$A,0),MATCH('2020'!$A$1,GUL_3!$3:$3,0))/(B78/1000)</f>
        <v>0.84683775891366531</v>
      </c>
      <c r="AA78" s="101">
        <f>INDEX(GUL_4!$A:$J,MATCH('2020'!$A78,GUL_4!$A:$A,0),MATCH('2020'!$A$1,GUL_4!$3:$3,0))/B78/C78*10^6</f>
        <v>0.41159417261176706</v>
      </c>
      <c r="AB78" s="73">
        <f>INDEX(GUL_5!$A:$J,MATCH('2020'!$A78,GUL_5!$A:$A,0),MATCH('2020'!$A$1,GUL_5!$3:$3,0))</f>
        <v>4.2793043816155001E-2</v>
      </c>
      <c r="AC78" s="49">
        <f>INDEX(GUL_6!$A:$J,MATCH('2020'!$A78,GUL_6!$A:$A,0),MATCH('2020'!$A$1,GUL_6!$3:$3,0))</f>
        <v>5.3699999999999998E-2</v>
      </c>
      <c r="AD78" s="49">
        <f>INDEX(GUL_7!$A:$J,MATCH('2020'!$A78,GUL_7!$A:$A,0),MATCH('2020'!$A$1,GUL_7!$3:$3,0))</f>
        <v>0.28024830000000001</v>
      </c>
      <c r="AE78" s="103">
        <f>INDEX(GUL_8!$A:$J,MATCH('2020'!$A78,GUL_8!$A:$A,0),MATCH('2020'!$A$1,GUL_8!$3:$3,0))/(B78/1000)</f>
        <v>4.6287593547654629</v>
      </c>
      <c r="AF78" s="41">
        <f>INDEX(DES_1!$A:$J,MATCH('2020'!$A78,DES_1!$A:$A,0),MATCH('2020'!$A$1,DES_1!$3:$3,0))/(B78/1000)</f>
        <v>0.2661490099442948</v>
      </c>
      <c r="AG78" s="100">
        <f>INDEX(DES_2!$A:$J,MATCH('2020'!$A78,DES_2!$A:$A,0),MATCH('2020'!$A$1,DES_2!$3:$3,0))/(B78/1000)</f>
        <v>1.1967399538054655</v>
      </c>
      <c r="AH78" s="57">
        <f>1/INDEX(DES_3!$A:$J,MATCH('2020'!$A78,DES_3!$A:$A,0),MATCH('2020'!$A$1,DES_3!$3:$3,0))</f>
        <v>7.1326676176890159E-3</v>
      </c>
      <c r="AI78" s="80">
        <f>INDEX(DES_4!$A:$J,MATCH('2020'!$A78,DES_4!$A:$A,0),MATCH('2020'!$A$1,DES_4!$3:$3,0))</f>
        <v>0.49231215516600002</v>
      </c>
      <c r="AJ78" s="110">
        <f>INDEX(DES_5!$A:$J,MATCH('2020'!$A78,DES_5!$A:$A,0),MATCH('2020'!$A$1,DES_5!$3:$3,0))</f>
        <v>0.46134986520699994</v>
      </c>
      <c r="AK78" s="57">
        <v>75</v>
      </c>
    </row>
    <row r="79" spans="1:37" x14ac:dyDescent="0.3">
      <c r="A79" s="29" t="s">
        <v>78</v>
      </c>
      <c r="B79" s="33">
        <f>INDEX(Population!$A:$J,MATCH('2020'!$A79,Population!$A:$A,0),MATCH('2020'!$A$1,Population!$3:$3,0))</f>
        <v>1228638</v>
      </c>
      <c r="C79" s="14">
        <f>INDEX(Income!$A:$J,MATCH('2020'!$A79,Income!$A:$A,0),MATCH('2020'!$A$1,Income!$3:$3,0))</f>
        <v>29527</v>
      </c>
      <c r="D79" s="34">
        <f>INDEX(Livable_wage!$A:$J,MATCH('2020'!$A79,Livable_wage!$A:$A,0),MATCH('2020'!$A$1,Livable_wage!$3:$3,0))</f>
        <v>11689</v>
      </c>
      <c r="E79" s="41">
        <f>INDEX(AVA_1!$A:$J,MATCH('2020'!$A79,AVA_1!$A:$A,0),MATCH('2020'!$A$1,AVA_1!$3:$3,0))</f>
        <v>0.35</v>
      </c>
      <c r="F79" s="15">
        <f>INDEX(AVA_2!$A:$J,MATCH('2020'!$A79,AVA_2!$A:$A,0),MATCH('2020'!$A$1,AVA_2!$3:$3,0))</f>
        <v>1.4021619306691199E-2</v>
      </c>
      <c r="G79" s="15">
        <f>INDEX(AVA_3!$A:$J,MATCH('2020'!$A79,AVA_3!$A:$A,0),MATCH('2020'!$A$1,AVA_3!$3:$3,0))</f>
        <v>0.10217593018463281</v>
      </c>
      <c r="H79" s="87">
        <f>INDEX(AVA_4!$A:$J,MATCH('2020'!$A79,AVA_4!$A:$A,0),MATCH('2020'!$A$1,AVA_4!$3:$3,0))/(B79/1000)</f>
        <v>0.57950348271826202</v>
      </c>
      <c r="I79" s="89">
        <f>INDEX(AVA_5!$A:$J,MATCH('2020'!$A79,AVA_5!$A:$A,0),MATCH('2020'!$A$1,AVA_5!$3:$3,0))/(B79/1000)</f>
        <v>5.4678432540748378</v>
      </c>
      <c r="J79" s="93">
        <f>INDEX(IRA_1!$A:$J,MATCH('2020'!$A79,IRA_1!$A:$A,0),MATCH('2020'!$A$1,IRA_1!$3:$3,0))/(B79/1000)</f>
        <v>4.9648472536255595E-2</v>
      </c>
      <c r="K79" s="88">
        <f>INDEX(IRA_2!$A:$J,MATCH('2020'!$A79,IRA_2!$A:$A,0),MATCH('2020'!$A$1,IRA_2!$3:$3,0))/(B79/1000)</f>
        <v>0.12696986419107989</v>
      </c>
      <c r="L79" s="15">
        <f>INDEX(IRA_3!$A:$J,MATCH('2020'!$A79,IRA_3!$A:$A,0),MATCH('2020'!$A$1,IRA_3!$3:$3,0))</f>
        <v>0.38906700865662069</v>
      </c>
      <c r="M79" s="96">
        <f>INDEX(IRA_4!$A:$J,MATCH('2020'!$A79,IRA_4!$A:$A,0),MATCH('2020'!$A$1,IRA_4!$3:$3,0))/(B79/1000)</f>
        <v>4.1851220619905947</v>
      </c>
      <c r="N79" s="61">
        <f>INDEX(INV_1!$A:$J,MATCH('2020'!$A79,INV_1!$A:$A,0),MATCH('2020'!$A$1,INV_1!$3:$3,0))</f>
        <v>5.9729567950179155E-2</v>
      </c>
      <c r="O79" s="80">
        <f>INDEX(INV_2!$A:$J,MATCH('2020'!$A79,INV_2!$A:$A,0),MATCH('2020'!$A$1,INV_2!$3:$3,0))/B79*10^6/C79</f>
        <v>0.35851341705872625</v>
      </c>
      <c r="P79" s="87">
        <f>INDEX(INV_3!$A:$J,MATCH('2020'!$A79,INV_3!$A:$A,0),MATCH('2020'!$A$1,INV_3!$3:$3,0))/B79*10^6/C79</f>
        <v>3.5741777561415282</v>
      </c>
      <c r="Q79" s="87">
        <f>INDEX(INV_4!$A:$J,MATCH('2020'!$A79,INV_4!$A:$A,0),MATCH('2020'!$A$1,INV_4!$3:$3,0))/B79*10^3/C79</f>
        <v>0.24648840959325422</v>
      </c>
      <c r="R79" s="34">
        <f>INDEX(INV_5!$A:$J,MATCH('2020'!$A79,INV_5!$A:$A,0),MATCH('2020'!$A$1,INV_5!$3:$3,0))</f>
        <v>9.0700000000000003E-2</v>
      </c>
      <c r="S79" s="77">
        <f>INDEX(LUJ_1!$A:$J,MATCH('2020'!$A79,LUJ_1!$A:$A,0),MATCH('2020'!$A$1,LUJ_1!$3:$3,0))</f>
        <v>0.71304215027489315</v>
      </c>
      <c r="T79" s="73">
        <f>INDEX(LUJ_2!$A:$J,MATCH('2020'!$A79,LUJ_2!$A:$A,0),MATCH('2020'!$A$1,LUJ_2!$3:$3,0))</f>
        <v>0.21299999999999999</v>
      </c>
      <c r="U79" s="73">
        <f>INDEX(LUJ_3!$A:$J,MATCH('2020'!$A79,LUJ_3!$A:$A,0),MATCH('2020'!$A$1,LUJ_3!$3:$3,0))</f>
        <v>0.36843094857572622</v>
      </c>
      <c r="V79" s="14">
        <f>INDEX(LUJ_4!$A:$J,MATCH('2020'!$A79,LUJ_4!$A:$A,0),MATCH('2020'!$A$1,LUJ_4!$3:$3,0))</f>
        <v>22</v>
      </c>
      <c r="W79" s="34">
        <f>INDEX(LUJ_5!$A:$J,MATCH('2020'!$A79,LUJ_5!$A:$A,0),MATCH('2020'!$A$1,LUJ_5!$3:$3,0))</f>
        <v>44.9</v>
      </c>
      <c r="X79" s="98">
        <f>1/INDEX(GUL_1!$A:$J,MATCH('2020'!$A79,GUL_1!$A:$A,0),MATCH('2020'!$A$1,GUL_1!$3:$3,0))</f>
        <v>1.4096419509444602E-2</v>
      </c>
      <c r="Y79" s="57">
        <f>INDEX(GUL_2!$A:$J,MATCH('2020'!$A79,GUL_2!$A:$A,0),MATCH('2020'!$A$1,GUL_2!$3:$3,0))</f>
        <v>25.5</v>
      </c>
      <c r="Z79" s="57">
        <f>INDEX(GUL_3!$A:$J,MATCH('2020'!$A79,GUL_3!$A:$A,0),MATCH('2020'!$A$1,GUL_3!$3:$3,0))/(B79/1000)</f>
        <v>1.1109863116719489</v>
      </c>
      <c r="AA79" s="101">
        <f>INDEX(GUL_4!$A:$J,MATCH('2020'!$A79,GUL_4!$A:$A,0),MATCH('2020'!$A$1,GUL_4!$3:$3,0))/B79/C79*10^6</f>
        <v>0.33179315055332853</v>
      </c>
      <c r="AB79" s="73">
        <f>INDEX(GUL_5!$A:$J,MATCH('2020'!$A79,GUL_5!$A:$A,0),MATCH('2020'!$A$1,GUL_5!$3:$3,0))</f>
        <v>2.8540488768498753E-2</v>
      </c>
      <c r="AC79" s="49">
        <f>INDEX(GUL_6!$A:$J,MATCH('2020'!$A79,GUL_6!$A:$A,0),MATCH('2020'!$A$1,GUL_6!$3:$3,0))</f>
        <v>2.7300000000000001E-2</v>
      </c>
      <c r="AD79" s="49">
        <f>INDEX(GUL_7!$A:$J,MATCH('2020'!$A79,GUL_7!$A:$A,0),MATCH('2020'!$A$1,GUL_7!$3:$3,0))</f>
        <v>0.2165369</v>
      </c>
      <c r="AE79" s="103">
        <f>INDEX(GUL_8!$A:$J,MATCH('2020'!$A79,GUL_8!$A:$A,0),MATCH('2020'!$A$1,GUL_8!$3:$3,0))/(B79/1000)</f>
        <v>1.8817585000626711</v>
      </c>
      <c r="AF79" s="41">
        <f>INDEX(DES_1!$A:$J,MATCH('2020'!$A79,DES_1!$A:$A,0),MATCH('2020'!$A$1,DES_1!$3:$3,0))/(B79/1000)</f>
        <v>6.1857113323859431E-2</v>
      </c>
      <c r="AG79" s="100">
        <f>INDEX(DES_2!$A:$J,MATCH('2020'!$A79,DES_2!$A:$A,0),MATCH('2020'!$A$1,DES_2!$3:$3,0))/(B79/1000)</f>
        <v>0.3288193918794633</v>
      </c>
      <c r="AH79" s="57">
        <f>1/INDEX(DES_3!$A:$J,MATCH('2020'!$A79,DES_3!$A:$A,0),MATCH('2020'!$A$1,DES_3!$3:$3,0))</f>
        <v>7.9113924050632899E-3</v>
      </c>
      <c r="AI79" s="80">
        <f>INDEX(DES_4!$A:$J,MATCH('2020'!$A79,DES_4!$A:$A,0),MATCH('2020'!$A$1,DES_4!$3:$3,0))</f>
        <v>0.67595703555399989</v>
      </c>
      <c r="AJ79" s="110">
        <f>INDEX(DES_5!$A:$J,MATCH('2020'!$A79,DES_5!$A:$A,0),MATCH('2020'!$A$1,DES_5!$3:$3,0))</f>
        <v>0.43236585609299999</v>
      </c>
      <c r="AK79" s="57">
        <v>66</v>
      </c>
    </row>
    <row r="80" spans="1:37" x14ac:dyDescent="0.3">
      <c r="A80" s="29" t="s">
        <v>79</v>
      </c>
      <c r="B80" s="33">
        <f>INDEX(Population!$A:$J,MATCH('2020'!$A80,Population!$A:$A,0),MATCH('2020'!$A$1,Population!$3:$3,0))</f>
        <v>1466282</v>
      </c>
      <c r="C80" s="14">
        <f>INDEX(Income!$A:$J,MATCH('2020'!$A80,Income!$A:$A,0),MATCH('2020'!$A$1,Income!$3:$3,0))</f>
        <v>25460</v>
      </c>
      <c r="D80" s="34">
        <f>INDEX(Livable_wage!$A:$J,MATCH('2020'!$A80,Livable_wage!$A:$A,0),MATCH('2020'!$A$1,Livable_wage!$3:$3,0))</f>
        <v>10930</v>
      </c>
      <c r="E80" s="41">
        <f>INDEX(AVA_1!$A:$J,MATCH('2020'!$A80,AVA_1!$A:$A,0),MATCH('2020'!$A$1,AVA_1!$3:$3,0))</f>
        <v>0.33800000000000002</v>
      </c>
      <c r="F80" s="15">
        <f>INDEX(AVA_2!$A:$J,MATCH('2020'!$A80,AVA_2!$A:$A,0),MATCH('2020'!$A$1,AVA_2!$3:$3,0))</f>
        <v>9.9206883369318821E-3</v>
      </c>
      <c r="G80" s="15">
        <f>INDEX(AVA_3!$A:$J,MATCH('2020'!$A80,AVA_3!$A:$A,0),MATCH('2020'!$A$1,AVA_3!$3:$3,0))</f>
        <v>1.7981640224064375E-2</v>
      </c>
      <c r="H80" s="87">
        <f>INDEX(AVA_4!$A:$J,MATCH('2020'!$A80,AVA_4!$A:$A,0),MATCH('2020'!$A$1,AVA_4!$3:$3,0))/(B80/1000)</f>
        <v>0.78566060280355354</v>
      </c>
      <c r="I80" s="89">
        <f>INDEX(AVA_5!$A:$J,MATCH('2020'!$A80,AVA_5!$A:$A,0),MATCH('2020'!$A$1,AVA_5!$3:$3,0))/(B80/1000)</f>
        <v>7.4283118799794314</v>
      </c>
      <c r="J80" s="93">
        <f>INDEX(IRA_1!$A:$J,MATCH('2020'!$A80,IRA_1!$A:$A,0),MATCH('2020'!$A$1,IRA_1!$3:$3,0))/(B80/1000)</f>
        <v>5.7287752287759112E-2</v>
      </c>
      <c r="K80" s="88">
        <f>INDEX(IRA_2!$A:$J,MATCH('2020'!$A80,IRA_2!$A:$A,0),MATCH('2020'!$A$1,IRA_2!$3:$3,0))/(B80/1000)</f>
        <v>0.21141908582387292</v>
      </c>
      <c r="L80" s="15">
        <f>INDEX(IRA_3!$A:$J,MATCH('2020'!$A80,IRA_3!$A:$A,0),MATCH('2020'!$A$1,IRA_3!$3:$3,0))</f>
        <v>0.32635947090861939</v>
      </c>
      <c r="M80" s="96">
        <f>INDEX(IRA_4!$A:$J,MATCH('2020'!$A80,IRA_4!$A:$A,0),MATCH('2020'!$A$1,IRA_4!$3:$3,0))/(B80/1000)</f>
        <v>4.3879690264219295</v>
      </c>
      <c r="N80" s="61">
        <f>INDEX(INV_1!$A:$J,MATCH('2020'!$A80,INV_1!$A:$A,0),MATCH('2020'!$A$1,INV_1!$3:$3,0))</f>
        <v>8.600053999976906E-2</v>
      </c>
      <c r="O80" s="80">
        <f>INDEX(INV_2!$A:$J,MATCH('2020'!$A80,INV_2!$A:$A,0),MATCH('2020'!$A$1,INV_2!$3:$3,0))/B80*10^6/C80</f>
        <v>0.25770823617665667</v>
      </c>
      <c r="P80" s="87">
        <f>INDEX(INV_3!$A:$J,MATCH('2020'!$A80,INV_3!$A:$A,0),MATCH('2020'!$A$1,INV_3!$3:$3,0))/B80*10^6/C80</f>
        <v>5.5222474493746923</v>
      </c>
      <c r="Q80" s="87">
        <f>INDEX(INV_4!$A:$J,MATCH('2020'!$A80,INV_4!$A:$A,0),MATCH('2020'!$A$1,INV_4!$3:$3,0))/B80*10^3/C80</f>
        <v>0.24713239446315557</v>
      </c>
      <c r="R80" s="34">
        <f>INDEX(INV_5!$A:$J,MATCH('2020'!$A80,INV_5!$A:$A,0),MATCH('2020'!$A$1,INV_5!$3:$3,0))</f>
        <v>6.1400000000000003E-2</v>
      </c>
      <c r="S80" s="77">
        <f>INDEX(LUJ_1!$A:$J,MATCH('2020'!$A80,LUJ_1!$A:$A,0),MATCH('2020'!$A$1,LUJ_1!$3:$3,0))</f>
        <v>0.81828298887122419</v>
      </c>
      <c r="T80" s="73">
        <f>INDEX(LUJ_2!$A:$J,MATCH('2020'!$A80,LUJ_2!$A:$A,0),MATCH('2020'!$A$1,LUJ_2!$3:$3,0))</f>
        <v>0.23100000000000001</v>
      </c>
      <c r="U80" s="73">
        <f>INDEX(LUJ_3!$A:$J,MATCH('2020'!$A80,LUJ_3!$A:$A,0),MATCH('2020'!$A$1,LUJ_3!$3:$3,0))</f>
        <v>0.46485401964854017</v>
      </c>
      <c r="V80" s="14">
        <f>INDEX(LUJ_4!$A:$J,MATCH('2020'!$A80,LUJ_4!$A:$A,0),MATCH('2020'!$A$1,LUJ_4!$3:$3,0))</f>
        <v>48</v>
      </c>
      <c r="W80" s="34">
        <f>INDEX(LUJ_5!$A:$J,MATCH('2020'!$A80,LUJ_5!$A:$A,0),MATCH('2020'!$A$1,LUJ_5!$3:$3,0))</f>
        <v>44.2</v>
      </c>
      <c r="X80" s="98">
        <f>1/INDEX(GUL_1!$A:$J,MATCH('2020'!$A80,GUL_1!$A:$A,0),MATCH('2020'!$A$1,GUL_1!$3:$3,0))</f>
        <v>1.4078558355624384E-2</v>
      </c>
      <c r="Y80" s="57">
        <f>INDEX(GUL_2!$A:$J,MATCH('2020'!$A80,GUL_2!$A:$A,0),MATCH('2020'!$A$1,GUL_2!$3:$3,0))</f>
        <v>24.9</v>
      </c>
      <c r="Z80" s="57">
        <f>INDEX(GUL_3!$A:$J,MATCH('2020'!$A80,GUL_3!$A:$A,0),MATCH('2020'!$A$1,GUL_3!$3:$3,0))/(B80/1000)</f>
        <v>0.87159223123519214</v>
      </c>
      <c r="AA80" s="101">
        <f>INDEX(GUL_4!$A:$J,MATCH('2020'!$A80,GUL_4!$A:$A,0),MATCH('2020'!$A$1,GUL_4!$3:$3,0))/B80/C80*10^6</f>
        <v>0.2881852739182974</v>
      </c>
      <c r="AB80" s="73">
        <f>INDEX(GUL_5!$A:$J,MATCH('2020'!$A80,GUL_5!$A:$A,0),MATCH('2020'!$A$1,GUL_5!$3:$3,0))</f>
        <v>3.7177172403210709E-2</v>
      </c>
      <c r="AC80" s="49">
        <f>INDEX(GUL_6!$A:$J,MATCH('2020'!$A80,GUL_6!$A:$A,0),MATCH('2020'!$A$1,GUL_6!$3:$3,0))</f>
        <v>1.89E-2</v>
      </c>
      <c r="AD80" s="49">
        <f>INDEX(GUL_7!$A:$J,MATCH('2020'!$A80,GUL_7!$A:$A,0),MATCH('2020'!$A$1,GUL_7!$3:$3,0))</f>
        <v>0.18292249999999999</v>
      </c>
      <c r="AE80" s="103">
        <f>INDEX(GUL_8!$A:$J,MATCH('2020'!$A80,GUL_8!$A:$A,0),MATCH('2020'!$A$1,GUL_8!$3:$3,0))/(B80/1000)</f>
        <v>3.6902860432031495</v>
      </c>
      <c r="AF80" s="41">
        <f>INDEX(DES_1!$A:$J,MATCH('2020'!$A80,DES_1!$A:$A,0),MATCH('2020'!$A$1,DES_1!$3:$3,0))/(B80/1000)</f>
        <v>0.29462272605133255</v>
      </c>
      <c r="AG80" s="100">
        <f>INDEX(DES_2!$A:$J,MATCH('2020'!$A80,DES_2!$A:$A,0),MATCH('2020'!$A$1,DES_2!$3:$3,0))/(B80/1000)</f>
        <v>0.60561338132773912</v>
      </c>
      <c r="AH80" s="57">
        <f>1/INDEX(DES_3!$A:$J,MATCH('2020'!$A80,DES_3!$A:$A,0),MATCH('2020'!$A$1,DES_3!$3:$3,0))</f>
        <v>8.9686098654708519E-3</v>
      </c>
      <c r="AI80" s="80">
        <f>INDEX(DES_4!$A:$J,MATCH('2020'!$A80,DES_4!$A:$A,0),MATCH('2020'!$A$1,DES_4!$3:$3,0))</f>
        <v>0.80365769646100005</v>
      </c>
      <c r="AJ80" s="110">
        <f>INDEX(DES_5!$A:$J,MATCH('2020'!$A80,DES_5!$A:$A,0),MATCH('2020'!$A$1,DES_5!$3:$3,0))</f>
        <v>0.60510318223100001</v>
      </c>
      <c r="AK80" s="57">
        <v>59</v>
      </c>
    </row>
    <row r="81" spans="1:37" x14ac:dyDescent="0.3">
      <c r="A81" s="29" t="s">
        <v>80</v>
      </c>
      <c r="B81" s="33">
        <f>INDEX(Population!$A:$J,MATCH('2020'!$A81,Population!$A:$A,0),MATCH('2020'!$A$1,Population!$3:$3,0))</f>
        <v>1154820</v>
      </c>
      <c r="C81" s="14">
        <f>INDEX(Income!$A:$J,MATCH('2020'!$A81,Income!$A:$A,0),MATCH('2020'!$A$1,Income!$3:$3,0))</f>
        <v>29682</v>
      </c>
      <c r="D81" s="34">
        <f>INDEX(Livable_wage!$A:$J,MATCH('2020'!$A81,Livable_wage!$A:$A,0),MATCH('2020'!$A$1,Livable_wage!$3:$3,0))</f>
        <v>12438</v>
      </c>
      <c r="E81" s="41">
        <f>INDEX(AVA_1!$A:$J,MATCH('2020'!$A81,AVA_1!$A:$A,0),MATCH('2020'!$A$1,AVA_1!$3:$3,0))</f>
        <v>0.35699999999999998</v>
      </c>
      <c r="F81" s="15">
        <f>INDEX(AVA_2!$A:$J,MATCH('2020'!$A81,AVA_2!$A:$A,0),MATCH('2020'!$A$1,AVA_2!$3:$3,0))</f>
        <v>9.5662820201924612E-3</v>
      </c>
      <c r="G81" s="15">
        <f>INDEX(AVA_3!$A:$J,MATCH('2020'!$A81,AVA_3!$A:$A,0),MATCH('2020'!$A$1,AVA_3!$3:$3,0))</f>
        <v>0.3531985521197552</v>
      </c>
      <c r="H81" s="87">
        <f>INDEX(AVA_4!$A:$J,MATCH('2020'!$A81,AVA_4!$A:$A,0),MATCH('2020'!$A$1,AVA_4!$3:$3,0))/(B81/1000)</f>
        <v>0.69015084601929311</v>
      </c>
      <c r="I81" s="89">
        <f>INDEX(AVA_5!$A:$J,MATCH('2020'!$A81,AVA_5!$A:$A,0),MATCH('2020'!$A$1,AVA_5!$3:$3,0))/(B81/1000)</f>
        <v>5.1324015863944163</v>
      </c>
      <c r="J81" s="93">
        <f>INDEX(IRA_1!$A:$J,MATCH('2020'!$A81,IRA_1!$A:$A,0),MATCH('2020'!$A$1,IRA_1!$3:$3,0))/(B81/1000)</f>
        <v>6.3213314629119693E-2</v>
      </c>
      <c r="K81" s="88">
        <f>INDEX(IRA_2!$A:$J,MATCH('2020'!$A81,IRA_2!$A:$A,0),MATCH('2020'!$A$1,IRA_2!$3:$3,0))/(B81/1000)</f>
        <v>0.18704213643684731</v>
      </c>
      <c r="L81" s="15">
        <f>INDEX(IRA_3!$A:$J,MATCH('2020'!$A81,IRA_3!$A:$A,0),MATCH('2020'!$A$1,IRA_3!$3:$3,0))</f>
        <v>0.34795968534906585</v>
      </c>
      <c r="M81" s="96">
        <f>INDEX(IRA_4!$A:$J,MATCH('2020'!$A81,IRA_4!$A:$A,0),MATCH('2020'!$A$1,IRA_4!$3:$3,0))/(B81/1000)</f>
        <v>4.3279472125526057</v>
      </c>
      <c r="N81" s="61">
        <f>INDEX(INV_1!$A:$J,MATCH('2020'!$A81,INV_1!$A:$A,0),MATCH('2020'!$A$1,INV_1!$3:$3,0))</f>
        <v>6.2273346573892337E-2</v>
      </c>
      <c r="O81" s="80">
        <f>INDEX(INV_2!$A:$J,MATCH('2020'!$A81,INV_2!$A:$A,0),MATCH('2020'!$A$1,INV_2!$3:$3,0))/B81*10^6/C81</f>
        <v>0.22293053406046831</v>
      </c>
      <c r="P81" s="87">
        <f>INDEX(INV_3!$A:$J,MATCH('2020'!$A81,INV_3!$A:$A,0),MATCH('2020'!$A$1,INV_3!$3:$3,0))/B81*10^6/C81</f>
        <v>4.269697814749672</v>
      </c>
      <c r="Q81" s="87">
        <f>INDEX(INV_4!$A:$J,MATCH('2020'!$A81,INV_4!$A:$A,0),MATCH('2020'!$A$1,INV_4!$3:$3,0))/B81*10^3/C81</f>
        <v>0.26247978548074741</v>
      </c>
      <c r="R81" s="34">
        <f>INDEX(INV_5!$A:$J,MATCH('2020'!$A81,INV_5!$A:$A,0),MATCH('2020'!$A$1,INV_5!$3:$3,0))</f>
        <v>4.7100000000000003E-2</v>
      </c>
      <c r="S81" s="77">
        <f>INDEX(LUJ_1!$A:$J,MATCH('2020'!$A81,LUJ_1!$A:$A,0),MATCH('2020'!$A$1,LUJ_1!$3:$3,0))</f>
        <v>0.77313215778949285</v>
      </c>
      <c r="T81" s="73">
        <f>INDEX(LUJ_2!$A:$J,MATCH('2020'!$A81,LUJ_2!$A:$A,0),MATCH('2020'!$A$1,LUJ_2!$3:$3,0))</f>
        <v>0.26400000000000001</v>
      </c>
      <c r="U81" s="73">
        <f>INDEX(LUJ_3!$A:$J,MATCH('2020'!$A81,LUJ_3!$A:$A,0),MATCH('2020'!$A$1,LUJ_3!$3:$3,0))</f>
        <v>0.57977540215406287</v>
      </c>
      <c r="V81" s="14">
        <f>INDEX(LUJ_4!$A:$J,MATCH('2020'!$A81,LUJ_4!$A:$A,0),MATCH('2020'!$A$1,LUJ_4!$3:$3,0))</f>
        <v>11</v>
      </c>
      <c r="W81" s="34">
        <f>INDEX(LUJ_5!$A:$J,MATCH('2020'!$A81,LUJ_5!$A:$A,0),MATCH('2020'!$A$1,LUJ_5!$3:$3,0))</f>
        <v>25.9</v>
      </c>
      <c r="X81" s="98">
        <f>1/INDEX(GUL_1!$A:$J,MATCH('2020'!$A81,GUL_1!$A:$A,0),MATCH('2020'!$A$1,GUL_1!$3:$3,0))</f>
        <v>1.4142271248762552E-2</v>
      </c>
      <c r="Y81" s="57">
        <f>INDEX(GUL_2!$A:$J,MATCH('2020'!$A81,GUL_2!$A:$A,0),MATCH('2020'!$A$1,GUL_2!$3:$3,0))</f>
        <v>24.8</v>
      </c>
      <c r="Z81" s="57">
        <f>INDEX(GUL_3!$A:$J,MATCH('2020'!$A81,GUL_3!$A:$A,0),MATCH('2020'!$A$1,GUL_3!$3:$3,0))/(B81/1000)</f>
        <v>0.82610276926274229</v>
      </c>
      <c r="AA81" s="101">
        <f>INDEX(GUL_4!$A:$J,MATCH('2020'!$A81,GUL_4!$A:$A,0),MATCH('2020'!$A$1,GUL_4!$3:$3,0))/B81/C81*10^6</f>
        <v>0.2293843032035619</v>
      </c>
      <c r="AB81" s="73">
        <f>INDEX(GUL_5!$A:$J,MATCH('2020'!$A81,GUL_5!$A:$A,0),MATCH('2020'!$A$1,GUL_5!$3:$3,0))</f>
        <v>3.255332858643753E-2</v>
      </c>
      <c r="AC81" s="49">
        <f>INDEX(GUL_6!$A:$J,MATCH('2020'!$A81,GUL_6!$A:$A,0),MATCH('2020'!$A$1,GUL_6!$3:$3,0))</f>
        <v>5.7200000000000001E-2</v>
      </c>
      <c r="AD81" s="49">
        <f>INDEX(GUL_7!$A:$J,MATCH('2020'!$A81,GUL_7!$A:$A,0),MATCH('2020'!$A$1,GUL_7!$3:$3,0))</f>
        <v>0.19135100000000002</v>
      </c>
      <c r="AE81" s="103">
        <f>INDEX(GUL_8!$A:$J,MATCH('2020'!$A81,GUL_8!$A:$A,0),MATCH('2020'!$A$1,GUL_8!$3:$3,0))/(B81/1000)</f>
        <v>2.8974212431374586</v>
      </c>
      <c r="AF81" s="41">
        <f>INDEX(DES_1!$A:$J,MATCH('2020'!$A81,DES_1!$A:$A,0),MATCH('2020'!$A$1,DES_1!$3:$3,0))/(B81/1000)</f>
        <v>0.13075630834242566</v>
      </c>
      <c r="AG81" s="100">
        <f>INDEX(DES_2!$A:$J,MATCH('2020'!$A81,DES_2!$A:$A,0),MATCH('2020'!$A$1,DES_2!$3:$3,0))/(B81/1000)</f>
        <v>0.35330181326960047</v>
      </c>
      <c r="AH81" s="57">
        <f>1/INDEX(DES_3!$A:$J,MATCH('2020'!$A81,DES_3!$A:$A,0),MATCH('2020'!$A$1,DES_3!$3:$3,0))</f>
        <v>8.7183958151700082E-3</v>
      </c>
      <c r="AI81" s="80">
        <f>INDEX(DES_4!$A:$J,MATCH('2020'!$A81,DES_4!$A:$A,0),MATCH('2020'!$A$1,DES_4!$3:$3,0))</f>
        <v>0.87493183987600009</v>
      </c>
      <c r="AJ81" s="110">
        <f>INDEX(DES_5!$A:$J,MATCH('2020'!$A81,DES_5!$A:$A,0),MATCH('2020'!$A$1,DES_5!$3:$3,0))</f>
        <v>0.54308495790400002</v>
      </c>
      <c r="AK81" s="57">
        <v>55</v>
      </c>
    </row>
    <row r="82" spans="1:37" x14ac:dyDescent="0.3">
      <c r="A82" s="29" t="s">
        <v>81</v>
      </c>
      <c r="B82" s="33">
        <f>INDEX(Population!$A:$J,MATCH('2020'!$A82,Population!$A:$A,0),MATCH('2020'!$A$1,Population!$3:$3,0))</f>
        <v>500340</v>
      </c>
      <c r="C82" s="14">
        <f>INDEX(Income!$A:$J,MATCH('2020'!$A82,Income!$A:$A,0),MATCH('2020'!$A$1,Income!$3:$3,0))</f>
        <v>16877</v>
      </c>
      <c r="D82" s="34">
        <f>INDEX(Livable_wage!$A:$J,MATCH('2020'!$A82,Livable_wage!$A:$A,0),MATCH('2020'!$A$1,Livable_wage!$3:$3,0))</f>
        <v>10580</v>
      </c>
      <c r="E82" s="41">
        <f>INDEX(AVA_1!$A:$J,MATCH('2020'!$A82,AVA_1!$A:$A,0),MATCH('2020'!$A$1,AVA_1!$3:$3,0))</f>
        <v>0.32800000000000001</v>
      </c>
      <c r="F82" s="15">
        <f>INDEX(AVA_2!$A:$J,MATCH('2020'!$A82,AVA_2!$A:$A,0),MATCH('2020'!$A$1,AVA_2!$3:$3,0))</f>
        <v>6.2811721485853469E-3</v>
      </c>
      <c r="G82" s="15">
        <f>INDEX(AVA_3!$A:$J,MATCH('2020'!$A82,AVA_3!$A:$A,0),MATCH('2020'!$A$1,AVA_3!$3:$3,0))</f>
        <v>3.1815036985794597E-2</v>
      </c>
      <c r="H82" s="87">
        <f>INDEX(AVA_4!$A:$J,MATCH('2020'!$A82,AVA_4!$A:$A,0),MATCH('2020'!$A$1,AVA_4!$3:$3,0))/(B82/1000)</f>
        <v>0.46368469440780274</v>
      </c>
      <c r="I82" s="89">
        <f>INDEX(AVA_5!$A:$J,MATCH('2020'!$A82,AVA_5!$A:$A,0),MATCH('2020'!$A$1,AVA_5!$3:$3,0))/(B82/1000)</f>
        <v>0.41371867130351364</v>
      </c>
      <c r="J82" s="93">
        <f>INDEX(IRA_1!$A:$J,MATCH('2020'!$A82,IRA_1!$A:$A,0),MATCH('2020'!$A$1,IRA_1!$3:$3,0))/(B82/1000)</f>
        <v>3.5975536635088144E-2</v>
      </c>
      <c r="K82" s="88">
        <f>INDEX(IRA_2!$A:$J,MATCH('2020'!$A82,IRA_2!$A:$A,0),MATCH('2020'!$A$1,IRA_2!$3:$3,0))/(B82/1000)</f>
        <v>2.7980972938401887E-2</v>
      </c>
      <c r="L82" s="15">
        <f>INDEX(IRA_3!$A:$J,MATCH('2020'!$A82,IRA_3!$A:$A,0),MATCH('2020'!$A$1,IRA_3!$3:$3,0))</f>
        <v>0.71875</v>
      </c>
      <c r="M82" s="96">
        <f>INDEX(IRA_4!$A:$J,MATCH('2020'!$A82,IRA_4!$A:$A,0),MATCH('2020'!$A$1,IRA_4!$3:$3,0))/(B82/1000)</f>
        <v>1.2331614502138546</v>
      </c>
      <c r="N82" s="61">
        <f>INDEX(INV_1!$A:$J,MATCH('2020'!$A82,INV_1!$A:$A,0),MATCH('2020'!$A$1,INV_1!$3:$3,0))</f>
        <v>5.0913306837475351E-2</v>
      </c>
      <c r="O82" s="80">
        <f>INDEX(INV_2!$A:$J,MATCH('2020'!$A82,INV_2!$A:$A,0),MATCH('2020'!$A$1,INV_2!$3:$3,0))/B82*10^6/C82</f>
        <v>5.8732728687669496E-2</v>
      </c>
      <c r="P82" s="87">
        <f>INDEX(INV_3!$A:$J,MATCH('2020'!$A82,INV_3!$A:$A,0),MATCH('2020'!$A$1,INV_3!$3:$3,0))/B82*10^6/C82</f>
        <v>0.9849319527365582</v>
      </c>
      <c r="Q82" s="87">
        <f>INDEX(INV_4!$A:$J,MATCH('2020'!$A82,INV_4!$A:$A,0),MATCH('2020'!$A$1,INV_4!$3:$3,0))/B82*10^3/C82</f>
        <v>0.19965518073532121</v>
      </c>
      <c r="R82" s="34">
        <f>INDEX(INV_5!$A:$J,MATCH('2020'!$A82,INV_5!$A:$A,0),MATCH('2020'!$A$1,INV_5!$3:$3,0))</f>
        <v>8.9399999999999993E-2</v>
      </c>
      <c r="S82" s="77">
        <f>INDEX(LUJ_1!$A:$J,MATCH('2020'!$A82,LUJ_1!$A:$A,0),MATCH('2020'!$A$1,LUJ_1!$3:$3,0))</f>
        <v>0.27055702917771884</v>
      </c>
      <c r="T82" s="73">
        <f>INDEX(LUJ_2!$A:$J,MATCH('2020'!$A82,LUJ_2!$A:$A,0),MATCH('2020'!$A$1,LUJ_2!$3:$3,0))</f>
        <v>0.185</v>
      </c>
      <c r="U82" s="73">
        <f>INDEX(LUJ_3!$A:$J,MATCH('2020'!$A82,LUJ_3!$A:$A,0),MATCH('2020'!$A$1,LUJ_3!$3:$3,0))</f>
        <v>9.4970059880239516E-2</v>
      </c>
      <c r="V82" s="14">
        <f>INDEX(LUJ_4!$A:$J,MATCH('2020'!$A82,LUJ_4!$A:$A,0),MATCH('2020'!$A$1,LUJ_4!$3:$3,0))</f>
        <v>3</v>
      </c>
      <c r="W82" s="34">
        <f>INDEX(LUJ_5!$A:$J,MATCH('2020'!$A82,LUJ_5!$A:$A,0),MATCH('2020'!$A$1,LUJ_5!$3:$3,0))</f>
        <v>7.1</v>
      </c>
      <c r="X82" s="98">
        <f>1/INDEX(GUL_1!$A:$J,MATCH('2020'!$A82,GUL_1!$A:$A,0),MATCH('2020'!$A$1,GUL_1!$3:$3,0))</f>
        <v>1.2272950417280314E-2</v>
      </c>
      <c r="Y82" s="57">
        <f>INDEX(GUL_2!$A:$J,MATCH('2020'!$A82,GUL_2!$A:$A,0),MATCH('2020'!$A$1,GUL_2!$3:$3,0))</f>
        <v>23.8</v>
      </c>
      <c r="Z82" s="57">
        <f>INDEX(GUL_3!$A:$J,MATCH('2020'!$A82,GUL_3!$A:$A,0),MATCH('2020'!$A$1,GUL_3!$3:$3,0))/(B82/1000)</f>
        <v>4.3970100331774398E-2</v>
      </c>
      <c r="AA82" s="101">
        <f>INDEX(GUL_4!$A:$J,MATCH('2020'!$A82,GUL_4!$A:$A,0),MATCH('2020'!$A$1,GUL_4!$3:$3,0))/B82/C82*10^6</f>
        <v>5.4746205654753334E-2</v>
      </c>
      <c r="AB82" s="73">
        <f>INDEX(GUL_5!$A:$J,MATCH('2020'!$A82,GUL_5!$A:$A,0),MATCH('2020'!$A$1,GUL_5!$3:$3,0))</f>
        <v>7.3202957201788568E-3</v>
      </c>
      <c r="AC82" s="49">
        <f>INDEX(GUL_6!$A:$J,MATCH('2020'!$A82,GUL_6!$A:$A,0),MATCH('2020'!$A$1,GUL_6!$3:$3,0))</f>
        <v>8.9999999999999998E-4</v>
      </c>
      <c r="AD82" s="49">
        <f>INDEX(GUL_7!$A:$J,MATCH('2020'!$A82,GUL_7!$A:$A,0),MATCH('2020'!$A$1,GUL_7!$3:$3,0))</f>
        <v>3.6458240000000003E-2</v>
      </c>
      <c r="AE82" s="103">
        <f>INDEX(GUL_8!$A:$J,MATCH('2020'!$A82,GUL_8!$A:$A,0),MATCH('2020'!$A$1,GUL_8!$3:$3,0))/(B82/1000)</f>
        <v>0.18187632409961227</v>
      </c>
      <c r="AF82" s="41">
        <f>INDEX(DES_1!$A:$J,MATCH('2020'!$A82,DES_1!$A:$A,0),MATCH('2020'!$A$1,DES_1!$3:$3,0))/(B82/1000)</f>
        <v>1.9986409241715634E-3</v>
      </c>
      <c r="AG82" s="100">
        <f>INDEX(DES_2!$A:$J,MATCH('2020'!$A82,DES_2!$A:$A,0),MATCH('2020'!$A$1,DES_2!$3:$3,0))/(B82/1000)</f>
        <v>0.42371187592437143</v>
      </c>
      <c r="AH82" s="57">
        <f>1/INDEX(DES_3!$A:$J,MATCH('2020'!$A82,DES_3!$A:$A,0),MATCH('2020'!$A$1,DES_3!$3:$3,0))</f>
        <v>9.9700897308075773E-3</v>
      </c>
      <c r="AI82" s="80">
        <f>INDEX(DES_4!$A:$J,MATCH('2020'!$A82,DES_4!$A:$A,0),MATCH('2020'!$A$1,DES_4!$3:$3,0))</f>
        <v>0.30350054643199997</v>
      </c>
      <c r="AJ82" s="110">
        <f>INDEX(DES_5!$A:$J,MATCH('2020'!$A82,DES_5!$A:$A,0),MATCH('2020'!$A$1,DES_5!$3:$3,0))</f>
        <v>1.1737537674000001E-2</v>
      </c>
      <c r="AK82" s="57">
        <v>34</v>
      </c>
    </row>
    <row r="83" spans="1:37" x14ac:dyDescent="0.3">
      <c r="A83" s="29" t="s">
        <v>82</v>
      </c>
      <c r="B83" s="33">
        <f>INDEX(Population!$A:$J,MATCH('2020'!$A83,Population!$A:$A,0),MATCH('2020'!$A$1,Population!$3:$3,0))</f>
        <v>3457131</v>
      </c>
      <c r="C83" s="14">
        <f>INDEX(Income!$A:$J,MATCH('2020'!$A83,Income!$A:$A,0),MATCH('2020'!$A$1,Income!$3:$3,0))</f>
        <v>26647</v>
      </c>
      <c r="D83" s="34">
        <f>INDEX(Livable_wage!$A:$J,MATCH('2020'!$A83,Livable_wage!$A:$A,0),MATCH('2020'!$A$1,Livable_wage!$3:$3,0))</f>
        <v>12056</v>
      </c>
      <c r="E83" s="41">
        <f>INDEX(AVA_1!$A:$J,MATCH('2020'!$A83,AVA_1!$A:$A,0),MATCH('2020'!$A$1,AVA_1!$3:$3,0))</f>
        <v>0.33400000000000002</v>
      </c>
      <c r="F83" s="15">
        <f>INDEX(AVA_2!$A:$J,MATCH('2020'!$A83,AVA_2!$A:$A,0),MATCH('2020'!$A$1,AVA_2!$3:$3,0))</f>
        <v>1.1185962280702488E-2</v>
      </c>
      <c r="G83" s="15">
        <f>INDEX(AVA_3!$A:$J,MATCH('2020'!$A83,AVA_3!$A:$A,0),MATCH('2020'!$A$1,AVA_3!$3:$3,0))</f>
        <v>3.5918388507241397E-2</v>
      </c>
      <c r="H83" s="87">
        <f>INDEX(AVA_4!$A:$J,MATCH('2020'!$A83,AVA_4!$A:$A,0),MATCH('2020'!$A$1,AVA_4!$3:$3,0))/(B83/1000)</f>
        <v>0.70665531621451427</v>
      </c>
      <c r="I83" s="89">
        <f>INDEX(AVA_5!$A:$J,MATCH('2020'!$A83,AVA_5!$A:$A,0),MATCH('2020'!$A$1,AVA_5!$3:$3,0))/(B83/1000)</f>
        <v>6.9650238883050717</v>
      </c>
      <c r="J83" s="93">
        <f>INDEX(IRA_1!$A:$J,MATCH('2020'!$A83,IRA_1!$A:$A,0),MATCH('2020'!$A$1,IRA_1!$3:$3,0))/(B83/1000)</f>
        <v>5.1198522705677048E-2</v>
      </c>
      <c r="K83" s="88">
        <f>INDEX(IRA_2!$A:$J,MATCH('2020'!$A83,IRA_2!$A:$A,0),MATCH('2020'!$A$1,IRA_2!$3:$3,0))/(B83/1000)</f>
        <v>0.17760391492251812</v>
      </c>
      <c r="L83" s="15">
        <f>INDEX(IRA_3!$A:$J,MATCH('2020'!$A83,IRA_3!$A:$A,0),MATCH('2020'!$A$1,IRA_3!$3:$3,0))</f>
        <v>0.34648509385351489</v>
      </c>
      <c r="M83" s="96">
        <f>INDEX(IRA_4!$A:$J,MATCH('2020'!$A83,IRA_4!$A:$A,0),MATCH('2020'!$A$1,IRA_4!$3:$3,0))/(B83/1000)</f>
        <v>5.9202269164807468</v>
      </c>
      <c r="N83" s="61">
        <f>INDEX(INV_1!$A:$J,MATCH('2020'!$A83,INV_1!$A:$A,0),MATCH('2020'!$A$1,INV_1!$3:$3,0))</f>
        <v>7.2745718891956052E-2</v>
      </c>
      <c r="O83" s="80">
        <f>INDEX(INV_2!$A:$J,MATCH('2020'!$A83,INV_2!$A:$A,0),MATCH('2020'!$A$1,INV_2!$3:$3,0))/B83*10^6/C83</f>
        <v>0.4117766207424523</v>
      </c>
      <c r="P83" s="87">
        <f>INDEX(INV_3!$A:$J,MATCH('2020'!$A83,INV_3!$A:$A,0),MATCH('2020'!$A$1,INV_3!$3:$3,0))/B83*10^6/C83</f>
        <v>4.5824799949191668</v>
      </c>
      <c r="Q83" s="87">
        <f>INDEX(INV_4!$A:$J,MATCH('2020'!$A83,INV_4!$A:$A,0),MATCH('2020'!$A$1,INV_4!$3:$3,0))/B83*10^3/C83</f>
        <v>0.2719175716993637</v>
      </c>
      <c r="R83" s="34">
        <f>INDEX(INV_5!$A:$J,MATCH('2020'!$A83,INV_5!$A:$A,0),MATCH('2020'!$A$1,INV_5!$3:$3,0))</f>
        <v>8.8300000000000003E-2</v>
      </c>
      <c r="S83" s="77">
        <f>INDEX(LUJ_1!$A:$J,MATCH('2020'!$A83,LUJ_1!$A:$A,0),MATCH('2020'!$A$1,LUJ_1!$3:$3,0))</f>
        <v>0.86297172347059459</v>
      </c>
      <c r="T83" s="73">
        <f>INDEX(LUJ_2!$A:$J,MATCH('2020'!$A83,LUJ_2!$A:$A,0),MATCH('2020'!$A$1,LUJ_2!$3:$3,0))</f>
        <v>0.22800000000000001</v>
      </c>
      <c r="U83" s="73">
        <f>INDEX(LUJ_3!$A:$J,MATCH('2020'!$A83,LUJ_3!$A:$A,0),MATCH('2020'!$A$1,LUJ_3!$3:$3,0))</f>
        <v>0.50326382592928376</v>
      </c>
      <c r="V83" s="14">
        <f>INDEX(LUJ_4!$A:$J,MATCH('2020'!$A83,LUJ_4!$A:$A,0),MATCH('2020'!$A$1,LUJ_4!$3:$3,0))</f>
        <v>107</v>
      </c>
      <c r="W83" s="34">
        <f>INDEX(LUJ_5!$A:$J,MATCH('2020'!$A83,LUJ_5!$A:$A,0),MATCH('2020'!$A$1,LUJ_5!$3:$3,0))</f>
        <v>69.599999999999994</v>
      </c>
      <c r="X83" s="98">
        <f>1/INDEX(GUL_1!$A:$J,MATCH('2020'!$A83,GUL_1!$A:$A,0),MATCH('2020'!$A$1,GUL_1!$3:$3,0))</f>
        <v>1.4226774790155071E-2</v>
      </c>
      <c r="Y83" s="57">
        <f>INDEX(GUL_2!$A:$J,MATCH('2020'!$A83,GUL_2!$A:$A,0),MATCH('2020'!$A$1,GUL_2!$3:$3,0))</f>
        <v>24.7</v>
      </c>
      <c r="Z83" s="57">
        <f>INDEX(GUL_3!$A:$J,MATCH('2020'!$A83,GUL_3!$A:$A,0),MATCH('2020'!$A$1,GUL_3!$3:$3,0))/(B83/1000)</f>
        <v>0.81773007733869507</v>
      </c>
      <c r="AA83" s="101">
        <f>INDEX(GUL_4!$A:$J,MATCH('2020'!$A83,GUL_4!$A:$A,0),MATCH('2020'!$A$1,GUL_4!$3:$3,0))/B83/C83*10^6</f>
        <v>0.24542181387648057</v>
      </c>
      <c r="AB83" s="73">
        <f>INDEX(GUL_5!$A:$J,MATCH('2020'!$A83,GUL_5!$A:$A,0),MATCH('2020'!$A$1,GUL_5!$3:$3,0))</f>
        <v>3.7670518266274301E-2</v>
      </c>
      <c r="AC83" s="49">
        <f>INDEX(GUL_6!$A:$J,MATCH('2020'!$A83,GUL_6!$A:$A,0),MATCH('2020'!$A$1,GUL_6!$3:$3,0))</f>
        <v>8.3400000000000002E-2</v>
      </c>
      <c r="AD83" s="49">
        <f>INDEX(GUL_7!$A:$J,MATCH('2020'!$A83,GUL_7!$A:$A,0),MATCH('2020'!$A$1,GUL_7!$3:$3,0))</f>
        <v>0.2465871</v>
      </c>
      <c r="AE83" s="103">
        <f>INDEX(GUL_8!$A:$J,MATCH('2020'!$A83,GUL_8!$A:$A,0),MATCH('2020'!$A$1,GUL_8!$3:$3,0))/(B83/1000)</f>
        <v>2.885918988895706</v>
      </c>
      <c r="AF83" s="41">
        <f>INDEX(DES_1!$A:$J,MATCH('2020'!$A83,DES_1!$A:$A,0),MATCH('2020'!$A$1,DES_1!$3:$3,0))/(B83/1000)</f>
        <v>0.17500060020867014</v>
      </c>
      <c r="AG83" s="100">
        <f>INDEX(DES_2!$A:$J,MATCH('2020'!$A83,DES_2!$A:$A,0),MATCH('2020'!$A$1,DES_2!$3:$3,0))/(B83/1000)</f>
        <v>0.80702756129287556</v>
      </c>
      <c r="AH83" s="57">
        <f>1/INDEX(DES_3!$A:$J,MATCH('2020'!$A83,DES_3!$A:$A,0),MATCH('2020'!$A$1,DES_3!$3:$3,0))</f>
        <v>8.8261253309797009E-3</v>
      </c>
      <c r="AI83" s="80">
        <f>INDEX(DES_4!$A:$J,MATCH('2020'!$A83,DES_4!$A:$A,0),MATCH('2020'!$A$1,DES_4!$3:$3,0))</f>
        <v>0.96078589949399995</v>
      </c>
      <c r="AJ83" s="110">
        <f>INDEX(DES_5!$A:$J,MATCH('2020'!$A83,DES_5!$A:$A,0),MATCH('2020'!$A$1,DES_5!$3:$3,0))</f>
        <v>0.87923942315000003</v>
      </c>
      <c r="AK83" s="57">
        <v>24</v>
      </c>
    </row>
    <row r="84" spans="1:37" ht="17.25" thickBot="1" x14ac:dyDescent="0.35">
      <c r="A84" s="29" t="s">
        <v>83</v>
      </c>
      <c r="B84" s="35">
        <f>INDEX(Population!$A:$J,MATCH('2020'!$A84,Population!$A:$A,0),MATCH('2020'!$A$1,Population!$3:$3,0))</f>
        <v>4104463</v>
      </c>
      <c r="C84" s="36">
        <f>INDEX(Income!$A:$J,MATCH('2020'!$A84,Income!$A:$A,0),MATCH('2020'!$A$1,Income!$3:$3,0))</f>
        <v>30409</v>
      </c>
      <c r="D84" s="37">
        <f>INDEX(Livable_wage!$A:$J,MATCH('2020'!$A84,Livable_wage!$A:$A,0),MATCH('2020'!$A$1,Livable_wage!$3:$3,0))</f>
        <v>10477</v>
      </c>
      <c r="E84" s="42">
        <f>INDEX(AVA_1!$A:$J,MATCH('2020'!$A84,AVA_1!$A:$A,0),MATCH('2020'!$A$1,AVA_1!$3:$3,0))</f>
        <v>0.39400000000000002</v>
      </c>
      <c r="F84" s="43">
        <f>INDEX(AVA_2!$A:$J,MATCH('2020'!$A84,AVA_2!$A:$A,0),MATCH('2020'!$A$1,AVA_2!$3:$3,0))</f>
        <v>1.0431421158229776E-2</v>
      </c>
      <c r="G84" s="43">
        <f>INDEX(AVA_3!$A:$J,MATCH('2020'!$A84,AVA_3!$A:$A,0),MATCH('2020'!$A$1,AVA_3!$3:$3,0))</f>
        <v>2.4577031504013264E-2</v>
      </c>
      <c r="H84" s="87">
        <f>INDEX(AVA_4!$A:$J,MATCH('2020'!$A84,AVA_4!$A:$A,0),MATCH('2020'!$A$1,AVA_4!$3:$3,0))/(B84/1000)</f>
        <v>0.63004587932696676</v>
      </c>
      <c r="I84" s="90">
        <f>INDEX(AVA_5!$A:$J,MATCH('2020'!$A84,AVA_5!$A:$A,0),MATCH('2020'!$A$1,AVA_5!$3:$3,0))/(B84/1000)</f>
        <v>4.9770213545596587</v>
      </c>
      <c r="J84" s="94">
        <f>INDEX(IRA_1!$A:$J,MATCH('2020'!$A84,IRA_1!$A:$A,0),MATCH('2020'!$A$1,IRA_1!$3:$3,0))/(B84/1000)</f>
        <v>5.6767474819483091E-2</v>
      </c>
      <c r="K84" s="95">
        <f>INDEX(IRA_2!$A:$J,MATCH('2020'!$A84,IRA_2!$A:$A,0),MATCH('2020'!$A$1,IRA_2!$3:$3,0))/(B84/1000)</f>
        <v>0.13473138873465298</v>
      </c>
      <c r="L84" s="43">
        <f>INDEX(IRA_3!$A:$J,MATCH('2020'!$A84,IRA_3!$A:$A,0),MATCH('2020'!$A$1,IRA_3!$3:$3,0))</f>
        <v>0.38150471634246519</v>
      </c>
      <c r="M84" s="97">
        <f>INDEX(IRA_4!$A:$J,MATCH('2020'!$A84,IRA_4!$A:$A,0),MATCH('2020'!$A$1,IRA_4!$3:$3,0))/(B84/1000)</f>
        <v>4.0614326405183823</v>
      </c>
      <c r="N84" s="62">
        <f>INDEX(INV_1!$A:$J,MATCH('2020'!$A84,INV_1!$A:$A,0),MATCH('2020'!$A$1,INV_1!$3:$3,0))</f>
        <v>7.2960105854510626E-2</v>
      </c>
      <c r="O84" s="91">
        <f>INDEX(INV_2!$A:$J,MATCH('2020'!$A84,INV_2!$A:$A,0),MATCH('2020'!$A$1,INV_2!$3:$3,0))/B84*10^6/C84</f>
        <v>0.30529395446892216</v>
      </c>
      <c r="P84" s="92">
        <f>INDEX(INV_3!$A:$J,MATCH('2020'!$A84,INV_3!$A:$A,0),MATCH('2020'!$A$1,INV_3!$3:$3,0))/B84*10^6/C84</f>
        <v>4.3901171238886958</v>
      </c>
      <c r="Q84" s="92">
        <f>INDEX(INV_4!$A:$J,MATCH('2020'!$A84,INV_4!$A:$A,0),MATCH('2020'!$A$1,INV_4!$3:$3,0))/B84*10^3/C84</f>
        <v>0.2748439033917548</v>
      </c>
      <c r="R84" s="37">
        <f>INDEX(INV_5!$A:$J,MATCH('2020'!$A84,INV_5!$A:$A,0),MATCH('2020'!$A$1,INV_5!$3:$3,0))</f>
        <v>9.2999999999999999E-2</v>
      </c>
      <c r="S84" s="78">
        <f>INDEX(LUJ_1!$A:$J,MATCH('2020'!$A84,LUJ_1!$A:$A,0),MATCH('2020'!$A$1,LUJ_1!$3:$3,0))</f>
        <v>0.75625324338349764</v>
      </c>
      <c r="T84" s="79">
        <f>INDEX(LUJ_2!$A:$J,MATCH('2020'!$A84,LUJ_2!$A:$A,0),MATCH('2020'!$A$1,LUJ_2!$3:$3,0))</f>
        <v>0.17399999999999999</v>
      </c>
      <c r="U84" s="79">
        <f>INDEX(LUJ_3!$A:$J,MATCH('2020'!$A84,LUJ_3!$A:$A,0),MATCH('2020'!$A$1,LUJ_3!$3:$3,0))</f>
        <v>0.34300619910976271</v>
      </c>
      <c r="V84" s="36">
        <f>INDEX(LUJ_4!$A:$J,MATCH('2020'!$A84,LUJ_4!$A:$A,0),MATCH('2020'!$A$1,LUJ_4!$3:$3,0))</f>
        <v>317</v>
      </c>
      <c r="W84" s="37">
        <f>INDEX(LUJ_5!$A:$J,MATCH('2020'!$A84,LUJ_5!$A:$A,0),MATCH('2020'!$A$1,LUJ_5!$3:$3,0))</f>
        <v>44.8</v>
      </c>
      <c r="X84" s="99">
        <f>1/INDEX(GUL_1!$A:$J,MATCH('2020'!$A84,GUL_1!$A:$A,0),MATCH('2020'!$A$1,GUL_1!$3:$3,0))</f>
        <v>1.4212620807276862E-2</v>
      </c>
      <c r="Y84" s="85">
        <f>INDEX(GUL_2!$A:$J,MATCH('2020'!$A84,GUL_2!$A:$A,0),MATCH('2020'!$A$1,GUL_2!$3:$3,0))</f>
        <v>24.9</v>
      </c>
      <c r="Z84" s="85">
        <f>INDEX(GUL_3!$A:$J,MATCH('2020'!$A84,GUL_3!$A:$A,0),MATCH('2020'!$A$1,GUL_3!$3:$3,0))/(B84/1000)</f>
        <v>0.71556254740266878</v>
      </c>
      <c r="AA84" s="102">
        <f>INDEX(GUL_4!$A:$J,MATCH('2020'!$A84,GUL_4!$A:$A,0),MATCH('2020'!$A$1,GUL_4!$3:$3,0))/B84/C84*10^6</f>
        <v>0.19013374513642645</v>
      </c>
      <c r="AB84" s="79">
        <f>INDEX(GUL_5!$A:$J,MATCH('2020'!$A84,GUL_5!$A:$A,0),MATCH('2020'!$A$1,GUL_5!$3:$3,0))</f>
        <v>2.5351457280505949E-2</v>
      </c>
      <c r="AC84" s="86">
        <f>INDEX(GUL_6!$A:$J,MATCH('2020'!$A84,GUL_6!$A:$A,0),MATCH('2020'!$A$1,GUL_6!$3:$3,0))</f>
        <v>4.2599999999999999E-2</v>
      </c>
      <c r="AD84" s="86">
        <f>INDEX(GUL_7!$A:$J,MATCH('2020'!$A84,GUL_7!$A:$A,0),MATCH('2020'!$A$1,GUL_7!$3:$3,0))</f>
        <v>0.1690228</v>
      </c>
      <c r="AE84" s="104">
        <f>INDEX(GUL_8!$A:$J,MATCH('2020'!$A84,GUL_8!$A:$A,0),MATCH('2020'!$A$1,GUL_8!$3:$3,0))/(B84/1000)</f>
        <v>2.5089762046825617</v>
      </c>
      <c r="AF84" s="42">
        <f>INDEX(DES_1!$A:$J,MATCH('2020'!$A84,DES_1!$A:$A,0),MATCH('2020'!$A$1,DES_1!$3:$3,0))/(B84/1000)</f>
        <v>0.15105508321064171</v>
      </c>
      <c r="AG84" s="111">
        <f>INDEX(DES_2!$A:$J,MATCH('2020'!$A84,DES_2!$A:$A,0),MATCH('2020'!$A$1,DES_2!$3:$3,0))/(B84/1000)</f>
        <v>0.43854701577283073</v>
      </c>
      <c r="AH84" s="57">
        <f>1/INDEX(DES_3!$A:$J,MATCH('2020'!$A84,DES_3!$A:$A,0),MATCH('2020'!$A$1,DES_3!$3:$3,0))</f>
        <v>7.9681274900398405E-3</v>
      </c>
      <c r="AI84" s="91">
        <f>INDEX(DES_4!$A:$J,MATCH('2020'!$A84,DES_4!$A:$A,0),MATCH('2020'!$A$1,DES_4!$3:$3,0))</f>
        <v>0.95995100779200004</v>
      </c>
      <c r="AJ84" s="112">
        <f>INDEX(DES_5!$A:$J,MATCH('2020'!$A84,DES_5!$A:$A,0),MATCH('2020'!$A$1,DES_5!$3:$3,0))</f>
        <v>0.80755835384899999</v>
      </c>
      <c r="AK84" s="57">
        <v>61</v>
      </c>
    </row>
  </sheetData>
  <autoFilter ref="A1:AK84" xr:uid="{00000000-0001-0000-00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07417-55A5-4CE2-89E0-D28C28179177}">
  <sheetPr codeName="Лист39">
    <tabColor rgb="FF002060"/>
  </sheetPr>
  <dimension ref="A1:AK84"/>
  <sheetViews>
    <sheetView showGridLines="0"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AH2" sqref="AH2:AH84"/>
    </sheetView>
  </sheetViews>
  <sheetFormatPr defaultRowHeight="16.5" x14ac:dyDescent="0.3"/>
  <cols>
    <col min="1" max="1" width="43.140625" style="13" bestFit="1" customWidth="1"/>
    <col min="2" max="4" width="19.7109375" style="13" customWidth="1"/>
    <col min="5" max="5" width="16.7109375" style="13" customWidth="1"/>
    <col min="6" max="36" width="15.85546875" style="13" customWidth="1"/>
    <col min="37" max="16384" width="9.140625" style="13"/>
  </cols>
  <sheetData>
    <row r="1" spans="1:37" x14ac:dyDescent="0.3">
      <c r="A1" s="28">
        <v>2019</v>
      </c>
      <c r="B1" s="30" t="s">
        <v>113</v>
      </c>
      <c r="C1" s="31" t="s">
        <v>140</v>
      </c>
      <c r="D1" s="32" t="s">
        <v>141</v>
      </c>
      <c r="E1" s="38" t="s">
        <v>84</v>
      </c>
      <c r="F1" s="39" t="s">
        <v>104</v>
      </c>
      <c r="G1" s="39" t="s">
        <v>107</v>
      </c>
      <c r="H1" s="39" t="s">
        <v>136</v>
      </c>
      <c r="I1" s="40" t="s">
        <v>144</v>
      </c>
      <c r="J1" s="44" t="s">
        <v>115</v>
      </c>
      <c r="K1" s="45" t="s">
        <v>116</v>
      </c>
      <c r="L1" s="45" t="s">
        <v>169</v>
      </c>
      <c r="M1" s="55" t="s">
        <v>170</v>
      </c>
      <c r="N1" s="58" t="s">
        <v>114</v>
      </c>
      <c r="O1" s="59" t="s">
        <v>279</v>
      </c>
      <c r="P1" s="59" t="s">
        <v>280</v>
      </c>
      <c r="Q1" s="59" t="s">
        <v>281</v>
      </c>
      <c r="R1" s="60" t="s">
        <v>282</v>
      </c>
      <c r="S1" s="74" t="s">
        <v>110</v>
      </c>
      <c r="T1" s="75" t="s">
        <v>111</v>
      </c>
      <c r="U1" s="75" t="s">
        <v>118</v>
      </c>
      <c r="V1" s="75" t="s">
        <v>119</v>
      </c>
      <c r="W1" s="76" t="s">
        <v>312</v>
      </c>
      <c r="X1" s="81" t="s">
        <v>108</v>
      </c>
      <c r="Y1" s="82" t="s">
        <v>109</v>
      </c>
      <c r="Z1" s="83" t="s">
        <v>120</v>
      </c>
      <c r="AA1" s="82" t="s">
        <v>313</v>
      </c>
      <c r="AB1" s="83" t="s">
        <v>314</v>
      </c>
      <c r="AC1" s="82" t="s">
        <v>315</v>
      </c>
      <c r="AD1" s="83" t="s">
        <v>316</v>
      </c>
      <c r="AE1" s="84" t="s">
        <v>317</v>
      </c>
      <c r="AF1" s="105" t="s">
        <v>121</v>
      </c>
      <c r="AG1" s="106" t="s">
        <v>122</v>
      </c>
      <c r="AH1" s="107" t="s">
        <v>318</v>
      </c>
      <c r="AI1" s="106" t="s">
        <v>319</v>
      </c>
      <c r="AJ1" s="108" t="s">
        <v>320</v>
      </c>
      <c r="AK1" s="56" t="s">
        <v>0</v>
      </c>
    </row>
    <row r="2" spans="1:37" x14ac:dyDescent="0.3">
      <c r="A2" s="29" t="s">
        <v>1</v>
      </c>
      <c r="B2" s="33">
        <f>INDEX(Population!$A:$J,MATCH('2019'!$A2,Population!$A:$A,0),MATCH('2019'!$A$1,Population!$3:$3,0))</f>
        <v>980819</v>
      </c>
      <c r="C2" s="14">
        <f>INDEX(Income!$A:$J,MATCH('2019'!$A2,Income!$A:$A,0),MATCH('2019'!$A$1,Income!$3:$3,0))</f>
        <v>25302</v>
      </c>
      <c r="D2" s="34">
        <f>INDEX(Livable_wage!$A:$J,MATCH('2019'!$A2,Livable_wage!$A:$A,0),MATCH('2019'!$A$1,Livable_wage!$3:$3,0))</f>
        <v>11726</v>
      </c>
      <c r="E2" s="41">
        <f>INDEX(AVA_1!$A:$J,MATCH('2019'!$A2,AVA_1!$A:$A,0),MATCH('2019'!$A$1,AVA_1!$3:$3,0))</f>
        <v>0.37</v>
      </c>
      <c r="F2" s="15">
        <f>INDEX(AVA_2!$A:$J,MATCH('2019'!$A2,AVA_2!$A:$A,0),MATCH('2019'!$A$1,AVA_2!$3:$3,0))</f>
        <v>9.7888119536651465E-3</v>
      </c>
      <c r="G2" s="15">
        <f>INDEX(AVA_3!$A:$J,MATCH('2019'!$A2,AVA_3!$A:$A,0),MATCH('2019'!$A$1,AVA_3!$3:$3,0))</f>
        <v>1.0013859392719468E-2</v>
      </c>
      <c r="H2" s="87">
        <f>INDEX(AVA_4!$A:$J,MATCH('2019'!$A2,AVA_4!$A:$A,0),MATCH('2019'!$A$1,AVA_4!$3:$3,0))/(B2/1000)</f>
        <v>0.543423404318228</v>
      </c>
      <c r="I2" s="89">
        <f>INDEX(AVA_5!$A:$J,MATCH('2019'!$A2,AVA_5!$A:$A,0),MATCH('2019'!$A$1,AVA_5!$3:$3,0))/(B2/1000)</f>
        <v>10.333048134960121</v>
      </c>
      <c r="J2" s="93">
        <f>INDEX(IRA_1!$A:$J,MATCH('2019'!$A2,IRA_1!$A:$A,0),MATCH('2019'!$A$1,IRA_1!$3:$3,0))/(B2/1000)</f>
        <v>0.16720720132868552</v>
      </c>
      <c r="K2" s="88">
        <f>INDEX(IRA_2!$A:$J,MATCH('2019'!$A2,IRA_2!$A:$A,0),MATCH('2019'!$A$1,IRA_2!$3:$3,0))/(B2/1000)</f>
        <v>0.34053173929134734</v>
      </c>
      <c r="L2" s="15">
        <f>INDEX(IRA_3!$A:$J,MATCH('2019'!$A2,IRA_3!$A:$A,0),MATCH('2019'!$A$1,IRA_3!$3:$3,0))</f>
        <v>0.33585548094202211</v>
      </c>
      <c r="M2" s="96">
        <f>INDEX(IRA_4!$A:$J,MATCH('2019'!$A2,IRA_4!$A:$A,0),MATCH('2019'!$A$1,IRA_4!$3:$3,0))/(B2/1000)</f>
        <v>8.8721772314769591</v>
      </c>
      <c r="N2" s="61">
        <f>INDEX(INV_1!$A:$J,MATCH('2019'!$A2,INV_1!$A:$A,0),MATCH('2019'!$A$1,INV_1!$3:$3,0))</f>
        <v>9.4003677191214177E-2</v>
      </c>
      <c r="O2" s="80">
        <f>INDEX(INV_2!$A:$J,MATCH('2019'!$A2,INV_2!$A:$A,0),MATCH('2019'!$A$1,INV_2!$3:$3,0))/B2*10^6/C2</f>
        <v>0.41159545554400612</v>
      </c>
      <c r="P2" s="87">
        <f>INDEX(INV_3!$A:$J,MATCH('2019'!$A2,INV_3!$A:$A,0),MATCH('2019'!$A$1,INV_3!$3:$3,0))/B2*10^6/C2</f>
        <v>3.9375932152853266</v>
      </c>
      <c r="Q2" s="87">
        <f>INDEX(INV_4!$A:$J,MATCH('2019'!$A2,INV_4!$A:$A,0),MATCH('2019'!$A$1,INV_4!$3:$3,0))/B2*10^3/C2</f>
        <v>0.3044516304433989</v>
      </c>
      <c r="R2" s="34">
        <f>INDEX(INV_5!$A:$J,MATCH('2019'!$A2,INV_5!$A:$A,0),MATCH('2019'!$A$1,INV_5!$3:$3,0))</f>
        <v>7.7200000000000005E-2</v>
      </c>
      <c r="S2" s="77">
        <f>INDEX(LUJ_1!$A:$J,MATCH('2019'!$A2,LUJ_1!$A:$A,0),MATCH('2019'!$A$1,LUJ_1!$3:$3,0))</f>
        <v>0.61958319550115781</v>
      </c>
      <c r="T2" s="73">
        <f>INDEX(LUJ_2!$A:$J,MATCH('2019'!$A2,LUJ_2!$A:$A,0),MATCH('2019'!$A$1,LUJ_2!$3:$3,0))</f>
        <v>0.32600000000000001</v>
      </c>
      <c r="U2" s="73">
        <f>INDEX(LUJ_3!$A:$J,MATCH('2019'!$A2,LUJ_3!$A:$A,0),MATCH('2019'!$A$1,LUJ_3!$3:$3,0))</f>
        <v>0.50380924048531839</v>
      </c>
      <c r="V2" s="14">
        <f>INDEX(LUJ_4!$A:$J,MATCH('2019'!$A2,LUJ_4!$A:$A,0),MATCH('2019'!$A$1,LUJ_4!$3:$3,0))</f>
        <v>61</v>
      </c>
      <c r="W2" s="34">
        <f>INDEX(LUJ_5!$A:$J,MATCH('2019'!$A2,LUJ_5!$A:$A,0),MATCH('2019'!$A$1,LUJ_5!$3:$3,0))</f>
        <v>61.5</v>
      </c>
      <c r="X2" s="98">
        <f>1/INDEX(GUL_1!$A:$J,MATCH('2019'!$A2,GUL_1!$A:$A,0),MATCH('2019'!$A$1,GUL_1!$3:$3,0))</f>
        <v>1.4130281192595734E-2</v>
      </c>
      <c r="Y2" s="57">
        <f>INDEX(GUL_2!$A:$J,MATCH('2019'!$A2,GUL_2!$A:$A,0),MATCH('2019'!$A$1,GUL_2!$3:$3,0))</f>
        <v>23.7</v>
      </c>
      <c r="Z2" s="100">
        <f>INDEX(GUL_3!$A:$J,MATCH('2019'!$A2,GUL_3!$A:$A,0),MATCH('2019'!$A$1,GUL_3!$3:$3,0))/(B2/1000)</f>
        <v>0.69533726406197272</v>
      </c>
      <c r="AA2" s="101">
        <f>INDEX(GUL_4!$A:$J,MATCH('2019'!$A2,GUL_4!$A:$A,0),MATCH('2019'!$A$1,GUL_4!$3:$3,0))/B2/C2*10^6</f>
        <v>0.46025048168950777</v>
      </c>
      <c r="AB2" s="73">
        <f>INDEX(GUL_5!$A:$J,MATCH('2019'!$A2,GUL_5!$A:$A,0),MATCH('2019'!$A$1,GUL_5!$3:$3,0))</f>
        <v>2.7438545125965979E-2</v>
      </c>
      <c r="AC2" s="49" t="e">
        <f>INDEX(GUL_6!$A:$J,MATCH('2019'!$A2,GUL_6!$A:$A,0),MATCH('2019'!$A$1,GUL_6!$3:$3,0))</f>
        <v>#N/A</v>
      </c>
      <c r="AD2" s="49" t="e">
        <f>INDEX(GUL_7!$A:$J,MATCH('2019'!$A2,GUL_7!$A:$A,0),MATCH('2019'!$A$1,GUL_7!$3:$3,0))</f>
        <v>#N/A</v>
      </c>
      <c r="AE2" s="103">
        <f>INDEX(GUL_8!$A:$J,MATCH('2019'!$A2,GUL_8!$A:$A,0),MATCH('2019'!$A$1,GUL_8!$3:$3,0))/(B2/1000)</f>
        <v>4.7205447692183782</v>
      </c>
      <c r="AF2" s="41">
        <f>INDEX(DES_1!$A:$J,MATCH('2019'!$A2,DES_1!$A:$A,0),MATCH('2019'!$A$1,DES_1!$3:$3,0))/(B2/1000)</f>
        <v>0.36500108582725255</v>
      </c>
      <c r="AG2" s="100">
        <f>INDEX(DES_2!$A:$J,MATCH('2019'!$A2,DES_2!$A:$A,0),MATCH('2019'!$A$1,DES_2!$3:$3,0))/(B2/1000)</f>
        <v>1.14088328223658</v>
      </c>
      <c r="AH2" s="57">
        <f>1/INDEX(DES_3!$A:$J,MATCH('2019'!$A2,DES_3!$A:$A,0),MATCH('2019'!$A$1,DES_3!$3:$3,0))</f>
        <v>8.539709649871904E-3</v>
      </c>
      <c r="AI2" s="73">
        <f>INDEX(DES_4!$A:$J,MATCH('2019'!$A2,DES_4!$A:$A,0),MATCH('2019'!$A$1,DES_4!$3:$3,0))</f>
        <v>0.83862552360300002</v>
      </c>
      <c r="AJ2" s="109">
        <f>INDEX(DES_5!$A:$J,MATCH('2019'!$A2,DES_5!$A:$A,0),MATCH('2019'!$A$1,DES_5!$3:$3,0))</f>
        <v>0.55141226528800003</v>
      </c>
      <c r="AK2" s="57">
        <v>10</v>
      </c>
    </row>
    <row r="3" spans="1:37" x14ac:dyDescent="0.3">
      <c r="A3" s="29" t="s">
        <v>2</v>
      </c>
      <c r="B3" s="33">
        <f>INDEX(Population!$A:$J,MATCH('2019'!$A3,Population!$A:$A,0),MATCH('2019'!$A$1,Population!$3:$3,0))</f>
        <v>470105</v>
      </c>
      <c r="C3" s="14">
        <f>INDEX(Income!$A:$J,MATCH('2019'!$A3,Income!$A:$A,0),MATCH('2019'!$A$1,Income!$3:$3,0))</f>
        <v>18977</v>
      </c>
      <c r="D3" s="34">
        <f>INDEX(Livable_wage!$A:$J,MATCH('2019'!$A3,Livable_wage!$A:$A,0),MATCH('2019'!$A$1,Livable_wage!$3:$3,0))</f>
        <v>10203</v>
      </c>
      <c r="E3" s="41">
        <f>INDEX(AVA_1!$A:$J,MATCH('2019'!$A3,AVA_1!$A:$A,0),MATCH('2019'!$A$1,AVA_1!$3:$3,0))</f>
        <v>0.34399999999999997</v>
      </c>
      <c r="F3" s="15">
        <f>INDEX(AVA_2!$A:$J,MATCH('2019'!$A3,AVA_2!$A:$A,0),MATCH('2019'!$A$1,AVA_2!$3:$3,0))</f>
        <v>5.7774370174175013E-3</v>
      </c>
      <c r="G3" s="15">
        <f>INDEX(AVA_3!$A:$J,MATCH('2019'!$A3,AVA_3!$A:$A,0),MATCH('2019'!$A$1,AVA_3!$3:$3,0))</f>
        <v>2.1335867893826681E-2</v>
      </c>
      <c r="H3" s="87">
        <f>INDEX(AVA_4!$A:$J,MATCH('2019'!$A3,AVA_4!$A:$A,0),MATCH('2019'!$A$1,AVA_4!$3:$3,0))/(B3/1000)</f>
        <v>0.97425043341381179</v>
      </c>
      <c r="I3" s="89">
        <f>INDEX(AVA_5!$A:$J,MATCH('2019'!$A3,AVA_5!$A:$A,0),MATCH('2019'!$A$1,AVA_5!$3:$3,0))/(B3/1000)</f>
        <v>1.9782814477616701</v>
      </c>
      <c r="J3" s="93">
        <f>INDEX(IRA_1!$A:$J,MATCH('2019'!$A3,IRA_1!$A:$A,0),MATCH('2019'!$A$1,IRA_1!$3:$3,0))/(B3/1000)</f>
        <v>4.0416502696206162E-2</v>
      </c>
      <c r="K3" s="88">
        <f>INDEX(IRA_2!$A:$J,MATCH('2019'!$A3,IRA_2!$A:$A,0),MATCH('2019'!$A$1,IRA_2!$3:$3,0))/(B3/1000)</f>
        <v>6.3815530572957108E-2</v>
      </c>
      <c r="L3" s="15">
        <f>INDEX(IRA_3!$A:$J,MATCH('2019'!$A3,IRA_3!$A:$A,0),MATCH('2019'!$A$1,IRA_3!$3:$3,0))</f>
        <v>0.5</v>
      </c>
      <c r="M3" s="96">
        <f>INDEX(IRA_4!$A:$J,MATCH('2019'!$A3,IRA_4!$A:$A,0),MATCH('2019'!$A$1,IRA_4!$3:$3,0))/(B3/1000)</f>
        <v>3.0440008083300536</v>
      </c>
      <c r="N3" s="61">
        <f>INDEX(INV_1!$A:$J,MATCH('2019'!$A3,INV_1!$A:$A,0),MATCH('2019'!$A$1,INV_1!$3:$3,0))</f>
        <v>0.11537329445778517</v>
      </c>
      <c r="O3" s="80">
        <f>INDEX(INV_2!$A:$J,MATCH('2019'!$A3,INV_2!$A:$A,0),MATCH('2019'!$A$1,INV_2!$3:$3,0))/B3*10^6/C3</f>
        <v>0.24537828916097673</v>
      </c>
      <c r="P3" s="87">
        <f>INDEX(INV_3!$A:$J,MATCH('2019'!$A3,INV_3!$A:$A,0),MATCH('2019'!$A$1,INV_3!$3:$3,0))/B3*10^6/C3</f>
        <v>3.6167850722225743</v>
      </c>
      <c r="Q3" s="87">
        <f>INDEX(INV_4!$A:$J,MATCH('2019'!$A3,INV_4!$A:$A,0),MATCH('2019'!$A$1,INV_4!$3:$3,0))/B3*10^3/C3</f>
        <v>0.3060503441091717</v>
      </c>
      <c r="R3" s="34">
        <f>INDEX(INV_5!$A:$J,MATCH('2019'!$A3,INV_5!$A:$A,0),MATCH('2019'!$A$1,INV_5!$3:$3,0))</f>
        <v>0.34749999999999998</v>
      </c>
      <c r="S3" s="77">
        <f>INDEX(LUJ_1!$A:$J,MATCH('2019'!$A3,LUJ_1!$A:$A,0),MATCH('2019'!$A$1,LUJ_1!$3:$3,0))</f>
        <v>0.64950760966875565</v>
      </c>
      <c r="T3" s="73">
        <f>INDEX(LUJ_2!$A:$J,MATCH('2019'!$A3,LUJ_2!$A:$A,0),MATCH('2019'!$A$1,LUJ_2!$3:$3,0))</f>
        <v>0.13800000000000001</v>
      </c>
      <c r="U3" s="73">
        <f>INDEX(LUJ_3!$A:$J,MATCH('2019'!$A3,LUJ_3!$A:$A,0),MATCH('2019'!$A$1,LUJ_3!$3:$3,0))</f>
        <v>0.26693069306930695</v>
      </c>
      <c r="V3" s="14">
        <f>INDEX(LUJ_4!$A:$J,MATCH('2019'!$A3,LUJ_4!$A:$A,0),MATCH('2019'!$A$1,LUJ_4!$3:$3,0))</f>
        <v>13</v>
      </c>
      <c r="W3" s="34">
        <f>INDEX(LUJ_5!$A:$J,MATCH('2019'!$A3,LUJ_5!$A:$A,0),MATCH('2019'!$A$1,LUJ_5!$3:$3,0))</f>
        <v>22.3</v>
      </c>
      <c r="X3" s="98">
        <f>1/INDEX(GUL_1!$A:$J,MATCH('2019'!$A3,GUL_1!$A:$A,0),MATCH('2019'!$A$1,GUL_1!$3:$3,0))</f>
        <v>1.3121637580370032E-2</v>
      </c>
      <c r="Y3" s="57">
        <f>INDEX(GUL_2!$A:$J,MATCH('2019'!$A3,GUL_2!$A:$A,0),MATCH('2019'!$A$1,GUL_2!$3:$3,0))</f>
        <v>25</v>
      </c>
      <c r="Z3" s="57">
        <f>INDEX(GUL_3!$A:$J,MATCH('2019'!$A3,GUL_3!$A:$A,0),MATCH('2019'!$A$1,GUL_3!$3:$3,0))/(B3/1000)</f>
        <v>0.35098541815126405</v>
      </c>
      <c r="AA3" s="101">
        <f>INDEX(GUL_4!$A:$J,MATCH('2019'!$A3,GUL_4!$A:$A,0),MATCH('2019'!$A$1,GUL_4!$3:$3,0))/B3/C3*10^6</f>
        <v>0.11101667190011895</v>
      </c>
      <c r="AB3" s="73">
        <f>INDEX(GUL_5!$A:$J,MATCH('2019'!$A3,GUL_5!$A:$A,0),MATCH('2019'!$A$1,GUL_5!$3:$3,0))</f>
        <v>1.280515739609938E-2</v>
      </c>
      <c r="AC3" s="49" t="e">
        <f>INDEX(GUL_6!$A:$J,MATCH('2019'!$A3,GUL_6!$A:$A,0),MATCH('2019'!$A$1,GUL_6!$3:$3,0))</f>
        <v>#N/A</v>
      </c>
      <c r="AD3" s="49" t="e">
        <f>INDEX(GUL_7!$A:$J,MATCH('2019'!$A3,GUL_7!$A:$A,0),MATCH('2019'!$A$1,GUL_7!$3:$3,0))</f>
        <v>#N/A</v>
      </c>
      <c r="AE3" s="103">
        <f>INDEX(GUL_8!$A:$J,MATCH('2019'!$A3,GUL_8!$A:$A,0),MATCH('2019'!$A$1,GUL_8!$3:$3,0))/(B3/1000)</f>
        <v>1.1061358632645897</v>
      </c>
      <c r="AF3" s="41">
        <f>INDEX(DES_1!$A:$J,MATCH('2019'!$A3,DES_1!$A:$A,0),MATCH('2019'!$A$1,DES_1!$3:$3,0))/(B3/1000)</f>
        <v>4.8925240105933777E-2</v>
      </c>
      <c r="AG3" s="100">
        <f>INDEX(DES_2!$A:$J,MATCH('2019'!$A3,DES_2!$A:$A,0),MATCH('2019'!$A$1,DES_2!$3:$3,0))/(B3/1000)</f>
        <v>0.85938247838248893</v>
      </c>
      <c r="AH3" s="57">
        <f>1/INDEX(DES_3!$A:$J,MATCH('2019'!$A3,DES_3!$A:$A,0),MATCH('2019'!$A$1,DES_3!$3:$3,0))</f>
        <v>9.8039215686274508E-3</v>
      </c>
      <c r="AI3" s="80">
        <f>INDEX(DES_4!$A:$J,MATCH('2019'!$A3,DES_4!$A:$A,0),MATCH('2019'!$A$1,DES_4!$3:$3,0))</f>
        <v>0.58924595003199998</v>
      </c>
      <c r="AJ3" s="110">
        <f>INDEX(DES_5!$A:$J,MATCH('2019'!$A3,DES_5!$A:$A,0),MATCH('2019'!$A$1,DES_5!$3:$3,0))</f>
        <v>0.13240894296800002</v>
      </c>
      <c r="AK3" s="57">
        <v>13</v>
      </c>
    </row>
    <row r="4" spans="1:37" x14ac:dyDescent="0.3">
      <c r="A4" s="29" t="s">
        <v>3</v>
      </c>
      <c r="B4" s="33">
        <f>INDEX(Population!$A:$J,MATCH('2019'!$A4,Population!$A:$A,0),MATCH('2019'!$A$1,Population!$3:$3,0))</f>
        <v>474937</v>
      </c>
      <c r="C4" s="14">
        <f>INDEX(Income!$A:$J,MATCH('2019'!$A4,Income!$A:$A,0),MATCH('2019'!$A$1,Income!$3:$3,0))</f>
        <v>59016</v>
      </c>
      <c r="D4" s="34">
        <f>INDEX(Livable_wage!$A:$J,MATCH('2019'!$A4,Livable_wage!$A:$A,0),MATCH('2019'!$A$1,Livable_wage!$3:$3,0))</f>
        <v>15854</v>
      </c>
      <c r="E4" s="41">
        <f>INDEX(AVA_1!$A:$J,MATCH('2019'!$A4,AVA_1!$A:$A,0),MATCH('2019'!$A$1,AVA_1!$3:$3,0))</f>
        <v>0.41899999999999998</v>
      </c>
      <c r="F4" s="15">
        <f>INDEX(AVA_2!$A:$J,MATCH('2019'!$A4,AVA_2!$A:$A,0),MATCH('2019'!$A$1,AVA_2!$3:$3,0))</f>
        <v>8.7597671551599265E-3</v>
      </c>
      <c r="G4" s="15">
        <f>INDEX(AVA_3!$A:$J,MATCH('2019'!$A4,AVA_3!$A:$A,0),MATCH('2019'!$A$1,AVA_3!$3:$3,0))</f>
        <v>7.7361586717842046E-2</v>
      </c>
      <c r="H4" s="87">
        <f>INDEX(AVA_4!$A:$J,MATCH('2019'!$A4,AVA_4!$A:$A,0),MATCH('2019'!$A$1,AVA_4!$3:$3,0))/(B4/1000)</f>
        <v>0.60850175918069127</v>
      </c>
      <c r="I4" s="89">
        <f>INDEX(AVA_5!$A:$J,MATCH('2019'!$A4,AVA_5!$A:$A,0),MATCH('2019'!$A$1,AVA_5!$3:$3,0))/(B4/1000)</f>
        <v>6.8303796082427777</v>
      </c>
      <c r="J4" s="93">
        <f>INDEX(IRA_1!$A:$J,MATCH('2019'!$A4,IRA_1!$A:$A,0),MATCH('2019'!$A$1,IRA_1!$3:$3,0))/(B4/1000)</f>
        <v>8.6327239191724373E-2</v>
      </c>
      <c r="K4" s="88">
        <f>INDEX(IRA_2!$A:$J,MATCH('2019'!$A4,IRA_2!$A:$A,0),MATCH('2019'!$A$1,IRA_2!$3:$3,0))/(B4/1000)</f>
        <v>0.33688678708965608</v>
      </c>
      <c r="L4" s="15">
        <f>INDEX(IRA_3!$A:$J,MATCH('2019'!$A4,IRA_3!$A:$A,0),MATCH('2019'!$A$1,IRA_3!$3:$3,0))</f>
        <v>0.3948681397006415</v>
      </c>
      <c r="M4" s="96">
        <f>INDEX(IRA_4!$A:$J,MATCH('2019'!$A4,IRA_4!$A:$A,0),MATCH('2019'!$A$1,IRA_4!$3:$3,0))/(B4/1000)</f>
        <v>7.5904804216138135</v>
      </c>
      <c r="N4" s="61">
        <f>INDEX(INV_1!$A:$J,MATCH('2019'!$A4,INV_1!$A:$A,0),MATCH('2019'!$A$1,INV_1!$3:$3,0))</f>
        <v>7.8935464457923321E-2</v>
      </c>
      <c r="O4" s="80">
        <f>INDEX(INV_2!$A:$J,MATCH('2019'!$A4,INV_2!$A:$A,0),MATCH('2019'!$A$1,INV_2!$3:$3,0))/B4*10^6/C4</f>
        <v>0.18870159646430468</v>
      </c>
      <c r="P4" s="87">
        <f>INDEX(INV_3!$A:$J,MATCH('2019'!$A4,INV_3!$A:$A,0),MATCH('2019'!$A$1,INV_3!$3:$3,0))/B4*10^6/C4</f>
        <v>2.9399317469572797</v>
      </c>
      <c r="Q4" s="87">
        <f>INDEX(INV_4!$A:$J,MATCH('2019'!$A4,INV_4!$A:$A,0),MATCH('2019'!$A$1,INV_4!$3:$3,0))/B4*10^3/C4</f>
        <v>0.23186824226007111</v>
      </c>
      <c r="R4" s="34">
        <f>INDEX(INV_5!$A:$J,MATCH('2019'!$A4,INV_5!$A:$A,0),MATCH('2019'!$A$1,INV_5!$3:$3,0))</f>
        <v>0.1416</v>
      </c>
      <c r="S4" s="77">
        <f>INDEX(LUJ_1!$A:$J,MATCH('2019'!$A4,LUJ_1!$A:$A,0),MATCH('2019'!$A$1,LUJ_1!$3:$3,0))</f>
        <v>0.78514000554477403</v>
      </c>
      <c r="T4" s="73">
        <f>INDEX(LUJ_2!$A:$J,MATCH('2019'!$A4,LUJ_2!$A:$A,0),MATCH('2019'!$A$1,LUJ_2!$3:$3,0))</f>
        <v>0.32200000000000001</v>
      </c>
      <c r="U4" s="73">
        <f>INDEX(LUJ_3!$A:$J,MATCH('2019'!$A4,LUJ_3!$A:$A,0),MATCH('2019'!$A$1,LUJ_3!$3:$3,0))</f>
        <v>0.61668390210272317</v>
      </c>
      <c r="V4" s="14">
        <f>INDEX(LUJ_4!$A:$J,MATCH('2019'!$A4,LUJ_4!$A:$A,0),MATCH('2019'!$A$1,LUJ_4!$3:$3,0))</f>
        <v>3</v>
      </c>
      <c r="W4" s="34">
        <f>INDEX(LUJ_5!$A:$J,MATCH('2019'!$A4,LUJ_5!$A:$A,0),MATCH('2019'!$A$1,LUJ_5!$3:$3,0))</f>
        <v>45.7</v>
      </c>
      <c r="X4" s="98">
        <f>1/INDEX(GUL_1!$A:$J,MATCH('2019'!$A4,GUL_1!$A:$A,0),MATCH('2019'!$A$1,GUL_1!$3:$3,0))</f>
        <v>1.4228799089356857E-2</v>
      </c>
      <c r="Y4" s="57">
        <f>INDEX(GUL_2!$A:$J,MATCH('2019'!$A4,GUL_2!$A:$A,0),MATCH('2019'!$A$1,GUL_2!$3:$3,0))</f>
        <v>25.2</v>
      </c>
      <c r="Z4" s="57">
        <f>INDEX(GUL_3!$A:$J,MATCH('2019'!$A4,GUL_3!$A:$A,0),MATCH('2019'!$A$1,GUL_3!$3:$3,0))/(B4/1000)</f>
        <v>1.4507187269048316</v>
      </c>
      <c r="AA4" s="101">
        <f>INDEX(GUL_4!$A:$J,MATCH('2019'!$A4,GUL_4!$A:$A,0),MATCH('2019'!$A$1,GUL_4!$3:$3,0))/B4/C4*10^6</f>
        <v>0.34658142992548374</v>
      </c>
      <c r="AB4" s="73">
        <f>INDEX(GUL_5!$A:$J,MATCH('2019'!$A4,GUL_5!$A:$A,0),MATCH('2019'!$A$1,GUL_5!$3:$3,0))</f>
        <v>2.9339864350549662E-2</v>
      </c>
      <c r="AC4" s="49" t="e">
        <f>INDEX(GUL_6!$A:$J,MATCH('2019'!$A4,GUL_6!$A:$A,0),MATCH('2019'!$A$1,GUL_6!$3:$3,0))</f>
        <v>#N/A</v>
      </c>
      <c r="AD4" s="49" t="e">
        <f>INDEX(GUL_7!$A:$J,MATCH('2019'!$A4,GUL_7!$A:$A,0),MATCH('2019'!$A$1,GUL_7!$3:$3,0))</f>
        <v>#N/A</v>
      </c>
      <c r="AE4" s="103">
        <f>INDEX(GUL_8!$A:$J,MATCH('2019'!$A4,GUL_8!$A:$A,0),MATCH('2019'!$A$1,GUL_8!$3:$3,0))/(B4/1000)</f>
        <v>3.4994115008938027</v>
      </c>
      <c r="AF4" s="41">
        <f>INDEX(DES_1!$A:$J,MATCH('2019'!$A4,DES_1!$A:$A,0),MATCH('2019'!$A$1,DES_1!$3:$3,0))/(B4/1000)</f>
        <v>4.211084838620701E-3</v>
      </c>
      <c r="AG4" s="100">
        <f>INDEX(DES_2!$A:$J,MATCH('2019'!$A4,DES_2!$A:$A,0),MATCH('2019'!$A$1,DES_2!$3:$3,0))/(B4/1000)</f>
        <v>0.76010081337103652</v>
      </c>
      <c r="AH4" s="57">
        <f>1/INDEX(DES_3!$A:$J,MATCH('2019'!$A4,DES_3!$A:$A,0),MATCH('2019'!$A$1,DES_3!$3:$3,0))</f>
        <v>8.7950747581354433E-3</v>
      </c>
      <c r="AI4" s="80">
        <f>INDEX(DES_4!$A:$J,MATCH('2019'!$A4,DES_4!$A:$A,0),MATCH('2019'!$A$1,DES_4!$3:$3,0))</f>
        <v>0.76147098425799997</v>
      </c>
      <c r="AJ4" s="110">
        <f>INDEX(DES_5!$A:$J,MATCH('2019'!$A4,DES_5!$A:$A,0),MATCH('2019'!$A$1,DES_5!$3:$3,0))</f>
        <v>0.50814058092800007</v>
      </c>
      <c r="AK4" s="57">
        <v>11</v>
      </c>
    </row>
    <row r="5" spans="1:37" x14ac:dyDescent="0.3">
      <c r="A5" s="29" t="s">
        <v>4</v>
      </c>
      <c r="B5" s="33">
        <f>INDEX(Population!$A:$J,MATCH('2019'!$A5,Population!$A:$A,0),MATCH('2019'!$A$1,Population!$3:$3,0))</f>
        <v>2337457</v>
      </c>
      <c r="C5" s="14">
        <f>INDEX(Income!$A:$J,MATCH('2019'!$A5,Income!$A:$A,0),MATCH('2019'!$A$1,Income!$3:$3,0))</f>
        <v>32022</v>
      </c>
      <c r="D5" s="34">
        <f>INDEX(Livable_wage!$A:$J,MATCH('2019'!$A5,Livable_wage!$A:$A,0),MATCH('2019'!$A$1,Livable_wage!$3:$3,0))</f>
        <v>9689</v>
      </c>
      <c r="E5" s="41">
        <f>INDEX(AVA_1!$A:$J,MATCH('2019'!$A5,AVA_1!$A:$A,0),MATCH('2019'!$A$1,AVA_1!$3:$3,0))</f>
        <v>0.39500000000000002</v>
      </c>
      <c r="F5" s="15">
        <f>INDEX(AVA_2!$A:$J,MATCH('2019'!$A5,AVA_2!$A:$A,0),MATCH('2019'!$A$1,AVA_2!$3:$3,0))</f>
        <v>1.3143925449700283E-2</v>
      </c>
      <c r="G5" s="15">
        <f>INDEX(AVA_3!$A:$J,MATCH('2019'!$A5,AVA_3!$A:$A,0),MATCH('2019'!$A$1,AVA_3!$3:$3,0))</f>
        <v>1.8304345114617648E-2</v>
      </c>
      <c r="H5" s="87">
        <f>INDEX(AVA_4!$A:$J,MATCH('2019'!$A5,AVA_4!$A:$A,0),MATCH('2019'!$A$1,AVA_4!$3:$3,0))/(B5/1000)</f>
        <v>0.58653485390319482</v>
      </c>
      <c r="I5" s="89">
        <f>INDEX(AVA_5!$A:$J,MATCH('2019'!$A5,AVA_5!$A:$A,0),MATCH('2019'!$A$1,AVA_5!$3:$3,0))/(B5/1000)</f>
        <v>6.4805470218275678</v>
      </c>
      <c r="J5" s="93">
        <f>INDEX(IRA_1!$A:$J,MATCH('2019'!$A5,IRA_1!$A:$A,0),MATCH('2019'!$A$1,IRA_1!$3:$3,0))/(B5/1000)</f>
        <v>3.6792120667888221E-2</v>
      </c>
      <c r="K5" s="88">
        <f>INDEX(IRA_2!$A:$J,MATCH('2019'!$A5,IRA_2!$A:$A,0),MATCH('2019'!$A$1,IRA_2!$3:$3,0))/(B5/1000)</f>
        <v>8.3851809894256876E-2</v>
      </c>
      <c r="L5" s="15">
        <f>INDEX(IRA_3!$A:$J,MATCH('2019'!$A5,IRA_3!$A:$A,0),MATCH('2019'!$A$1,IRA_3!$3:$3,0))</f>
        <v>0.43239695458125493</v>
      </c>
      <c r="M5" s="96">
        <f>INDEX(IRA_4!$A:$J,MATCH('2019'!$A5,IRA_4!$A:$A,0),MATCH('2019'!$A$1,IRA_4!$3:$3,0))/(B5/1000)</f>
        <v>5.1692929538382959</v>
      </c>
      <c r="N5" s="61">
        <f>INDEX(INV_1!$A:$J,MATCH('2019'!$A5,INV_1!$A:$A,0),MATCH('2019'!$A$1,INV_1!$3:$3,0))</f>
        <v>6.16446945343039E-2</v>
      </c>
      <c r="O5" s="80">
        <f>INDEX(INV_2!$A:$J,MATCH('2019'!$A5,INV_2!$A:$A,0),MATCH('2019'!$A$1,INV_2!$3:$3,0))/B5*10^6/C5</f>
        <v>0.49502348867256213</v>
      </c>
      <c r="P5" s="87">
        <f>INDEX(INV_3!$A:$J,MATCH('2019'!$A5,INV_3!$A:$A,0),MATCH('2019'!$A$1,INV_3!$3:$3,0))/B5*10^6/C5</f>
        <v>2.9458097320248382</v>
      </c>
      <c r="Q5" s="87">
        <f>INDEX(INV_4!$A:$J,MATCH('2019'!$A5,INV_4!$A:$A,0),MATCH('2019'!$A$1,INV_4!$3:$3,0))/B5*10^3/C5</f>
        <v>0.22122038556413617</v>
      </c>
      <c r="R5" s="34">
        <f>INDEX(INV_5!$A:$J,MATCH('2019'!$A5,INV_5!$A:$A,0),MATCH('2019'!$A$1,INV_5!$3:$3,0))</f>
        <v>9.35E-2</v>
      </c>
      <c r="S5" s="77">
        <f>INDEX(LUJ_1!$A:$J,MATCH('2019'!$A5,LUJ_1!$A:$A,0),MATCH('2019'!$A$1,LUJ_1!$3:$3,0))</f>
        <v>0.63208429453207804</v>
      </c>
      <c r="T5" s="73">
        <f>INDEX(LUJ_2!$A:$J,MATCH('2019'!$A5,LUJ_2!$A:$A,0),MATCH('2019'!$A$1,LUJ_2!$3:$3,0))</f>
        <v>0.161</v>
      </c>
      <c r="U5" s="73">
        <f>INDEX(LUJ_3!$A:$J,MATCH('2019'!$A5,LUJ_3!$A:$A,0),MATCH('2019'!$A$1,LUJ_3!$3:$3,0))</f>
        <v>0.34838577850429098</v>
      </c>
      <c r="V5" s="14">
        <f>INDEX(LUJ_4!$A:$J,MATCH('2019'!$A5,LUJ_4!$A:$A,0),MATCH('2019'!$A$1,LUJ_4!$3:$3,0))</f>
        <v>38</v>
      </c>
      <c r="W5" s="34">
        <f>INDEX(LUJ_5!$A:$J,MATCH('2019'!$A5,LUJ_5!$A:$A,0),MATCH('2019'!$A$1,LUJ_5!$3:$3,0))</f>
        <v>33</v>
      </c>
      <c r="X5" s="98">
        <f>1/INDEX(GUL_1!$A:$J,MATCH('2019'!$A5,GUL_1!$A:$A,0),MATCH('2019'!$A$1,GUL_1!$3:$3,0))</f>
        <v>1.3581420616596496E-2</v>
      </c>
      <c r="Y5" s="57">
        <f>INDEX(GUL_2!$A:$J,MATCH('2019'!$A5,GUL_2!$A:$A,0),MATCH('2019'!$A$1,GUL_2!$3:$3,0))</f>
        <v>26</v>
      </c>
      <c r="Z5" s="57">
        <f>INDEX(GUL_3!$A:$J,MATCH('2019'!$A5,GUL_3!$A:$A,0),MATCH('2019'!$A$1,GUL_3!$3:$3,0))/(B5/1000)</f>
        <v>0.52107910434288207</v>
      </c>
      <c r="AA5" s="101">
        <f>INDEX(GUL_4!$A:$J,MATCH('2019'!$A5,GUL_4!$A:$A,0),MATCH('2019'!$A$1,GUL_4!$3:$3,0))/B5/C5*10^6</f>
        <v>0.24149470133885934</v>
      </c>
      <c r="AB5" s="73">
        <f>INDEX(GUL_5!$A:$J,MATCH('2019'!$A5,GUL_5!$A:$A,0),MATCH('2019'!$A$1,GUL_5!$3:$3,0))</f>
        <v>3.9927867389466375E-2</v>
      </c>
      <c r="AC5" s="49" t="e">
        <f>INDEX(GUL_6!$A:$J,MATCH('2019'!$A5,GUL_6!$A:$A,0),MATCH('2019'!$A$1,GUL_6!$3:$3,0))</f>
        <v>#N/A</v>
      </c>
      <c r="AD5" s="49" t="e">
        <f>INDEX(GUL_7!$A:$J,MATCH('2019'!$A5,GUL_7!$A:$A,0),MATCH('2019'!$A$1,GUL_7!$3:$3,0))</f>
        <v>#N/A</v>
      </c>
      <c r="AE5" s="103">
        <f>INDEX(GUL_8!$A:$J,MATCH('2019'!$A5,GUL_8!$A:$A,0),MATCH('2019'!$A$1,GUL_8!$3:$3,0))/(B5/1000)</f>
        <v>1.6594957682644003</v>
      </c>
      <c r="AF5" s="41">
        <f>INDEX(DES_1!$A:$J,MATCH('2019'!$A5,DES_1!$A:$A,0),MATCH('2019'!$A$1,DES_1!$3:$3,0))/(B5/1000)</f>
        <v>0.11037636200366467</v>
      </c>
      <c r="AG5" s="100">
        <f>INDEX(DES_2!$A:$J,MATCH('2019'!$A5,DES_2!$A:$A,0),MATCH('2019'!$A$1,DES_2!$3:$3,0))/(B5/1000)</f>
        <v>0.48257572224858042</v>
      </c>
      <c r="AH5" s="57">
        <f>1/INDEX(DES_3!$A:$J,MATCH('2019'!$A5,DES_3!$A:$A,0),MATCH('2019'!$A$1,DES_3!$3:$3,0))</f>
        <v>7.6628352490421452E-3</v>
      </c>
      <c r="AI5" s="80">
        <f>INDEX(DES_4!$A:$J,MATCH('2019'!$A5,DES_4!$A:$A,0),MATCH('2019'!$A$1,DES_4!$3:$3,0))</f>
        <v>0.94965957639999998</v>
      </c>
      <c r="AJ5" s="110">
        <f>INDEX(DES_5!$A:$J,MATCH('2019'!$A5,DES_5!$A:$A,0),MATCH('2019'!$A$1,DES_5!$3:$3,0))</f>
        <v>0.67729168650299998</v>
      </c>
      <c r="AK5" s="57">
        <v>16</v>
      </c>
    </row>
    <row r="6" spans="1:37" x14ac:dyDescent="0.3">
      <c r="A6" s="29" t="s">
        <v>5</v>
      </c>
      <c r="B6" s="33">
        <f>INDEX(Population!$A:$J,MATCH('2019'!$A6,Population!$A:$A,0),MATCH('2019'!$A$1,Population!$3:$3,0))</f>
        <v>1074060</v>
      </c>
      <c r="C6" s="14">
        <f>INDEX(Income!$A:$J,MATCH('2019'!$A6,Income!$A:$A,0),MATCH('2019'!$A$1,Income!$3:$3,0))</f>
        <v>28381</v>
      </c>
      <c r="D6" s="34">
        <f>INDEX(Livable_wage!$A:$J,MATCH('2019'!$A6,Livable_wage!$A:$A,0),MATCH('2019'!$A$1,Livable_wage!$3:$3,0))</f>
        <v>11858</v>
      </c>
      <c r="E6" s="41">
        <f>INDEX(AVA_1!$A:$J,MATCH('2019'!$A6,AVA_1!$A:$A,0),MATCH('2019'!$A$1,AVA_1!$3:$3,0))</f>
        <v>0.36099999999999999</v>
      </c>
      <c r="F6" s="15">
        <f>INDEX(AVA_2!$A:$J,MATCH('2019'!$A6,AVA_2!$A:$A,0),MATCH('2019'!$A$1,AVA_2!$3:$3,0))</f>
        <v>1.1572114027660174E-2</v>
      </c>
      <c r="G6" s="15">
        <f>INDEX(AVA_3!$A:$J,MATCH('2019'!$A6,AVA_3!$A:$A,0),MATCH('2019'!$A$1,AVA_3!$3:$3,0))</f>
        <v>4.0853154613453069E-2</v>
      </c>
      <c r="H6" s="87">
        <f>INDEX(AVA_4!$A:$J,MATCH('2019'!$A6,AVA_4!$A:$A,0),MATCH('2019'!$A$1,AVA_4!$3:$3,0))/(B6/1000)</f>
        <v>0.63683593095357804</v>
      </c>
      <c r="I6" s="89">
        <f>INDEX(AVA_5!$A:$J,MATCH('2019'!$A6,AVA_5!$A:$A,0),MATCH('2019'!$A$1,AVA_5!$3:$3,0))/(B6/1000)</f>
        <v>5.6207288233432031</v>
      </c>
      <c r="J6" s="93">
        <f>INDEX(IRA_1!$A:$J,MATCH('2019'!$A6,IRA_1!$A:$A,0),MATCH('2019'!$A$1,IRA_1!$3:$3,0))/(B6/1000)</f>
        <v>4.7483380816714153E-2</v>
      </c>
      <c r="K6" s="88">
        <f>INDEX(IRA_2!$A:$J,MATCH('2019'!$A6,IRA_2!$A:$A,0),MATCH('2019'!$A$1,IRA_2!$3:$3,0))/(B6/1000)</f>
        <v>0.21134759696851202</v>
      </c>
      <c r="L6" s="15">
        <f>INDEX(IRA_3!$A:$J,MATCH('2019'!$A6,IRA_3!$A:$A,0),MATCH('2019'!$A$1,IRA_3!$3:$3,0))</f>
        <v>0.32980825101685063</v>
      </c>
      <c r="M6" s="96">
        <f>INDEX(IRA_4!$A:$J,MATCH('2019'!$A6,IRA_4!$A:$A,0),MATCH('2019'!$A$1,IRA_4!$3:$3,0))/(B6/1000)</f>
        <v>5.4605887939221276</v>
      </c>
      <c r="N6" s="61">
        <f>INDEX(INV_1!$A:$J,MATCH('2019'!$A6,INV_1!$A:$A,0),MATCH('2019'!$A$1,INV_1!$3:$3,0))</f>
        <v>9.1953678669743355E-2</v>
      </c>
      <c r="O6" s="80">
        <f>INDEX(INV_2!$A:$J,MATCH('2019'!$A6,INV_2!$A:$A,0),MATCH('2019'!$A$1,INV_2!$3:$3,0))/B6*10^6/C6</f>
        <v>0.40523752292091053</v>
      </c>
      <c r="P6" s="87">
        <f>INDEX(INV_3!$A:$J,MATCH('2019'!$A6,INV_3!$A:$A,0),MATCH('2019'!$A$1,INV_3!$3:$3,0))/B6*10^6/C6</f>
        <v>4.0189421813370263</v>
      </c>
      <c r="Q6" s="87">
        <f>INDEX(INV_4!$A:$J,MATCH('2019'!$A6,INV_4!$A:$A,0),MATCH('2019'!$A$1,INV_4!$3:$3,0))/B6*10^3/C6</f>
        <v>0.29361500126139922</v>
      </c>
      <c r="R6" s="34">
        <f>INDEX(INV_5!$A:$J,MATCH('2019'!$A6,INV_5!$A:$A,0),MATCH('2019'!$A$1,INV_5!$3:$3,0))</f>
        <v>0.1137</v>
      </c>
      <c r="S6" s="77">
        <f>INDEX(LUJ_1!$A:$J,MATCH('2019'!$A6,LUJ_1!$A:$A,0),MATCH('2019'!$A$1,LUJ_1!$3:$3,0))</f>
        <v>0.69004427938865875</v>
      </c>
      <c r="T6" s="73">
        <f>INDEX(LUJ_2!$A:$J,MATCH('2019'!$A6,LUJ_2!$A:$A,0),MATCH('2019'!$A$1,LUJ_2!$3:$3,0))</f>
        <v>0.247</v>
      </c>
      <c r="U6" s="73">
        <f>INDEX(LUJ_3!$A:$J,MATCH('2019'!$A6,LUJ_3!$A:$A,0),MATCH('2019'!$A$1,LUJ_3!$3:$3,0))</f>
        <v>0.62014200298953659</v>
      </c>
      <c r="V6" s="14">
        <f>INDEX(LUJ_4!$A:$J,MATCH('2019'!$A6,LUJ_4!$A:$A,0),MATCH('2019'!$A$1,LUJ_4!$3:$3,0))</f>
        <v>31</v>
      </c>
      <c r="W6" s="34">
        <f>INDEX(LUJ_5!$A:$J,MATCH('2019'!$A6,LUJ_5!$A:$A,0),MATCH('2019'!$A$1,LUJ_5!$3:$3,0))</f>
        <v>85.9</v>
      </c>
      <c r="X6" s="98">
        <f>1/INDEX(GUL_1!$A:$J,MATCH('2019'!$A6,GUL_1!$A:$A,0),MATCH('2019'!$A$1,GUL_1!$3:$3,0))</f>
        <v>1.3726835964310227E-2</v>
      </c>
      <c r="Y6" s="57">
        <f>INDEX(GUL_2!$A:$J,MATCH('2019'!$A6,GUL_2!$A:$A,0),MATCH('2019'!$A$1,GUL_2!$3:$3,0))</f>
        <v>26.5</v>
      </c>
      <c r="Z6" s="57">
        <f>INDEX(GUL_3!$A:$J,MATCH('2019'!$A6,GUL_3!$A:$A,0),MATCH('2019'!$A$1,GUL_3!$3:$3,0))/(B6/1000)</f>
        <v>0.85935608811425812</v>
      </c>
      <c r="AA6" s="101">
        <f>INDEX(GUL_4!$A:$J,MATCH('2019'!$A6,GUL_4!$A:$A,0),MATCH('2019'!$A$1,GUL_4!$3:$3,0))/B6/C6*10^6</f>
        <v>0.31294237039911038</v>
      </c>
      <c r="AB6" s="73">
        <f>INDEX(GUL_5!$A:$J,MATCH('2019'!$A6,GUL_5!$A:$A,0),MATCH('2019'!$A$1,GUL_5!$3:$3,0))</f>
        <v>3.4833544128412525E-2</v>
      </c>
      <c r="AC6" s="49" t="e">
        <f>INDEX(GUL_6!$A:$J,MATCH('2019'!$A6,GUL_6!$A:$A,0),MATCH('2019'!$A$1,GUL_6!$3:$3,0))</f>
        <v>#N/A</v>
      </c>
      <c r="AD6" s="49" t="e">
        <f>INDEX(GUL_7!$A:$J,MATCH('2019'!$A6,GUL_7!$A:$A,0),MATCH('2019'!$A$1,GUL_7!$3:$3,0))</f>
        <v>#N/A</v>
      </c>
      <c r="AE6" s="103">
        <f>INDEX(GUL_8!$A:$J,MATCH('2019'!$A6,GUL_8!$A:$A,0),MATCH('2019'!$A$1,GUL_8!$3:$3,0))/(B6/1000)</f>
        <v>2.7903469079939671</v>
      </c>
      <c r="AF6" s="41">
        <f>INDEX(DES_1!$A:$J,MATCH('2019'!$A6,DES_1!$A:$A,0),MATCH('2019'!$A$1,DES_1!$3:$3,0))/(B6/1000)</f>
        <v>0.11265664860436103</v>
      </c>
      <c r="AG6" s="100">
        <f>INDEX(DES_2!$A:$J,MATCH('2019'!$A6,DES_2!$A:$A,0),MATCH('2019'!$A$1,DES_2!$3:$3,0))/(B6/1000)</f>
        <v>0.52790346907993968</v>
      </c>
      <c r="AH6" s="57">
        <f>1/INDEX(DES_3!$A:$J,MATCH('2019'!$A6,DES_3!$A:$A,0),MATCH('2019'!$A$1,DES_3!$3:$3,0))</f>
        <v>8.9605734767025103E-3</v>
      </c>
      <c r="AI6" s="80">
        <f>INDEX(DES_4!$A:$J,MATCH('2019'!$A6,DES_4!$A:$A,0),MATCH('2019'!$A$1,DES_4!$3:$3,0))</f>
        <v>0.88013273211800003</v>
      </c>
      <c r="AJ6" s="110">
        <f>INDEX(DES_5!$A:$J,MATCH('2019'!$A6,DES_5!$A:$A,0),MATCH('2019'!$A$1,DES_5!$3:$3,0))</f>
        <v>0.451032398098</v>
      </c>
      <c r="AK6" s="57">
        <v>18</v>
      </c>
    </row>
    <row r="7" spans="1:37" x14ac:dyDescent="0.3">
      <c r="A7" s="29" t="s">
        <v>6</v>
      </c>
      <c r="B7" s="33">
        <f>INDEX(Population!$A:$J,MATCH('2019'!$A7,Population!$A:$A,0),MATCH('2019'!$A$1,Population!$3:$3,0))</f>
        <v>2808986</v>
      </c>
      <c r="C7" s="14">
        <f>INDEX(Income!$A:$J,MATCH('2019'!$A7,Income!$A:$A,0),MATCH('2019'!$A$1,Income!$3:$3,0))</f>
        <v>30566</v>
      </c>
      <c r="D7" s="34">
        <f>INDEX(Livable_wage!$A:$J,MATCH('2019'!$A7,Livable_wage!$A:$A,0),MATCH('2019'!$A$1,Livable_wage!$3:$3,0))</f>
        <v>11713</v>
      </c>
      <c r="E7" s="41">
        <f>INDEX(AVA_1!$A:$J,MATCH('2019'!$A7,AVA_1!$A:$A,0),MATCH('2019'!$A$1,AVA_1!$3:$3,0))</f>
        <v>0.377</v>
      </c>
      <c r="F7" s="15">
        <f>INDEX(AVA_2!$A:$J,MATCH('2019'!$A7,AVA_2!$A:$A,0),MATCH('2019'!$A$1,AVA_2!$3:$3,0))</f>
        <v>1.943469507651021E-2</v>
      </c>
      <c r="G7" s="15">
        <f>INDEX(AVA_3!$A:$J,MATCH('2019'!$A7,AVA_3!$A:$A,0),MATCH('2019'!$A$1,AVA_3!$3:$3,0))</f>
        <v>5.2720921754191942E-2</v>
      </c>
      <c r="H7" s="87">
        <f>INDEX(AVA_4!$A:$J,MATCH('2019'!$A7,AVA_4!$A:$A,0),MATCH('2019'!$A$1,AVA_4!$3:$3,0))/(B7/1000)</f>
        <v>0.70915269780625467</v>
      </c>
      <c r="I7" s="89">
        <f>INDEX(AVA_5!$A:$J,MATCH('2019'!$A7,AVA_5!$A:$A,0),MATCH('2019'!$A$1,AVA_5!$3:$3,0))/(B7/1000)</f>
        <v>8.6839165449738811</v>
      </c>
      <c r="J7" s="93">
        <f>INDEX(IRA_1!$A:$J,MATCH('2019'!$A7,IRA_1!$A:$A,0),MATCH('2019'!$A$1,IRA_1!$3:$3,0))/(B7/1000)</f>
        <v>4.8772047991695225E-2</v>
      </c>
      <c r="K7" s="88">
        <f>INDEX(IRA_2!$A:$J,MATCH('2019'!$A7,IRA_2!$A:$A,0),MATCH('2019'!$A$1,IRA_2!$3:$3,0))/(B7/1000)</f>
        <v>0.17515217234973759</v>
      </c>
      <c r="L7" s="15">
        <f>INDEX(IRA_3!$A:$J,MATCH('2019'!$A7,IRA_3!$A:$A,0),MATCH('2019'!$A$1,IRA_3!$3:$3,0))</f>
        <v>0.37887226985418365</v>
      </c>
      <c r="M7" s="96">
        <f>INDEX(IRA_4!$A:$J,MATCH('2019'!$A7,IRA_4!$A:$A,0),MATCH('2019'!$A$1,IRA_4!$3:$3,0))/(B7/1000)</f>
        <v>7.0359909234150688</v>
      </c>
      <c r="N7" s="61">
        <f>INDEX(INV_1!$A:$J,MATCH('2019'!$A7,INV_1!$A:$A,0),MATCH('2019'!$A$1,INV_1!$3:$3,0))</f>
        <v>7.966445918446001E-2</v>
      </c>
      <c r="O7" s="80">
        <f>INDEX(INV_2!$A:$J,MATCH('2019'!$A7,INV_2!$A:$A,0),MATCH('2019'!$A$1,INV_2!$3:$3,0))/B7*10^6/C7</f>
        <v>0.4880043621970776</v>
      </c>
      <c r="P7" s="87">
        <f>INDEX(INV_3!$A:$J,MATCH('2019'!$A7,INV_3!$A:$A,0),MATCH('2019'!$A$1,INV_3!$3:$3,0))/B7*10^6/C7</f>
        <v>4.4105329011107468</v>
      </c>
      <c r="Q7" s="87">
        <f>INDEX(INV_4!$A:$J,MATCH('2019'!$A7,INV_4!$A:$A,0),MATCH('2019'!$A$1,INV_4!$3:$3,0))/B7*10^3/C7</f>
        <v>0.316944684653783</v>
      </c>
      <c r="R7" s="34">
        <f>INDEX(INV_5!$A:$J,MATCH('2019'!$A7,INV_5!$A:$A,0),MATCH('2019'!$A$1,INV_5!$3:$3,0))</f>
        <v>0.1608</v>
      </c>
      <c r="S7" s="77">
        <f>INDEX(LUJ_1!$A:$J,MATCH('2019'!$A7,LUJ_1!$A:$A,0),MATCH('2019'!$A$1,LUJ_1!$3:$3,0))</f>
        <v>0.68441123421798511</v>
      </c>
      <c r="T7" s="73">
        <f>INDEX(LUJ_2!$A:$J,MATCH('2019'!$A7,LUJ_2!$A:$A,0),MATCH('2019'!$A$1,LUJ_2!$3:$3,0))</f>
        <v>0.21199999999999999</v>
      </c>
      <c r="U7" s="73">
        <f>INDEX(LUJ_3!$A:$J,MATCH('2019'!$A7,LUJ_3!$A:$A,0),MATCH('2019'!$A$1,LUJ_3!$3:$3,0))</f>
        <v>0.64410639979562323</v>
      </c>
      <c r="V7" s="14">
        <f>INDEX(LUJ_4!$A:$J,MATCH('2019'!$A7,LUJ_4!$A:$A,0),MATCH('2019'!$A$1,LUJ_4!$3:$3,0))</f>
        <v>154</v>
      </c>
      <c r="W7" s="34">
        <f>INDEX(LUJ_5!$A:$J,MATCH('2019'!$A7,LUJ_5!$A:$A,0),MATCH('2019'!$A$1,LUJ_5!$3:$3,0))</f>
        <v>124.9</v>
      </c>
      <c r="X7" s="98">
        <f>1/INDEX(GUL_1!$A:$J,MATCH('2019'!$A7,GUL_1!$A:$A,0),MATCH('2019'!$A$1,GUL_1!$3:$3,0))</f>
        <v>1.384083044982699E-2</v>
      </c>
      <c r="Y7" s="57">
        <f>INDEX(GUL_2!$A:$J,MATCH('2019'!$A7,GUL_2!$A:$A,0),MATCH('2019'!$A$1,GUL_2!$3:$3,0))</f>
        <v>25.4</v>
      </c>
      <c r="Z7" s="57">
        <f>INDEX(GUL_3!$A:$J,MATCH('2019'!$A7,GUL_3!$A:$A,0),MATCH('2019'!$A$1,GUL_3!$3:$3,0))/(B7/1000)</f>
        <v>0.54183253316321267</v>
      </c>
      <c r="AA7" s="101">
        <f>INDEX(GUL_4!$A:$J,MATCH('2019'!$A7,GUL_4!$A:$A,0),MATCH('2019'!$A$1,GUL_4!$3:$3,0))/B7/C7*10^6</f>
        <v>0.4240672771919044</v>
      </c>
      <c r="AB7" s="73">
        <f>INDEX(GUL_5!$A:$J,MATCH('2019'!$A7,GUL_5!$A:$A,0),MATCH('2019'!$A$1,GUL_5!$3:$3,0))</f>
        <v>5.8053604586518037E-2</v>
      </c>
      <c r="AC7" s="49" t="e">
        <f>INDEX(GUL_6!$A:$J,MATCH('2019'!$A7,GUL_6!$A:$A,0),MATCH('2019'!$A$1,GUL_6!$3:$3,0))</f>
        <v>#N/A</v>
      </c>
      <c r="AD7" s="49" t="e">
        <f>INDEX(GUL_7!$A:$J,MATCH('2019'!$A7,GUL_7!$A:$A,0),MATCH('2019'!$A$1,GUL_7!$3:$3,0))</f>
        <v>#N/A</v>
      </c>
      <c r="AE7" s="103">
        <f>INDEX(GUL_8!$A:$J,MATCH('2019'!$A7,GUL_8!$A:$A,0),MATCH('2019'!$A$1,GUL_8!$3:$3,0))/(B7/1000)</f>
        <v>1.946609915464157</v>
      </c>
      <c r="AF7" s="41">
        <f>INDEX(DES_1!$A:$J,MATCH('2019'!$A7,DES_1!$A:$A,0),MATCH('2019'!$A$1,DES_1!$3:$3,0))/(B7/1000)</f>
        <v>0.17550817270004193</v>
      </c>
      <c r="AG7" s="100">
        <f>INDEX(DES_2!$A:$J,MATCH('2019'!$A7,DES_2!$A:$A,0),MATCH('2019'!$A$1,DES_2!$3:$3,0))/(B7/1000)</f>
        <v>0.34674434119643177</v>
      </c>
      <c r="AH7" s="57">
        <f>1/INDEX(DES_3!$A:$J,MATCH('2019'!$A7,DES_3!$A:$A,0),MATCH('2019'!$A$1,DES_3!$3:$3,0))</f>
        <v>8.7183958151700082E-3</v>
      </c>
      <c r="AI7" s="80">
        <f>INDEX(DES_4!$A:$J,MATCH('2019'!$A7,DES_4!$A:$A,0),MATCH('2019'!$A$1,DES_4!$3:$3,0))</f>
        <v>0.90267838782699994</v>
      </c>
      <c r="AJ7" s="110">
        <f>INDEX(DES_5!$A:$J,MATCH('2019'!$A7,DES_5!$A:$A,0),MATCH('2019'!$A$1,DES_5!$3:$3,0))</f>
        <v>0.85267012199999992</v>
      </c>
      <c r="AK7" s="57">
        <v>19</v>
      </c>
    </row>
    <row r="8" spans="1:37" x14ac:dyDescent="0.3">
      <c r="A8" s="29" t="s">
        <v>7</v>
      </c>
      <c r="B8" s="33">
        <f>INDEX(Population!$A:$J,MATCH('2019'!$A8,Population!$A:$A,0),MATCH('2019'!$A$1,Population!$3:$3,0))</f>
        <v>41612</v>
      </c>
      <c r="C8" s="14">
        <f>INDEX(Income!$A:$J,MATCH('2019'!$A8,Income!$A:$A,0),MATCH('2019'!$A$1,Income!$3:$3,0))</f>
        <v>81041</v>
      </c>
      <c r="D8" s="34">
        <f>INDEX(Livable_wage!$A:$J,MATCH('2019'!$A8,Livable_wage!$A:$A,0),MATCH('2019'!$A$1,Livable_wage!$3:$3,0))</f>
        <v>21606</v>
      </c>
      <c r="E8" s="41">
        <f>INDEX(AVA_1!$A:$J,MATCH('2019'!$A8,AVA_1!$A:$A,0),MATCH('2019'!$A$1,AVA_1!$3:$3,0))</f>
        <v>0.435</v>
      </c>
      <c r="F8" s="15">
        <f>INDEX(AVA_2!$A:$J,MATCH('2019'!$A8,AVA_2!$A:$A,0),MATCH('2019'!$A$1,AVA_2!$3:$3,0))</f>
        <v>6.0155697098372256E-3</v>
      </c>
      <c r="G8" s="15">
        <f>INDEX(AVA_3!$A:$J,MATCH('2019'!$A8,AVA_3!$A:$A,0),MATCH('2019'!$A$1,AVA_3!$3:$3,0))</f>
        <v>2.713926176379462E-3</v>
      </c>
      <c r="H8" s="87">
        <f>INDEX(AVA_4!$A:$J,MATCH('2019'!$A8,AVA_4!$A:$A,0),MATCH('2019'!$A$1,AVA_4!$3:$3,0))/(B8/1000)</f>
        <v>1.5139863500913198</v>
      </c>
      <c r="I8" s="89">
        <f>INDEX(AVA_5!$A:$J,MATCH('2019'!$A8,AVA_5!$A:$A,0),MATCH('2019'!$A$1,AVA_5!$3:$3,0))/(B8/1000)</f>
        <v>5.0706526963375946</v>
      </c>
      <c r="J8" s="93">
        <f>INDEX(IRA_1!$A:$J,MATCH('2019'!$A8,IRA_1!$A:$A,0),MATCH('2019'!$A$1,IRA_1!$3:$3,0))/(B8/1000)</f>
        <v>7.2094588099586659E-2</v>
      </c>
      <c r="K8" s="88">
        <f>INDEX(IRA_2!$A:$J,MATCH('2019'!$A8,IRA_2!$A:$A,0),MATCH('2019'!$A$1,IRA_2!$3:$3,0))/(B8/1000)</f>
        <v>0.19225223493223109</v>
      </c>
      <c r="L8" s="15">
        <f>INDEX(IRA_3!$A:$J,MATCH('2019'!$A8,IRA_3!$A:$A,0),MATCH('2019'!$A$1,IRA_3!$3:$3,0))</f>
        <v>0.4732142857142857</v>
      </c>
      <c r="M8" s="96">
        <f>INDEX(IRA_4!$A:$J,MATCH('2019'!$A8,IRA_4!$A:$A,0),MATCH('2019'!$A$1,IRA_4!$3:$3,0))/(B8/1000)</f>
        <v>4.373738344708257</v>
      </c>
      <c r="N8" s="61">
        <f>INDEX(INV_1!$A:$J,MATCH('2019'!$A8,INV_1!$A:$A,0),MATCH('2019'!$A$1,INV_1!$3:$3,0))</f>
        <v>7.7656701787526761E-2</v>
      </c>
      <c r="O8" s="80">
        <f>INDEX(INV_2!$A:$J,MATCH('2019'!$A8,INV_2!$A:$A,0),MATCH('2019'!$A$1,INV_2!$3:$3,0))/B8*10^6/C8</f>
        <v>6.9264189852584659E-2</v>
      </c>
      <c r="P8" s="87">
        <f>INDEX(INV_3!$A:$J,MATCH('2019'!$A8,INV_3!$A:$A,0),MATCH('2019'!$A$1,INV_3!$3:$3,0))/B8*10^6/C8</f>
        <v>2.399564857713401</v>
      </c>
      <c r="Q8" s="87">
        <f>INDEX(INV_4!$A:$J,MATCH('2019'!$A8,INV_4!$A:$A,0),MATCH('2019'!$A$1,INV_4!$3:$3,0))/B8*10^3/C8</f>
        <v>8.5985079548415833E-2</v>
      </c>
      <c r="R8" s="34">
        <f>INDEX(INV_5!$A:$J,MATCH('2019'!$A8,INV_5!$A:$A,0),MATCH('2019'!$A$1,INV_5!$3:$3,0))</f>
        <v>3.7100000000000001E-2</v>
      </c>
      <c r="S8" s="77">
        <f>INDEX(LUJ_1!$A:$J,MATCH('2019'!$A8,LUJ_1!$A:$A,0),MATCH('2019'!$A$1,LUJ_1!$3:$3,0))</f>
        <v>0.77533039647577096</v>
      </c>
      <c r="T8" s="73">
        <f>INDEX(LUJ_2!$A:$J,MATCH('2019'!$A8,LUJ_2!$A:$A,0),MATCH('2019'!$A$1,LUJ_2!$3:$3,0))</f>
        <v>0.37799999999999995</v>
      </c>
      <c r="U8" s="73">
        <f>INDEX(LUJ_3!$A:$J,MATCH('2019'!$A8,LUJ_3!$A:$A,0),MATCH('2019'!$A$1,LUJ_3!$3:$3,0))</f>
        <v>0.54188034188034184</v>
      </c>
      <c r="V8" s="14">
        <f>INDEX(LUJ_4!$A:$J,MATCH('2019'!$A8,LUJ_4!$A:$A,0),MATCH('2019'!$A$1,LUJ_4!$3:$3,0))</f>
        <v>0.1</v>
      </c>
      <c r="W8" s="34">
        <f>INDEX(LUJ_5!$A:$J,MATCH('2019'!$A8,LUJ_5!$A:$A,0),MATCH('2019'!$A$1,LUJ_5!$3:$3,0))</f>
        <v>16</v>
      </c>
      <c r="X8" s="98">
        <f>1/INDEX(GUL_1!$A:$J,MATCH('2019'!$A8,GUL_1!$A:$A,0),MATCH('2019'!$A$1,GUL_1!$3:$3,0))</f>
        <v>1.3663068725235688E-2</v>
      </c>
      <c r="Y8" s="57">
        <f>INDEX(GUL_2!$A:$J,MATCH('2019'!$A8,GUL_2!$A:$A,0),MATCH('2019'!$A$1,GUL_2!$3:$3,0))</f>
        <v>24</v>
      </c>
      <c r="Z8" s="57">
        <f>INDEX(GUL_3!$A:$J,MATCH('2019'!$A8,GUL_3!$A:$A,0),MATCH('2019'!$A$1,GUL_3!$3:$3,0))/(B8/1000)</f>
        <v>1.273671056426031</v>
      </c>
      <c r="AA8" s="101">
        <f>INDEX(GUL_4!$A:$J,MATCH('2019'!$A8,GUL_4!$A:$A,0),MATCH('2019'!$A$1,GUL_4!$3:$3,0))/B8/C8*10^6</f>
        <v>0.39311408010653476</v>
      </c>
      <c r="AB8" s="73">
        <f>INDEX(GUL_5!$A:$J,MATCH('2019'!$A8,GUL_5!$A:$A,0),MATCH('2019'!$A$1,GUL_5!$3:$3,0))</f>
        <v>3.2304150075619383E-2</v>
      </c>
      <c r="AC8" s="49" t="e">
        <f>INDEX(GUL_6!$A:$J,MATCH('2019'!$A8,GUL_6!$A:$A,0),MATCH('2019'!$A$1,GUL_6!$3:$3,0))</f>
        <v>#N/A</v>
      </c>
      <c r="AD8" s="49" t="e">
        <f>INDEX(GUL_7!$A:$J,MATCH('2019'!$A8,GUL_7!$A:$A,0),MATCH('2019'!$A$1,GUL_7!$3:$3,0))</f>
        <v>#N/A</v>
      </c>
      <c r="AE8" s="103">
        <f>INDEX(GUL_8!$A:$J,MATCH('2019'!$A8,GUL_8!$A:$A,0),MATCH('2019'!$A$1,GUL_8!$3:$3,0))/(B8/1000)</f>
        <v>4.6861482264731329</v>
      </c>
      <c r="AF8" s="41">
        <f>INDEX(DES_1!$A:$J,MATCH('2019'!$A8,DES_1!$A:$A,0),MATCH('2019'!$A$1,DES_1!$3:$3,0))/(B8/1000)</f>
        <v>0.3124098817648755</v>
      </c>
      <c r="AG8" s="100">
        <f>INDEX(DES_2!$A:$J,MATCH('2019'!$A8,DES_2!$A:$A,0),MATCH('2019'!$A$1,DES_2!$3:$3,0))/(B8/1000)</f>
        <v>0.40853599923099104</v>
      </c>
      <c r="AH8" s="57">
        <f>1/INDEX(DES_3!$A:$J,MATCH('2019'!$A8,DES_3!$A:$A,0),MATCH('2019'!$A$1,DES_3!$3:$3,0))</f>
        <v>9.2421441774491672E-3</v>
      </c>
      <c r="AI8" s="80">
        <f>INDEX(DES_4!$A:$J,MATCH('2019'!$A8,DES_4!$A:$A,0),MATCH('2019'!$A$1,DES_4!$3:$3,0))</f>
        <v>0.35154130842299997</v>
      </c>
      <c r="AJ8" s="110">
        <f>INDEX(DES_5!$A:$J,MATCH('2019'!$A8,DES_5!$A:$A,0),MATCH('2019'!$A$1,DES_5!$3:$3,0))</f>
        <v>0.36805038326199996</v>
      </c>
      <c r="AK8" s="57">
        <v>3</v>
      </c>
    </row>
    <row r="9" spans="1:37" x14ac:dyDescent="0.3">
      <c r="A9" s="29" t="s">
        <v>8</v>
      </c>
      <c r="B9" s="33">
        <f>INDEX(Population!$A:$J,MATCH('2019'!$A9,Population!$A:$A,0),MATCH('2019'!$A$1,Population!$3:$3,0))</f>
        <v>139267</v>
      </c>
      <c r="C9" s="14">
        <f>INDEX(Income!$A:$J,MATCH('2019'!$A9,Income!$A:$A,0),MATCH('2019'!$A$1,Income!$3:$3,0))</f>
        <v>65367</v>
      </c>
      <c r="D9" s="34">
        <f>INDEX(Livable_wage!$A:$J,MATCH('2019'!$A9,Livable_wage!$A:$A,0),MATCH('2019'!$A$1,Livable_wage!$3:$3,0))</f>
        <v>20814</v>
      </c>
      <c r="E9" s="41">
        <f>INDEX(AVA_1!$A:$J,MATCH('2019'!$A9,AVA_1!$A:$A,0),MATCH('2019'!$A$1,AVA_1!$3:$3,0))</f>
        <v>0.38800000000000001</v>
      </c>
      <c r="F9" s="15">
        <f>INDEX(AVA_2!$A:$J,MATCH('2019'!$A9,AVA_2!$A:$A,0),MATCH('2019'!$A$1,AVA_2!$3:$3,0))</f>
        <v>1.1559445221751664E-2</v>
      </c>
      <c r="G9" s="15">
        <f>INDEX(AVA_3!$A:$J,MATCH('2019'!$A9,AVA_3!$A:$A,0),MATCH('2019'!$A$1,AVA_3!$3:$3,0))</f>
        <v>2.5821315533780262E-3</v>
      </c>
      <c r="H9" s="87">
        <f>INDEX(AVA_4!$A:$J,MATCH('2019'!$A9,AVA_4!$A:$A,0),MATCH('2019'!$A$1,AVA_4!$3:$3,0))/(B9/1000)</f>
        <v>1.0770677906467434</v>
      </c>
      <c r="I9" s="89">
        <f>INDEX(AVA_5!$A:$J,MATCH('2019'!$A9,AVA_5!$A:$A,0),MATCH('2019'!$A$1,AVA_5!$3:$3,0))/(B9/1000)</f>
        <v>5.6079329633007102</v>
      </c>
      <c r="J9" s="93">
        <f>INDEX(IRA_1!$A:$J,MATCH('2019'!$A9,IRA_1!$A:$A,0),MATCH('2019'!$A$1,IRA_1!$3:$3,0))/(B9/1000)</f>
        <v>0.24413536587992848</v>
      </c>
      <c r="K9" s="88">
        <f>INDEX(IRA_2!$A:$J,MATCH('2019'!$A9,IRA_2!$A:$A,0),MATCH('2019'!$A$1,IRA_2!$3:$3,0))/(B9/1000)</f>
        <v>0.27285717363050832</v>
      </c>
      <c r="L9" s="15">
        <f>INDEX(IRA_3!$A:$J,MATCH('2019'!$A9,IRA_3!$A:$A,0),MATCH('2019'!$A$1,IRA_3!$3:$3,0))</f>
        <v>0.35048231511254024</v>
      </c>
      <c r="M9" s="96">
        <f>INDEX(IRA_4!$A:$J,MATCH('2019'!$A9,IRA_4!$A:$A,0),MATCH('2019'!$A$1,IRA_4!$3:$3,0))/(B9/1000)</f>
        <v>6.3187977051275608</v>
      </c>
      <c r="N9" s="61">
        <f>INDEX(INV_1!$A:$J,MATCH('2019'!$A9,INV_1!$A:$A,0),MATCH('2019'!$A$1,INV_1!$3:$3,0))</f>
        <v>8.1259853172226754E-2</v>
      </c>
      <c r="O9" s="80">
        <f>INDEX(INV_2!$A:$J,MATCH('2019'!$A9,INV_2!$A:$A,0),MATCH('2019'!$A$1,INV_2!$3:$3,0))/B9*10^6/C9</f>
        <v>0.21147438671449073</v>
      </c>
      <c r="P9" s="87">
        <f>INDEX(INV_3!$A:$J,MATCH('2019'!$A9,INV_3!$A:$A,0),MATCH('2019'!$A$1,INV_3!$3:$3,0))/B9*10^6/C9</f>
        <v>3.1949369652332757</v>
      </c>
      <c r="Q9" s="87">
        <f>INDEX(INV_4!$A:$J,MATCH('2019'!$A9,INV_4!$A:$A,0),MATCH('2019'!$A$1,INV_4!$3:$3,0))/B9*10^3/C9</f>
        <v>0.24757351680374359</v>
      </c>
      <c r="R9" s="34">
        <f>INDEX(INV_5!$A:$J,MATCH('2019'!$A9,INV_5!$A:$A,0),MATCH('2019'!$A$1,INV_5!$3:$3,0))</f>
        <v>6.7699999999999996E-2</v>
      </c>
      <c r="S9" s="77">
        <f>INDEX(LUJ_1!$A:$J,MATCH('2019'!$A9,LUJ_1!$A:$A,0),MATCH('2019'!$A$1,LUJ_1!$3:$3,0))</f>
        <v>0.77032520325203258</v>
      </c>
      <c r="T9" s="73">
        <f>INDEX(LUJ_2!$A:$J,MATCH('2019'!$A9,LUJ_2!$A:$A,0),MATCH('2019'!$A$1,LUJ_2!$3:$3,0))</f>
        <v>0.314</v>
      </c>
      <c r="U9" s="73">
        <f>INDEX(LUJ_3!$A:$J,MATCH('2019'!$A9,LUJ_3!$A:$A,0),MATCH('2019'!$A$1,LUJ_3!$3:$3,0))</f>
        <v>0.79066147859922176</v>
      </c>
      <c r="V9" s="14">
        <f>INDEX(LUJ_4!$A:$J,MATCH('2019'!$A9,LUJ_4!$A:$A,0),MATCH('2019'!$A$1,LUJ_4!$3:$3,0))</f>
        <v>5</v>
      </c>
      <c r="W9" s="34">
        <f>INDEX(LUJ_5!$A:$J,MATCH('2019'!$A9,LUJ_5!$A:$A,0),MATCH('2019'!$A$1,LUJ_5!$3:$3,0))</f>
        <v>25.5</v>
      </c>
      <c r="X9" s="98">
        <f>1/INDEX(GUL_1!$A:$J,MATCH('2019'!$A9,GUL_1!$A:$A,0),MATCH('2019'!$A$1,GUL_1!$3:$3,0))</f>
        <v>1.4355440712029859E-2</v>
      </c>
      <c r="Y9" s="57">
        <f>INDEX(GUL_2!$A:$J,MATCH('2019'!$A9,GUL_2!$A:$A,0),MATCH('2019'!$A$1,GUL_2!$3:$3,0))</f>
        <v>24.3</v>
      </c>
      <c r="Z9" s="57">
        <f>INDEX(GUL_3!$A:$J,MATCH('2019'!$A9,GUL_3!$A:$A,0),MATCH('2019'!$A$1,GUL_3!$3:$3,0))/(B9/1000)</f>
        <v>0.94781965576913418</v>
      </c>
      <c r="AA9" s="101">
        <f>INDEX(GUL_4!$A:$J,MATCH('2019'!$A9,GUL_4!$A:$A,0),MATCH('2019'!$A$1,GUL_4!$3:$3,0))/B9/C9*10^6</f>
        <v>0.3007744526434788</v>
      </c>
      <c r="AB9" s="73">
        <f>INDEX(GUL_5!$A:$J,MATCH('2019'!$A9,GUL_5!$A:$A,0),MATCH('2019'!$A$1,GUL_5!$3:$3,0))</f>
        <v>1.9840383943578351E-2</v>
      </c>
      <c r="AC9" s="49" t="e">
        <f>INDEX(GUL_6!$A:$J,MATCH('2019'!$A9,GUL_6!$A:$A,0),MATCH('2019'!$A$1,GUL_6!$3:$3,0))</f>
        <v>#N/A</v>
      </c>
      <c r="AD9" s="49" t="e">
        <f>INDEX(GUL_7!$A:$J,MATCH('2019'!$A9,GUL_7!$A:$A,0),MATCH('2019'!$A$1,GUL_7!$3:$3,0))</f>
        <v>#N/A</v>
      </c>
      <c r="AE9" s="103">
        <f>INDEX(GUL_8!$A:$J,MATCH('2019'!$A9,GUL_8!$A:$A,0),MATCH('2019'!$A$1,GUL_8!$3:$3,0))/(B9/1000)</f>
        <v>4.8970682214738597</v>
      </c>
      <c r="AF9" s="41">
        <f>INDEX(DES_1!$A:$J,MATCH('2019'!$A9,DES_1!$A:$A,0),MATCH('2019'!$A$1,DES_1!$3:$3,0))/(B9/1000)</f>
        <v>0.16515039456583397</v>
      </c>
      <c r="AG9" s="100">
        <f>INDEX(DES_2!$A:$J,MATCH('2019'!$A9,DES_2!$A:$A,0),MATCH('2019'!$A$1,DES_2!$3:$3,0))/(B9/1000)</f>
        <v>1.0914286945220333</v>
      </c>
      <c r="AH9" s="57">
        <f>1/INDEX(DES_3!$A:$J,MATCH('2019'!$A9,DES_3!$A:$A,0),MATCH('2019'!$A$1,DES_3!$3:$3,0))</f>
        <v>7.1428571428571426E-3</v>
      </c>
      <c r="AI9" s="80">
        <f>INDEX(DES_4!$A:$J,MATCH('2019'!$A9,DES_4!$A:$A,0),MATCH('2019'!$A$1,DES_4!$3:$3,0))</f>
        <v>0.83166742199300003</v>
      </c>
      <c r="AJ9" s="110">
        <f>INDEX(DES_5!$A:$J,MATCH('2019'!$A9,DES_5!$A:$A,0),MATCH('2019'!$A$1,DES_5!$3:$3,0))</f>
        <v>0.58103922215399995</v>
      </c>
      <c r="AK9" s="57">
        <v>7</v>
      </c>
    </row>
    <row r="10" spans="1:37" x14ac:dyDescent="0.3">
      <c r="A10" s="29" t="s">
        <v>9</v>
      </c>
      <c r="B10" s="33">
        <f>INDEX(Population!$A:$J,MATCH('2019'!$A10,Population!$A:$A,0),MATCH('2019'!$A$1,Population!$3:$3,0))</f>
        <v>298132</v>
      </c>
      <c r="C10" s="14">
        <f>INDEX(Income!$A:$J,MATCH('2019'!$A10,Income!$A:$A,0),MATCH('2019'!$A$1,Income!$3:$3,0))</f>
        <v>52674</v>
      </c>
      <c r="D10" s="34">
        <f>INDEX(Livable_wage!$A:$J,MATCH('2019'!$A10,Livable_wage!$A:$A,0),MATCH('2019'!$A$1,Livable_wage!$3:$3,0))</f>
        <v>21635</v>
      </c>
      <c r="E10" s="41">
        <f>INDEX(AVA_1!$A:$J,MATCH('2019'!$A10,AVA_1!$A:$A,0),MATCH('2019'!$A$1,AVA_1!$3:$3,0))</f>
        <v>0.373</v>
      </c>
      <c r="F10" s="15">
        <f>INDEX(AVA_2!$A:$J,MATCH('2019'!$A10,AVA_2!$A:$A,0),MATCH('2019'!$A$1,AVA_2!$3:$3,0))</f>
        <v>1.2277158741591229E-2</v>
      </c>
      <c r="G10" s="15">
        <f>INDEX(AVA_3!$A:$J,MATCH('2019'!$A10,AVA_3!$A:$A,0),MATCH('2019'!$A$1,AVA_3!$3:$3,0))</f>
        <v>7.239138887059994E-2</v>
      </c>
      <c r="H10" s="87">
        <f>INDEX(AVA_4!$A:$J,MATCH('2019'!$A10,AVA_4!$A:$A,0),MATCH('2019'!$A$1,AVA_4!$3:$3,0))/(B10/1000)</f>
        <v>0.83520051520802863</v>
      </c>
      <c r="I10" s="89">
        <f>INDEX(AVA_5!$A:$J,MATCH('2019'!$A10,AVA_5!$A:$A,0),MATCH('2019'!$A$1,AVA_5!$3:$3,0))/(B10/1000)</f>
        <v>5.7726107898514751</v>
      </c>
      <c r="J10" s="93">
        <f>INDEX(IRA_1!$A:$J,MATCH('2019'!$A10,IRA_1!$A:$A,0),MATCH('2019'!$A$1,IRA_1!$3:$3,0))/(B10/1000)</f>
        <v>8.3855473414460702E-2</v>
      </c>
      <c r="K10" s="88">
        <f>INDEX(IRA_2!$A:$J,MATCH('2019'!$A10,IRA_2!$A:$A,0),MATCH('2019'!$A$1,IRA_2!$3:$3,0))/(B10/1000)</f>
        <v>0.25492063917996055</v>
      </c>
      <c r="L10" s="15">
        <f>INDEX(IRA_3!$A:$J,MATCH('2019'!$A10,IRA_3!$A:$A,0),MATCH('2019'!$A$1,IRA_3!$3:$3,0))</f>
        <v>0.45337620578778137</v>
      </c>
      <c r="M10" s="96">
        <f>INDEX(IRA_4!$A:$J,MATCH('2019'!$A10,IRA_4!$A:$A,0),MATCH('2019'!$A$1,IRA_4!$3:$3,0))/(B10/1000)</f>
        <v>4.2934002388203885</v>
      </c>
      <c r="N10" s="61">
        <f>INDEX(INV_1!$A:$J,MATCH('2019'!$A10,INV_1!$A:$A,0),MATCH('2019'!$A$1,INV_1!$3:$3,0))</f>
        <v>6.872797127986198E-2</v>
      </c>
      <c r="O10" s="80">
        <f>INDEX(INV_2!$A:$J,MATCH('2019'!$A10,INV_2!$A:$A,0),MATCH('2019'!$A$1,INV_2!$3:$3,0))/B10*10^6/C10</f>
        <v>0.1668660573243054</v>
      </c>
      <c r="P10" s="87">
        <f>INDEX(INV_3!$A:$J,MATCH('2019'!$A10,INV_3!$A:$A,0),MATCH('2019'!$A$1,INV_3!$3:$3,0))/B10*10^6/C10</f>
        <v>3.2793963058596742</v>
      </c>
      <c r="Q10" s="87">
        <f>INDEX(INV_4!$A:$J,MATCH('2019'!$A10,INV_4!$A:$A,0),MATCH('2019'!$A$1,INV_4!$3:$3,0))/B10*10^3/C10</f>
        <v>0.33391616940514207</v>
      </c>
      <c r="R10" s="34">
        <f>INDEX(INV_5!$A:$J,MATCH('2019'!$A10,INV_5!$A:$A,0),MATCH('2019'!$A$1,INV_5!$3:$3,0))</f>
        <v>0.1648</v>
      </c>
      <c r="S10" s="77">
        <f>INDEX(LUJ_1!$A:$J,MATCH('2019'!$A10,LUJ_1!$A:$A,0),MATCH('2019'!$A$1,LUJ_1!$3:$3,0))</f>
        <v>0.72809076682316121</v>
      </c>
      <c r="T10" s="73">
        <f>INDEX(LUJ_2!$A:$J,MATCH('2019'!$A10,LUJ_2!$A:$A,0),MATCH('2019'!$A$1,LUJ_2!$3:$3,0))</f>
        <v>0.23199999999999998</v>
      </c>
      <c r="U10" s="73">
        <f>INDEX(LUJ_3!$A:$J,MATCH('2019'!$A10,LUJ_3!$A:$A,0),MATCH('2019'!$A$1,LUJ_3!$3:$3,0))</f>
        <v>0.57376058041112454</v>
      </c>
      <c r="V10" s="14">
        <f>INDEX(LUJ_4!$A:$J,MATCH('2019'!$A10,LUJ_4!$A:$A,0),MATCH('2019'!$A$1,LUJ_4!$3:$3,0))</f>
        <v>7</v>
      </c>
      <c r="W10" s="34">
        <f>INDEX(LUJ_5!$A:$J,MATCH('2019'!$A10,LUJ_5!$A:$A,0),MATCH('2019'!$A$1,LUJ_5!$3:$3,0))</f>
        <v>58.8</v>
      </c>
      <c r="X10" s="98">
        <f>1/INDEX(GUL_1!$A:$J,MATCH('2019'!$A10,GUL_1!$A:$A,0),MATCH('2019'!$A$1,GUL_1!$3:$3,0))</f>
        <v>1.4170327334561431E-2</v>
      </c>
      <c r="Y10" s="57">
        <f>INDEX(GUL_2!$A:$J,MATCH('2019'!$A10,GUL_2!$A:$A,0),MATCH('2019'!$A$1,GUL_2!$3:$3,0))</f>
        <v>24.9</v>
      </c>
      <c r="Z10" s="57">
        <f>INDEX(GUL_3!$A:$J,MATCH('2019'!$A10,GUL_3!$A:$A,0),MATCH('2019'!$A$1,GUL_3!$3:$3,0))/(B10/1000)</f>
        <v>0.7379281660472542</v>
      </c>
      <c r="AA10" s="101">
        <f>INDEX(GUL_4!$A:$J,MATCH('2019'!$A10,GUL_4!$A:$A,0),MATCH('2019'!$A$1,GUL_4!$3:$3,0))/B10/C10*10^6</f>
        <v>0.3967185031076858</v>
      </c>
      <c r="AB10" s="73">
        <f>INDEX(GUL_5!$A:$J,MATCH('2019'!$A10,GUL_5!$A:$A,0),MATCH('2019'!$A$1,GUL_5!$3:$3,0))</f>
        <v>3.6811768983113981E-2</v>
      </c>
      <c r="AC10" s="49" t="e">
        <f>INDEX(GUL_6!$A:$J,MATCH('2019'!$A10,GUL_6!$A:$A,0),MATCH('2019'!$A$1,GUL_6!$3:$3,0))</f>
        <v>#N/A</v>
      </c>
      <c r="AD10" s="49" t="e">
        <f>INDEX(GUL_7!$A:$J,MATCH('2019'!$A10,GUL_7!$A:$A,0),MATCH('2019'!$A$1,GUL_7!$3:$3,0))</f>
        <v>#N/A</v>
      </c>
      <c r="AE10" s="103">
        <f>INDEX(GUL_8!$A:$J,MATCH('2019'!$A10,GUL_8!$A:$A,0),MATCH('2019'!$A$1,GUL_8!$3:$3,0))/(B10/1000)</f>
        <v>3.6326191083144379</v>
      </c>
      <c r="AF10" s="41">
        <f>INDEX(DES_1!$A:$J,MATCH('2019'!$A10,DES_1!$A:$A,0),MATCH('2019'!$A$1,DES_1!$3:$3,0))/(B10/1000)</f>
        <v>5.7021721921833281E-2</v>
      </c>
      <c r="AG10" s="100">
        <f>INDEX(DES_2!$A:$J,MATCH('2019'!$A10,DES_2!$A:$A,0),MATCH('2019'!$A$1,DES_2!$3:$3,0))/(B10/1000)</f>
        <v>0.82513785839829334</v>
      </c>
      <c r="AH10" s="57">
        <f>1/INDEX(DES_3!$A:$J,MATCH('2019'!$A10,DES_3!$A:$A,0),MATCH('2019'!$A$1,DES_3!$3:$3,0))</f>
        <v>8.1103000811030002E-3</v>
      </c>
      <c r="AI10" s="80">
        <f>INDEX(DES_4!$A:$J,MATCH('2019'!$A10,DES_4!$A:$A,0),MATCH('2019'!$A$1,DES_4!$3:$3,0))</f>
        <v>0.62354453629100004</v>
      </c>
      <c r="AJ10" s="110">
        <f>INDEX(DES_5!$A:$J,MATCH('2019'!$A10,DES_5!$A:$A,0),MATCH('2019'!$A$1,DES_5!$3:$3,0))</f>
        <v>0.545975324363</v>
      </c>
      <c r="AK10" s="57">
        <v>8</v>
      </c>
    </row>
    <row r="11" spans="1:37" x14ac:dyDescent="0.3">
      <c r="A11" s="29" t="s">
        <v>10</v>
      </c>
      <c r="B11" s="33">
        <f>INDEX(Population!$A:$J,MATCH('2019'!$A11,Population!$A:$A,0),MATCH('2019'!$A$1,Population!$3:$3,0))</f>
        <v>1881968</v>
      </c>
      <c r="C11" s="14">
        <f>INDEX(Income!$A:$J,MATCH('2019'!$A11,Income!$A:$A,0),MATCH('2019'!$A$1,Income!$3:$3,0))</f>
        <v>36884</v>
      </c>
      <c r="D11" s="34">
        <f>INDEX(Livable_wage!$A:$J,MATCH('2019'!$A11,Livable_wage!$A:$A,0),MATCH('2019'!$A$1,Livable_wage!$3:$3,0))</f>
        <v>14044</v>
      </c>
      <c r="E11" s="41">
        <f>INDEX(AVA_1!$A:$J,MATCH('2019'!$A11,AVA_1!$A:$A,0),MATCH('2019'!$A$1,AVA_1!$3:$3,0))</f>
        <v>0.38500000000000001</v>
      </c>
      <c r="F11" s="15">
        <f>INDEX(AVA_2!$A:$J,MATCH('2019'!$A11,AVA_2!$A:$A,0),MATCH('2019'!$A$1,AVA_2!$3:$3,0))</f>
        <v>1.1212979292786506E-2</v>
      </c>
      <c r="G11" s="15">
        <f>INDEX(AVA_3!$A:$J,MATCH('2019'!$A11,AVA_3!$A:$A,0),MATCH('2019'!$A$1,AVA_3!$3:$3,0))</f>
        <v>5.2931042558874479E-2</v>
      </c>
      <c r="H11" s="87">
        <f>INDEX(AVA_4!$A:$J,MATCH('2019'!$A11,AVA_4!$A:$A,0),MATCH('2019'!$A$1,AVA_4!$3:$3,0))/(B11/1000)</f>
        <v>0.57546143186281595</v>
      </c>
      <c r="I11" s="89">
        <f>INDEX(AVA_5!$A:$J,MATCH('2019'!$A11,AVA_5!$A:$A,0),MATCH('2019'!$A$1,AVA_5!$3:$3,0))/(B11/1000)</f>
        <v>5.5500412334322364</v>
      </c>
      <c r="J11" s="93">
        <f>INDEX(IRA_1!$A:$J,MATCH('2019'!$A11,IRA_1!$A:$A,0),MATCH('2019'!$A$1,IRA_1!$3:$3,0))/(B11/1000)</f>
        <v>8.0766516752675918E-2</v>
      </c>
      <c r="K11" s="88">
        <f>INDEX(IRA_2!$A:$J,MATCH('2019'!$A11,IRA_2!$A:$A,0),MATCH('2019'!$A$1,IRA_2!$3:$3,0))/(B11/1000)</f>
        <v>0.28268280863436573</v>
      </c>
      <c r="L11" s="15">
        <f>INDEX(IRA_3!$A:$J,MATCH('2019'!$A11,IRA_3!$A:$A,0),MATCH('2019'!$A$1,IRA_3!$3:$3,0))</f>
        <v>0.36328097731239095</v>
      </c>
      <c r="M11" s="96">
        <f>INDEX(IRA_4!$A:$J,MATCH('2019'!$A11,IRA_4!$A:$A,0),MATCH('2019'!$A$1,IRA_4!$3:$3,0))/(B11/1000)</f>
        <v>6.0734295163360903</v>
      </c>
      <c r="N11" s="61">
        <f>INDEX(INV_1!$A:$J,MATCH('2019'!$A11,INV_1!$A:$A,0),MATCH('2019'!$A$1,INV_1!$3:$3,0))</f>
        <v>8.171133333080885E-2</v>
      </c>
      <c r="O11" s="80">
        <f>INDEX(INV_2!$A:$J,MATCH('2019'!$A11,INV_2!$A:$A,0),MATCH('2019'!$A$1,INV_2!$3:$3,0))/B11*10^6/C11</f>
        <v>0.24608399219471797</v>
      </c>
      <c r="P11" s="87">
        <f>INDEX(INV_3!$A:$J,MATCH('2019'!$A11,INV_3!$A:$A,0),MATCH('2019'!$A$1,INV_3!$3:$3,0))/B11*10^6/C11</f>
        <v>3.2373059668210016</v>
      </c>
      <c r="Q11" s="87">
        <f>INDEX(INV_4!$A:$J,MATCH('2019'!$A11,INV_4!$A:$A,0),MATCH('2019'!$A$1,INV_4!$3:$3,0))/B11*10^3/C11</f>
        <v>0.28487466455922877</v>
      </c>
      <c r="R11" s="34">
        <f>INDEX(INV_5!$A:$J,MATCH('2019'!$A11,INV_5!$A:$A,0),MATCH('2019'!$A$1,INV_5!$3:$3,0))</f>
        <v>0.17549999999999999</v>
      </c>
      <c r="S11" s="77">
        <f>INDEX(LUJ_1!$A:$J,MATCH('2019'!$A11,LUJ_1!$A:$A,0),MATCH('2019'!$A$1,LUJ_1!$3:$3,0))</f>
        <v>0.65746854799471743</v>
      </c>
      <c r="T11" s="73">
        <f>INDEX(LUJ_2!$A:$J,MATCH('2019'!$A11,LUJ_2!$A:$A,0),MATCH('2019'!$A$1,LUJ_2!$3:$3,0))</f>
        <v>0.222</v>
      </c>
      <c r="U11" s="73">
        <f>INDEX(LUJ_3!$A:$J,MATCH('2019'!$A11,LUJ_3!$A:$A,0),MATCH('2019'!$A$1,LUJ_3!$3:$3,0))</f>
        <v>0.46728843832653594</v>
      </c>
      <c r="V11" s="14">
        <f>INDEX(LUJ_4!$A:$J,MATCH('2019'!$A11,LUJ_4!$A:$A,0),MATCH('2019'!$A$1,LUJ_4!$3:$3,0))</f>
        <v>33</v>
      </c>
      <c r="W11" s="34">
        <f>INDEX(LUJ_5!$A:$J,MATCH('2019'!$A11,LUJ_5!$A:$A,0),MATCH('2019'!$A$1,LUJ_5!$3:$3,0))</f>
        <v>57.3</v>
      </c>
      <c r="X11" s="98">
        <f>1/INDEX(GUL_1!$A:$J,MATCH('2019'!$A11,GUL_1!$A:$A,0),MATCH('2019'!$A$1,GUL_1!$3:$3,0))</f>
        <v>1.4176353841791891E-2</v>
      </c>
      <c r="Y11" s="57">
        <f>INDEX(GUL_2!$A:$J,MATCH('2019'!$A11,GUL_2!$A:$A,0),MATCH('2019'!$A$1,GUL_2!$3:$3,0))</f>
        <v>25.1</v>
      </c>
      <c r="Z11" s="57">
        <f>INDEX(GUL_3!$A:$J,MATCH('2019'!$A11,GUL_3!$A:$A,0),MATCH('2019'!$A$1,GUL_3!$3:$3,0))/(B11/1000)</f>
        <v>0.89002576026797475</v>
      </c>
      <c r="AA11" s="101">
        <f>INDEX(GUL_4!$A:$J,MATCH('2019'!$A11,GUL_4!$A:$A,0),MATCH('2019'!$A$1,GUL_4!$3:$3,0))/B11/C11*10^6</f>
        <v>0.28086059589859591</v>
      </c>
      <c r="AB11" s="73">
        <f>INDEX(GUL_5!$A:$J,MATCH('2019'!$A11,GUL_5!$A:$A,0),MATCH('2019'!$A$1,GUL_5!$3:$3,0))</f>
        <v>2.7139521072498608E-2</v>
      </c>
      <c r="AC11" s="49" t="e">
        <f>INDEX(GUL_6!$A:$J,MATCH('2019'!$A11,GUL_6!$A:$A,0),MATCH('2019'!$A$1,GUL_6!$3:$3,0))</f>
        <v>#N/A</v>
      </c>
      <c r="AD11" s="49" t="e">
        <f>INDEX(GUL_7!$A:$J,MATCH('2019'!$A11,GUL_7!$A:$A,0),MATCH('2019'!$A$1,GUL_7!$3:$3,0))</f>
        <v>#N/A</v>
      </c>
      <c r="AE11" s="103">
        <f>INDEX(GUL_8!$A:$J,MATCH('2019'!$A11,GUL_8!$A:$A,0),MATCH('2019'!$A$1,GUL_8!$3:$3,0))/(B11/1000)</f>
        <v>2.5112010406128054</v>
      </c>
      <c r="AF11" s="41">
        <f>INDEX(DES_1!$A:$J,MATCH('2019'!$A11,DES_1!$A:$A,0),MATCH('2019'!$A$1,DES_1!$3:$3,0))/(B11/1000)</f>
        <v>0.15887624019111907</v>
      </c>
      <c r="AG11" s="100">
        <f>INDEX(DES_2!$A:$J,MATCH('2019'!$A11,DES_2!$A:$A,0),MATCH('2019'!$A$1,DES_2!$3:$3,0))/(B11/1000)</f>
        <v>1.136576179828775</v>
      </c>
      <c r="AH11" s="57">
        <f>1/INDEX(DES_3!$A:$J,MATCH('2019'!$A11,DES_3!$A:$A,0),MATCH('2019'!$A$1,DES_3!$3:$3,0))</f>
        <v>1.0080645161290322E-2</v>
      </c>
      <c r="AI11" s="80">
        <f>INDEX(DES_4!$A:$J,MATCH('2019'!$A11,DES_4!$A:$A,0),MATCH('2019'!$A$1,DES_4!$3:$3,0))</f>
        <v>0.92645860664699997</v>
      </c>
      <c r="AJ11" s="110">
        <f>INDEX(DES_5!$A:$J,MATCH('2019'!$A11,DES_5!$A:$A,0),MATCH('2019'!$A$1,DES_5!$3:$3,0))</f>
        <v>0.68698729778300005</v>
      </c>
      <c r="AK11" s="57">
        <v>12</v>
      </c>
    </row>
    <row r="12" spans="1:37" x14ac:dyDescent="0.3">
      <c r="A12" s="29" t="s">
        <v>11</v>
      </c>
      <c r="B12" s="33">
        <f>INDEX(Population!$A:$J,MATCH('2019'!$A12,Population!$A:$A,0),MATCH('2019'!$A$1,Population!$3:$3,0))</f>
        <v>2894529</v>
      </c>
      <c r="C12" s="14">
        <f>INDEX(Income!$A:$J,MATCH('2019'!$A12,Income!$A:$A,0),MATCH('2019'!$A$1,Income!$3:$3,0))</f>
        <v>24393</v>
      </c>
      <c r="D12" s="34">
        <f>INDEX(Livable_wage!$A:$J,MATCH('2019'!$A12,Livable_wage!$A:$A,0),MATCH('2019'!$A$1,Livable_wage!$3:$3,0))</f>
        <v>9623</v>
      </c>
      <c r="E12" s="41">
        <f>INDEX(AVA_1!$A:$J,MATCH('2019'!$A12,AVA_1!$A:$A,0),MATCH('2019'!$A$1,AVA_1!$3:$3,0))</f>
        <v>0.373</v>
      </c>
      <c r="F12" s="15">
        <f>INDEX(AVA_2!$A:$J,MATCH('2019'!$A12,AVA_2!$A:$A,0),MATCH('2019'!$A$1,AVA_2!$3:$3,0))</f>
        <v>9.0716562269437442E-3</v>
      </c>
      <c r="G12" s="15">
        <f>INDEX(AVA_3!$A:$J,MATCH('2019'!$A12,AVA_3!$A:$A,0),MATCH('2019'!$A$1,AVA_3!$3:$3,0))</f>
        <v>1.9180109030065663E-2</v>
      </c>
      <c r="H12" s="87">
        <f>INDEX(AVA_4!$A:$J,MATCH('2019'!$A12,AVA_4!$A:$A,0),MATCH('2019'!$A$1,AVA_4!$3:$3,0))/(B12/1000)</f>
        <v>0.88131782407431403</v>
      </c>
      <c r="I12" s="89">
        <f>INDEX(AVA_5!$A:$J,MATCH('2019'!$A12,AVA_5!$A:$A,0),MATCH('2019'!$A$1,AVA_5!$3:$3,0))/(B12/1000)</f>
        <v>4.4832855362651403</v>
      </c>
      <c r="J12" s="93">
        <f>INDEX(IRA_1!$A:$J,MATCH('2019'!$A12,IRA_1!$A:$A,0),MATCH('2019'!$A$1,IRA_1!$3:$3,0))/(B12/1000)</f>
        <v>3.938464599940094E-2</v>
      </c>
      <c r="K12" s="88">
        <f>INDEX(IRA_2!$A:$J,MATCH('2019'!$A12,IRA_2!$A:$A,0),MATCH('2019'!$A$1,IRA_2!$3:$3,0))/(B12/1000)</f>
        <v>0.1070985987703008</v>
      </c>
      <c r="L12" s="15">
        <f>INDEX(IRA_3!$A:$J,MATCH('2019'!$A12,IRA_3!$A:$A,0),MATCH('2019'!$A$1,IRA_3!$3:$3,0))</f>
        <v>0.43570389862197911</v>
      </c>
      <c r="M12" s="96">
        <f>INDEX(IRA_4!$A:$J,MATCH('2019'!$A12,IRA_4!$A:$A,0),MATCH('2019'!$A$1,IRA_4!$3:$3,0))/(B12/1000)</f>
        <v>4.3502759861794438</v>
      </c>
      <c r="N12" s="61">
        <f>INDEX(INV_1!$A:$J,MATCH('2019'!$A12,INV_1!$A:$A,0),MATCH('2019'!$A$1,INV_1!$3:$3,0))</f>
        <v>8.499745527070536E-2</v>
      </c>
      <c r="O12" s="80">
        <f>INDEX(INV_2!$A:$J,MATCH('2019'!$A12,INV_2!$A:$A,0),MATCH('2019'!$A$1,INV_2!$3:$3,0))/B12*10^6/C12</f>
        <v>0.47916897946046316</v>
      </c>
      <c r="P12" s="87">
        <f>INDEX(INV_3!$A:$J,MATCH('2019'!$A12,INV_3!$A:$A,0),MATCH('2019'!$A$1,INV_3!$3:$3,0))/B12*10^6/C12</f>
        <v>3.5602091119063535</v>
      </c>
      <c r="Q12" s="87">
        <f>INDEX(INV_4!$A:$J,MATCH('2019'!$A12,INV_4!$A:$A,0),MATCH('2019'!$A$1,INV_4!$3:$3,0))/B12*10^3/C12</f>
        <v>0.27390783144330466</v>
      </c>
      <c r="R12" s="34">
        <f>INDEX(INV_5!$A:$J,MATCH('2019'!$A12,INV_5!$A:$A,0),MATCH('2019'!$A$1,INV_5!$3:$3,0))</f>
        <v>0.1444</v>
      </c>
      <c r="S12" s="77">
        <f>INDEX(LUJ_1!$A:$J,MATCH('2019'!$A12,LUJ_1!$A:$A,0),MATCH('2019'!$A$1,LUJ_1!$3:$3,0))</f>
        <v>0.67427691913037902</v>
      </c>
      <c r="T12" s="73">
        <f>INDEX(LUJ_2!$A:$J,MATCH('2019'!$A12,LUJ_2!$A:$A,0),MATCH('2019'!$A$1,LUJ_2!$3:$3,0))</f>
        <v>0.214</v>
      </c>
      <c r="U12" s="73">
        <f>INDEX(LUJ_3!$A:$J,MATCH('2019'!$A12,LUJ_3!$A:$A,0),MATCH('2019'!$A$1,LUJ_3!$3:$3,0))</f>
        <v>0.39282905555158359</v>
      </c>
      <c r="V12" s="14">
        <f>INDEX(LUJ_4!$A:$J,MATCH('2019'!$A12,LUJ_4!$A:$A,0),MATCH('2019'!$A$1,LUJ_4!$3:$3,0))</f>
        <v>57</v>
      </c>
      <c r="W12" s="34">
        <f>INDEX(LUJ_5!$A:$J,MATCH('2019'!$A12,LUJ_5!$A:$A,0),MATCH('2019'!$A$1,LUJ_5!$3:$3,0))</f>
        <v>23.9</v>
      </c>
      <c r="X12" s="98">
        <f>1/INDEX(GUL_1!$A:$J,MATCH('2019'!$A12,GUL_1!$A:$A,0),MATCH('2019'!$A$1,GUL_1!$3:$3,0))</f>
        <v>1.339405304045004E-2</v>
      </c>
      <c r="Y12" s="57">
        <f>INDEX(GUL_2!$A:$J,MATCH('2019'!$A12,GUL_2!$A:$A,0),MATCH('2019'!$A$1,GUL_2!$3:$3,0))</f>
        <v>24.6</v>
      </c>
      <c r="Z12" s="57">
        <f>INDEX(GUL_3!$A:$J,MATCH('2019'!$A12,GUL_3!$A:$A,0),MATCH('2019'!$A$1,GUL_3!$3:$3,0))/(B12/1000)</f>
        <v>0.6443189893761645</v>
      </c>
      <c r="AA12" s="101">
        <f>INDEX(GUL_4!$A:$J,MATCH('2019'!$A12,GUL_4!$A:$A,0),MATCH('2019'!$A$1,GUL_4!$3:$3,0))/B12/C12*10^6</f>
        <v>0.54666537654907377</v>
      </c>
      <c r="AB12" s="73">
        <f>INDEX(GUL_5!$A:$J,MATCH('2019'!$A12,GUL_5!$A:$A,0),MATCH('2019'!$A$1,GUL_5!$3:$3,0))</f>
        <v>3.8025598486413931E-2</v>
      </c>
      <c r="AC12" s="49" t="e">
        <f>INDEX(GUL_6!$A:$J,MATCH('2019'!$A12,GUL_6!$A:$A,0),MATCH('2019'!$A$1,GUL_6!$3:$3,0))</f>
        <v>#N/A</v>
      </c>
      <c r="AD12" s="49" t="e">
        <f>INDEX(GUL_7!$A:$J,MATCH('2019'!$A12,GUL_7!$A:$A,0),MATCH('2019'!$A$1,GUL_7!$3:$3,0))</f>
        <v>#N/A</v>
      </c>
      <c r="AE12" s="103">
        <f>INDEX(GUL_8!$A:$J,MATCH('2019'!$A12,GUL_8!$A:$A,0),MATCH('2019'!$A$1,GUL_8!$3:$3,0))/(B12/1000)</f>
        <v>0.94246766917864699</v>
      </c>
      <c r="AF12" s="41">
        <f>INDEX(DES_1!$A:$J,MATCH('2019'!$A12,DES_1!$A:$A,0),MATCH('2019'!$A$1,DES_1!$3:$3,0))/(B12/1000)</f>
        <v>7.9460250700545756E-2</v>
      </c>
      <c r="AG12" s="100">
        <f>INDEX(DES_2!$A:$J,MATCH('2019'!$A12,DES_2!$A:$A,0),MATCH('2019'!$A$1,DES_2!$3:$3,0))/(B12/1000)</f>
        <v>0.60838913688548291</v>
      </c>
      <c r="AH12" s="57">
        <f>1/INDEX(DES_3!$A:$J,MATCH('2019'!$A12,DES_3!$A:$A,0),MATCH('2019'!$A$1,DES_3!$3:$3,0))</f>
        <v>9.0909090909090905E-3</v>
      </c>
      <c r="AI12" s="80">
        <f>INDEX(DES_4!$A:$J,MATCH('2019'!$A12,DES_4!$A:$A,0),MATCH('2019'!$A$1,DES_4!$3:$3,0))</f>
        <v>0.89022911619499989</v>
      </c>
      <c r="AJ12" s="110">
        <f>INDEX(DES_5!$A:$J,MATCH('2019'!$A12,DES_5!$A:$A,0),MATCH('2019'!$A$1,DES_5!$3:$3,0))</f>
        <v>0.64318179869299996</v>
      </c>
      <c r="AK12" s="57">
        <v>15</v>
      </c>
    </row>
    <row r="13" spans="1:37" x14ac:dyDescent="0.3">
      <c r="A13" s="29" t="s">
        <v>12</v>
      </c>
      <c r="B13" s="33">
        <f>INDEX(Population!$A:$J,MATCH('2019'!$A13,Population!$A:$A,0),MATCH('2019'!$A$1,Population!$3:$3,0))</f>
        <v>2237107</v>
      </c>
      <c r="C13" s="14">
        <f>INDEX(Income!$A:$J,MATCH('2019'!$A13,Income!$A:$A,0),MATCH('2019'!$A$1,Income!$3:$3,0))</f>
        <v>23993</v>
      </c>
      <c r="D13" s="34">
        <f>INDEX(Livable_wage!$A:$J,MATCH('2019'!$A13,Livable_wage!$A:$A,0),MATCH('2019'!$A$1,Livable_wage!$3:$3,0))</f>
        <v>10365</v>
      </c>
      <c r="E13" s="41">
        <f>INDEX(AVA_1!$A:$J,MATCH('2019'!$A13,AVA_1!$A:$A,0),MATCH('2019'!$A$1,AVA_1!$3:$3,0))</f>
        <v>0.375</v>
      </c>
      <c r="F13" s="15">
        <f>INDEX(AVA_2!$A:$J,MATCH('2019'!$A13,AVA_2!$A:$A,0),MATCH('2019'!$A$1,AVA_2!$3:$3,0))</f>
        <v>9.2986775035188689E-3</v>
      </c>
      <c r="G13" s="15">
        <f>INDEX(AVA_3!$A:$J,MATCH('2019'!$A13,AVA_3!$A:$A,0),MATCH('2019'!$A$1,AVA_3!$3:$3,0))</f>
        <v>9.9929985132740876E-3</v>
      </c>
      <c r="H13" s="87">
        <f>INDEX(AVA_4!$A:$J,MATCH('2019'!$A13,AVA_4!$A:$A,0),MATCH('2019'!$A$1,AVA_4!$3:$3,0))/(B13/1000)</f>
        <v>0.43761876387673904</v>
      </c>
      <c r="I13" s="89">
        <f>INDEX(AVA_5!$A:$J,MATCH('2019'!$A13,AVA_5!$A:$A,0),MATCH('2019'!$A$1,AVA_5!$3:$3,0))/(B13/1000)</f>
        <v>6.162870171163024</v>
      </c>
      <c r="J13" s="93">
        <f>INDEX(IRA_1!$A:$J,MATCH('2019'!$A13,IRA_1!$A:$A,0),MATCH('2019'!$A$1,IRA_1!$3:$3,0))/(B13/1000)</f>
        <v>7.6438006764987104E-2</v>
      </c>
      <c r="K13" s="88">
        <f>INDEX(IRA_2!$A:$J,MATCH('2019'!$A13,IRA_2!$A:$A,0),MATCH('2019'!$A$1,IRA_2!$3:$3,0))/(B13/1000)</f>
        <v>0.1890834904186523</v>
      </c>
      <c r="L13" s="15">
        <f>INDEX(IRA_3!$A:$J,MATCH('2019'!$A13,IRA_3!$A:$A,0),MATCH('2019'!$A$1,IRA_3!$3:$3,0))</f>
        <v>0.32351033268464457</v>
      </c>
      <c r="M13" s="96">
        <f>INDEX(IRA_4!$A:$J,MATCH('2019'!$A13,IRA_4!$A:$A,0),MATCH('2019'!$A$1,IRA_4!$3:$3,0))/(B13/1000)</f>
        <v>4.8026312554562658</v>
      </c>
      <c r="N13" s="61">
        <f>INDEX(INV_1!$A:$J,MATCH('2019'!$A13,INV_1!$A:$A,0),MATCH('2019'!$A$1,INV_1!$3:$3,0))</f>
        <v>7.5652019940769408E-2</v>
      </c>
      <c r="O13" s="80">
        <f>INDEX(INV_2!$A:$J,MATCH('2019'!$A13,INV_2!$A:$A,0),MATCH('2019'!$A$1,INV_2!$3:$3,0))/B13*10^6/C13</f>
        <v>0.44196860523852</v>
      </c>
      <c r="P13" s="87">
        <f>INDEX(INV_3!$A:$J,MATCH('2019'!$A13,INV_3!$A:$A,0),MATCH('2019'!$A$1,INV_3!$3:$3,0))/B13*10^6/C13</f>
        <v>3.9729550910974689</v>
      </c>
      <c r="Q13" s="87">
        <f>INDEX(INV_4!$A:$J,MATCH('2019'!$A13,INV_4!$A:$A,0),MATCH('2019'!$A$1,INV_4!$3:$3,0))/B13*10^3/C13</f>
        <v>0.33565990100531451</v>
      </c>
      <c r="R13" s="34">
        <f>INDEX(INV_5!$A:$J,MATCH('2019'!$A13,INV_5!$A:$A,0),MATCH('2019'!$A$1,INV_5!$3:$3,0))</f>
        <v>8.0399999999999999E-2</v>
      </c>
      <c r="S13" s="77">
        <f>INDEX(LUJ_1!$A:$J,MATCH('2019'!$A13,LUJ_1!$A:$A,0),MATCH('2019'!$A$1,LUJ_1!$3:$3,0))</f>
        <v>0.75529394343254852</v>
      </c>
      <c r="T13" s="73">
        <f>INDEX(LUJ_2!$A:$J,MATCH('2019'!$A13,LUJ_2!$A:$A,0),MATCH('2019'!$A$1,LUJ_2!$3:$3,0))</f>
        <v>0.218</v>
      </c>
      <c r="U13" s="73">
        <f>INDEX(LUJ_3!$A:$J,MATCH('2019'!$A13,LUJ_3!$A:$A,0),MATCH('2019'!$A$1,LUJ_3!$3:$3,0))</f>
        <v>0.48797746643465323</v>
      </c>
      <c r="V13" s="14">
        <f>INDEX(LUJ_4!$A:$J,MATCH('2019'!$A13,LUJ_4!$A:$A,0),MATCH('2019'!$A$1,LUJ_4!$3:$3,0))</f>
        <v>60</v>
      </c>
      <c r="W13" s="34">
        <f>INDEX(LUJ_5!$A:$J,MATCH('2019'!$A13,LUJ_5!$A:$A,0),MATCH('2019'!$A$1,LUJ_5!$3:$3,0))</f>
        <v>74.5</v>
      </c>
      <c r="X13" s="98">
        <f>1/INDEX(GUL_1!$A:$J,MATCH('2019'!$A13,GUL_1!$A:$A,0),MATCH('2019'!$A$1,GUL_1!$3:$3,0))</f>
        <v>1.3964530093562352E-2</v>
      </c>
      <c r="Y13" s="57">
        <f>INDEX(GUL_2!$A:$J,MATCH('2019'!$A13,GUL_2!$A:$A,0),MATCH('2019'!$A$1,GUL_2!$3:$3,0))</f>
        <v>25.4</v>
      </c>
      <c r="Z13" s="57">
        <f>INDEX(GUL_3!$A:$J,MATCH('2019'!$A13,GUL_3!$A:$A,0),MATCH('2019'!$A$1,GUL_3!$3:$3,0))/(B13/1000)</f>
        <v>0.61597411299504223</v>
      </c>
      <c r="AA13" s="101">
        <f>INDEX(GUL_4!$A:$J,MATCH('2019'!$A13,GUL_4!$A:$A,0),MATCH('2019'!$A$1,GUL_4!$3:$3,0))/B13/C13*10^6</f>
        <v>0.19310494116786675</v>
      </c>
      <c r="AB13" s="73">
        <f>INDEX(GUL_5!$A:$J,MATCH('2019'!$A13,GUL_5!$A:$A,0),MATCH('2019'!$A$1,GUL_5!$3:$3,0))</f>
        <v>3.48131487449077E-2</v>
      </c>
      <c r="AC13" s="49" t="e">
        <f>INDEX(GUL_6!$A:$J,MATCH('2019'!$A13,GUL_6!$A:$A,0),MATCH('2019'!$A$1,GUL_6!$3:$3,0))</f>
        <v>#N/A</v>
      </c>
      <c r="AD13" s="49" t="e">
        <f>INDEX(GUL_7!$A:$J,MATCH('2019'!$A13,GUL_7!$A:$A,0),MATCH('2019'!$A$1,GUL_7!$3:$3,0))</f>
        <v>#N/A</v>
      </c>
      <c r="AE13" s="103">
        <f>INDEX(GUL_8!$A:$J,MATCH('2019'!$A13,GUL_8!$A:$A,0),MATCH('2019'!$A$1,GUL_8!$3:$3,0))/(B13/1000)</f>
        <v>4.1053020709335764</v>
      </c>
      <c r="AF13" s="41">
        <f>INDEX(DES_1!$A:$J,MATCH('2019'!$A13,DES_1!$A:$A,0),MATCH('2019'!$A$1,DES_1!$3:$3,0))/(B13/1000)</f>
        <v>0.26149844419600848</v>
      </c>
      <c r="AG13" s="100">
        <f>INDEX(DES_2!$A:$J,MATCH('2019'!$A13,DES_2!$A:$A,0),MATCH('2019'!$A$1,DES_2!$3:$3,0))/(B13/1000)</f>
        <v>0.88775369260388526</v>
      </c>
      <c r="AH13" s="57">
        <f>1/INDEX(DES_3!$A:$J,MATCH('2019'!$A13,DES_3!$A:$A,0),MATCH('2019'!$A$1,DES_3!$3:$3,0))</f>
        <v>8.7260034904013961E-3</v>
      </c>
      <c r="AI13" s="80">
        <f>INDEX(DES_4!$A:$J,MATCH('2019'!$A13,DES_4!$A:$A,0),MATCH('2019'!$A$1,DES_4!$3:$3,0))</f>
        <v>0.91111713590400001</v>
      </c>
      <c r="AJ13" s="110">
        <f>INDEX(DES_5!$A:$J,MATCH('2019'!$A13,DES_5!$A:$A,0),MATCH('2019'!$A$1,DES_5!$3:$3,0))</f>
        <v>0.71349734939100007</v>
      </c>
      <c r="AK13" s="57">
        <v>17</v>
      </c>
    </row>
    <row r="14" spans="1:37" x14ac:dyDescent="0.3">
      <c r="A14" s="29" t="s">
        <v>13</v>
      </c>
      <c r="B14" s="33">
        <f>INDEX(Population!$A:$J,MATCH('2019'!$A14,Population!$A:$A,0),MATCH('2019'!$A$1,Population!$3:$3,0))</f>
        <v>12887153</v>
      </c>
      <c r="C14" s="14">
        <f>INDEX(Income!$A:$J,MATCH('2019'!$A14,Income!$A:$A,0),MATCH('2019'!$A$1,Income!$3:$3,0))</f>
        <v>75891</v>
      </c>
      <c r="D14" s="34">
        <f>INDEX(Livable_wage!$A:$J,MATCH('2019'!$A14,Livable_wage!$A:$A,0),MATCH('2019'!$A$1,Livable_wage!$3:$3,0))</f>
        <v>19233</v>
      </c>
      <c r="E14" s="41">
        <f>INDEX(AVA_1!$A:$J,MATCH('2019'!$A14,AVA_1!$A:$A,0),MATCH('2019'!$A$1,AVA_1!$3:$3,0))</f>
        <v>0.41799999999999998</v>
      </c>
      <c r="F14" s="15">
        <f>INDEX(AVA_2!$A:$J,MATCH('2019'!$A14,AVA_2!$A:$A,0),MATCH('2019'!$A$1,AVA_2!$3:$3,0))</f>
        <v>5.8604805431064534E-2</v>
      </c>
      <c r="G14" s="15">
        <f>INDEX(AVA_3!$A:$J,MATCH('2019'!$A14,AVA_3!$A:$A,0),MATCH('2019'!$A$1,AVA_3!$3:$3,0))</f>
        <v>0.15367747421523678</v>
      </c>
      <c r="H14" s="87">
        <f>INDEX(AVA_4!$A:$J,MATCH('2019'!$A14,AVA_4!$A:$A,0),MATCH('2019'!$A$1,AVA_4!$3:$3,0))/(B14/1000)</f>
        <v>0.9691822546065838</v>
      </c>
      <c r="I14" s="89">
        <f>INDEX(AVA_5!$A:$J,MATCH('2019'!$A14,AVA_5!$A:$A,0),MATCH('2019'!$A$1,AVA_5!$3:$3,0))/(B14/1000)</f>
        <v>5.0902631481134737</v>
      </c>
      <c r="J14" s="93">
        <f>INDEX(IRA_1!$A:$J,MATCH('2019'!$A14,IRA_1!$A:$A,0),MATCH('2019'!$A$1,IRA_1!$3:$3,0))/(B14/1000)</f>
        <v>2.2115047442984499E-2</v>
      </c>
      <c r="K14" s="88">
        <f>INDEX(IRA_2!$A:$J,MATCH('2019'!$A14,IRA_2!$A:$A,0),MATCH('2019'!$A$1,IRA_2!$3:$3,0))/(B14/1000)</f>
        <v>6.3784452625028965E-2</v>
      </c>
      <c r="L14" s="15">
        <f>INDEX(IRA_3!$A:$J,MATCH('2019'!$A14,IRA_3!$A:$A,0),MATCH('2019'!$A$1,IRA_3!$3:$3,0))</f>
        <v>0.62526868879866249</v>
      </c>
      <c r="M14" s="96">
        <f>INDEX(IRA_4!$A:$J,MATCH('2019'!$A14,IRA_4!$A:$A,0),MATCH('2019'!$A$1,IRA_4!$3:$3,0))/(B14/1000)</f>
        <v>3.3984232203963125</v>
      </c>
      <c r="N14" s="61">
        <f>INDEX(INV_1!$A:$J,MATCH('2019'!$A14,INV_1!$A:$A,0),MATCH('2019'!$A$1,INV_1!$3:$3,0))</f>
        <v>9.7095542339286245E-2</v>
      </c>
      <c r="O14" s="80">
        <f>INDEX(INV_2!$A:$J,MATCH('2019'!$A14,INV_2!$A:$A,0),MATCH('2019'!$A$1,INV_2!$3:$3,0))/B14*10^6/C14</f>
        <v>0.43842899806166885</v>
      </c>
      <c r="P14" s="87">
        <f>INDEX(INV_3!$A:$J,MATCH('2019'!$A14,INV_3!$A:$A,0),MATCH('2019'!$A$1,INV_3!$3:$3,0))/B14*10^6/C14</f>
        <v>2.0336487795900116</v>
      </c>
      <c r="Q14" s="87">
        <f>INDEX(INV_4!$A:$J,MATCH('2019'!$A14,INV_4!$A:$A,0),MATCH('2019'!$A$1,INV_4!$3:$3,0))/B14*10^3/C14</f>
        <v>0.29679604718666025</v>
      </c>
      <c r="R14" s="34">
        <f>INDEX(INV_5!$A:$J,MATCH('2019'!$A14,INV_5!$A:$A,0),MATCH('2019'!$A$1,INV_5!$3:$3,0))</f>
        <v>0.32529999999999998</v>
      </c>
      <c r="S14" s="77">
        <f>INDEX(LUJ_1!$A:$J,MATCH('2019'!$A14,LUJ_1!$A:$A,0),MATCH('2019'!$A$1,LUJ_1!$3:$3,0))</f>
        <v>0.57883942574496317</v>
      </c>
      <c r="T14" s="73">
        <f>INDEX(LUJ_2!$A:$J,MATCH('2019'!$A14,LUJ_2!$A:$A,0),MATCH('2019'!$A$1,LUJ_2!$3:$3,0))</f>
        <v>0.18100000000000002</v>
      </c>
      <c r="U14" s="73">
        <f>INDEX(LUJ_3!$A:$J,MATCH('2019'!$A14,LUJ_3!$A:$A,0),MATCH('2019'!$A$1,LUJ_3!$3:$3,0))</f>
        <v>0.21562700443094435</v>
      </c>
      <c r="V14" s="14">
        <f>INDEX(LUJ_4!$A:$J,MATCH('2019'!$A14,LUJ_4!$A:$A,0),MATCH('2019'!$A$1,LUJ_4!$3:$3,0))</f>
        <v>133</v>
      </c>
      <c r="W14" s="34">
        <f>INDEX(LUJ_5!$A:$J,MATCH('2019'!$A14,LUJ_5!$A:$A,0),MATCH('2019'!$A$1,LUJ_5!$3:$3,0))</f>
        <v>19.8</v>
      </c>
      <c r="X14" s="98">
        <f>1/INDEX(GUL_1!$A:$J,MATCH('2019'!$A14,GUL_1!$A:$A,0),MATCH('2019'!$A$1,GUL_1!$3:$3,0))</f>
        <v>1.2761613067891782E-2</v>
      </c>
      <c r="Y14" s="57">
        <f>INDEX(GUL_2!$A:$J,MATCH('2019'!$A14,GUL_2!$A:$A,0),MATCH('2019'!$A$1,GUL_2!$3:$3,0))</f>
        <v>24.6</v>
      </c>
      <c r="Z14" s="57">
        <f>INDEX(GUL_3!$A:$J,MATCH('2019'!$A14,GUL_3!$A:$A,0),MATCH('2019'!$A$1,GUL_3!$3:$3,0))/(B14/1000)</f>
        <v>0.38689693526568669</v>
      </c>
      <c r="AA14" s="101">
        <f>INDEX(GUL_4!$A:$J,MATCH('2019'!$A14,GUL_4!$A:$A,0),MATCH('2019'!$A$1,GUL_4!$3:$3,0))/B14/C14*10^6</f>
        <v>0.36657101372745371</v>
      </c>
      <c r="AB14" s="73">
        <f>INDEX(GUL_5!$A:$J,MATCH('2019'!$A14,GUL_5!$A:$A,0),MATCH('2019'!$A$1,GUL_5!$3:$3,0))</f>
        <v>2.977128740837047E-2</v>
      </c>
      <c r="AC14" s="49" t="e">
        <f>INDEX(GUL_6!$A:$J,MATCH('2019'!$A14,GUL_6!$A:$A,0),MATCH('2019'!$A$1,GUL_6!$3:$3,0))</f>
        <v>#N/A</v>
      </c>
      <c r="AD14" s="49" t="e">
        <f>INDEX(GUL_7!$A:$J,MATCH('2019'!$A14,GUL_7!$A:$A,0),MATCH('2019'!$A$1,GUL_7!$3:$3,0))</f>
        <v>#N/A</v>
      </c>
      <c r="AE14" s="103">
        <f>INDEX(GUL_8!$A:$J,MATCH('2019'!$A14,GUL_8!$A:$A,0),MATCH('2019'!$A$1,GUL_8!$3:$3,0))/(B14/1000)</f>
        <v>0.46255367651800205</v>
      </c>
      <c r="AF14" s="41">
        <f>INDEX(DES_1!$A:$J,MATCH('2019'!$A14,DES_1!$A:$A,0),MATCH('2019'!$A$1,DES_1!$3:$3,0))/(B14/1000)</f>
        <v>2.2735820704541956E-2</v>
      </c>
      <c r="AG14" s="100">
        <f>INDEX(DES_2!$A:$J,MATCH('2019'!$A14,DES_2!$A:$A,0),MATCH('2019'!$A$1,DES_2!$3:$3,0))/(B14/1000)</f>
        <v>0.27996874096241425</v>
      </c>
      <c r="AH14" s="57">
        <f>1/INDEX(DES_3!$A:$J,MATCH('2019'!$A14,DES_3!$A:$A,0),MATCH('2019'!$A$1,DES_3!$3:$3,0))</f>
        <v>1.001001001001001E-2</v>
      </c>
      <c r="AI14" s="80">
        <f>INDEX(DES_4!$A:$J,MATCH('2019'!$A14,DES_4!$A:$A,0),MATCH('2019'!$A$1,DES_4!$3:$3,0))</f>
        <v>1</v>
      </c>
      <c r="AJ14" s="110">
        <f>INDEX(DES_5!$A:$J,MATCH('2019'!$A14,DES_5!$A:$A,0),MATCH('2019'!$A$1,DES_5!$3:$3,0))</f>
        <v>1</v>
      </c>
      <c r="AK14" s="57">
        <v>42</v>
      </c>
    </row>
    <row r="15" spans="1:37" x14ac:dyDescent="0.3">
      <c r="A15" s="29" t="s">
        <v>14</v>
      </c>
      <c r="B15" s="33">
        <f>INDEX(Population!$A:$J,MATCH('2019'!$A15,Population!$A:$A,0),MATCH('2019'!$A$1,Population!$3:$3,0))</f>
        <v>328476</v>
      </c>
      <c r="C15" s="14">
        <f>INDEX(Income!$A:$J,MATCH('2019'!$A15,Income!$A:$A,0),MATCH('2019'!$A$1,Income!$3:$3,0))</f>
        <v>16618</v>
      </c>
      <c r="D15" s="34">
        <f>INDEX(Livable_wage!$A:$J,MATCH('2019'!$A15,Livable_wage!$A:$A,0),MATCH('2019'!$A$1,Livable_wage!$3:$3,0))</f>
        <v>10694</v>
      </c>
      <c r="E15" s="41">
        <f>INDEX(AVA_1!$A:$J,MATCH('2019'!$A15,AVA_1!$A:$A,0),MATCH('2019'!$A$1,AVA_1!$3:$3,0))</f>
        <v>0.34499999999999997</v>
      </c>
      <c r="F15" s="15">
        <f>INDEX(AVA_2!$A:$J,MATCH('2019'!$A15,AVA_2!$A:$A,0),MATCH('2019'!$A$1,AVA_2!$3:$3,0))</f>
        <v>8.6950079474123771E-3</v>
      </c>
      <c r="G15" s="15">
        <f>INDEX(AVA_3!$A:$J,MATCH('2019'!$A15,AVA_3!$A:$A,0),MATCH('2019'!$A$1,AVA_3!$3:$3,0))</f>
        <v>0.54657659172796247</v>
      </c>
      <c r="H15" s="87">
        <f>INDEX(AVA_4!$A:$J,MATCH('2019'!$A15,AVA_4!$A:$A,0),MATCH('2019'!$A$1,AVA_4!$3:$3,0))/(B15/1000)</f>
        <v>0.37445658130274356</v>
      </c>
      <c r="I15" s="89">
        <f>INDEX(AVA_5!$A:$J,MATCH('2019'!$A15,AVA_5!$A:$A,0),MATCH('2019'!$A$1,AVA_5!$3:$3,0))/(B15/1000)</f>
        <v>11.038858242306896</v>
      </c>
      <c r="J15" s="93">
        <f>INDEX(IRA_1!$A:$J,MATCH('2019'!$A15,IRA_1!$A:$A,0),MATCH('2019'!$A$1,IRA_1!$3:$3,0))/(B15/1000)</f>
        <v>0.35010168170581718</v>
      </c>
      <c r="K15" s="88">
        <f>INDEX(IRA_2!$A:$J,MATCH('2019'!$A15,IRA_2!$A:$A,0),MATCH('2019'!$A$1,IRA_2!$3:$3,0))/(B15/1000)</f>
        <v>1.0107283332724462</v>
      </c>
      <c r="L15" s="15">
        <f>INDEX(IRA_3!$A:$J,MATCH('2019'!$A15,IRA_3!$A:$A,0),MATCH('2019'!$A$1,IRA_3!$3:$3,0))</f>
        <v>0.4</v>
      </c>
      <c r="M15" s="96">
        <f>INDEX(IRA_4!$A:$J,MATCH('2019'!$A15,IRA_4!$A:$A,0),MATCH('2019'!$A$1,IRA_4!$3:$3,0))/(B15/1000)</f>
        <v>10.098150245375614</v>
      </c>
      <c r="N15" s="61">
        <f>INDEX(INV_1!$A:$J,MATCH('2019'!$A15,INV_1!$A:$A,0),MATCH('2019'!$A$1,INV_1!$3:$3,0))</f>
        <v>0.1175853897929834</v>
      </c>
      <c r="O15" s="80">
        <f>INDEX(INV_2!$A:$J,MATCH('2019'!$A15,INV_2!$A:$A,0),MATCH('2019'!$A$1,INV_2!$3:$3,0))/B15*10^6/C15</f>
        <v>0.39420877420036038</v>
      </c>
      <c r="P15" s="87">
        <f>INDEX(INV_3!$A:$J,MATCH('2019'!$A15,INV_3!$A:$A,0),MATCH('2019'!$A$1,INV_3!$3:$3,0))/B15*10^6/C15</f>
        <v>6.7506145087190204</v>
      </c>
      <c r="Q15" s="87">
        <f>INDEX(INV_4!$A:$J,MATCH('2019'!$A15,INV_4!$A:$A,0),MATCH('2019'!$A$1,INV_4!$3:$3,0))/B15*10^3/C15</f>
        <v>0.26309809702600689</v>
      </c>
      <c r="R15" s="34">
        <f>INDEX(INV_5!$A:$J,MATCH('2019'!$A15,INV_5!$A:$A,0),MATCH('2019'!$A$1,INV_5!$3:$3,0))</f>
        <v>4.4900000000000002E-2</v>
      </c>
      <c r="S15" s="77">
        <f>INDEX(LUJ_1!$A:$J,MATCH('2019'!$A15,LUJ_1!$A:$A,0),MATCH('2019'!$A$1,LUJ_1!$3:$3,0))</f>
        <v>0.34082568807339447</v>
      </c>
      <c r="T15" s="73">
        <f>INDEX(LUJ_2!$A:$J,MATCH('2019'!$A15,LUJ_2!$A:$A,0),MATCH('2019'!$A$1,LUJ_2!$3:$3,0))</f>
        <v>0.56000000000000005</v>
      </c>
      <c r="U15" s="73">
        <f>INDEX(LUJ_3!$A:$J,MATCH('2019'!$A15,LUJ_3!$A:$A,0),MATCH('2019'!$A$1,LUJ_3!$3:$3,0))</f>
        <v>0.41729904068805818</v>
      </c>
      <c r="V15" s="14">
        <f>INDEX(LUJ_4!$A:$J,MATCH('2019'!$A15,LUJ_4!$A:$A,0),MATCH('2019'!$A$1,LUJ_4!$3:$3,0))</f>
        <v>29</v>
      </c>
      <c r="W15" s="34">
        <f>INDEX(LUJ_5!$A:$J,MATCH('2019'!$A15,LUJ_5!$A:$A,0),MATCH('2019'!$A$1,LUJ_5!$3:$3,0))</f>
        <v>10.199999999999999</v>
      </c>
      <c r="X15" s="98">
        <f>1/INDEX(GUL_1!$A:$J,MATCH('2019'!$A15,GUL_1!$A:$A,0),MATCH('2019'!$A$1,GUL_1!$3:$3,0))</f>
        <v>1.4799467219180112E-2</v>
      </c>
      <c r="Y15" s="57">
        <f>INDEX(GUL_2!$A:$J,MATCH('2019'!$A15,GUL_2!$A:$A,0),MATCH('2019'!$A$1,GUL_2!$3:$3,0))</f>
        <v>23.3</v>
      </c>
      <c r="Z15" s="57">
        <f>INDEX(GUL_3!$A:$J,MATCH('2019'!$A15,GUL_3!$A:$A,0),MATCH('2019'!$A$1,GUL_3!$3:$3,0))/(B15/1000)</f>
        <v>0.52971906623314946</v>
      </c>
      <c r="AA15" s="101">
        <f>INDEX(GUL_4!$A:$J,MATCH('2019'!$A15,GUL_4!$A:$A,0),MATCH('2019'!$A$1,GUL_4!$3:$3,0))/B15/C15*10^6</f>
        <v>0.20175450510060669</v>
      </c>
      <c r="AB15" s="73">
        <f>INDEX(GUL_5!$A:$J,MATCH('2019'!$A15,GUL_5!$A:$A,0),MATCH('2019'!$A$1,GUL_5!$3:$3,0))</f>
        <v>2.3627815069684779E-2</v>
      </c>
      <c r="AC15" s="49" t="e">
        <f>INDEX(GUL_6!$A:$J,MATCH('2019'!$A15,GUL_6!$A:$A,0),MATCH('2019'!$A$1,GUL_6!$3:$3,0))</f>
        <v>#N/A</v>
      </c>
      <c r="AD15" s="49" t="e">
        <f>INDEX(GUL_7!$A:$J,MATCH('2019'!$A15,GUL_7!$A:$A,0),MATCH('2019'!$A$1,GUL_7!$3:$3,0))</f>
        <v>#N/A</v>
      </c>
      <c r="AE15" s="103">
        <f>INDEX(GUL_8!$A:$J,MATCH('2019'!$A15,GUL_8!$A:$A,0),MATCH('2019'!$A$1,GUL_8!$3:$3,0))/(B15/1000)</f>
        <v>6.2378986592627772</v>
      </c>
      <c r="AF15" s="41">
        <f>INDEX(DES_1!$A:$J,MATCH('2019'!$A15,DES_1!$A:$A,0),MATCH('2019'!$A$1,DES_1!$3:$3,0))/(B15/1000)</f>
        <v>0.26485953311657473</v>
      </c>
      <c r="AG15" s="100">
        <f>INDEX(DES_2!$A:$J,MATCH('2019'!$A15,DES_2!$A:$A,0),MATCH('2019'!$A$1,DES_2!$3:$3,0))/(B15/1000)</f>
        <v>2.9286766765304009</v>
      </c>
      <c r="AH15" s="57">
        <f>1/INDEX(DES_3!$A:$J,MATCH('2019'!$A15,DES_3!$A:$A,0),MATCH('2019'!$A$1,DES_3!$3:$3,0))</f>
        <v>8.4817642069550461E-3</v>
      </c>
      <c r="AI15" s="80">
        <f>INDEX(DES_4!$A:$J,MATCH('2019'!$A15,DES_4!$A:$A,0),MATCH('2019'!$A$1,DES_4!$3:$3,0))</f>
        <v>0.51781893090300002</v>
      </c>
      <c r="AJ15" s="110">
        <f>INDEX(DES_5!$A:$J,MATCH('2019'!$A15,DES_5!$A:$A,0),MATCH('2019'!$A$1,DES_5!$3:$3,0))</f>
        <v>0.35439861909000003</v>
      </c>
      <c r="AK15" s="57">
        <v>76</v>
      </c>
    </row>
    <row r="16" spans="1:37" x14ac:dyDescent="0.3">
      <c r="A16" s="29" t="s">
        <v>15</v>
      </c>
      <c r="B16" s="33">
        <f>INDEX(Population!$A:$J,MATCH('2019'!$A16,Population!$A:$A,0),MATCH('2019'!$A$1,Population!$3:$3,0))</f>
        <v>1010592</v>
      </c>
      <c r="C16" s="14">
        <f>INDEX(Income!$A:$J,MATCH('2019'!$A16,Income!$A:$A,0),MATCH('2019'!$A$1,Income!$3:$3,0))</f>
        <v>28154</v>
      </c>
      <c r="D16" s="34">
        <f>INDEX(Livable_wage!$A:$J,MATCH('2019'!$A16,Livable_wage!$A:$A,0),MATCH('2019'!$A$1,Livable_wage!$3:$3,0))</f>
        <v>10608</v>
      </c>
      <c r="E16" s="41">
        <f>INDEX(AVA_1!$A:$J,MATCH('2019'!$A16,AVA_1!$A:$A,0),MATCH('2019'!$A$1,AVA_1!$3:$3,0))</f>
        <v>0.36899999999999999</v>
      </c>
      <c r="F16" s="15">
        <f>INDEX(AVA_2!$A:$J,MATCH('2019'!$A16,AVA_2!$A:$A,0),MATCH('2019'!$A$1,AVA_2!$3:$3,0))</f>
        <v>8.7441281791573282E-3</v>
      </c>
      <c r="G16" s="15">
        <f>INDEX(AVA_3!$A:$J,MATCH('2019'!$A16,AVA_3!$A:$A,0),MATCH('2019'!$A$1,AVA_3!$3:$3,0))</f>
        <v>1.0954866898259429E-2</v>
      </c>
      <c r="H16" s="87">
        <f>INDEX(AVA_4!$A:$J,MATCH('2019'!$A16,AVA_4!$A:$A,0),MATCH('2019'!$A$1,AVA_4!$3:$3,0))/(B16/1000)</f>
        <v>0.49475950729869228</v>
      </c>
      <c r="I16" s="89">
        <f>INDEX(AVA_5!$A:$J,MATCH('2019'!$A16,AVA_5!$A:$A,0),MATCH('2019'!$A$1,AVA_5!$3:$3,0))/(B16/1000)</f>
        <v>4.0174471992653809</v>
      </c>
      <c r="J16" s="93">
        <f>INDEX(IRA_1!$A:$J,MATCH('2019'!$A16,IRA_1!$A:$A,0),MATCH('2019'!$A$1,IRA_1!$3:$3,0))/(B16/1000)</f>
        <v>4.7496912700674458E-2</v>
      </c>
      <c r="K16" s="88">
        <f>INDEX(IRA_2!$A:$J,MATCH('2019'!$A16,IRA_2!$A:$A,0),MATCH('2019'!$A$1,IRA_2!$3:$3,0))/(B16/1000)</f>
        <v>0.11181564864950445</v>
      </c>
      <c r="L16" s="15">
        <f>INDEX(IRA_3!$A:$J,MATCH('2019'!$A16,IRA_3!$A:$A,0),MATCH('2019'!$A$1,IRA_3!$3:$3,0))</f>
        <v>0.36960431654676262</v>
      </c>
      <c r="M16" s="96">
        <f>INDEX(IRA_4!$A:$J,MATCH('2019'!$A16,IRA_4!$A:$A,0),MATCH('2019'!$A$1,IRA_4!$3:$3,0))/(B16/1000)</f>
        <v>3.2238529495582786</v>
      </c>
      <c r="N16" s="61">
        <f>INDEX(INV_1!$A:$J,MATCH('2019'!$A16,INV_1!$A:$A,0),MATCH('2019'!$A$1,INV_1!$3:$3,0))</f>
        <v>7.6626482799336967E-2</v>
      </c>
      <c r="O16" s="80">
        <f>INDEX(INV_2!$A:$J,MATCH('2019'!$A16,INV_2!$A:$A,0),MATCH('2019'!$A$1,INV_2!$3:$3,0))/B16*10^6/C16</f>
        <v>0.45521461152465065</v>
      </c>
      <c r="P16" s="87">
        <f>INDEX(INV_3!$A:$J,MATCH('2019'!$A16,INV_3!$A:$A,0),MATCH('2019'!$A$1,INV_3!$3:$3,0))/B16*10^6/C16</f>
        <v>3.1147671418501601</v>
      </c>
      <c r="Q16" s="87">
        <f>INDEX(INV_4!$A:$J,MATCH('2019'!$A16,INV_4!$A:$A,0),MATCH('2019'!$A$1,INV_4!$3:$3,0))/B16*10^3/C16</f>
        <v>0.23426832444467038</v>
      </c>
      <c r="R16" s="34">
        <f>INDEX(INV_5!$A:$J,MATCH('2019'!$A16,INV_5!$A:$A,0),MATCH('2019'!$A$1,INV_5!$3:$3,0))</f>
        <v>5.5599999999999997E-2</v>
      </c>
      <c r="S16" s="77">
        <f>INDEX(LUJ_1!$A:$J,MATCH('2019'!$A16,LUJ_1!$A:$A,0),MATCH('2019'!$A$1,LUJ_1!$3:$3,0))</f>
        <v>0.69675845242244683</v>
      </c>
      <c r="T16" s="73">
        <f>INDEX(LUJ_2!$A:$J,MATCH('2019'!$A16,LUJ_2!$A:$A,0),MATCH('2019'!$A$1,LUJ_2!$3:$3,0))</f>
        <v>0.1</v>
      </c>
      <c r="U16" s="73">
        <f>INDEX(LUJ_3!$A:$J,MATCH('2019'!$A16,LUJ_3!$A:$A,0),MATCH('2019'!$A$1,LUJ_3!$3:$3,0))</f>
        <v>0.44976756198347106</v>
      </c>
      <c r="V16" s="14">
        <f>INDEX(LUJ_4!$A:$J,MATCH('2019'!$A16,LUJ_4!$A:$A,0),MATCH('2019'!$A$1,LUJ_4!$3:$3,0))</f>
        <v>8</v>
      </c>
      <c r="W16" s="34">
        <f>INDEX(LUJ_5!$A:$J,MATCH('2019'!$A16,LUJ_5!$A:$A,0),MATCH('2019'!$A$1,LUJ_5!$3:$3,0))</f>
        <v>23.6</v>
      </c>
      <c r="X16" s="98">
        <f>1/INDEX(GUL_1!$A:$J,MATCH('2019'!$A16,GUL_1!$A:$A,0),MATCH('2019'!$A$1,GUL_1!$3:$3,0))</f>
        <v>1.3594344752582924E-2</v>
      </c>
      <c r="Y16" s="57">
        <f>INDEX(GUL_2!$A:$J,MATCH('2019'!$A16,GUL_2!$A:$A,0),MATCH('2019'!$A$1,GUL_2!$3:$3,0))</f>
        <v>26.1</v>
      </c>
      <c r="Z16" s="57">
        <f>INDEX(GUL_3!$A:$J,MATCH('2019'!$A16,GUL_3!$A:$A,0),MATCH('2019'!$A$1,GUL_3!$3:$3,0))/(B16/1000)</f>
        <v>0.64615591653209214</v>
      </c>
      <c r="AA16" s="101">
        <f>INDEX(GUL_4!$A:$J,MATCH('2019'!$A16,GUL_4!$A:$A,0),MATCH('2019'!$A$1,GUL_4!$3:$3,0))/B16/C16*10^6</f>
        <v>0.22083664591992613</v>
      </c>
      <c r="AB16" s="73">
        <f>INDEX(GUL_5!$A:$J,MATCH('2019'!$A16,GUL_5!$A:$A,0),MATCH('2019'!$A$1,GUL_5!$3:$3,0))</f>
        <v>1.4589178254140817E-2</v>
      </c>
      <c r="AC16" s="49" t="e">
        <f>INDEX(GUL_6!$A:$J,MATCH('2019'!$A16,GUL_6!$A:$A,0),MATCH('2019'!$A$1,GUL_6!$3:$3,0))</f>
        <v>#N/A</v>
      </c>
      <c r="AD16" s="49" t="e">
        <f>INDEX(GUL_7!$A:$J,MATCH('2019'!$A16,GUL_7!$A:$A,0),MATCH('2019'!$A$1,GUL_7!$3:$3,0))</f>
        <v>#N/A</v>
      </c>
      <c r="AE16" s="103">
        <f>INDEX(GUL_8!$A:$J,MATCH('2019'!$A16,GUL_8!$A:$A,0),MATCH('2019'!$A$1,GUL_8!$3:$3,0))/(B16/1000)</f>
        <v>2.3055793040119061</v>
      </c>
      <c r="AF16" s="41">
        <f>INDEX(DES_1!$A:$J,MATCH('2019'!$A16,DES_1!$A:$A,0),MATCH('2019'!$A$1,DES_1!$3:$3,0))/(B16/1000)</f>
        <v>9.7962382445141064E-2</v>
      </c>
      <c r="AG16" s="100">
        <f>INDEX(DES_2!$A:$J,MATCH('2019'!$A16,DES_2!$A:$A,0),MATCH('2019'!$A$1,DES_2!$3:$3,0))/(B16/1000)</f>
        <v>0.52741363478040593</v>
      </c>
      <c r="AH16" s="57">
        <f>1/INDEX(DES_3!$A:$J,MATCH('2019'!$A16,DES_3!$A:$A,0),MATCH('2019'!$A$1,DES_3!$3:$3,0))</f>
        <v>6.8352699931647299E-3</v>
      </c>
      <c r="AI16" s="80">
        <f>INDEX(DES_4!$A:$J,MATCH('2019'!$A16,DES_4!$A:$A,0),MATCH('2019'!$A$1,DES_4!$3:$3,0))</f>
        <v>0.78342512496299999</v>
      </c>
      <c r="AJ16" s="110">
        <f>INDEX(DES_5!$A:$J,MATCH('2019'!$A16,DES_5!$A:$A,0),MATCH('2019'!$A$1,DES_5!$3:$3,0))</f>
        <v>0.472243515113</v>
      </c>
      <c r="AK16" s="57">
        <v>73</v>
      </c>
    </row>
    <row r="17" spans="1:37" x14ac:dyDescent="0.3">
      <c r="A17" s="29" t="s">
        <v>16</v>
      </c>
      <c r="B17" s="33">
        <f>INDEX(Population!$A:$J,MATCH('2019'!$A17,Population!$A:$A,0),MATCH('2019'!$A$1,Population!$3:$3,0))</f>
        <v>4312661</v>
      </c>
      <c r="C17" s="14">
        <f>INDEX(Income!$A:$J,MATCH('2019'!$A17,Income!$A:$A,0),MATCH('2019'!$A$1,Income!$3:$3,0))</f>
        <v>39095</v>
      </c>
      <c r="D17" s="34">
        <f>INDEX(Livable_wage!$A:$J,MATCH('2019'!$A17,Livable_wage!$A:$A,0),MATCH('2019'!$A$1,Livable_wage!$3:$3,0))</f>
        <v>10871</v>
      </c>
      <c r="E17" s="41">
        <f>INDEX(AVA_1!$A:$J,MATCH('2019'!$A17,AVA_1!$A:$A,0),MATCH('2019'!$A$1,AVA_1!$3:$3,0))</f>
        <v>0.40500000000000003</v>
      </c>
      <c r="F17" s="15">
        <f>INDEX(AVA_2!$A:$J,MATCH('2019'!$A17,AVA_2!$A:$A,0),MATCH('2019'!$A$1,AVA_2!$3:$3,0))</f>
        <v>1.6520837606466648E-2</v>
      </c>
      <c r="G17" s="15">
        <f>INDEX(AVA_3!$A:$J,MATCH('2019'!$A17,AVA_3!$A:$A,0),MATCH('2019'!$A$1,AVA_3!$3:$3,0))</f>
        <v>1.8706281869898367E-2</v>
      </c>
      <c r="H17" s="87">
        <f>INDEX(AVA_4!$A:$J,MATCH('2019'!$A17,AVA_4!$A:$A,0),MATCH('2019'!$A$1,AVA_4!$3:$3,0))/(B17/1000)</f>
        <v>0.51569089246755073</v>
      </c>
      <c r="I17" s="89">
        <f>INDEX(AVA_5!$A:$J,MATCH('2019'!$A17,AVA_5!$A:$A,0),MATCH('2019'!$A$1,AVA_5!$3:$3,0))/(B17/1000)</f>
        <v>5.1021863299712171</v>
      </c>
      <c r="J17" s="93">
        <f>INDEX(IRA_1!$A:$J,MATCH('2019'!$A17,IRA_1!$A:$A,0),MATCH('2019'!$A$1,IRA_1!$3:$3,0))/(B17/1000)</f>
        <v>6.6084489367469412E-2</v>
      </c>
      <c r="K17" s="88">
        <f>INDEX(IRA_2!$A:$J,MATCH('2019'!$A17,IRA_2!$A:$A,0),MATCH('2019'!$A$1,IRA_2!$3:$3,0))/(B17/1000)</f>
        <v>0.17019654454639491</v>
      </c>
      <c r="L17" s="15">
        <f>INDEX(IRA_3!$A:$J,MATCH('2019'!$A17,IRA_3!$A:$A,0),MATCH('2019'!$A$1,IRA_3!$3:$3,0))</f>
        <v>0.37655304237018161</v>
      </c>
      <c r="M17" s="96">
        <f>INDEX(IRA_4!$A:$J,MATCH('2019'!$A17,IRA_4!$A:$A,0),MATCH('2019'!$A$1,IRA_4!$3:$3,0))/(B17/1000)</f>
        <v>3.6916882639280018</v>
      </c>
      <c r="N17" s="61">
        <f>INDEX(INV_1!$A:$J,MATCH('2019'!$A17,INV_1!$A:$A,0),MATCH('2019'!$A$1,INV_1!$3:$3,0))</f>
        <v>7.8616078087872743E-2</v>
      </c>
      <c r="O17" s="80">
        <f>INDEX(INV_2!$A:$J,MATCH('2019'!$A17,INV_2!$A:$A,0),MATCH('2019'!$A$1,INV_2!$3:$3,0))/B17*10^6/C17</f>
        <v>0.53069126004640699</v>
      </c>
      <c r="P17" s="87">
        <f>INDEX(INV_3!$A:$J,MATCH('2019'!$A17,INV_3!$A:$A,0),MATCH('2019'!$A$1,INV_3!$3:$3,0))/B17*10^6/C17</f>
        <v>3.2707746846563275</v>
      </c>
      <c r="Q17" s="87">
        <f>INDEX(INV_4!$A:$J,MATCH('2019'!$A17,INV_4!$A:$A,0),MATCH('2019'!$A$1,INV_4!$3:$3,0))/B17*10^3/C17</f>
        <v>0.22420557450861034</v>
      </c>
      <c r="R17" s="34">
        <f>INDEX(INV_5!$A:$J,MATCH('2019'!$A17,INV_5!$A:$A,0),MATCH('2019'!$A$1,INV_5!$3:$3,0))</f>
        <v>0.114</v>
      </c>
      <c r="S17" s="77">
        <f>INDEX(LUJ_1!$A:$J,MATCH('2019'!$A17,LUJ_1!$A:$A,0),MATCH('2019'!$A$1,LUJ_1!$3:$3,0))</f>
        <v>0.6967310499338063</v>
      </c>
      <c r="T17" s="73">
        <f>INDEX(LUJ_2!$A:$J,MATCH('2019'!$A17,LUJ_2!$A:$A,0),MATCH('2019'!$A$1,LUJ_2!$3:$3,0))</f>
        <v>0.222</v>
      </c>
      <c r="U17" s="73">
        <f>INDEX(LUJ_3!$A:$J,MATCH('2019'!$A17,LUJ_3!$A:$A,0),MATCH('2019'!$A$1,LUJ_3!$3:$3,0))</f>
        <v>0.64384543539173311</v>
      </c>
      <c r="V17" s="14">
        <f>INDEX(LUJ_4!$A:$J,MATCH('2019'!$A17,LUJ_4!$A:$A,0),MATCH('2019'!$A$1,LUJ_4!$3:$3,0))</f>
        <v>170</v>
      </c>
      <c r="W17" s="34">
        <f>INDEX(LUJ_5!$A:$J,MATCH('2019'!$A17,LUJ_5!$A:$A,0),MATCH('2019'!$A$1,LUJ_5!$3:$3,0))</f>
        <v>121.3</v>
      </c>
      <c r="X17" s="98">
        <f>1/INDEX(GUL_1!$A:$J,MATCH('2019'!$A17,GUL_1!$A:$A,0),MATCH('2019'!$A$1,GUL_1!$3:$3,0))</f>
        <v>1.3925637097897228E-2</v>
      </c>
      <c r="Y17" s="57">
        <f>INDEX(GUL_2!$A:$J,MATCH('2019'!$A17,GUL_2!$A:$A,0),MATCH('2019'!$A$1,GUL_2!$3:$3,0))</f>
        <v>25</v>
      </c>
      <c r="Z17" s="57">
        <f>INDEX(GUL_3!$A:$J,MATCH('2019'!$A17,GUL_3!$A:$A,0),MATCH('2019'!$A$1,GUL_3!$3:$3,0))/(B17/1000)</f>
        <v>0.80970890130246731</v>
      </c>
      <c r="AA17" s="101">
        <f>INDEX(GUL_4!$A:$J,MATCH('2019'!$A17,GUL_4!$A:$A,0),MATCH('2019'!$A$1,GUL_4!$3:$3,0))/B17/C17*10^6</f>
        <v>0.32554665784860287</v>
      </c>
      <c r="AB17" s="73">
        <f>INDEX(GUL_5!$A:$J,MATCH('2019'!$A17,GUL_5!$A:$A,0),MATCH('2019'!$A$1,GUL_5!$3:$3,0))</f>
        <v>3.1196595385040615E-2</v>
      </c>
      <c r="AC17" s="49" t="e">
        <f>INDEX(GUL_6!$A:$J,MATCH('2019'!$A17,GUL_6!$A:$A,0),MATCH('2019'!$A$1,GUL_6!$3:$3,0))</f>
        <v>#N/A</v>
      </c>
      <c r="AD17" s="49" t="e">
        <f>INDEX(GUL_7!$A:$J,MATCH('2019'!$A17,GUL_7!$A:$A,0),MATCH('2019'!$A$1,GUL_7!$3:$3,0))</f>
        <v>#N/A</v>
      </c>
      <c r="AE17" s="103">
        <f>INDEX(GUL_8!$A:$J,MATCH('2019'!$A17,GUL_8!$A:$A,0),MATCH('2019'!$A$1,GUL_8!$3:$3,0))/(B17/1000)</f>
        <v>2.6239020409904699</v>
      </c>
      <c r="AF17" s="41">
        <f>INDEX(DES_1!$A:$J,MATCH('2019'!$A17,DES_1!$A:$A,0),MATCH('2019'!$A$1,DES_1!$3:$3,0))/(B17/1000)</f>
        <v>0.10759018619826599</v>
      </c>
      <c r="AG17" s="100">
        <f>INDEX(DES_2!$A:$J,MATCH('2019'!$A17,DES_2!$A:$A,0),MATCH('2019'!$A$1,DES_2!$3:$3,0))/(B17/1000)</f>
        <v>0.61029605619361227</v>
      </c>
      <c r="AH17" s="57">
        <f>1/INDEX(DES_3!$A:$J,MATCH('2019'!$A17,DES_3!$A:$A,0),MATCH('2019'!$A$1,DES_3!$3:$3,0))</f>
        <v>8.0580177276390018E-3</v>
      </c>
      <c r="AI17" s="80">
        <f>INDEX(DES_4!$A:$J,MATCH('2019'!$A17,DES_4!$A:$A,0),MATCH('2019'!$A$1,DES_4!$3:$3,0))</f>
        <v>0.95098379461600002</v>
      </c>
      <c r="AJ17" s="110">
        <f>INDEX(DES_5!$A:$J,MATCH('2019'!$A17,DES_5!$A:$A,0),MATCH('2019'!$A$1,DES_5!$3:$3,0))</f>
        <v>0.86334464276800005</v>
      </c>
      <c r="AK17" s="57">
        <v>72</v>
      </c>
    </row>
    <row r="18" spans="1:37" x14ac:dyDescent="0.3">
      <c r="A18" s="29" t="s">
        <v>17</v>
      </c>
      <c r="B18" s="33">
        <f>INDEX(Population!$A:$J,MATCH('2019'!$A18,Population!$A:$A,0),MATCH('2019'!$A$1,Population!$3:$3,0))</f>
        <v>1678245</v>
      </c>
      <c r="C18" s="14">
        <f>INDEX(Income!$A:$J,MATCH('2019'!$A18,Income!$A:$A,0),MATCH('2019'!$A$1,Income!$3:$3,0))</f>
        <v>53493</v>
      </c>
      <c r="D18" s="34">
        <f>INDEX(Livable_wage!$A:$J,MATCH('2019'!$A18,Livable_wage!$A:$A,0),MATCH('2019'!$A$1,Livable_wage!$3:$3,0))</f>
        <v>15889</v>
      </c>
      <c r="E18" s="41">
        <f>INDEX(AVA_1!$A:$J,MATCH('2019'!$A18,AVA_1!$A:$A,0),MATCH('2019'!$A$1,AVA_1!$3:$3,0))</f>
        <v>0.39900000000000002</v>
      </c>
      <c r="F18" s="15">
        <f>INDEX(AVA_2!$A:$J,MATCH('2019'!$A18,AVA_2!$A:$A,0),MATCH('2019'!$A$1,AVA_2!$3:$3,0))</f>
        <v>1.3211336452488273E-2</v>
      </c>
      <c r="G18" s="15">
        <f>INDEX(AVA_3!$A:$J,MATCH('2019'!$A18,AVA_3!$A:$A,0),MATCH('2019'!$A$1,AVA_3!$3:$3,0))</f>
        <v>0.14145232777311992</v>
      </c>
      <c r="H18" s="87">
        <f>INDEX(AVA_4!$A:$J,MATCH('2019'!$A18,AVA_4!$A:$A,0),MATCH('2019'!$A$1,AVA_4!$3:$3,0))/(B18/1000)</f>
        <v>0.61254465230046873</v>
      </c>
      <c r="I18" s="89">
        <f>INDEX(AVA_5!$A:$J,MATCH('2019'!$A18,AVA_5!$A:$A,0),MATCH('2019'!$A$1,AVA_5!$3:$3,0))/(B18/1000)</f>
        <v>3.593635017533197</v>
      </c>
      <c r="J18" s="93">
        <f>INDEX(IRA_1!$A:$J,MATCH('2019'!$A18,IRA_1!$A:$A,0),MATCH('2019'!$A$1,IRA_1!$3:$3,0))/(B18/1000)</f>
        <v>4.2901960083301306E-2</v>
      </c>
      <c r="K18" s="88">
        <f>INDEX(IRA_2!$A:$J,MATCH('2019'!$A18,IRA_2!$A:$A,0),MATCH('2019'!$A$1,IRA_2!$3:$3,0))/(B18/1000)</f>
        <v>0.16922439810635517</v>
      </c>
      <c r="L18" s="15">
        <f>INDEX(IRA_3!$A:$J,MATCH('2019'!$A18,IRA_3!$A:$A,0),MATCH('2019'!$A$1,IRA_3!$3:$3,0))</f>
        <v>0.43928820655966505</v>
      </c>
      <c r="M18" s="96">
        <f>INDEX(IRA_4!$A:$J,MATCH('2019'!$A18,IRA_4!$A:$A,0),MATCH('2019'!$A$1,IRA_4!$3:$3,0))/(B18/1000)</f>
        <v>3.340394280930377</v>
      </c>
      <c r="N18" s="61">
        <f>INDEX(INV_1!$A:$J,MATCH('2019'!$A18,INV_1!$A:$A,0),MATCH('2019'!$A$1,INV_1!$3:$3,0))</f>
        <v>8.2539615469107458E-2</v>
      </c>
      <c r="O18" s="80">
        <f>INDEX(INV_2!$A:$J,MATCH('2019'!$A18,INV_2!$A:$A,0),MATCH('2019'!$A$1,INV_2!$3:$3,0))/B18*10^6/C18</f>
        <v>0.38171272498147846</v>
      </c>
      <c r="P18" s="87">
        <f>INDEX(INV_3!$A:$J,MATCH('2019'!$A18,INV_3!$A:$A,0),MATCH('2019'!$A$1,INV_3!$3:$3,0))/B18*10^6/C18</f>
        <v>4.6331491641502884</v>
      </c>
      <c r="Q18" s="87">
        <f>INDEX(INV_4!$A:$J,MATCH('2019'!$A18,INV_4!$A:$A,0),MATCH('2019'!$A$1,INV_4!$3:$3,0))/B18*10^3/C18</f>
        <v>0.27520019256242029</v>
      </c>
      <c r="R18" s="34">
        <f>INDEX(INV_5!$A:$J,MATCH('2019'!$A18,INV_5!$A:$A,0),MATCH('2019'!$A$1,INV_5!$3:$3,0))</f>
        <v>9.7699999999999995E-2</v>
      </c>
      <c r="S18" s="77">
        <f>INDEX(LUJ_1!$A:$J,MATCH('2019'!$A18,LUJ_1!$A:$A,0),MATCH('2019'!$A$1,LUJ_1!$3:$3,0))</f>
        <v>0.69075278810408924</v>
      </c>
      <c r="T18" s="73">
        <f>INDEX(LUJ_2!$A:$J,MATCH('2019'!$A18,LUJ_2!$A:$A,0),MATCH('2019'!$A$1,LUJ_2!$3:$3,0))</f>
        <v>0.17</v>
      </c>
      <c r="U18" s="73">
        <f>INDEX(LUJ_3!$A:$J,MATCH('2019'!$A18,LUJ_3!$A:$A,0),MATCH('2019'!$A$1,LUJ_3!$3:$3,0))</f>
        <v>0.39833022748695757</v>
      </c>
      <c r="V18" s="14">
        <f>INDEX(LUJ_4!$A:$J,MATCH('2019'!$A18,LUJ_4!$A:$A,0),MATCH('2019'!$A$1,LUJ_4!$3:$3,0))</f>
        <v>19</v>
      </c>
      <c r="W18" s="34">
        <f>INDEX(LUJ_5!$A:$J,MATCH('2019'!$A18,LUJ_5!$A:$A,0),MATCH('2019'!$A$1,LUJ_5!$3:$3,0))</f>
        <v>71.7</v>
      </c>
      <c r="X18" s="98">
        <f>1/INDEX(GUL_1!$A:$J,MATCH('2019'!$A18,GUL_1!$A:$A,0),MATCH('2019'!$A$1,GUL_1!$3:$3,0))</f>
        <v>1.3326226012793176E-2</v>
      </c>
      <c r="Y18" s="57">
        <f>INDEX(GUL_2!$A:$J,MATCH('2019'!$A18,GUL_2!$A:$A,0),MATCH('2019'!$A$1,GUL_2!$3:$3,0))</f>
        <v>24.6</v>
      </c>
      <c r="Z18" s="57">
        <f>INDEX(GUL_3!$A:$J,MATCH('2019'!$A18,GUL_3!$A:$A,0),MATCH('2019'!$A$1,GUL_3!$3:$3,0))/(B18/1000)</f>
        <v>0.3873093618631368</v>
      </c>
      <c r="AA18" s="101">
        <f>INDEX(GUL_4!$A:$J,MATCH('2019'!$A18,GUL_4!$A:$A,0),MATCH('2019'!$A$1,GUL_4!$3:$3,0))/B18/C18*10^6</f>
        <v>0.41154400976494804</v>
      </c>
      <c r="AB18" s="73">
        <f>INDEX(GUL_5!$A:$J,MATCH('2019'!$A18,GUL_5!$A:$A,0),MATCH('2019'!$A$1,GUL_5!$3:$3,0))</f>
        <v>2.7432785175332632E-2</v>
      </c>
      <c r="AC18" s="49" t="e">
        <f>INDEX(GUL_6!$A:$J,MATCH('2019'!$A18,GUL_6!$A:$A,0),MATCH('2019'!$A$1,GUL_6!$3:$3,0))</f>
        <v>#N/A</v>
      </c>
      <c r="AD18" s="49" t="e">
        <f>INDEX(GUL_7!$A:$J,MATCH('2019'!$A18,GUL_7!$A:$A,0),MATCH('2019'!$A$1,GUL_7!$3:$3,0))</f>
        <v>#N/A</v>
      </c>
      <c r="AE18" s="103">
        <f>INDEX(GUL_8!$A:$J,MATCH('2019'!$A18,GUL_8!$A:$A,0),MATCH('2019'!$A$1,GUL_8!$3:$3,0))/(B18/1000)</f>
        <v>1.8888779647786826</v>
      </c>
      <c r="AF18" s="41">
        <f>INDEX(DES_1!$A:$J,MATCH('2019'!$A18,DES_1!$A:$A,0),MATCH('2019'!$A$1,DES_1!$3:$3,0))/(B18/1000)</f>
        <v>6.375707956823945E-2</v>
      </c>
      <c r="AG18" s="100">
        <f>INDEX(DES_2!$A:$J,MATCH('2019'!$A18,DES_2!$A:$A,0),MATCH('2019'!$A$1,DES_2!$3:$3,0))/(B18/1000)</f>
        <v>0.52376142935030345</v>
      </c>
      <c r="AH18" s="57">
        <f>1/INDEX(DES_3!$A:$J,MATCH('2019'!$A18,DES_3!$A:$A,0),MATCH('2019'!$A$1,DES_3!$3:$3,0))</f>
        <v>1.11731843575419E-2</v>
      </c>
      <c r="AI18" s="80">
        <f>INDEX(DES_4!$A:$J,MATCH('2019'!$A18,DES_4!$A:$A,0),MATCH('2019'!$A$1,DES_4!$3:$3,0))</f>
        <v>0.96776608353000004</v>
      </c>
      <c r="AJ18" s="110">
        <f>INDEX(DES_5!$A:$J,MATCH('2019'!$A18,DES_5!$A:$A,0),MATCH('2019'!$A$1,DES_5!$3:$3,0))</f>
        <v>0.73547827231100005</v>
      </c>
      <c r="AK18" s="57">
        <v>71</v>
      </c>
    </row>
    <row r="19" spans="1:37" x14ac:dyDescent="0.3">
      <c r="A19" s="29" t="s">
        <v>18</v>
      </c>
      <c r="B19" s="33">
        <f>INDEX(Population!$A:$J,MATCH('2019'!$A19,Population!$A:$A,0),MATCH('2019'!$A$1,Population!$3:$3,0))</f>
        <v>48324</v>
      </c>
      <c r="C19" s="14">
        <f>INDEX(Income!$A:$J,MATCH('2019'!$A19,Income!$A:$A,0),MATCH('2019'!$A$1,Income!$3:$3,0))</f>
        <v>83385</v>
      </c>
      <c r="D19" s="34">
        <f>INDEX(Livable_wage!$A:$J,MATCH('2019'!$A19,Livable_wage!$A:$A,0),MATCH('2019'!$A$1,Livable_wage!$3:$3,0))</f>
        <v>22669</v>
      </c>
      <c r="E19" s="41">
        <f>INDEX(AVA_1!$A:$J,MATCH('2019'!$A19,AVA_1!$A:$A,0),MATCH('2019'!$A$1,AVA_1!$3:$3,0))</f>
        <v>0.40799999999999997</v>
      </c>
      <c r="F19" s="15">
        <f>INDEX(AVA_2!$A:$J,MATCH('2019'!$A19,AVA_2!$A:$A,0),MATCH('2019'!$A$1,AVA_2!$3:$3,0))</f>
        <v>1.1145030769976257E-2</v>
      </c>
      <c r="G19" s="15">
        <f>INDEX(AVA_3!$A:$J,MATCH('2019'!$A19,AVA_3!$A:$A,0),MATCH('2019'!$A$1,AVA_3!$3:$3,0))</f>
        <v>8.9776494565977707E-3</v>
      </c>
      <c r="H19" s="87">
        <f>INDEX(AVA_4!$A:$J,MATCH('2019'!$A19,AVA_4!$A:$A,0),MATCH('2019'!$A$1,AVA_4!$3:$3,0))/(B19/1000)</f>
        <v>0.88982700107606993</v>
      </c>
      <c r="I19" s="89">
        <f>INDEX(AVA_5!$A:$J,MATCH('2019'!$A19,AVA_5!$A:$A,0),MATCH('2019'!$A$1,AVA_5!$3:$3,0))/(B19/1000)</f>
        <v>3.9938746792484068</v>
      </c>
      <c r="J19" s="93">
        <f>INDEX(IRA_1!$A:$J,MATCH('2019'!$A19,IRA_1!$A:$A,0),MATCH('2019'!$A$1,IRA_1!$3:$3,0))/(B19/1000)</f>
        <v>0.20693651187815579</v>
      </c>
      <c r="K19" s="88">
        <f>INDEX(IRA_2!$A:$J,MATCH('2019'!$A19,IRA_2!$A:$A,0),MATCH('2019'!$A$1,IRA_2!$3:$3,0))/(B19/1000)</f>
        <v>0.60011588444665176</v>
      </c>
      <c r="L19" s="15">
        <f>INDEX(IRA_3!$A:$J,MATCH('2019'!$A19,IRA_3!$A:$A,0),MATCH('2019'!$A$1,IRA_3!$3:$3,0))</f>
        <v>0.45729537366548045</v>
      </c>
      <c r="M19" s="96">
        <f>INDEX(IRA_4!$A:$J,MATCH('2019'!$A19,IRA_4!$A:$A,0),MATCH('2019'!$A$1,IRA_4!$3:$3,0))/(B19/1000)</f>
        <v>4.2835857958778245</v>
      </c>
      <c r="N19" s="61">
        <f>INDEX(INV_1!$A:$J,MATCH('2019'!$A19,INV_1!$A:$A,0),MATCH('2019'!$A$1,INV_1!$3:$3,0))</f>
        <v>5.0967137485447553E-2</v>
      </c>
      <c r="O19" s="80">
        <f>INDEX(INV_2!$A:$J,MATCH('2019'!$A19,INV_2!$A:$A,0),MATCH('2019'!$A$1,INV_2!$3:$3,0))/B19*10^6/C19</f>
        <v>1.011284625086953E-2</v>
      </c>
      <c r="P19" s="87">
        <f>INDEX(INV_3!$A:$J,MATCH('2019'!$A19,INV_3!$A:$A,0),MATCH('2019'!$A$1,INV_3!$3:$3,0))/B19*10^6/C19</f>
        <v>2.2526386260334834</v>
      </c>
      <c r="Q19" s="87">
        <f>INDEX(INV_4!$A:$J,MATCH('2019'!$A19,INV_4!$A:$A,0),MATCH('2019'!$A$1,INV_4!$3:$3,0))/B19*10^3/C19</f>
        <v>0.1799334623608605</v>
      </c>
      <c r="R19" s="34">
        <f>INDEX(INV_5!$A:$J,MATCH('2019'!$A19,INV_5!$A:$A,0),MATCH('2019'!$A$1,INV_5!$3:$3,0))</f>
        <v>5.3800000000000001E-2</v>
      </c>
      <c r="S19" s="77">
        <f>INDEX(LUJ_1!$A:$J,MATCH('2019'!$A19,LUJ_1!$A:$A,0),MATCH('2019'!$A$1,LUJ_1!$3:$3,0))</f>
        <v>0.68611111111111112</v>
      </c>
      <c r="T19" s="73">
        <f>INDEX(LUJ_2!$A:$J,MATCH('2019'!$A19,LUJ_2!$A:$A,0),MATCH('2019'!$A$1,LUJ_2!$3:$3,0))</f>
        <v>0.42299999999999999</v>
      </c>
      <c r="U19" s="73">
        <f>INDEX(LUJ_3!$A:$J,MATCH('2019'!$A19,LUJ_3!$A:$A,0),MATCH('2019'!$A$1,LUJ_3!$3:$3,0))</f>
        <v>0.56000000000000005</v>
      </c>
      <c r="V19" s="14">
        <f>INDEX(LUJ_4!$A:$J,MATCH('2019'!$A19,LUJ_4!$A:$A,0),MATCH('2019'!$A$1,LUJ_4!$3:$3,0))</f>
        <v>3</v>
      </c>
      <c r="W19" s="34">
        <f>INDEX(LUJ_5!$A:$J,MATCH('2019'!$A19,LUJ_5!$A:$A,0),MATCH('2019'!$A$1,LUJ_5!$3:$3,0))</f>
        <v>58.4</v>
      </c>
      <c r="X19" s="98">
        <f>1/INDEX(GUL_1!$A:$J,MATCH('2019'!$A19,GUL_1!$A:$A,0),MATCH('2019'!$A$1,GUL_1!$3:$3,0))</f>
        <v>1.46864444118079E-2</v>
      </c>
      <c r="Y19" s="57">
        <f>INDEX(GUL_2!$A:$J,MATCH('2019'!$A19,GUL_2!$A:$A,0),MATCH('2019'!$A$1,GUL_2!$3:$3,0))</f>
        <v>25</v>
      </c>
      <c r="Z19" s="57">
        <f>INDEX(GUL_3!$A:$J,MATCH('2019'!$A19,GUL_3!$A:$A,0),MATCH('2019'!$A$1,GUL_3!$3:$3,0))/(B19/1000)</f>
        <v>0.4759539773197583</v>
      </c>
      <c r="AA19" s="101">
        <f>INDEX(GUL_4!$A:$J,MATCH('2019'!$A19,GUL_4!$A:$A,0),MATCH('2019'!$A$1,GUL_4!$3:$3,0))/B19/C19*10^6</f>
        <v>0.2650678407050901</v>
      </c>
      <c r="AB19" s="73">
        <f>INDEX(GUL_5!$A:$J,MATCH('2019'!$A19,GUL_5!$A:$A,0),MATCH('2019'!$A$1,GUL_5!$3:$3,0))</f>
        <v>4.9453149074160076E-2</v>
      </c>
      <c r="AC19" s="49" t="e">
        <f>INDEX(GUL_6!$A:$J,MATCH('2019'!$A19,GUL_6!$A:$A,0),MATCH('2019'!$A$1,GUL_6!$3:$3,0))</f>
        <v>#N/A</v>
      </c>
      <c r="AD19" s="49" t="e">
        <f>INDEX(GUL_7!$A:$J,MATCH('2019'!$A19,GUL_7!$A:$A,0),MATCH('2019'!$A$1,GUL_7!$3:$3,0))</f>
        <v>#N/A</v>
      </c>
      <c r="AE19" s="103">
        <f>INDEX(GUL_8!$A:$J,MATCH('2019'!$A19,GUL_8!$A:$A,0),MATCH('2019'!$A$1,GUL_8!$3:$3,0))/(B19/1000)</f>
        <v>6.4771128217862763</v>
      </c>
      <c r="AF19" s="41">
        <f>INDEX(DES_1!$A:$J,MATCH('2019'!$A19,DES_1!$A:$A,0),MATCH('2019'!$A$1,DES_1!$3:$3,0))/(B19/1000)</f>
        <v>0.18624286069034021</v>
      </c>
      <c r="AG19" s="100">
        <f>INDEX(DES_2!$A:$J,MATCH('2019'!$A19,DES_2!$A:$A,0),MATCH('2019'!$A$1,DES_2!$3:$3,0))/(B19/1000)</f>
        <v>0.28971111662941812</v>
      </c>
      <c r="AH19" s="57">
        <f>1/INDEX(DES_3!$A:$J,MATCH('2019'!$A19,DES_3!$A:$A,0),MATCH('2019'!$A$1,DES_3!$3:$3,0))</f>
        <v>7.5244544770504138E-3</v>
      </c>
      <c r="AI19" s="80">
        <f>INDEX(DES_4!$A:$J,MATCH('2019'!$A19,DES_4!$A:$A,0),MATCH('2019'!$A$1,DES_4!$3:$3,0))</f>
        <v>0.41982554676299999</v>
      </c>
      <c r="AJ19" s="110">
        <f>INDEX(DES_5!$A:$J,MATCH('2019'!$A19,DES_5!$A:$A,0),MATCH('2019'!$A$1,DES_5!$3:$3,0))</f>
        <v>0.53042976452599999</v>
      </c>
      <c r="AK19" s="57">
        <v>68</v>
      </c>
    </row>
    <row r="20" spans="1:37" x14ac:dyDescent="0.3">
      <c r="A20" s="29" t="s">
        <v>19</v>
      </c>
      <c r="B20" s="33">
        <f>INDEX(Population!$A:$J,MATCH('2019'!$A20,Population!$A:$A,0),MATCH('2019'!$A$1,Population!$3:$3,0))</f>
        <v>3755879</v>
      </c>
      <c r="C20" s="14">
        <f>INDEX(Income!$A:$J,MATCH('2019'!$A20,Income!$A:$A,0),MATCH('2019'!$A$1,Income!$3:$3,0))</f>
        <v>48933</v>
      </c>
      <c r="D20" s="34">
        <f>INDEX(Livable_wage!$A:$J,MATCH('2019'!$A20,Livable_wage!$A:$A,0),MATCH('2019'!$A$1,Livable_wage!$3:$3,0))</f>
        <v>14177.083097192428</v>
      </c>
      <c r="E20" s="41">
        <f>INDEX(AVA_1!$A:$J,MATCH('2019'!$A20,AVA_1!$A:$A,0),MATCH('2019'!$A$1,AVA_1!$3:$3,0))</f>
        <v>0.43099999999999999</v>
      </c>
      <c r="F20" s="15">
        <f>INDEX(AVA_2!$A:$J,MATCH('2019'!$A20,AVA_2!$A:$A,0),MATCH('2019'!$A$1,AVA_2!$3:$3,0))</f>
        <v>1.291073187654884E-2</v>
      </c>
      <c r="G20" s="15">
        <f>INDEX(AVA_3!$A:$J,MATCH('2019'!$A20,AVA_3!$A:$A,0),MATCH('2019'!$A$1,AVA_3!$3:$3,0))</f>
        <v>0.10046798809315398</v>
      </c>
      <c r="H20" s="87">
        <f>INDEX(AVA_4!$A:$J,MATCH('2019'!$A20,AVA_4!$A:$A,0),MATCH('2019'!$A$1,AVA_4!$3:$3,0))/(B20/1000)</f>
        <v>0.65364193042427621</v>
      </c>
      <c r="I20" s="89">
        <f>INDEX(AVA_5!$A:$J,MATCH('2019'!$A20,AVA_5!$A:$A,0),MATCH('2019'!$A$1,AVA_5!$3:$3,0))/(B20/1000)</f>
        <v>4.6431208247124047</v>
      </c>
      <c r="J20" s="93">
        <f>INDEX(IRA_1!$A:$J,MATCH('2019'!$A20,IRA_1!$A:$A,0),MATCH('2019'!$A$1,IRA_1!$3:$3,0))/(B20/1000)</f>
        <v>2.3962433294576316E-2</v>
      </c>
      <c r="K20" s="88">
        <f>INDEX(IRA_2!$A:$J,MATCH('2019'!$A20,IRA_2!$A:$A,0),MATCH('2019'!$A$1,IRA_2!$3:$3,0))/(B20/1000)</f>
        <v>9.425223762533351E-2</v>
      </c>
      <c r="L20" s="15">
        <f>INDEX(IRA_3!$A:$J,MATCH('2019'!$A20,IRA_3!$A:$A,0),MATCH('2019'!$A$1,IRA_3!$3:$3,0))</f>
        <v>0.40613060861839179</v>
      </c>
      <c r="M20" s="96">
        <f>INDEX(IRA_4!$A:$J,MATCH('2019'!$A20,IRA_4!$A:$A,0),MATCH('2019'!$A$1,IRA_4!$3:$3,0))/(B20/1000)</f>
        <v>1.8432436188705761</v>
      </c>
      <c r="N20" s="61">
        <f>INDEX(INV_1!$A:$J,MATCH('2019'!$A20,INV_1!$A:$A,0),MATCH('2019'!$A$1,INV_1!$3:$3,0))</f>
        <v>7.4647899187308311E-2</v>
      </c>
      <c r="O20" s="80">
        <f>INDEX(INV_2!$A:$J,MATCH('2019'!$A20,INV_2!$A:$A,0),MATCH('2019'!$A$1,INV_2!$3:$3,0))/B20*10^6/C20</f>
        <v>0.35869536666937646</v>
      </c>
      <c r="P20" s="87">
        <f>INDEX(INV_3!$A:$J,MATCH('2019'!$A20,INV_3!$A:$A,0),MATCH('2019'!$A$1,INV_3!$3:$3,0))/B20*10^6/C20</f>
        <v>4.4651665137503711</v>
      </c>
      <c r="Q20" s="87">
        <f>INDEX(INV_4!$A:$J,MATCH('2019'!$A20,INV_4!$A:$A,0),MATCH('2019'!$A$1,INV_4!$3:$3,0))/B20*10^3/C20</f>
        <v>0.26143489128294806</v>
      </c>
      <c r="R20" s="34">
        <f>INDEX(INV_5!$A:$J,MATCH('2019'!$A20,INV_5!$A:$A,0),MATCH('2019'!$A$1,INV_5!$3:$3,0))</f>
        <v>0.15690000000000001</v>
      </c>
      <c r="S20" s="77">
        <f>INDEX(LUJ_1!$A:$J,MATCH('2019'!$A20,LUJ_1!$A:$A,0),MATCH('2019'!$A$1,LUJ_1!$3:$3,0))</f>
        <v>0.68915953478165459</v>
      </c>
      <c r="T20" s="73">
        <f>INDEX(LUJ_2!$A:$J,MATCH('2019'!$A20,LUJ_2!$A:$A,0),MATCH('2019'!$A$1,LUJ_2!$3:$3,0))</f>
        <v>0.2</v>
      </c>
      <c r="U20" s="73">
        <f>INDEX(LUJ_3!$A:$J,MATCH('2019'!$A20,LUJ_3!$A:$A,0),MATCH('2019'!$A$1,LUJ_3!$3:$3,0))</f>
        <v>0.47397704108863481</v>
      </c>
      <c r="V20" s="14">
        <f>INDEX(LUJ_4!$A:$J,MATCH('2019'!$A20,LUJ_4!$A:$A,0),MATCH('2019'!$A$1,LUJ_4!$3:$3,0))</f>
        <v>124</v>
      </c>
      <c r="W20" s="34">
        <f>INDEX(LUJ_5!$A:$J,MATCH('2019'!$A20,LUJ_5!$A:$A,0),MATCH('2019'!$A$1,LUJ_5!$3:$3,0))</f>
        <v>0</v>
      </c>
      <c r="X20" s="98">
        <f>1/INDEX(GUL_1!$A:$J,MATCH('2019'!$A20,GUL_1!$A:$A,0),MATCH('2019'!$A$1,GUL_1!$3:$3,0))</f>
        <v>1.350621285791464E-2</v>
      </c>
      <c r="Y20" s="57">
        <f>INDEX(GUL_2!$A:$J,MATCH('2019'!$A20,GUL_2!$A:$A,0),MATCH('2019'!$A$1,GUL_2!$3:$3,0))</f>
        <v>24.6</v>
      </c>
      <c r="Z20" s="57">
        <f>INDEX(GUL_3!$A:$J,MATCH('2019'!$A20,GUL_3!$A:$A,0),MATCH('2019'!$A$1,GUL_3!$3:$3,0))/(B20/1000)</f>
        <v>0.40017263601942449</v>
      </c>
      <c r="AA20" s="101">
        <f>INDEX(GUL_4!$A:$J,MATCH('2019'!$A20,GUL_4!$A:$A,0),MATCH('2019'!$A$1,GUL_4!$3:$3,0))/B20/C20*10^6</f>
        <v>0.44415516033986235</v>
      </c>
      <c r="AB20" s="73">
        <f>INDEX(GUL_5!$A:$J,MATCH('2019'!$A20,GUL_5!$A:$A,0),MATCH('2019'!$A$1,GUL_5!$3:$3,0))</f>
        <v>2.8946133243936276E-2</v>
      </c>
      <c r="AC20" s="49" t="e">
        <f>INDEX(GUL_6!$A:$J,MATCH('2019'!$A20,GUL_6!$A:$A,0),MATCH('2019'!$A$1,GUL_6!$3:$3,0))</f>
        <v>#N/A</v>
      </c>
      <c r="AD20" s="49" t="e">
        <f>INDEX(GUL_7!$A:$J,MATCH('2019'!$A20,GUL_7!$A:$A,0),MATCH('2019'!$A$1,GUL_7!$3:$3,0))</f>
        <v>#N/A</v>
      </c>
      <c r="AE20" s="103">
        <f>INDEX(GUL_8!$A:$J,MATCH('2019'!$A20,GUL_8!$A:$A,0),MATCH('2019'!$A$1,GUL_8!$3:$3,0))/(B20/1000)</f>
        <v>1.2710739616478592</v>
      </c>
      <c r="AF20" s="41">
        <f>INDEX(DES_1!$A:$J,MATCH('2019'!$A20,DES_1!$A:$A,0),MATCH('2019'!$A$1,DES_1!$3:$3,0))/(B20/1000)</f>
        <v>0.1075647005667648</v>
      </c>
      <c r="AG20" s="100">
        <f>INDEX(DES_2!$A:$J,MATCH('2019'!$A20,DES_2!$A:$A,0),MATCH('2019'!$A$1,DES_2!$3:$3,0))/(B20/1000)</f>
        <v>0.28728295027608719</v>
      </c>
      <c r="AH20" s="57">
        <f>1/INDEX(DES_3!$A:$J,MATCH('2019'!$A20,DES_3!$A:$A,0),MATCH('2019'!$A$1,DES_3!$3:$3,0))</f>
        <v>9.017132551848512E-3</v>
      </c>
      <c r="AI20" s="80">
        <f>INDEX(DES_4!$A:$J,MATCH('2019'!$A20,DES_4!$A:$A,0),MATCH('2019'!$A$1,DES_4!$3:$3,0))</f>
        <v>0.50726584508299999</v>
      </c>
      <c r="AJ20" s="110">
        <f>INDEX(DES_5!$A:$J,MATCH('2019'!$A20,DES_5!$A:$A,0),MATCH('2019'!$A$1,DES_5!$3:$3,0))</f>
        <v>0.46291125463900001</v>
      </c>
      <c r="AK20" s="57">
        <v>20</v>
      </c>
    </row>
    <row r="21" spans="1:37" x14ac:dyDescent="0.3">
      <c r="A21" s="29" t="s">
        <v>20</v>
      </c>
      <c r="B21" s="33">
        <f>INDEX(Population!$A:$J,MATCH('2019'!$A21,Population!$A:$A,0),MATCH('2019'!$A$1,Population!$3:$3,0))</f>
        <v>1376582</v>
      </c>
      <c r="C21" s="14">
        <f>INDEX(Income!$A:$J,MATCH('2019'!$A21,Income!$A:$A,0),MATCH('2019'!$A$1,Income!$3:$3,0))</f>
        <v>25391</v>
      </c>
      <c r="D21" s="34">
        <f>INDEX(Livable_wage!$A:$J,MATCH('2019'!$A21,Livable_wage!$A:$A,0),MATCH('2019'!$A$1,Livable_wage!$3:$3,0))</f>
        <v>10809</v>
      </c>
      <c r="E21" s="41">
        <f>INDEX(AVA_1!$A:$J,MATCH('2019'!$A21,AVA_1!$A:$A,0),MATCH('2019'!$A$1,AVA_1!$3:$3,0))</f>
        <v>0.34</v>
      </c>
      <c r="F21" s="15">
        <f>INDEX(AVA_2!$A:$J,MATCH('2019'!$A21,AVA_2!$A:$A,0),MATCH('2019'!$A$1,AVA_2!$3:$3,0))</f>
        <v>1.0068371967493328E-2</v>
      </c>
      <c r="G21" s="15">
        <f>INDEX(AVA_3!$A:$J,MATCH('2019'!$A21,AVA_3!$A:$A,0),MATCH('2019'!$A$1,AVA_3!$3:$3,0))</f>
        <v>1.9971326940941773E-2</v>
      </c>
      <c r="H21" s="87">
        <f>INDEX(AVA_4!$A:$J,MATCH('2019'!$A21,AVA_4!$A:$A,0),MATCH('2019'!$A$1,AVA_4!$3:$3,0))/(B21/1000)</f>
        <v>0.65451967263846245</v>
      </c>
      <c r="I21" s="89">
        <f>INDEX(AVA_5!$A:$J,MATCH('2019'!$A21,AVA_5!$A:$A,0),MATCH('2019'!$A$1,AVA_5!$3:$3,0))/(B21/1000)</f>
        <v>4.7247457833968474</v>
      </c>
      <c r="J21" s="93">
        <f>INDEX(IRA_1!$A:$J,MATCH('2019'!$A21,IRA_1!$A:$A,0),MATCH('2019'!$A$1,IRA_1!$3:$3,0))/(B21/1000)</f>
        <v>4.5039089571126165E-2</v>
      </c>
      <c r="K21" s="88">
        <f>INDEX(IRA_2!$A:$J,MATCH('2019'!$A21,IRA_2!$A:$A,0),MATCH('2019'!$A$1,IRA_2!$3:$3,0))/(B21/1000)</f>
        <v>0.13874945335621125</v>
      </c>
      <c r="L21" s="15">
        <f>INDEX(IRA_3!$A:$J,MATCH('2019'!$A21,IRA_3!$A:$A,0),MATCH('2019'!$A$1,IRA_3!$3:$3,0))</f>
        <v>0.42373595505617978</v>
      </c>
      <c r="M21" s="96">
        <f>INDEX(IRA_4!$A:$J,MATCH('2019'!$A21,IRA_4!$A:$A,0),MATCH('2019'!$A$1,IRA_4!$3:$3,0))/(B21/1000)</f>
        <v>3.823237555045758</v>
      </c>
      <c r="N21" s="61">
        <f>INDEX(INV_1!$A:$J,MATCH('2019'!$A21,INV_1!$A:$A,0),MATCH('2019'!$A$1,INV_1!$3:$3,0))</f>
        <v>7.915028207258297E-2</v>
      </c>
      <c r="O21" s="80">
        <f>INDEX(INV_2!$A:$J,MATCH('2019'!$A21,INV_2!$A:$A,0),MATCH('2019'!$A$1,INV_2!$3:$3,0))/B21*10^6/C21</f>
        <v>0.38336935873898326</v>
      </c>
      <c r="P21" s="87">
        <f>INDEX(INV_3!$A:$J,MATCH('2019'!$A21,INV_3!$A:$A,0),MATCH('2019'!$A$1,INV_3!$3:$3,0))/B21*10^6/C21</f>
        <v>3.5794563824511965</v>
      </c>
      <c r="Q21" s="87">
        <f>INDEX(INV_4!$A:$J,MATCH('2019'!$A21,INV_4!$A:$A,0),MATCH('2019'!$A$1,INV_4!$3:$3,0))/B21*10^3/C21</f>
        <v>0.29709353793367621</v>
      </c>
      <c r="R21" s="34">
        <f>INDEX(INV_5!$A:$J,MATCH('2019'!$A21,INV_5!$A:$A,0),MATCH('2019'!$A$1,INV_5!$3:$3,0))</f>
        <v>8.0600000000000005E-2</v>
      </c>
      <c r="S21" s="77">
        <f>INDEX(LUJ_1!$A:$J,MATCH('2019'!$A21,LUJ_1!$A:$A,0),MATCH('2019'!$A$1,LUJ_1!$3:$3,0))</f>
        <v>0.67389174626500126</v>
      </c>
      <c r="T21" s="73">
        <f>INDEX(LUJ_2!$A:$J,MATCH('2019'!$A21,LUJ_2!$A:$A,0),MATCH('2019'!$A$1,LUJ_2!$3:$3,0))</f>
        <v>0.19600000000000001</v>
      </c>
      <c r="U21" s="73">
        <f>INDEX(LUJ_3!$A:$J,MATCH('2019'!$A21,LUJ_3!$A:$A,0),MATCH('2019'!$A$1,LUJ_3!$3:$3,0))</f>
        <v>0.53715881452121428</v>
      </c>
      <c r="V21" s="14">
        <f>INDEX(LUJ_4!$A:$J,MATCH('2019'!$A21,LUJ_4!$A:$A,0),MATCH('2019'!$A$1,LUJ_4!$3:$3,0))</f>
        <v>18</v>
      </c>
      <c r="W21" s="34">
        <f>INDEX(LUJ_5!$A:$J,MATCH('2019'!$A21,LUJ_5!$A:$A,0),MATCH('2019'!$A$1,LUJ_5!$3:$3,0))</f>
        <v>47.7</v>
      </c>
      <c r="X21" s="98">
        <f>1/INDEX(GUL_1!$A:$J,MATCH('2019'!$A21,GUL_1!$A:$A,0),MATCH('2019'!$A$1,GUL_1!$3:$3,0))</f>
        <v>1.3914011409489354E-2</v>
      </c>
      <c r="Y21" s="57">
        <f>INDEX(GUL_2!$A:$J,MATCH('2019'!$A21,GUL_2!$A:$A,0),MATCH('2019'!$A$1,GUL_2!$3:$3,0))</f>
        <v>25.4</v>
      </c>
      <c r="Z21" s="57">
        <f>INDEX(GUL_3!$A:$J,MATCH('2019'!$A21,GUL_3!$A:$A,0),MATCH('2019'!$A$1,GUL_3!$3:$3,0))/(B21/1000)</f>
        <v>1.1361473562780857</v>
      </c>
      <c r="AA21" s="101">
        <f>INDEX(GUL_4!$A:$J,MATCH('2019'!$A21,GUL_4!$A:$A,0),MATCH('2019'!$A$1,GUL_4!$3:$3,0))/B21/C21*10^6</f>
        <v>0.33139239584537555</v>
      </c>
      <c r="AB21" s="73">
        <f>INDEX(GUL_5!$A:$J,MATCH('2019'!$A21,GUL_5!$A:$A,0),MATCH('2019'!$A$1,GUL_5!$3:$3,0))</f>
        <v>2.6949861655783322E-2</v>
      </c>
      <c r="AC21" s="49" t="e">
        <f>INDEX(GUL_6!$A:$J,MATCH('2019'!$A21,GUL_6!$A:$A,0),MATCH('2019'!$A$1,GUL_6!$3:$3,0))</f>
        <v>#N/A</v>
      </c>
      <c r="AD21" s="49" t="e">
        <f>INDEX(GUL_7!$A:$J,MATCH('2019'!$A21,GUL_7!$A:$A,0),MATCH('2019'!$A$1,GUL_7!$3:$3,0))</f>
        <v>#N/A</v>
      </c>
      <c r="AE21" s="103">
        <f>INDEX(GUL_8!$A:$J,MATCH('2019'!$A21,GUL_8!$A:$A,0),MATCH('2019'!$A$1,GUL_8!$3:$3,0))/(B21/1000)</f>
        <v>2.0383820215577422</v>
      </c>
      <c r="AF21" s="41">
        <f>INDEX(DES_1!$A:$J,MATCH('2019'!$A21,DES_1!$A:$A,0),MATCH('2019'!$A$1,DES_1!$3:$3,0))/(B21/1000)</f>
        <v>0.14165520107047744</v>
      </c>
      <c r="AG21" s="100">
        <f>INDEX(DES_2!$A:$J,MATCH('2019'!$A21,DES_2!$A:$A,0),MATCH('2019'!$A$1,DES_2!$3:$3,0))/(B21/1000)</f>
        <v>0.32326443321211518</v>
      </c>
      <c r="AH21" s="57">
        <f>1/INDEX(DES_3!$A:$J,MATCH('2019'!$A21,DES_3!$A:$A,0),MATCH('2019'!$A$1,DES_3!$3:$3,0))</f>
        <v>8.7796312554872698E-3</v>
      </c>
      <c r="AI21" s="80">
        <f>INDEX(DES_4!$A:$J,MATCH('2019'!$A21,DES_4!$A:$A,0),MATCH('2019'!$A$1,DES_4!$3:$3,0))</f>
        <v>0.78180774234299999</v>
      </c>
      <c r="AJ21" s="110">
        <f>INDEX(DES_5!$A:$J,MATCH('2019'!$A21,DES_5!$A:$A,0),MATCH('2019'!$A$1,DES_5!$3:$3,0))</f>
        <v>0.44117881601800002</v>
      </c>
      <c r="AK21" s="57">
        <v>22</v>
      </c>
    </row>
    <row r="22" spans="1:37" x14ac:dyDescent="0.3">
      <c r="A22" s="29" t="s">
        <v>21</v>
      </c>
      <c r="B22" s="33">
        <f>INDEX(Population!$A:$J,MATCH('2019'!$A22,Population!$A:$A,0),MATCH('2019'!$A$1,Population!$3:$3,0))</f>
        <v>8303032</v>
      </c>
      <c r="C22" s="14">
        <f>INDEX(Income!$A:$J,MATCH('2019'!$A22,Income!$A:$A,0),MATCH('2019'!$A$1,Income!$3:$3,0))</f>
        <v>47513</v>
      </c>
      <c r="D22" s="34">
        <f>INDEX(Livable_wage!$A:$J,MATCH('2019'!$A22,Livable_wage!$A:$A,0),MATCH('2019'!$A$1,Livable_wage!$3:$3,0))</f>
        <v>13598</v>
      </c>
      <c r="E22" s="41">
        <f>INDEX(AVA_1!$A:$J,MATCH('2019'!$A22,AVA_1!$A:$A,0),MATCH('2019'!$A$1,AVA_1!$3:$3,0))</f>
        <v>0.39400000000000002</v>
      </c>
      <c r="F22" s="15">
        <f>INDEX(AVA_2!$A:$J,MATCH('2019'!$A22,AVA_2!$A:$A,0),MATCH('2019'!$A$1,AVA_2!$3:$3,0))</f>
        <v>8.12438482471123E-3</v>
      </c>
      <c r="G22" s="15">
        <f>INDEX(AVA_3!$A:$J,MATCH('2019'!$A22,AVA_3!$A:$A,0),MATCH('2019'!$A$1,AVA_3!$3:$3,0))</f>
        <v>0.40240640804025729</v>
      </c>
      <c r="H22" s="87">
        <f>INDEX(AVA_4!$A:$J,MATCH('2019'!$A22,AVA_4!$A:$A,0),MATCH('2019'!$A$1,AVA_4!$3:$3,0))/(B22/1000)</f>
        <v>0.45248530898110478</v>
      </c>
      <c r="I22" s="89">
        <f>INDEX(AVA_5!$A:$J,MATCH('2019'!$A22,AVA_5!$A:$A,0),MATCH('2019'!$A$1,AVA_5!$3:$3,0))/(B22/1000)</f>
        <v>3.4696963711569464</v>
      </c>
      <c r="J22" s="93">
        <f>INDEX(IRA_1!$A:$J,MATCH('2019'!$A22,IRA_1!$A:$A,0),MATCH('2019'!$A$1,IRA_1!$3:$3,0))/(B22/1000)</f>
        <v>4.4321158824872656E-2</v>
      </c>
      <c r="K22" s="88">
        <f>INDEX(IRA_2!$A:$J,MATCH('2019'!$A22,IRA_2!$A:$A,0),MATCH('2019'!$A$1,IRA_2!$3:$3,0))/(B22/1000)</f>
        <v>0.11790873502595198</v>
      </c>
      <c r="L22" s="15">
        <f>INDEX(IRA_3!$A:$J,MATCH('2019'!$A22,IRA_3!$A:$A,0),MATCH('2019'!$A$1,IRA_3!$3:$3,0))</f>
        <v>0.58971630285254495</v>
      </c>
      <c r="M22" s="96">
        <f>INDEX(IRA_4!$A:$J,MATCH('2019'!$A22,IRA_4!$A:$A,0),MATCH('2019'!$A$1,IRA_4!$3:$3,0))/(B22/1000)</f>
        <v>2.7013023676170347</v>
      </c>
      <c r="N22" s="61">
        <f>INDEX(INV_1!$A:$J,MATCH('2019'!$A22,INV_1!$A:$A,0),MATCH('2019'!$A$1,INV_1!$3:$3,0))</f>
        <v>5.7341107234391876E-2</v>
      </c>
      <c r="O22" s="80">
        <f>INDEX(INV_2!$A:$J,MATCH('2019'!$A22,INV_2!$A:$A,0),MATCH('2019'!$A$1,INV_2!$3:$3,0))/B22*10^6/C22</f>
        <v>0.4643508832280096</v>
      </c>
      <c r="P22" s="87">
        <f>INDEX(INV_3!$A:$J,MATCH('2019'!$A22,INV_3!$A:$A,0),MATCH('2019'!$A$1,INV_3!$3:$3,0))/B22*10^6/C22</f>
        <v>3.5922026904450521</v>
      </c>
      <c r="Q22" s="87">
        <f>INDEX(INV_4!$A:$J,MATCH('2019'!$A22,INV_4!$A:$A,0),MATCH('2019'!$A$1,INV_4!$3:$3,0))/B22*10^3/C22</f>
        <v>8.6922460285780864E-2</v>
      </c>
      <c r="R22" s="34">
        <f>INDEX(INV_5!$A:$J,MATCH('2019'!$A22,INV_5!$A:$A,0),MATCH('2019'!$A$1,INV_5!$3:$3,0))</f>
        <v>0.28670000000000001</v>
      </c>
      <c r="S22" s="77">
        <f>INDEX(LUJ_1!$A:$J,MATCH('2019'!$A22,LUJ_1!$A:$A,0),MATCH('2019'!$A$1,LUJ_1!$3:$3,0))</f>
        <v>0.66698682034043011</v>
      </c>
      <c r="T22" s="73">
        <f>INDEX(LUJ_2!$A:$J,MATCH('2019'!$A22,LUJ_2!$A:$A,0),MATCH('2019'!$A$1,LUJ_2!$3:$3,0))</f>
        <v>0.18600000000000003</v>
      </c>
      <c r="U22" s="73">
        <f>INDEX(LUJ_3!$A:$J,MATCH('2019'!$A22,LUJ_3!$A:$A,0),MATCH('2019'!$A$1,LUJ_3!$3:$3,0))</f>
        <v>0.29310297242844918</v>
      </c>
      <c r="V22" s="14">
        <f>INDEX(LUJ_4!$A:$J,MATCH('2019'!$A22,LUJ_4!$A:$A,0),MATCH('2019'!$A$1,LUJ_4!$3:$3,0))</f>
        <v>120</v>
      </c>
      <c r="W22" s="34">
        <f>INDEX(LUJ_5!$A:$J,MATCH('2019'!$A22,LUJ_5!$A:$A,0),MATCH('2019'!$A$1,LUJ_5!$3:$3,0))</f>
        <v>32.5</v>
      </c>
      <c r="X22" s="98">
        <f>1/INDEX(GUL_1!$A:$J,MATCH('2019'!$A22,GUL_1!$A:$A,0),MATCH('2019'!$A$1,GUL_1!$3:$3,0))</f>
        <v>1.3539128080151638E-2</v>
      </c>
      <c r="Y22" s="57">
        <f>INDEX(GUL_2!$A:$J,MATCH('2019'!$A22,GUL_2!$A:$A,0),MATCH('2019'!$A$1,GUL_2!$3:$3,0))</f>
        <v>24.5</v>
      </c>
      <c r="Z22" s="57">
        <f>INDEX(GUL_3!$A:$J,MATCH('2019'!$A22,GUL_3!$A:$A,0),MATCH('2019'!$A$1,GUL_3!$3:$3,0))/(B22/1000)</f>
        <v>0.6212188511377531</v>
      </c>
      <c r="AA22" s="101">
        <f>INDEX(GUL_4!$A:$J,MATCH('2019'!$A22,GUL_4!$A:$A,0),MATCH('2019'!$A$1,GUL_4!$3:$3,0))/B22/C22*10^6</f>
        <v>0.33239502839002033</v>
      </c>
      <c r="AB22" s="73">
        <f>INDEX(GUL_5!$A:$J,MATCH('2019'!$A22,GUL_5!$A:$A,0),MATCH('2019'!$A$1,GUL_5!$3:$3,0))</f>
        <v>2.1504890699665973E-2</v>
      </c>
      <c r="AC22" s="49" t="e">
        <f>INDEX(GUL_6!$A:$J,MATCH('2019'!$A22,GUL_6!$A:$A,0),MATCH('2019'!$A$1,GUL_6!$3:$3,0))</f>
        <v>#N/A</v>
      </c>
      <c r="AD22" s="49" t="e">
        <f>INDEX(GUL_7!$A:$J,MATCH('2019'!$A22,GUL_7!$A:$A,0),MATCH('2019'!$A$1,GUL_7!$3:$3,0))</f>
        <v>#N/A</v>
      </c>
      <c r="AE22" s="103">
        <f>INDEX(GUL_8!$A:$J,MATCH('2019'!$A22,GUL_8!$A:$A,0),MATCH('2019'!$A$1,GUL_8!$3:$3,0))/(B22/1000)</f>
        <v>0.9784377562316996</v>
      </c>
      <c r="AF22" s="41">
        <f>INDEX(DES_1!$A:$J,MATCH('2019'!$A22,DES_1!$A:$A,0),MATCH('2019'!$A$1,DES_1!$3:$3,0))/(B22/1000)</f>
        <v>0.1058649418670192</v>
      </c>
      <c r="AG22" s="100">
        <f>INDEX(DES_2!$A:$J,MATCH('2019'!$A22,DES_2!$A:$A,0),MATCH('2019'!$A$1,DES_2!$3:$3,0))/(B22/1000)</f>
        <v>0.47175537803539724</v>
      </c>
      <c r="AH22" s="57">
        <f>1/INDEX(DES_3!$A:$J,MATCH('2019'!$A22,DES_3!$A:$A,0),MATCH('2019'!$A$1,DES_3!$3:$3,0))</f>
        <v>8.2576383154417832E-3</v>
      </c>
      <c r="AI22" s="80">
        <f>INDEX(DES_4!$A:$J,MATCH('2019'!$A22,DES_4!$A:$A,0),MATCH('2019'!$A$1,DES_4!$3:$3,0))</f>
        <v>1</v>
      </c>
      <c r="AJ22" s="110">
        <f>INDEX(DES_5!$A:$J,MATCH('2019'!$A22,DES_5!$A:$A,0),MATCH('2019'!$A$1,DES_5!$3:$3,0))</f>
        <v>0.79171658027199998</v>
      </c>
      <c r="AK22" s="57">
        <v>23</v>
      </c>
    </row>
    <row r="23" spans="1:37" x14ac:dyDescent="0.3">
      <c r="A23" s="29" t="s">
        <v>22</v>
      </c>
      <c r="B23" s="33">
        <f>INDEX(Population!$A:$J,MATCH('2019'!$A23,Population!$A:$A,0),MATCH('2019'!$A$1,Population!$3:$3,0))</f>
        <v>2532443</v>
      </c>
      <c r="C23" s="14">
        <f>INDEX(Income!$A:$J,MATCH('2019'!$A23,Income!$A:$A,0),MATCH('2019'!$A$1,Income!$3:$3,0))</f>
        <v>24160</v>
      </c>
      <c r="D23" s="34">
        <f>INDEX(Livable_wage!$A:$J,MATCH('2019'!$A23,Livable_wage!$A:$A,0),MATCH('2019'!$A$1,Livable_wage!$3:$3,0))</f>
        <v>10026</v>
      </c>
      <c r="E23" s="41">
        <f>INDEX(AVA_1!$A:$J,MATCH('2019'!$A23,AVA_1!$A:$A,0),MATCH('2019'!$A$1,AVA_1!$3:$3,0))</f>
        <v>0.34699999999999998</v>
      </c>
      <c r="F23" s="15">
        <f>INDEX(AVA_2!$A:$J,MATCH('2019'!$A23,AVA_2!$A:$A,0),MATCH('2019'!$A$1,AVA_2!$3:$3,0))</f>
        <v>9.9429605021624859E-3</v>
      </c>
      <c r="G23" s="15">
        <f>INDEX(AVA_3!$A:$J,MATCH('2019'!$A23,AVA_3!$A:$A,0),MATCH('2019'!$A$1,AVA_3!$3:$3,0))</f>
        <v>1.5721076089307794E-2</v>
      </c>
      <c r="H23" s="87">
        <f>INDEX(AVA_4!$A:$J,MATCH('2019'!$A23,AVA_4!$A:$A,0),MATCH('2019'!$A$1,AVA_4!$3:$3,0))/(B23/1000)</f>
        <v>0.75381755877624879</v>
      </c>
      <c r="I23" s="89">
        <f>INDEX(AVA_5!$A:$J,MATCH('2019'!$A23,AVA_5!$A:$A,0),MATCH('2019'!$A$1,AVA_5!$3:$3,0))/(B23/1000)</f>
        <v>7.3016450913209097</v>
      </c>
      <c r="J23" s="93">
        <f>INDEX(IRA_1!$A:$J,MATCH('2019'!$A23,IRA_1!$A:$A,0),MATCH('2019'!$A$1,IRA_1!$3:$3,0))/(B23/1000)</f>
        <v>5.1728706233467044E-2</v>
      </c>
      <c r="K23" s="88">
        <f>INDEX(IRA_2!$A:$J,MATCH('2019'!$A23,IRA_2!$A:$A,0),MATCH('2019'!$A$1,IRA_2!$3:$3,0))/(B23/1000)</f>
        <v>0.12241144223186859</v>
      </c>
      <c r="L23" s="15">
        <f>INDEX(IRA_3!$A:$J,MATCH('2019'!$A23,IRA_3!$A:$A,0),MATCH('2019'!$A$1,IRA_3!$3:$3,0))</f>
        <v>0.43818905342814274</v>
      </c>
      <c r="M23" s="96">
        <f>INDEX(IRA_4!$A:$J,MATCH('2019'!$A23,IRA_4!$A:$A,0),MATCH('2019'!$A$1,IRA_4!$3:$3,0))/(B23/1000)</f>
        <v>6.394220916324671</v>
      </c>
      <c r="N23" s="61">
        <f>INDEX(INV_1!$A:$J,MATCH('2019'!$A23,INV_1!$A:$A,0),MATCH('2019'!$A$1,INV_1!$3:$3,0))</f>
        <v>9.2125656250150859E-2</v>
      </c>
      <c r="O23" s="80">
        <f>INDEX(INV_2!$A:$J,MATCH('2019'!$A23,INV_2!$A:$A,0),MATCH('2019'!$A$1,INV_2!$3:$3,0))/B23*10^6/C23</f>
        <v>0.39629713982657894</v>
      </c>
      <c r="P23" s="87">
        <f>INDEX(INV_3!$A:$J,MATCH('2019'!$A23,INV_3!$A:$A,0),MATCH('2019'!$A$1,INV_3!$3:$3,0))/B23*10^6/C23</f>
        <v>3.7302343864264267</v>
      </c>
      <c r="Q23" s="87">
        <f>INDEX(INV_4!$A:$J,MATCH('2019'!$A23,INV_4!$A:$A,0),MATCH('2019'!$A$1,INV_4!$3:$3,0))/B23*10^3/C23</f>
        <v>0.36238593563344862</v>
      </c>
      <c r="R23" s="34">
        <f>INDEX(INV_5!$A:$J,MATCH('2019'!$A23,INV_5!$A:$A,0),MATCH('2019'!$A$1,INV_5!$3:$3,0))</f>
        <v>8.5400000000000004E-2</v>
      </c>
      <c r="S23" s="77">
        <f>INDEX(LUJ_1!$A:$J,MATCH('2019'!$A23,LUJ_1!$A:$A,0),MATCH('2019'!$A$1,LUJ_1!$3:$3,0))</f>
        <v>0.73739725030915837</v>
      </c>
      <c r="T23" s="73">
        <f>INDEX(LUJ_2!$A:$J,MATCH('2019'!$A23,LUJ_2!$A:$A,0),MATCH('2019'!$A$1,LUJ_2!$3:$3,0))</f>
        <v>0.22899999999999998</v>
      </c>
      <c r="U23" s="73">
        <f>INDEX(LUJ_3!$A:$J,MATCH('2019'!$A23,LUJ_3!$A:$A,0),MATCH('2019'!$A$1,LUJ_3!$3:$3,0))</f>
        <v>0.40492943644512253</v>
      </c>
      <c r="V23" s="14">
        <f>INDEX(LUJ_4!$A:$J,MATCH('2019'!$A23,LUJ_4!$A:$A,0),MATCH('2019'!$A$1,LUJ_4!$3:$3,0))</f>
        <v>48</v>
      </c>
      <c r="W23" s="34">
        <f>INDEX(LUJ_5!$A:$J,MATCH('2019'!$A23,LUJ_5!$A:$A,0),MATCH('2019'!$A$1,LUJ_5!$3:$3,0))</f>
        <v>44.1</v>
      </c>
      <c r="X23" s="98">
        <f>1/INDEX(GUL_1!$A:$J,MATCH('2019'!$A23,GUL_1!$A:$A,0),MATCH('2019'!$A$1,GUL_1!$3:$3,0))</f>
        <v>1.3500742540839748E-2</v>
      </c>
      <c r="Y23" s="57">
        <f>INDEX(GUL_2!$A:$J,MATCH('2019'!$A23,GUL_2!$A:$A,0),MATCH('2019'!$A$1,GUL_2!$3:$3,0))</f>
        <v>25.5</v>
      </c>
      <c r="Z23" s="57">
        <f>INDEX(GUL_3!$A:$J,MATCH('2019'!$A23,GUL_3!$A:$A,0),MATCH('2019'!$A$1,GUL_3!$3:$3,0))/(B23/1000)</f>
        <v>0.72538651412884703</v>
      </c>
      <c r="AA23" s="101">
        <f>INDEX(GUL_4!$A:$J,MATCH('2019'!$A23,GUL_4!$A:$A,0),MATCH('2019'!$A$1,GUL_4!$3:$3,0))/B23/C23*10^6</f>
        <v>0.24802945101621934</v>
      </c>
      <c r="AB23" s="73">
        <f>INDEX(GUL_5!$A:$J,MATCH('2019'!$A23,GUL_5!$A:$A,0),MATCH('2019'!$A$1,GUL_5!$3:$3,0))</f>
        <v>2.6185903255596114E-2</v>
      </c>
      <c r="AC23" s="49" t="e">
        <f>INDEX(GUL_6!$A:$J,MATCH('2019'!$A23,GUL_6!$A:$A,0),MATCH('2019'!$A$1,GUL_6!$3:$3,0))</f>
        <v>#N/A</v>
      </c>
      <c r="AD23" s="49" t="e">
        <f>INDEX(GUL_7!$A:$J,MATCH('2019'!$A23,GUL_7!$A:$A,0),MATCH('2019'!$A$1,GUL_7!$3:$3,0))</f>
        <v>#N/A</v>
      </c>
      <c r="AE23" s="103">
        <f>INDEX(GUL_8!$A:$J,MATCH('2019'!$A23,GUL_8!$A:$A,0),MATCH('2019'!$A$1,GUL_8!$3:$3,0))/(B23/1000)</f>
        <v>2.2448679002844285</v>
      </c>
      <c r="AF23" s="41">
        <f>INDEX(DES_1!$A:$J,MATCH('2019'!$A23,DES_1!$A:$A,0),MATCH('2019'!$A$1,DES_1!$3:$3,0))/(B23/1000)</f>
        <v>3.9092686390177385E-2</v>
      </c>
      <c r="AG23" s="100">
        <f>INDEX(DES_2!$A:$J,MATCH('2019'!$A23,DES_2!$A:$A,0),MATCH('2019'!$A$1,DES_2!$3:$3,0))/(B23/1000)</f>
        <v>0.40948601804660556</v>
      </c>
      <c r="AH23" s="57">
        <f>1/INDEX(DES_3!$A:$J,MATCH('2019'!$A23,DES_3!$A:$A,0),MATCH('2019'!$A$1,DES_3!$3:$3,0))</f>
        <v>9.0334236675700084E-3</v>
      </c>
      <c r="AI23" s="80">
        <f>INDEX(DES_4!$A:$J,MATCH('2019'!$A23,DES_4!$A:$A,0),MATCH('2019'!$A$1,DES_4!$3:$3,0))</f>
        <v>0.88433023370599995</v>
      </c>
      <c r="AJ23" s="110">
        <f>INDEX(DES_5!$A:$J,MATCH('2019'!$A23,DES_5!$A:$A,0),MATCH('2019'!$A$1,DES_5!$3:$3,0))</f>
        <v>0.59053905301699994</v>
      </c>
      <c r="AK23" s="57">
        <v>29</v>
      </c>
    </row>
    <row r="24" spans="1:37" x14ac:dyDescent="0.3">
      <c r="A24" s="29" t="s">
        <v>23</v>
      </c>
      <c r="B24" s="33">
        <f>INDEX(Population!$A:$J,MATCH('2019'!$A24,Population!$A:$A,0),MATCH('2019'!$A$1,Population!$3:$3,0))</f>
        <v>1904146</v>
      </c>
      <c r="C24" s="14">
        <f>INDEX(Income!$A:$J,MATCH('2019'!$A24,Income!$A:$A,0),MATCH('2019'!$A$1,Income!$3:$3,0))</f>
        <v>24497</v>
      </c>
      <c r="D24" s="34">
        <f>INDEX(Livable_wage!$A:$J,MATCH('2019'!$A24,Livable_wage!$A:$A,0),MATCH('2019'!$A$1,Livable_wage!$3:$3,0))</f>
        <v>9608</v>
      </c>
      <c r="E24" s="41">
        <f>INDEX(AVA_1!$A:$J,MATCH('2019'!$A24,AVA_1!$A:$A,0),MATCH('2019'!$A$1,AVA_1!$3:$3,0))</f>
        <v>0.375</v>
      </c>
      <c r="F24" s="15">
        <f>INDEX(AVA_2!$A:$J,MATCH('2019'!$A24,AVA_2!$A:$A,0),MATCH('2019'!$A$1,AVA_2!$3:$3,0))</f>
        <v>8.1960108692181247E-3</v>
      </c>
      <c r="G24" s="15">
        <f>INDEX(AVA_3!$A:$J,MATCH('2019'!$A24,AVA_3!$A:$A,0),MATCH('2019'!$A$1,AVA_3!$3:$3,0))</f>
        <v>9.1680828960472808E-3</v>
      </c>
      <c r="H24" s="87">
        <f>INDEX(AVA_4!$A:$J,MATCH('2019'!$A24,AVA_4!$A:$A,0),MATCH('2019'!$A$1,AVA_4!$3:$3,0))/(B24/1000)</f>
        <v>0.70740373899900533</v>
      </c>
      <c r="I24" s="89">
        <f>INDEX(AVA_5!$A:$J,MATCH('2019'!$A24,AVA_5!$A:$A,0),MATCH('2019'!$A$1,AVA_5!$3:$3,0))/(B24/1000)</f>
        <v>4.7118235681507619</v>
      </c>
      <c r="J24" s="93">
        <f>INDEX(IRA_1!$A:$J,MATCH('2019'!$A24,IRA_1!$A:$A,0),MATCH('2019'!$A$1,IRA_1!$3:$3,0))/(B24/1000)</f>
        <v>5.9344188943494879E-2</v>
      </c>
      <c r="K24" s="88">
        <f>INDEX(IRA_2!$A:$J,MATCH('2019'!$A24,IRA_2!$A:$A,0),MATCH('2019'!$A$1,IRA_2!$3:$3,0))/(B24/1000)</f>
        <v>0.16490332148900347</v>
      </c>
      <c r="L24" s="15">
        <f>INDEX(IRA_3!$A:$J,MATCH('2019'!$A24,IRA_3!$A:$A,0),MATCH('2019'!$A$1,IRA_3!$3:$3,0))</f>
        <v>0.414697971941557</v>
      </c>
      <c r="M24" s="96">
        <f>INDEX(IRA_4!$A:$J,MATCH('2019'!$A24,IRA_4!$A:$A,0),MATCH('2019'!$A$1,IRA_4!$3:$3,0))/(B24/1000)</f>
        <v>3.9240688476618915</v>
      </c>
      <c r="N24" s="61">
        <f>INDEX(INV_1!$A:$J,MATCH('2019'!$A24,INV_1!$A:$A,0),MATCH('2019'!$A$1,INV_1!$3:$3,0))</f>
        <v>8.3822773915745594E-2</v>
      </c>
      <c r="O24" s="80">
        <f>INDEX(INV_2!$A:$J,MATCH('2019'!$A24,INV_2!$A:$A,0),MATCH('2019'!$A$1,INV_2!$3:$3,0))/B24*10^6/C24</f>
        <v>0.41145808961241576</v>
      </c>
      <c r="P24" s="87">
        <f>INDEX(INV_3!$A:$J,MATCH('2019'!$A24,INV_3!$A:$A,0),MATCH('2019'!$A$1,INV_3!$3:$3,0))/B24*10^6/C24</f>
        <v>4.8350910014804072</v>
      </c>
      <c r="Q24" s="87">
        <f>INDEX(INV_4!$A:$J,MATCH('2019'!$A24,INV_4!$A:$A,0),MATCH('2019'!$A$1,INV_4!$3:$3,0))/B24*10^3/C24</f>
        <v>0.32026330394506192</v>
      </c>
      <c r="R24" s="34">
        <f>INDEX(INV_5!$A:$J,MATCH('2019'!$A24,INV_5!$A:$A,0),MATCH('2019'!$A$1,INV_5!$3:$3,0))</f>
        <v>7.7200000000000005E-2</v>
      </c>
      <c r="S24" s="77">
        <f>INDEX(LUJ_1!$A:$J,MATCH('2019'!$A24,LUJ_1!$A:$A,0),MATCH('2019'!$A$1,LUJ_1!$3:$3,0))</f>
        <v>0.68465539661898567</v>
      </c>
      <c r="T24" s="73">
        <f>INDEX(LUJ_2!$A:$J,MATCH('2019'!$A24,LUJ_2!$A:$A,0),MATCH('2019'!$A$1,LUJ_2!$3:$3,0))</f>
        <v>0.19899999999999998</v>
      </c>
      <c r="U24" s="73">
        <f>INDEX(LUJ_3!$A:$J,MATCH('2019'!$A24,LUJ_3!$A:$A,0),MATCH('2019'!$A$1,LUJ_3!$3:$3,0))</f>
        <v>0.72067209775967411</v>
      </c>
      <c r="V24" s="14">
        <f>INDEX(LUJ_4!$A:$J,MATCH('2019'!$A24,LUJ_4!$A:$A,0),MATCH('2019'!$A$1,LUJ_4!$3:$3,0))</f>
        <v>65</v>
      </c>
      <c r="W24" s="34">
        <f>INDEX(LUJ_5!$A:$J,MATCH('2019'!$A24,LUJ_5!$A:$A,0),MATCH('2019'!$A$1,LUJ_5!$3:$3,0))</f>
        <v>91.7</v>
      </c>
      <c r="X24" s="98">
        <f>1/INDEX(GUL_1!$A:$J,MATCH('2019'!$A24,GUL_1!$A:$A,0),MATCH('2019'!$A$1,GUL_1!$3:$3,0))</f>
        <v>1.3881177123820098E-2</v>
      </c>
      <c r="Y24" s="57">
        <f>INDEX(GUL_2!$A:$J,MATCH('2019'!$A24,GUL_2!$A:$A,0),MATCH('2019'!$A$1,GUL_2!$3:$3,0))</f>
        <v>24.7</v>
      </c>
      <c r="Z24" s="57">
        <f>INDEX(GUL_3!$A:$J,MATCH('2019'!$A24,GUL_3!$A:$A,0),MATCH('2019'!$A$1,GUL_3!$3:$3,0))/(B24/1000)</f>
        <v>0.82084041874940261</v>
      </c>
      <c r="AA24" s="101">
        <f>INDEX(GUL_4!$A:$J,MATCH('2019'!$A24,GUL_4!$A:$A,0),MATCH('2019'!$A$1,GUL_4!$3:$3,0))/B24/C24*10^6</f>
        <v>0.36497962166337949</v>
      </c>
      <c r="AB24" s="73">
        <f>INDEX(GUL_5!$A:$J,MATCH('2019'!$A24,GUL_5!$A:$A,0),MATCH('2019'!$A$1,GUL_5!$3:$3,0))</f>
        <v>2.4121251433987741E-2</v>
      </c>
      <c r="AC24" s="49" t="e">
        <f>INDEX(GUL_6!$A:$J,MATCH('2019'!$A24,GUL_6!$A:$A,0),MATCH('2019'!$A$1,GUL_6!$3:$3,0))</f>
        <v>#N/A</v>
      </c>
      <c r="AD24" s="49" t="e">
        <f>INDEX(GUL_7!$A:$J,MATCH('2019'!$A24,GUL_7!$A:$A,0),MATCH('2019'!$A$1,GUL_7!$3:$3,0))</f>
        <v>#N/A</v>
      </c>
      <c r="AE24" s="103">
        <f>INDEX(GUL_8!$A:$J,MATCH('2019'!$A24,GUL_8!$A:$A,0),MATCH('2019'!$A$1,GUL_8!$3:$3,0))/(B24/1000)</f>
        <v>2.7739469557481411</v>
      </c>
      <c r="AF24" s="41">
        <f>INDEX(DES_1!$A:$J,MATCH('2019'!$A24,DES_1!$A:$A,0),MATCH('2019'!$A$1,DES_1!$3:$3,0))/(B24/1000)</f>
        <v>0.24682981241984597</v>
      </c>
      <c r="AG24" s="100">
        <f>INDEX(DES_2!$A:$J,MATCH('2019'!$A24,DES_2!$A:$A,0),MATCH('2019'!$A$1,DES_2!$3:$3,0))/(B24/1000)</f>
        <v>0.58556434223006015</v>
      </c>
      <c r="AH24" s="57">
        <f>1/INDEX(DES_3!$A:$J,MATCH('2019'!$A24,DES_3!$A:$A,0),MATCH('2019'!$A$1,DES_3!$3:$3,0))</f>
        <v>8.4530853761623E-3</v>
      </c>
      <c r="AI24" s="80">
        <f>INDEX(DES_4!$A:$J,MATCH('2019'!$A24,DES_4!$A:$A,0),MATCH('2019'!$A$1,DES_4!$3:$3,0))</f>
        <v>0.91642498963300001</v>
      </c>
      <c r="AJ24" s="110">
        <f>INDEX(DES_5!$A:$J,MATCH('2019'!$A24,DES_5!$A:$A,0),MATCH('2019'!$A$1,DES_5!$3:$3,0))</f>
        <v>0.56099717424100004</v>
      </c>
      <c r="AK24" s="57">
        <v>30</v>
      </c>
    </row>
    <row r="25" spans="1:37" x14ac:dyDescent="0.3">
      <c r="A25" s="29" t="s">
        <v>24</v>
      </c>
      <c r="B25" s="33">
        <f>INDEX(Population!$A:$J,MATCH('2019'!$A25,Population!$A:$A,0),MATCH('2019'!$A$1,Population!$3:$3,0))</f>
        <v>3206514</v>
      </c>
      <c r="C25" s="14">
        <f>INDEX(Income!$A:$J,MATCH('2019'!$A25,Income!$A:$A,0),MATCH('2019'!$A$1,Income!$3:$3,0))</f>
        <v>29422</v>
      </c>
      <c r="D25" s="34">
        <f>INDEX(Livable_wage!$A:$J,MATCH('2019'!$A25,Livable_wage!$A:$A,0),MATCH('2019'!$A$1,Livable_wage!$3:$3,0))</f>
        <v>11261</v>
      </c>
      <c r="E25" s="41">
        <f>INDEX(AVA_1!$A:$J,MATCH('2019'!$A25,AVA_1!$A:$A,0),MATCH('2019'!$A$1,AVA_1!$3:$3,0))</f>
        <v>0.379</v>
      </c>
      <c r="F25" s="15">
        <f>INDEX(AVA_2!$A:$J,MATCH('2019'!$A25,AVA_2!$A:$A,0),MATCH('2019'!$A$1,AVA_2!$3:$3,0))</f>
        <v>1.7805776020026007E-2</v>
      </c>
      <c r="G25" s="15">
        <f>INDEX(AVA_3!$A:$J,MATCH('2019'!$A25,AVA_3!$A:$A,0),MATCH('2019'!$A$1,AVA_3!$3:$3,0))</f>
        <v>8.4652689037034226E-2</v>
      </c>
      <c r="H25" s="87">
        <f>INDEX(AVA_4!$A:$J,MATCH('2019'!$A25,AVA_4!$A:$A,0),MATCH('2019'!$A$1,AVA_4!$3:$3,0))/(B25/1000)</f>
        <v>0.78496460642304999</v>
      </c>
      <c r="I25" s="89">
        <f>INDEX(AVA_5!$A:$J,MATCH('2019'!$A25,AVA_5!$A:$A,0),MATCH('2019'!$A$1,AVA_5!$3:$3,0))/(B25/1000)</f>
        <v>5.1635514455885732</v>
      </c>
      <c r="J25" s="93">
        <f>INDEX(IRA_1!$A:$J,MATCH('2019'!$A25,IRA_1!$A:$A,0),MATCH('2019'!$A$1,IRA_1!$3:$3,0))/(B25/1000)</f>
        <v>4.1789931370953E-2</v>
      </c>
      <c r="K25" s="88">
        <f>INDEX(IRA_2!$A:$J,MATCH('2019'!$A25,IRA_2!$A:$A,0),MATCH('2019'!$A$1,IRA_2!$3:$3,0))/(B25/1000)</f>
        <v>0.10385109810841306</v>
      </c>
      <c r="L25" s="15">
        <f>INDEX(IRA_3!$A:$J,MATCH('2019'!$A25,IRA_3!$A:$A,0),MATCH('2019'!$A$1,IRA_3!$3:$3,0))</f>
        <v>0.40091047040971173</v>
      </c>
      <c r="M25" s="96">
        <f>INDEX(IRA_4!$A:$J,MATCH('2019'!$A25,IRA_4!$A:$A,0),MATCH('2019'!$A$1,IRA_4!$3:$3,0))/(B25/1000)</f>
        <v>3.8980026283995639</v>
      </c>
      <c r="N25" s="61">
        <f>INDEX(INV_1!$A:$J,MATCH('2019'!$A25,INV_1!$A:$A,0),MATCH('2019'!$A$1,INV_1!$3:$3,0))</f>
        <v>7.2829277643513574E-2</v>
      </c>
      <c r="O25" s="80">
        <f>INDEX(INV_2!$A:$J,MATCH('2019'!$A25,INV_2!$A:$A,0),MATCH('2019'!$A$1,INV_2!$3:$3,0))/B25*10^6/C25</f>
        <v>0.43448653761011213</v>
      </c>
      <c r="P25" s="87">
        <f>INDEX(INV_3!$A:$J,MATCH('2019'!$A25,INV_3!$A:$A,0),MATCH('2019'!$A$1,INV_3!$3:$3,0))/B25*10^6/C25</f>
        <v>3.6756884333096558</v>
      </c>
      <c r="Q25" s="87">
        <f>INDEX(INV_4!$A:$J,MATCH('2019'!$A25,INV_4!$A:$A,0),MATCH('2019'!$A$1,INV_4!$3:$3,0))/B25*10^3/C25</f>
        <v>0.28981956060490094</v>
      </c>
      <c r="R25" s="34">
        <f>INDEX(INV_5!$A:$J,MATCH('2019'!$A25,INV_5!$A:$A,0),MATCH('2019'!$A$1,INV_5!$3:$3,0))</f>
        <v>0.1232</v>
      </c>
      <c r="S25" s="77">
        <f>INDEX(LUJ_1!$A:$J,MATCH('2019'!$A25,LUJ_1!$A:$A,0),MATCH('2019'!$A$1,LUJ_1!$3:$3,0))</f>
        <v>0.67434685245085846</v>
      </c>
      <c r="T25" s="73">
        <f>INDEX(LUJ_2!$A:$J,MATCH('2019'!$A25,LUJ_2!$A:$A,0),MATCH('2019'!$A$1,LUJ_2!$3:$3,0))</f>
        <v>0.17800000000000002</v>
      </c>
      <c r="U25" s="73">
        <f>INDEX(LUJ_3!$A:$J,MATCH('2019'!$A25,LUJ_3!$A:$A,0),MATCH('2019'!$A$1,LUJ_3!$3:$3,0))</f>
        <v>0.40343825992974874</v>
      </c>
      <c r="V25" s="14">
        <f>INDEX(LUJ_4!$A:$J,MATCH('2019'!$A25,LUJ_4!$A:$A,0),MATCH('2019'!$A$1,LUJ_4!$3:$3,0))</f>
        <v>24</v>
      </c>
      <c r="W25" s="34">
        <f>INDEX(LUJ_5!$A:$J,MATCH('2019'!$A25,LUJ_5!$A:$A,0),MATCH('2019'!$A$1,LUJ_5!$3:$3,0))</f>
        <v>96.7</v>
      </c>
      <c r="X25" s="98">
        <f>1/INDEX(GUL_1!$A:$J,MATCH('2019'!$A25,GUL_1!$A:$A,0),MATCH('2019'!$A$1,GUL_1!$3:$3,0))</f>
        <v>1.374192661811186E-2</v>
      </c>
      <c r="Y25" s="57">
        <f>INDEX(GUL_2!$A:$J,MATCH('2019'!$A25,GUL_2!$A:$A,0),MATCH('2019'!$A$1,GUL_2!$3:$3,0))</f>
        <v>25</v>
      </c>
      <c r="Z25" s="57">
        <f>INDEX(GUL_3!$A:$J,MATCH('2019'!$A25,GUL_3!$A:$A,0),MATCH('2019'!$A$1,GUL_3!$3:$3,0))/(B25/1000)</f>
        <v>0.69234065405608702</v>
      </c>
      <c r="AA25" s="101">
        <f>INDEX(GUL_4!$A:$J,MATCH('2019'!$A25,GUL_4!$A:$A,0),MATCH('2019'!$A$1,GUL_4!$3:$3,0))/B25/C25*10^6</f>
        <v>0.29920272594789937</v>
      </c>
      <c r="AB25" s="73">
        <f>INDEX(GUL_5!$A:$J,MATCH('2019'!$A25,GUL_5!$A:$A,0),MATCH('2019'!$A$1,GUL_5!$3:$3,0))</f>
        <v>3.7237842566312178E-2</v>
      </c>
      <c r="AC25" s="49" t="e">
        <f>INDEX(GUL_6!$A:$J,MATCH('2019'!$A25,GUL_6!$A:$A,0),MATCH('2019'!$A$1,GUL_6!$3:$3,0))</f>
        <v>#N/A</v>
      </c>
      <c r="AD25" s="49" t="e">
        <f>INDEX(GUL_7!$A:$J,MATCH('2019'!$A25,GUL_7!$A:$A,0),MATCH('2019'!$A$1,GUL_7!$3:$3,0))</f>
        <v>#N/A</v>
      </c>
      <c r="AE25" s="103">
        <f>INDEX(GUL_8!$A:$J,MATCH('2019'!$A25,GUL_8!$A:$A,0),MATCH('2019'!$A$1,GUL_8!$3:$3,0))/(B25/1000)</f>
        <v>1.6494548285147046</v>
      </c>
      <c r="AF25" s="41">
        <f>INDEX(DES_1!$A:$J,MATCH('2019'!$A25,DES_1!$A:$A,0),MATCH('2019'!$A$1,DES_1!$3:$3,0))/(B25/1000)</f>
        <v>2.9003459832079321E-2</v>
      </c>
      <c r="AG25" s="100">
        <f>INDEX(DES_2!$A:$J,MATCH('2019'!$A25,DES_2!$A:$A,0),MATCH('2019'!$A$1,DES_2!$3:$3,0))/(B25/1000)</f>
        <v>0.47309944693832617</v>
      </c>
      <c r="AH25" s="57">
        <f>1/INDEX(DES_3!$A:$J,MATCH('2019'!$A25,DES_3!$A:$A,0),MATCH('2019'!$A$1,DES_3!$3:$3,0))</f>
        <v>8.5470085470085479E-3</v>
      </c>
      <c r="AI25" s="80">
        <f>INDEX(DES_4!$A:$J,MATCH('2019'!$A25,DES_4!$A:$A,0),MATCH('2019'!$A$1,DES_4!$3:$3,0))</f>
        <v>0.98142675497599996</v>
      </c>
      <c r="AJ25" s="110">
        <f>INDEX(DES_5!$A:$J,MATCH('2019'!$A25,DES_5!$A:$A,0),MATCH('2019'!$A$1,DES_5!$3:$3,0))</f>
        <v>0.82527668810999999</v>
      </c>
      <c r="AK25" s="57">
        <v>31</v>
      </c>
    </row>
    <row r="26" spans="1:37" x14ac:dyDescent="0.3">
      <c r="A26" s="29" t="s">
        <v>25</v>
      </c>
      <c r="B26" s="33">
        <f>INDEX(Population!$A:$J,MATCH('2019'!$A26,Population!$A:$A,0),MATCH('2019'!$A$1,Population!$3:$3,0))</f>
        <v>985507</v>
      </c>
      <c r="C26" s="14">
        <f>INDEX(Income!$A:$J,MATCH('2019'!$A26,Income!$A:$A,0),MATCH('2019'!$A$1,Income!$3:$3,0))</f>
        <v>24971</v>
      </c>
      <c r="D26" s="34">
        <f>INDEX(Livable_wage!$A:$J,MATCH('2019'!$A26,Livable_wage!$A:$A,0),MATCH('2019'!$A$1,Livable_wage!$3:$3,0))</f>
        <v>10604</v>
      </c>
      <c r="E26" s="41">
        <f>INDEX(AVA_1!$A:$J,MATCH('2019'!$A26,AVA_1!$A:$A,0),MATCH('2019'!$A$1,AVA_1!$3:$3,0))</f>
        <v>0.35899999999999999</v>
      </c>
      <c r="F26" s="15">
        <f>INDEX(AVA_2!$A:$J,MATCH('2019'!$A26,AVA_2!$A:$A,0),MATCH('2019'!$A$1,AVA_2!$3:$3,0))</f>
        <v>1.215707863106707E-2</v>
      </c>
      <c r="G26" s="15">
        <f>INDEX(AVA_3!$A:$J,MATCH('2019'!$A26,AVA_3!$A:$A,0),MATCH('2019'!$A$1,AVA_3!$3:$3,0))</f>
        <v>6.7291783567645187E-3</v>
      </c>
      <c r="H26" s="87">
        <f>INDEX(AVA_4!$A:$J,MATCH('2019'!$A26,AVA_4!$A:$A,0),MATCH('2019'!$A$1,AVA_4!$3:$3,0))/(B26/1000)</f>
        <v>0.85641197880887709</v>
      </c>
      <c r="I26" s="89">
        <f>INDEX(AVA_5!$A:$J,MATCH('2019'!$A26,AVA_5!$A:$A,0),MATCH('2019'!$A$1,AVA_5!$3:$3,0))/(B26/1000)</f>
        <v>3.3637508409377106</v>
      </c>
      <c r="J26" s="93">
        <f>INDEX(IRA_1!$A:$J,MATCH('2019'!$A26,IRA_1!$A:$A,0),MATCH('2019'!$A$1,IRA_1!$3:$3,0))/(B26/1000)</f>
        <v>4.4647069985296911E-2</v>
      </c>
      <c r="K26" s="88">
        <f>INDEX(IRA_2!$A:$J,MATCH('2019'!$A26,IRA_2!$A:$A,0),MATCH('2019'!$A$1,IRA_2!$3:$3,0))/(B26/1000)</f>
        <v>0.10350002587500648</v>
      </c>
      <c r="L26" s="15">
        <f>INDEX(IRA_3!$A:$J,MATCH('2019'!$A26,IRA_3!$A:$A,0),MATCH('2019'!$A$1,IRA_3!$3:$3,0))</f>
        <v>0.41132945172246482</v>
      </c>
      <c r="M26" s="96">
        <f>INDEX(IRA_4!$A:$J,MATCH('2019'!$A26,IRA_4!$A:$A,0),MATCH('2019'!$A$1,IRA_4!$3:$3,0))/(B26/1000)</f>
        <v>3.9786627593715722</v>
      </c>
      <c r="N26" s="61">
        <f>INDEX(INV_1!$A:$J,MATCH('2019'!$A26,INV_1!$A:$A,0),MATCH('2019'!$A$1,INV_1!$3:$3,0))</f>
        <v>8.1006253429537628E-2</v>
      </c>
      <c r="O26" s="80">
        <f>INDEX(INV_2!$A:$J,MATCH('2019'!$A26,INV_2!$A:$A,0),MATCH('2019'!$A$1,INV_2!$3:$3,0))/B26*10^6/C26</f>
        <v>0.54139652596754295</v>
      </c>
      <c r="P26" s="87">
        <f>INDEX(INV_3!$A:$J,MATCH('2019'!$A26,INV_3!$A:$A,0),MATCH('2019'!$A$1,INV_3!$3:$3,0))/B26*10^6/C26</f>
        <v>4.2006013936075819</v>
      </c>
      <c r="Q26" s="87">
        <f>INDEX(INV_4!$A:$J,MATCH('2019'!$A26,INV_4!$A:$A,0),MATCH('2019'!$A$1,INV_4!$3:$3,0))/B26*10^3/C26</f>
        <v>0.28886771351024038</v>
      </c>
      <c r="R26" s="34">
        <f>INDEX(INV_5!$A:$J,MATCH('2019'!$A26,INV_5!$A:$A,0),MATCH('2019'!$A$1,INV_5!$3:$3,0))</f>
        <v>9.0700000000000003E-2</v>
      </c>
      <c r="S26" s="77">
        <f>INDEX(LUJ_1!$A:$J,MATCH('2019'!$A26,LUJ_1!$A:$A,0),MATCH('2019'!$A$1,LUJ_1!$3:$3,0))</f>
        <v>0.69156504065040647</v>
      </c>
      <c r="T26" s="73">
        <f>INDEX(LUJ_2!$A:$J,MATCH('2019'!$A26,LUJ_2!$A:$A,0),MATCH('2019'!$A$1,LUJ_2!$3:$3,0))</f>
        <v>0.215</v>
      </c>
      <c r="U26" s="73">
        <f>INDEX(LUJ_3!$A:$J,MATCH('2019'!$A26,LUJ_3!$A:$A,0),MATCH('2019'!$A$1,LUJ_3!$3:$3,0))</f>
        <v>0.35169838812494308</v>
      </c>
      <c r="V26" s="14">
        <f>INDEX(LUJ_4!$A:$J,MATCH('2019'!$A26,LUJ_4!$A:$A,0),MATCH('2019'!$A$1,LUJ_4!$3:$3,0))</f>
        <v>117</v>
      </c>
      <c r="W26" s="34">
        <f>INDEX(LUJ_5!$A:$J,MATCH('2019'!$A26,LUJ_5!$A:$A,0),MATCH('2019'!$A$1,LUJ_5!$3:$3,0))</f>
        <v>19.600000000000001</v>
      </c>
      <c r="X26" s="98">
        <f>1/INDEX(GUL_1!$A:$J,MATCH('2019'!$A26,GUL_1!$A:$A,0),MATCH('2019'!$A$1,GUL_1!$3:$3,0))</f>
        <v>1.3539128080151638E-2</v>
      </c>
      <c r="Y26" s="57">
        <f>INDEX(GUL_2!$A:$J,MATCH('2019'!$A26,GUL_2!$A:$A,0),MATCH('2019'!$A$1,GUL_2!$3:$3,0))</f>
        <v>24.1</v>
      </c>
      <c r="Z26" s="57">
        <f>INDEX(GUL_3!$A:$J,MATCH('2019'!$A26,GUL_3!$A:$A,0),MATCH('2019'!$A$1,GUL_3!$3:$3,0))/(B26/1000)</f>
        <v>0.6666619313713652</v>
      </c>
      <c r="AA26" s="101">
        <f>INDEX(GUL_4!$A:$J,MATCH('2019'!$A26,GUL_4!$A:$A,0),MATCH('2019'!$A$1,GUL_4!$3:$3,0))/B26/C26*10^6</f>
        <v>0.41449268560650737</v>
      </c>
      <c r="AB26" s="73">
        <f>INDEX(GUL_5!$A:$J,MATCH('2019'!$A26,GUL_5!$A:$A,0),MATCH('2019'!$A$1,GUL_5!$3:$3,0))</f>
        <v>3.0451267866548778E-2</v>
      </c>
      <c r="AC26" s="49" t="e">
        <f>INDEX(GUL_6!$A:$J,MATCH('2019'!$A26,GUL_6!$A:$A,0),MATCH('2019'!$A$1,GUL_6!$3:$3,0))</f>
        <v>#N/A</v>
      </c>
      <c r="AD26" s="49" t="e">
        <f>INDEX(GUL_7!$A:$J,MATCH('2019'!$A26,GUL_7!$A:$A,0),MATCH('2019'!$A$1,GUL_7!$3:$3,0))</f>
        <v>#N/A</v>
      </c>
      <c r="AE26" s="103">
        <f>INDEX(GUL_8!$A:$J,MATCH('2019'!$A26,GUL_8!$A:$A,0),MATCH('2019'!$A$1,GUL_8!$3:$3,0))/(B26/1000)</f>
        <v>2.401809423981768</v>
      </c>
      <c r="AF26" s="41">
        <f>INDEX(DES_1!$A:$J,MATCH('2019'!$A26,DES_1!$A:$A,0),MATCH('2019'!$A$1,DES_1!$3:$3,0))/(B26/1000)</f>
        <v>1.1161767496324228E-2</v>
      </c>
      <c r="AG26" s="100">
        <f>INDEX(DES_2!$A:$J,MATCH('2019'!$A26,DES_2!$A:$A,0),MATCH('2019'!$A$1,DES_2!$3:$3,0))/(B26/1000)</f>
        <v>0.96295612309197198</v>
      </c>
      <c r="AH26" s="57">
        <f>1/INDEX(DES_3!$A:$J,MATCH('2019'!$A26,DES_3!$A:$A,0),MATCH('2019'!$A$1,DES_3!$3:$3,0))</f>
        <v>5.9737156511350054E-3</v>
      </c>
      <c r="AI26" s="80">
        <f>INDEX(DES_4!$A:$J,MATCH('2019'!$A26,DES_4!$A:$A,0),MATCH('2019'!$A$1,DES_4!$3:$3,0))</f>
        <v>0.66426629846400009</v>
      </c>
      <c r="AJ26" s="110">
        <f>INDEX(DES_5!$A:$J,MATCH('2019'!$A26,DES_5!$A:$A,0),MATCH('2019'!$A$1,DES_5!$3:$3,0))</f>
        <v>0.38796668569799997</v>
      </c>
      <c r="AK26" s="57">
        <v>33</v>
      </c>
    </row>
    <row r="27" spans="1:37" x14ac:dyDescent="0.3">
      <c r="A27" s="29" t="s">
        <v>26</v>
      </c>
      <c r="B27" s="33">
        <f>INDEX(Population!$A:$J,MATCH('2019'!$A27,Population!$A:$A,0),MATCH('2019'!$A$1,Population!$3:$3,0))</f>
        <v>482078</v>
      </c>
      <c r="C27" s="14">
        <f>INDEX(Income!$A:$J,MATCH('2019'!$A27,Income!$A:$A,0),MATCH('2019'!$A$1,Income!$3:$3,0))</f>
        <v>29139</v>
      </c>
      <c r="D27" s="34">
        <f>INDEX(Livable_wage!$A:$J,MATCH('2019'!$A27,Livable_wage!$A:$A,0),MATCH('2019'!$A$1,Livable_wage!$3:$3,0))</f>
        <v>9726</v>
      </c>
      <c r="E27" s="41">
        <f>INDEX(AVA_1!$A:$J,MATCH('2019'!$A27,AVA_1!$A:$A,0),MATCH('2019'!$A$1,AVA_1!$3:$3,0))</f>
        <v>0.40500000000000003</v>
      </c>
      <c r="F27" s="15">
        <f>INDEX(AVA_2!$A:$J,MATCH('2019'!$A27,AVA_2!$A:$A,0),MATCH('2019'!$A$1,AVA_2!$3:$3,0))</f>
        <v>7.5555555555555558E-3</v>
      </c>
      <c r="G27" s="15">
        <f>INDEX(AVA_3!$A:$J,MATCH('2019'!$A27,AVA_3!$A:$A,0),MATCH('2019'!$A$1,AVA_3!$3:$3,0))</f>
        <v>2.1314105545822509E-2</v>
      </c>
      <c r="H27" s="87">
        <f>INDEX(AVA_4!$A:$J,MATCH('2019'!$A27,AVA_4!$A:$A,0),MATCH('2019'!$A$1,AVA_4!$3:$3,0))/(B27/1000)</f>
        <v>1.0890353843154013</v>
      </c>
      <c r="I27" s="89">
        <f>INDEX(AVA_5!$A:$J,MATCH('2019'!$A27,AVA_5!$A:$A,0),MATCH('2019'!$A$1,AVA_5!$3:$3,0))/(B27/1000)</f>
        <v>2.8522355303498603</v>
      </c>
      <c r="J27" s="93">
        <f>INDEX(IRA_1!$A:$J,MATCH('2019'!$A27,IRA_1!$A:$A,0),MATCH('2019'!$A$1,IRA_1!$3:$3,0))/(B27/1000)</f>
        <v>4.3561415372616055E-2</v>
      </c>
      <c r="K27" s="88">
        <f>INDEX(IRA_2!$A:$J,MATCH('2019'!$A27,IRA_2!$A:$A,0),MATCH('2019'!$A$1,IRA_2!$3:$3,0))/(B27/1000)</f>
        <v>8.9197183858213819E-2</v>
      </c>
      <c r="L27" s="15">
        <f>INDEX(IRA_3!$A:$J,MATCH('2019'!$A27,IRA_3!$A:$A,0),MATCH('2019'!$A$1,IRA_3!$3:$3,0))</f>
        <v>0.46707638279192276</v>
      </c>
      <c r="M27" s="96">
        <f>INDEX(IRA_4!$A:$J,MATCH('2019'!$A27,IRA_4!$A:$A,0),MATCH('2019'!$A$1,IRA_4!$3:$3,0))/(B27/1000)</f>
        <v>3.6093744165881874</v>
      </c>
      <c r="N27" s="61">
        <f>INDEX(INV_1!$A:$J,MATCH('2019'!$A27,INV_1!$A:$A,0),MATCH('2019'!$A$1,INV_1!$3:$3,0))</f>
        <v>8.0166636116467072E-2</v>
      </c>
      <c r="O27" s="80">
        <f>INDEX(INV_2!$A:$J,MATCH('2019'!$A27,INV_2!$A:$A,0),MATCH('2019'!$A$1,INV_2!$3:$3,0))/B27*10^6/C27</f>
        <v>0.42234097460851105</v>
      </c>
      <c r="P27" s="87">
        <f>INDEX(INV_3!$A:$J,MATCH('2019'!$A27,INV_3!$A:$A,0),MATCH('2019'!$A$1,INV_3!$3:$3,0))/B27*10^6/C27</f>
        <v>3.0315497208664124</v>
      </c>
      <c r="Q27" s="87">
        <f>INDEX(INV_4!$A:$J,MATCH('2019'!$A27,INV_4!$A:$A,0),MATCH('2019'!$A$1,INV_4!$3:$3,0))/B27*10^3/C27</f>
        <v>0.19029885022273854</v>
      </c>
      <c r="R27" s="34">
        <f>INDEX(INV_5!$A:$J,MATCH('2019'!$A27,INV_5!$A:$A,0),MATCH('2019'!$A$1,INV_5!$3:$3,0))</f>
        <v>0.20230000000000001</v>
      </c>
      <c r="S27" s="77">
        <f>INDEX(LUJ_1!$A:$J,MATCH('2019'!$A27,LUJ_1!$A:$A,0),MATCH('2019'!$A$1,LUJ_1!$3:$3,0))</f>
        <v>0.75457385095939311</v>
      </c>
      <c r="T27" s="73">
        <f>INDEX(LUJ_2!$A:$J,MATCH('2019'!$A27,LUJ_2!$A:$A,0),MATCH('2019'!$A$1,LUJ_2!$3:$3,0))</f>
        <v>0.17399999999999999</v>
      </c>
      <c r="U27" s="73">
        <f>INDEX(LUJ_3!$A:$J,MATCH('2019'!$A27,LUJ_3!$A:$A,0),MATCH('2019'!$A$1,LUJ_3!$3:$3,0))</f>
        <v>0.30186424474187379</v>
      </c>
      <c r="V27" s="14">
        <f>INDEX(LUJ_4!$A:$J,MATCH('2019'!$A27,LUJ_4!$A:$A,0),MATCH('2019'!$A$1,LUJ_4!$3:$3,0))</f>
        <v>7</v>
      </c>
      <c r="W27" s="34">
        <f>INDEX(LUJ_5!$A:$J,MATCH('2019'!$A27,LUJ_5!$A:$A,0),MATCH('2019'!$A$1,LUJ_5!$3:$3,0))</f>
        <v>25.1</v>
      </c>
      <c r="X27" s="98">
        <f>1/INDEX(GUL_1!$A:$J,MATCH('2019'!$A27,GUL_1!$A:$A,0),MATCH('2019'!$A$1,GUL_1!$3:$3,0))</f>
        <v>1.3540961408259987E-2</v>
      </c>
      <c r="Y27" s="57">
        <f>INDEX(GUL_2!$A:$J,MATCH('2019'!$A27,GUL_2!$A:$A,0),MATCH('2019'!$A$1,GUL_2!$3:$3,0))</f>
        <v>25.4</v>
      </c>
      <c r="Z27" s="57">
        <f>INDEX(GUL_3!$A:$J,MATCH('2019'!$A27,GUL_3!$A:$A,0),MATCH('2019'!$A$1,GUL_3!$3:$3,0))/(B27/1000)</f>
        <v>0.58081887163488066</v>
      </c>
      <c r="AA27" s="101">
        <f>INDEX(GUL_4!$A:$J,MATCH('2019'!$A27,GUL_4!$A:$A,0),MATCH('2019'!$A$1,GUL_4!$3:$3,0))/B27/C27*10^6</f>
        <v>0.27738412990157962</v>
      </c>
      <c r="AB27" s="73">
        <f>INDEX(GUL_5!$A:$J,MATCH('2019'!$A27,GUL_5!$A:$A,0),MATCH('2019'!$A$1,GUL_5!$3:$3,0))</f>
        <v>1.9384952469292883E-2</v>
      </c>
      <c r="AC27" s="49" t="e">
        <f>INDEX(GUL_6!$A:$J,MATCH('2019'!$A27,GUL_6!$A:$A,0),MATCH('2019'!$A$1,GUL_6!$3:$3,0))</f>
        <v>#N/A</v>
      </c>
      <c r="AD27" s="49" t="e">
        <f>INDEX(GUL_7!$A:$J,MATCH('2019'!$A27,GUL_7!$A:$A,0),MATCH('2019'!$A$1,GUL_7!$3:$3,0))</f>
        <v>#N/A</v>
      </c>
      <c r="AE27" s="103">
        <f>INDEX(GUL_8!$A:$J,MATCH('2019'!$A27,GUL_8!$A:$A,0),MATCH('2019'!$A$1,GUL_8!$3:$3,0))/(B27/1000)</f>
        <v>1.2902476362746278</v>
      </c>
      <c r="AF27" s="41">
        <f>INDEX(DES_1!$A:$J,MATCH('2019'!$A27,DES_1!$A:$A,0),MATCH('2019'!$A$1,DES_1!$3:$3,0))/(B27/1000)</f>
        <v>0.14313036479573846</v>
      </c>
      <c r="AG27" s="100">
        <f>INDEX(DES_2!$A:$J,MATCH('2019'!$A27,DES_2!$A:$A,0),MATCH('2019'!$A$1,DES_2!$3:$3,0))/(B27/1000)</f>
        <v>0.42109368193528851</v>
      </c>
      <c r="AH27" s="57">
        <f>1/INDEX(DES_3!$A:$J,MATCH('2019'!$A27,DES_3!$A:$A,0),MATCH('2019'!$A$1,DES_3!$3:$3,0))</f>
        <v>7.5872534142640358E-3</v>
      </c>
      <c r="AI27" s="80">
        <f>INDEX(DES_4!$A:$J,MATCH('2019'!$A27,DES_4!$A:$A,0),MATCH('2019'!$A$1,DES_4!$3:$3,0))</f>
        <v>0.68783088215600008</v>
      </c>
      <c r="AJ27" s="110">
        <f>INDEX(DES_5!$A:$J,MATCH('2019'!$A27,DES_5!$A:$A,0),MATCH('2019'!$A$1,DES_5!$3:$3,0))</f>
        <v>0.344048610734</v>
      </c>
      <c r="AK27" s="57">
        <v>37</v>
      </c>
    </row>
    <row r="28" spans="1:37" x14ac:dyDescent="0.3">
      <c r="A28" s="29" t="s">
        <v>27</v>
      </c>
      <c r="B28" s="33">
        <f>INDEX(Population!$A:$J,MATCH('2019'!$A28,Population!$A:$A,0),MATCH('2019'!$A$1,Population!$3:$3,0))</f>
        <v>270936</v>
      </c>
      <c r="C28" s="14">
        <f>INDEX(Income!$A:$J,MATCH('2019'!$A28,Income!$A:$A,0),MATCH('2019'!$A$1,Income!$3:$3,0))</f>
        <v>18508</v>
      </c>
      <c r="D28" s="34">
        <f>INDEX(Livable_wage!$A:$J,MATCH('2019'!$A28,Livable_wage!$A:$A,0),MATCH('2019'!$A$1,Livable_wage!$3:$3,0))</f>
        <v>10159</v>
      </c>
      <c r="E28" s="41">
        <f>INDEX(AVA_1!$A:$J,MATCH('2019'!$A28,AVA_1!$A:$A,0),MATCH('2019'!$A$1,AVA_1!$3:$3,0))</f>
        <v>0.33700000000000002</v>
      </c>
      <c r="F28" s="15">
        <f>INDEX(AVA_2!$A:$J,MATCH('2019'!$A28,AVA_2!$A:$A,0),MATCH('2019'!$A$1,AVA_2!$3:$3,0))</f>
        <v>7.1990647368888831E-3</v>
      </c>
      <c r="G28" s="15">
        <f>INDEX(AVA_3!$A:$J,MATCH('2019'!$A28,AVA_3!$A:$A,0),MATCH('2019'!$A$1,AVA_3!$3:$3,0))</f>
        <v>3.5137551613594773E-3</v>
      </c>
      <c r="H28" s="87">
        <f>INDEX(AVA_4!$A:$J,MATCH('2019'!$A28,AVA_4!$A:$A,0),MATCH('2019'!$A$1,AVA_4!$3:$3,0))/(B28/1000)</f>
        <v>0.738181710809933</v>
      </c>
      <c r="I28" s="89">
        <f>INDEX(AVA_5!$A:$J,MATCH('2019'!$A28,AVA_5!$A:$A,0),MATCH('2019'!$A$1,AVA_5!$3:$3,0))/(B28/1000)</f>
        <v>2.380636017362034</v>
      </c>
      <c r="J28" s="93">
        <f>INDEX(IRA_1!$A:$J,MATCH('2019'!$A28,IRA_1!$A:$A,0),MATCH('2019'!$A$1,IRA_1!$3:$3,0))/(B28/1000)</f>
        <v>7.7509079635042971E-2</v>
      </c>
      <c r="K28" s="88">
        <f>INDEX(IRA_2!$A:$J,MATCH('2019'!$A28,IRA_2!$A:$A,0),MATCH('2019'!$A$1,IRA_2!$3:$3,0))/(B28/1000)</f>
        <v>0.11441816517553963</v>
      </c>
      <c r="L28" s="15">
        <f>INDEX(IRA_3!$A:$J,MATCH('2019'!$A28,IRA_3!$A:$A,0),MATCH('2019'!$A$1,IRA_3!$3:$3,0))</f>
        <v>0.40688912809472555</v>
      </c>
      <c r="M28" s="96">
        <f>INDEX(IRA_4!$A:$J,MATCH('2019'!$A28,IRA_4!$A:$A,0),MATCH('2019'!$A$1,IRA_4!$3:$3,0))/(B28/1000)</f>
        <v>2.2662178521864944</v>
      </c>
      <c r="N28" s="61">
        <f>INDEX(INV_1!$A:$J,MATCH('2019'!$A28,INV_1!$A:$A,0),MATCH('2019'!$A$1,INV_1!$3:$3,0))</f>
        <v>0.12243910422009102</v>
      </c>
      <c r="O28" s="80">
        <f>INDEX(INV_2!$A:$J,MATCH('2019'!$A28,INV_2!$A:$A,0),MATCH('2019'!$A$1,INV_2!$3:$3,0))/B28*10^6/C28</f>
        <v>0.23575045741580472</v>
      </c>
      <c r="P28" s="87">
        <f>INDEX(INV_3!$A:$J,MATCH('2019'!$A28,INV_3!$A:$A,0),MATCH('2019'!$A$1,INV_3!$3:$3,0))/B28*10^6/C28</f>
        <v>6.8439750738291796</v>
      </c>
      <c r="Q28" s="87">
        <f>INDEX(INV_4!$A:$J,MATCH('2019'!$A28,INV_4!$A:$A,0),MATCH('2019'!$A$1,INV_4!$3:$3,0))/B28*10^3/C28</f>
        <v>0.33347091559911424</v>
      </c>
      <c r="R28" s="34">
        <f>INDEX(INV_5!$A:$J,MATCH('2019'!$A28,INV_5!$A:$A,0),MATCH('2019'!$A$1,INV_5!$3:$3,0))</f>
        <v>6.7500000000000004E-2</v>
      </c>
      <c r="S28" s="77">
        <f>INDEX(LUJ_1!$A:$J,MATCH('2019'!$A28,LUJ_1!$A:$A,0),MATCH('2019'!$A$1,LUJ_1!$3:$3,0))</f>
        <v>0.75276752767527677</v>
      </c>
      <c r="T28" s="73">
        <f>INDEX(LUJ_2!$A:$J,MATCH('2019'!$A28,LUJ_2!$A:$A,0),MATCH('2019'!$A$1,LUJ_2!$3:$3,0))</f>
        <v>0.2</v>
      </c>
      <c r="U28" s="73">
        <f>INDEX(LUJ_3!$A:$J,MATCH('2019'!$A28,LUJ_3!$A:$A,0),MATCH('2019'!$A$1,LUJ_3!$3:$3,0))</f>
        <v>0.21819474058280028</v>
      </c>
      <c r="V28" s="14">
        <f>INDEX(LUJ_4!$A:$J,MATCH('2019'!$A28,LUJ_4!$A:$A,0),MATCH('2019'!$A$1,LUJ_4!$3:$3,0))</f>
        <v>12</v>
      </c>
      <c r="W28" s="34">
        <f>INDEX(LUJ_5!$A:$J,MATCH('2019'!$A28,LUJ_5!$A:$A,0),MATCH('2019'!$A$1,LUJ_5!$3:$3,0))</f>
        <v>8.4</v>
      </c>
      <c r="X28" s="98">
        <f>1/INDEX(GUL_1!$A:$J,MATCH('2019'!$A28,GUL_1!$A:$A,0),MATCH('2019'!$A$1,GUL_1!$3:$3,0))</f>
        <v>1.3361838588989844E-2</v>
      </c>
      <c r="Y28" s="57">
        <f>INDEX(GUL_2!$A:$J,MATCH('2019'!$A28,GUL_2!$A:$A,0),MATCH('2019'!$A$1,GUL_2!$3:$3,0))</f>
        <v>23.9</v>
      </c>
      <c r="Z28" s="57">
        <f>INDEX(GUL_3!$A:$J,MATCH('2019'!$A28,GUL_3!$A:$A,0),MATCH('2019'!$A$1,GUL_3!$3:$3,0))/(B28/1000)</f>
        <v>0.49458174624265511</v>
      </c>
      <c r="AA28" s="101">
        <f>INDEX(GUL_4!$A:$J,MATCH('2019'!$A28,GUL_4!$A:$A,0),MATCH('2019'!$A$1,GUL_4!$3:$3,0))/B28/C28*10^6</f>
        <v>0.13494909328535815</v>
      </c>
      <c r="AB28" s="73">
        <f>INDEX(GUL_5!$A:$J,MATCH('2019'!$A28,GUL_5!$A:$A,0),MATCH('2019'!$A$1,GUL_5!$3:$3,0))</f>
        <v>2.2283202466169896E-2</v>
      </c>
      <c r="AC28" s="49" t="e">
        <f>INDEX(GUL_6!$A:$J,MATCH('2019'!$A28,GUL_6!$A:$A,0),MATCH('2019'!$A$1,GUL_6!$3:$3,0))</f>
        <v>#N/A</v>
      </c>
      <c r="AD28" s="49" t="e">
        <f>INDEX(GUL_7!$A:$J,MATCH('2019'!$A28,GUL_7!$A:$A,0),MATCH('2019'!$A$1,GUL_7!$3:$3,0))</f>
        <v>#N/A</v>
      </c>
      <c r="AE28" s="103">
        <f>INDEX(GUL_8!$A:$J,MATCH('2019'!$A28,GUL_8!$A:$A,0),MATCH('2019'!$A$1,GUL_8!$3:$3,0))/(B28/1000)</f>
        <v>2.413854194348481</v>
      </c>
      <c r="AF28" s="41">
        <f>INDEX(DES_1!$A:$J,MATCH('2019'!$A28,DES_1!$A:$A,0),MATCH('2019'!$A$1,DES_1!$3:$3,0))/(B28/1000)</f>
        <v>0.21407269613488059</v>
      </c>
      <c r="AG28" s="100">
        <f>INDEX(DES_2!$A:$J,MATCH('2019'!$A28,DES_2!$A:$A,0),MATCH('2019'!$A$1,DES_2!$3:$3,0))/(B28/1000)</f>
        <v>0.96701804116101231</v>
      </c>
      <c r="AH28" s="57">
        <f>1/INDEX(DES_3!$A:$J,MATCH('2019'!$A28,DES_3!$A:$A,0),MATCH('2019'!$A$1,DES_3!$3:$3,0))</f>
        <v>9.0661831368993653E-3</v>
      </c>
      <c r="AI28" s="80">
        <f>INDEX(DES_4!$A:$J,MATCH('2019'!$A28,DES_4!$A:$A,0),MATCH('2019'!$A$1,DES_4!$3:$3,0))</f>
        <v>0.69353310457899997</v>
      </c>
      <c r="AJ28" s="110">
        <f>INDEX(DES_5!$A:$J,MATCH('2019'!$A28,DES_5!$A:$A,0),MATCH('2019'!$A$1,DES_5!$3:$3,0))</f>
        <v>0.19364869813799998</v>
      </c>
      <c r="AK28" s="57">
        <v>38</v>
      </c>
    </row>
    <row r="29" spans="1:37" x14ac:dyDescent="0.3">
      <c r="A29" s="29" t="s">
        <v>28</v>
      </c>
      <c r="B29" s="33">
        <f>INDEX(Population!$A:$J,MATCH('2019'!$A29,Population!$A:$A,0),MATCH('2019'!$A$1,Population!$3:$3,0))</f>
        <v>5773979</v>
      </c>
      <c r="C29" s="14">
        <f>INDEX(Income!$A:$J,MATCH('2019'!$A29,Income!$A:$A,0),MATCH('2019'!$A$1,Income!$3:$3,0))</f>
        <v>36604</v>
      </c>
      <c r="D29" s="34">
        <f>INDEX(Livable_wage!$A:$J,MATCH('2019'!$A29,Livable_wage!$A:$A,0),MATCH('2019'!$A$1,Livable_wage!$3:$3,0))</f>
        <v>11507</v>
      </c>
      <c r="E29" s="41">
        <f>INDEX(AVA_1!$A:$J,MATCH('2019'!$A29,AVA_1!$A:$A,0),MATCH('2019'!$A$1,AVA_1!$3:$3,0))</f>
        <v>0.40300000000000002</v>
      </c>
      <c r="F29" s="15">
        <f>INDEX(AVA_2!$A:$J,MATCH('2019'!$A29,AVA_2!$A:$A,0),MATCH('2019'!$A$1,AVA_2!$3:$3,0))</f>
        <v>1.1639812516340756E-2</v>
      </c>
      <c r="G29" s="15">
        <f>INDEX(AVA_3!$A:$J,MATCH('2019'!$A29,AVA_3!$A:$A,0),MATCH('2019'!$A$1,AVA_3!$3:$3,0))</f>
        <v>0.19638055486549574</v>
      </c>
      <c r="H29" s="87">
        <f>INDEX(AVA_4!$A:$J,MATCH('2019'!$A29,AVA_4!$A:$A,0),MATCH('2019'!$A$1,AVA_4!$3:$3,0))/(B29/1000)</f>
        <v>0.65691267668275199</v>
      </c>
      <c r="I29" s="89">
        <f>INDEX(AVA_5!$A:$J,MATCH('2019'!$A29,AVA_5!$A:$A,0),MATCH('2019'!$A$1,AVA_5!$3:$3,0))/(B29/1000)</f>
        <v>5.014393020826712</v>
      </c>
      <c r="J29" s="93">
        <f>INDEX(IRA_1!$A:$J,MATCH('2019'!$A29,IRA_1!$A:$A,0),MATCH('2019'!$A$1,IRA_1!$3:$3,0))/(B29/1000)</f>
        <v>3.7236020428893138E-2</v>
      </c>
      <c r="K29" s="88">
        <f>INDEX(IRA_2!$A:$J,MATCH('2019'!$A29,IRA_2!$A:$A,0),MATCH('2019'!$A$1,IRA_2!$3:$3,0))/(B29/1000)</f>
        <v>0.10893700860359901</v>
      </c>
      <c r="L29" s="15">
        <f>INDEX(IRA_3!$A:$J,MATCH('2019'!$A29,IRA_3!$A:$A,0),MATCH('2019'!$A$1,IRA_3!$3:$3,0))</f>
        <v>0.49437607982793275</v>
      </c>
      <c r="M29" s="96">
        <f>INDEX(IRA_4!$A:$J,MATCH('2019'!$A29,IRA_4!$A:$A,0),MATCH('2019'!$A$1,IRA_4!$3:$3,0))/(B29/1000)</f>
        <v>5.4433866143260996</v>
      </c>
      <c r="N29" s="61">
        <f>INDEX(INV_1!$A:$J,MATCH('2019'!$A29,INV_1!$A:$A,0),MATCH('2019'!$A$1,INV_1!$3:$3,0))</f>
        <v>8.1272831858611949E-2</v>
      </c>
      <c r="O29" s="80">
        <f>INDEX(INV_2!$A:$J,MATCH('2019'!$A29,INV_2!$A:$A,0),MATCH('2019'!$A$1,INV_2!$3:$3,0))/B29*10^6/C29</f>
        <v>0.44902826402441037</v>
      </c>
      <c r="P29" s="87">
        <f>INDEX(INV_3!$A:$J,MATCH('2019'!$A29,INV_3!$A:$A,0),MATCH('2019'!$A$1,INV_3!$3:$3,0))/B29*10^6/C29</f>
        <v>2.827428169227602</v>
      </c>
      <c r="Q29" s="87">
        <f>INDEX(INV_4!$A:$J,MATCH('2019'!$A29,INV_4!$A:$A,0),MATCH('2019'!$A$1,INV_4!$3:$3,0))/B29*10^3/C29</f>
        <v>0.31773404450885118</v>
      </c>
      <c r="R29" s="34">
        <f>INDEX(INV_5!$A:$J,MATCH('2019'!$A29,INV_5!$A:$A,0),MATCH('2019'!$A$1,INV_5!$3:$3,0))</f>
        <v>0.33</v>
      </c>
      <c r="S29" s="77">
        <f>INDEX(LUJ_1!$A:$J,MATCH('2019'!$A29,LUJ_1!$A:$A,0),MATCH('2019'!$A$1,LUJ_1!$3:$3,0))</f>
        <v>0.64439716312056738</v>
      </c>
      <c r="T29" s="73">
        <f>INDEX(LUJ_2!$A:$J,MATCH('2019'!$A29,LUJ_2!$A:$A,0),MATCH('2019'!$A$1,LUJ_2!$3:$3,0))</f>
        <v>0.18600000000000003</v>
      </c>
      <c r="U29" s="73">
        <f>INDEX(LUJ_3!$A:$J,MATCH('2019'!$A29,LUJ_3!$A:$A,0),MATCH('2019'!$A$1,LUJ_3!$3:$3,0))</f>
        <v>0.25892246528610569</v>
      </c>
      <c r="V29" s="14">
        <f>INDEX(LUJ_4!$A:$J,MATCH('2019'!$A29,LUJ_4!$A:$A,0),MATCH('2019'!$A$1,LUJ_4!$3:$3,0))</f>
        <v>101</v>
      </c>
      <c r="W29" s="34">
        <f>INDEX(LUJ_5!$A:$J,MATCH('2019'!$A29,LUJ_5!$A:$A,0),MATCH('2019'!$A$1,LUJ_5!$3:$3,0))</f>
        <v>38.799999999999997</v>
      </c>
      <c r="X29" s="98">
        <f>1/INDEX(GUL_1!$A:$J,MATCH('2019'!$A29,GUL_1!$A:$A,0),MATCH('2019'!$A$1,GUL_1!$3:$3,0))</f>
        <v>1.3529968881071575E-2</v>
      </c>
      <c r="Y29" s="57">
        <f>INDEX(GUL_2!$A:$J,MATCH('2019'!$A29,GUL_2!$A:$A,0),MATCH('2019'!$A$1,GUL_2!$3:$3,0))</f>
        <v>26.700000000000003</v>
      </c>
      <c r="Z29" s="57">
        <f>INDEX(GUL_3!$A:$J,MATCH('2019'!$A29,GUL_3!$A:$A,0),MATCH('2019'!$A$1,GUL_3!$3:$3,0))/(B29/1000)</f>
        <v>0.55195905631108111</v>
      </c>
      <c r="AA29" s="101">
        <f>INDEX(GUL_4!$A:$J,MATCH('2019'!$A29,GUL_4!$A:$A,0),MATCH('2019'!$A$1,GUL_4!$3:$3,0))/B29/C29*10^6</f>
        <v>0.38457634393883056</v>
      </c>
      <c r="AB29" s="73">
        <f>INDEX(GUL_5!$A:$J,MATCH('2019'!$A29,GUL_5!$A:$A,0),MATCH('2019'!$A$1,GUL_5!$3:$3,0))</f>
        <v>2.7873886338769228E-2</v>
      </c>
      <c r="AC29" s="49" t="e">
        <f>INDEX(GUL_6!$A:$J,MATCH('2019'!$A29,GUL_6!$A:$A,0),MATCH('2019'!$A$1,GUL_6!$3:$3,0))</f>
        <v>#N/A</v>
      </c>
      <c r="AD29" s="49" t="e">
        <f>INDEX(GUL_7!$A:$J,MATCH('2019'!$A29,GUL_7!$A:$A,0),MATCH('2019'!$A$1,GUL_7!$3:$3,0))</f>
        <v>#N/A</v>
      </c>
      <c r="AE29" s="103">
        <f>INDEX(GUL_8!$A:$J,MATCH('2019'!$A29,GUL_8!$A:$A,0),MATCH('2019'!$A$1,GUL_8!$3:$3,0))/(B29/1000)</f>
        <v>1.0013891633481866</v>
      </c>
      <c r="AF29" s="41">
        <f>INDEX(DES_1!$A:$J,MATCH('2019'!$A29,DES_1!$A:$A,0),MATCH('2019'!$A$1,DES_1!$3:$3,0))/(B29/1000)</f>
        <v>8.8327304273188384E-2</v>
      </c>
      <c r="AG29" s="100">
        <f>INDEX(DES_2!$A:$J,MATCH('2019'!$A29,DES_2!$A:$A,0),MATCH('2019'!$A$1,DES_2!$3:$3,0))/(B29/1000)</f>
        <v>0.75147484949287136</v>
      </c>
      <c r="AH29" s="57">
        <f>1/INDEX(DES_3!$A:$J,MATCH('2019'!$A29,DES_3!$A:$A,0),MATCH('2019'!$A$1,DES_3!$3:$3,0))</f>
        <v>9.3370681605975722E-3</v>
      </c>
      <c r="AI29" s="80">
        <f>INDEX(DES_4!$A:$J,MATCH('2019'!$A29,DES_4!$A:$A,0),MATCH('2019'!$A$1,DES_4!$3:$3,0))</f>
        <v>1</v>
      </c>
      <c r="AJ29" s="110">
        <f>INDEX(DES_5!$A:$J,MATCH('2019'!$A29,DES_5!$A:$A,0),MATCH('2019'!$A$1,DES_5!$3:$3,0))</f>
        <v>0.83672671162900003</v>
      </c>
      <c r="AK29" s="57">
        <v>39</v>
      </c>
    </row>
    <row r="30" spans="1:37" x14ac:dyDescent="0.3">
      <c r="A30" s="29" t="s">
        <v>29</v>
      </c>
      <c r="B30" s="33">
        <f>INDEX(Population!$A:$J,MATCH('2019'!$A30,Population!$A:$A,0),MATCH('2019'!$A$1,Population!$3:$3,0))</f>
        <v>4230015</v>
      </c>
      <c r="C30" s="14">
        <f>INDEX(Income!$A:$J,MATCH('2019'!$A30,Income!$A:$A,0),MATCH('2019'!$A$1,Income!$3:$3,0))</f>
        <v>30866</v>
      </c>
      <c r="D30" s="34">
        <f>INDEX(Livable_wage!$A:$J,MATCH('2019'!$A30,Livable_wage!$A:$A,0),MATCH('2019'!$A$1,Livable_wage!$3:$3,0))</f>
        <v>10699</v>
      </c>
      <c r="E30" s="41">
        <f>INDEX(AVA_1!$A:$J,MATCH('2019'!$A30,AVA_1!$A:$A,0),MATCH('2019'!$A$1,AVA_1!$3:$3,0))</f>
        <v>0.4</v>
      </c>
      <c r="F30" s="15">
        <f>INDEX(AVA_2!$A:$J,MATCH('2019'!$A30,AVA_2!$A:$A,0),MATCH('2019'!$A$1,AVA_2!$3:$3,0))</f>
        <v>1.1661715643344299E-2</v>
      </c>
      <c r="G30" s="15">
        <f>INDEX(AVA_3!$A:$J,MATCH('2019'!$A30,AVA_3!$A:$A,0),MATCH('2019'!$A$1,AVA_3!$3:$3,0))</f>
        <v>1.7316813929496976E-2</v>
      </c>
      <c r="H30" s="87">
        <f>INDEX(AVA_4!$A:$J,MATCH('2019'!$A30,AVA_4!$A:$A,0),MATCH('2019'!$A$1,AVA_4!$3:$3,0))/(B30/1000)</f>
        <v>0.48794153212222646</v>
      </c>
      <c r="I30" s="89">
        <f>INDEX(AVA_5!$A:$J,MATCH('2019'!$A30,AVA_5!$A:$A,0),MATCH('2019'!$A$1,AVA_5!$3:$3,0))/(B30/1000)</f>
        <v>6.3902846680212715</v>
      </c>
      <c r="J30" s="93">
        <f>INDEX(IRA_1!$A:$J,MATCH('2019'!$A30,IRA_1!$A:$A,0),MATCH('2019'!$A$1,IRA_1!$3:$3,0))/(B30/1000)</f>
        <v>3.9716171219250994E-2</v>
      </c>
      <c r="K30" s="88">
        <f>INDEX(IRA_2!$A:$J,MATCH('2019'!$A30,IRA_2!$A:$A,0),MATCH('2019'!$A$1,IRA_2!$3:$3,0))/(B30/1000)</f>
        <v>9.5744341332122923E-2</v>
      </c>
      <c r="L30" s="15">
        <f>INDEX(IRA_3!$A:$J,MATCH('2019'!$A30,IRA_3!$A:$A,0),MATCH('2019'!$A$1,IRA_3!$3:$3,0))</f>
        <v>0.47117912497547576</v>
      </c>
      <c r="M30" s="96">
        <f>INDEX(IRA_4!$A:$J,MATCH('2019'!$A30,IRA_4!$A:$A,0),MATCH('2019'!$A$1,IRA_4!$3:$3,0))/(B30/1000)</f>
        <v>6.2628619520261744</v>
      </c>
      <c r="N30" s="61">
        <f>INDEX(INV_1!$A:$J,MATCH('2019'!$A30,INV_1!$A:$A,0),MATCH('2019'!$A$1,INV_1!$3:$3,0))</f>
        <v>6.9554900645499795E-2</v>
      </c>
      <c r="O30" s="80">
        <f>INDEX(INV_2!$A:$J,MATCH('2019'!$A30,INV_2!$A:$A,0),MATCH('2019'!$A$1,INV_2!$3:$3,0))/B30*10^6/C30</f>
        <v>0.4962775031864175</v>
      </c>
      <c r="P30" s="87">
        <f>INDEX(INV_3!$A:$J,MATCH('2019'!$A30,INV_3!$A:$A,0),MATCH('2019'!$A$1,INV_3!$3:$3,0))/B30*10^6/C30</f>
        <v>3.2541830962279583</v>
      </c>
      <c r="Q30" s="87">
        <f>INDEX(INV_4!$A:$J,MATCH('2019'!$A30,INV_4!$A:$A,0),MATCH('2019'!$A$1,INV_4!$3:$3,0))/B30*10^3/C30</f>
        <v>0.25684170594541711</v>
      </c>
      <c r="R30" s="34">
        <f>INDEX(INV_5!$A:$J,MATCH('2019'!$A30,INV_5!$A:$A,0),MATCH('2019'!$A$1,INV_5!$3:$3,0))</f>
        <v>0.1439</v>
      </c>
      <c r="S30" s="77">
        <f>INDEX(LUJ_1!$A:$J,MATCH('2019'!$A30,LUJ_1!$A:$A,0),MATCH('2019'!$A$1,LUJ_1!$3:$3,0))</f>
        <v>0.67972851357432129</v>
      </c>
      <c r="T30" s="73">
        <f>INDEX(LUJ_2!$A:$J,MATCH('2019'!$A30,LUJ_2!$A:$A,0),MATCH('2019'!$A$1,LUJ_2!$3:$3,0))</f>
        <v>0.19699999999999998</v>
      </c>
      <c r="U30" s="73">
        <f>INDEX(LUJ_3!$A:$J,MATCH('2019'!$A30,LUJ_3!$A:$A,0),MATCH('2019'!$A$1,LUJ_3!$3:$3,0))</f>
        <v>0.28823225238066591</v>
      </c>
      <c r="V30" s="14">
        <f>INDEX(LUJ_4!$A:$J,MATCH('2019'!$A30,LUJ_4!$A:$A,0),MATCH('2019'!$A$1,LUJ_4!$3:$3,0))</f>
        <v>59</v>
      </c>
      <c r="W30" s="34">
        <f>INDEX(LUJ_5!$A:$J,MATCH('2019'!$A30,LUJ_5!$A:$A,0),MATCH('2019'!$A$1,LUJ_5!$3:$3,0))</f>
        <v>45</v>
      </c>
      <c r="X30" s="98">
        <f>1/INDEX(GUL_1!$A:$J,MATCH('2019'!$A30,GUL_1!$A:$A,0),MATCH('2019'!$A$1,GUL_1!$3:$3,0))</f>
        <v>1.3570362328674175E-2</v>
      </c>
      <c r="Y30" s="57">
        <f>INDEX(GUL_2!$A:$J,MATCH('2019'!$A30,GUL_2!$A:$A,0),MATCH('2019'!$A$1,GUL_2!$3:$3,0))</f>
        <v>25.5</v>
      </c>
      <c r="Z30" s="57">
        <f>INDEX(GUL_3!$A:$J,MATCH('2019'!$A30,GUL_3!$A:$A,0),MATCH('2019'!$A$1,GUL_3!$3:$3,0))/(B30/1000)</f>
        <v>0.67044679510592742</v>
      </c>
      <c r="AA30" s="101">
        <f>INDEX(GUL_4!$A:$J,MATCH('2019'!$A30,GUL_4!$A:$A,0),MATCH('2019'!$A$1,GUL_4!$3:$3,0))/B30/C30*10^6</f>
        <v>0.32295353464692717</v>
      </c>
      <c r="AB30" s="73">
        <f>INDEX(GUL_5!$A:$J,MATCH('2019'!$A30,GUL_5!$A:$A,0),MATCH('2019'!$A$1,GUL_5!$3:$3,0))</f>
        <v>3.8928419879311033E-2</v>
      </c>
      <c r="AC30" s="49" t="e">
        <f>INDEX(GUL_6!$A:$J,MATCH('2019'!$A30,GUL_6!$A:$A,0),MATCH('2019'!$A$1,GUL_6!$3:$3,0))</f>
        <v>#N/A</v>
      </c>
      <c r="AD30" s="49" t="e">
        <f>INDEX(GUL_7!$A:$J,MATCH('2019'!$A30,GUL_7!$A:$A,0),MATCH('2019'!$A$1,GUL_7!$3:$3,0))</f>
        <v>#N/A</v>
      </c>
      <c r="AE30" s="103">
        <f>INDEX(GUL_8!$A:$J,MATCH('2019'!$A30,GUL_8!$A:$A,0),MATCH('2019'!$A$1,GUL_8!$3:$3,0))/(B30/1000)</f>
        <v>1.2794280871344428</v>
      </c>
      <c r="AF30" s="41">
        <f>INDEX(DES_1!$A:$J,MATCH('2019'!$A30,DES_1!$A:$A,0),MATCH('2019'!$A$1,DES_1!$3:$3,0))/(B30/1000)</f>
        <v>3.2623997787241885E-2</v>
      </c>
      <c r="AG30" s="100">
        <f>INDEX(DES_2!$A:$J,MATCH('2019'!$A30,DES_2!$A:$A,0),MATCH('2019'!$A$1,DES_2!$3:$3,0))/(B30/1000)</f>
        <v>0.67281085291659715</v>
      </c>
      <c r="AH30" s="57">
        <f>1/INDEX(DES_3!$A:$J,MATCH('2019'!$A30,DES_3!$A:$A,0),MATCH('2019'!$A$1,DES_3!$3:$3,0))</f>
        <v>7.6687116564417178E-3</v>
      </c>
      <c r="AI30" s="80">
        <f>INDEX(DES_4!$A:$J,MATCH('2019'!$A30,DES_4!$A:$A,0),MATCH('2019'!$A$1,DES_4!$3:$3,0))</f>
        <v>0.96186053827999995</v>
      </c>
      <c r="AJ30" s="110">
        <f>INDEX(DES_5!$A:$J,MATCH('2019'!$A30,DES_5!$A:$A,0),MATCH('2019'!$A$1,DES_5!$3:$3,0))</f>
        <v>0.70769260283199997</v>
      </c>
      <c r="AK30" s="57">
        <v>40</v>
      </c>
    </row>
    <row r="31" spans="1:37" x14ac:dyDescent="0.3">
      <c r="A31" s="29" t="s">
        <v>30</v>
      </c>
      <c r="B31" s="33">
        <f>INDEX(Population!$A:$J,MATCH('2019'!$A31,Population!$A:$A,0),MATCH('2019'!$A$1,Population!$3:$3,0))</f>
        <v>698097</v>
      </c>
      <c r="C31" s="14">
        <f>INDEX(Income!$A:$J,MATCH('2019'!$A31,Income!$A:$A,0),MATCH('2019'!$A$1,Income!$3:$3,0))</f>
        <v>44261</v>
      </c>
      <c r="D31" s="34">
        <f>INDEX(Livable_wage!$A:$J,MATCH('2019'!$A31,Livable_wage!$A:$A,0),MATCH('2019'!$A$1,Livable_wage!$3:$3,0))</f>
        <v>17379</v>
      </c>
      <c r="E31" s="41">
        <f>INDEX(AVA_1!$A:$J,MATCH('2019'!$A31,AVA_1!$A:$A,0),MATCH('2019'!$A$1,AVA_1!$3:$3,0))</f>
        <v>0.34200000000000003</v>
      </c>
      <c r="F31" s="15">
        <f>INDEX(AVA_2!$A:$J,MATCH('2019'!$A31,AVA_2!$A:$A,0),MATCH('2019'!$A$1,AVA_2!$3:$3,0))</f>
        <v>1.0790302567528873E-2</v>
      </c>
      <c r="G31" s="15">
        <f>INDEX(AVA_3!$A:$J,MATCH('2019'!$A31,AVA_3!$A:$A,0),MATCH('2019'!$A$1,AVA_3!$3:$3,0))</f>
        <v>2.2806251251401385E-2</v>
      </c>
      <c r="H31" s="87">
        <f>INDEX(AVA_4!$A:$J,MATCH('2019'!$A31,AVA_4!$A:$A,0),MATCH('2019'!$A$1,AVA_4!$3:$3,0))/(B31/1000)</f>
        <v>0.56439148141304152</v>
      </c>
      <c r="I31" s="89">
        <f>INDEX(AVA_5!$A:$J,MATCH('2019'!$A31,AVA_5!$A:$A,0),MATCH('2019'!$A$1,AVA_5!$3:$3,0))/(B31/1000)</f>
        <v>5.0809557984062392</v>
      </c>
      <c r="J31" s="93">
        <f>INDEX(IRA_1!$A:$J,MATCH('2019'!$A31,IRA_1!$A:$A,0),MATCH('2019'!$A$1,IRA_1!$3:$3,0))/(B31/1000)</f>
        <v>5.013629911029556E-2</v>
      </c>
      <c r="K31" s="88">
        <f>INDEX(IRA_2!$A:$J,MATCH('2019'!$A31,IRA_2!$A:$A,0),MATCH('2019'!$A$1,IRA_2!$3:$3,0))/(B31/1000)</f>
        <v>0.21200492195210696</v>
      </c>
      <c r="L31" s="15">
        <f>INDEX(IRA_3!$A:$J,MATCH('2019'!$A31,IRA_3!$A:$A,0),MATCH('2019'!$A$1,IRA_3!$3:$3,0))</f>
        <v>0.3831982313927782</v>
      </c>
      <c r="M31" s="96">
        <f>INDEX(IRA_4!$A:$J,MATCH('2019'!$A31,IRA_4!$A:$A,0),MATCH('2019'!$A$1,IRA_4!$3:$3,0))/(B31/1000)</f>
        <v>3.9063339335364571</v>
      </c>
      <c r="N31" s="61">
        <f>INDEX(INV_1!$A:$J,MATCH('2019'!$A31,INV_1!$A:$A,0),MATCH('2019'!$A$1,INV_1!$3:$3,0))</f>
        <v>7.8084503067099659E-2</v>
      </c>
      <c r="O31" s="80">
        <f>INDEX(INV_2!$A:$J,MATCH('2019'!$A31,INV_2!$A:$A,0),MATCH('2019'!$A$1,INV_2!$3:$3,0))/B31*10^6/C31</f>
        <v>0.24042644737290769</v>
      </c>
      <c r="P31" s="87">
        <f>INDEX(INV_3!$A:$J,MATCH('2019'!$A31,INV_3!$A:$A,0),MATCH('2019'!$A$1,INV_3!$3:$3,0))/B31*10^6/C31</f>
        <v>3.7557845114541855</v>
      </c>
      <c r="Q31" s="87">
        <f>INDEX(INV_4!$A:$J,MATCH('2019'!$A31,INV_4!$A:$A,0),MATCH('2019'!$A$1,INV_4!$3:$3,0))/B31*10^3/C31</f>
        <v>0.26645719186341199</v>
      </c>
      <c r="R31" s="34">
        <f>INDEX(INV_5!$A:$J,MATCH('2019'!$A31,INV_5!$A:$A,0),MATCH('2019'!$A$1,INV_5!$3:$3,0))</f>
        <v>6.88E-2</v>
      </c>
      <c r="S31" s="77">
        <f>INDEX(LUJ_1!$A:$J,MATCH('2019'!$A31,LUJ_1!$A:$A,0),MATCH('2019'!$A$1,LUJ_1!$3:$3,0))</f>
        <v>0.79399565475014811</v>
      </c>
      <c r="T31" s="73">
        <f>INDEX(LUJ_2!$A:$J,MATCH('2019'!$A31,LUJ_2!$A:$A,0),MATCH('2019'!$A$1,LUJ_2!$3:$3,0))</f>
        <v>0.18</v>
      </c>
      <c r="U31" s="73">
        <f>INDEX(LUJ_3!$A:$J,MATCH('2019'!$A31,LUJ_3!$A:$A,0),MATCH('2019'!$A$1,LUJ_3!$3:$3,0))</f>
        <v>0.51296345416372569</v>
      </c>
      <c r="V31" s="14">
        <f>INDEX(LUJ_4!$A:$J,MATCH('2019'!$A31,LUJ_4!$A:$A,0),MATCH('2019'!$A$1,LUJ_4!$3:$3,0))</f>
        <v>3</v>
      </c>
      <c r="W31" s="34">
        <f>INDEX(LUJ_5!$A:$J,MATCH('2019'!$A31,LUJ_5!$A:$A,0),MATCH('2019'!$A$1,LUJ_5!$3:$3,0))</f>
        <v>50</v>
      </c>
      <c r="X31" s="98">
        <f>1/INDEX(GUL_1!$A:$J,MATCH('2019'!$A31,GUL_1!$A:$A,0),MATCH('2019'!$A$1,GUL_1!$3:$3,0))</f>
        <v>1.3937282229965157E-2</v>
      </c>
      <c r="Y31" s="57">
        <f>INDEX(GUL_2!$A:$J,MATCH('2019'!$A31,GUL_2!$A:$A,0),MATCH('2019'!$A$1,GUL_2!$3:$3,0))</f>
        <v>24.8</v>
      </c>
      <c r="Z31" s="57">
        <f>INDEX(GUL_3!$A:$J,MATCH('2019'!$A31,GUL_3!$A:$A,0),MATCH('2019'!$A$1,GUL_3!$3:$3,0))/(B31/1000)</f>
        <v>0.81793790834225044</v>
      </c>
      <c r="AA31" s="101">
        <f>INDEX(GUL_4!$A:$J,MATCH('2019'!$A31,GUL_4!$A:$A,0),MATCH('2019'!$A$1,GUL_4!$3:$3,0))/B31/C31*10^6</f>
        <v>0.46889698365202787</v>
      </c>
      <c r="AB31" s="73">
        <f>INDEX(GUL_5!$A:$J,MATCH('2019'!$A31,GUL_5!$A:$A,0),MATCH('2019'!$A$1,GUL_5!$3:$3,0))</f>
        <v>3.9544074006193211E-2</v>
      </c>
      <c r="AC31" s="49" t="e">
        <f>INDEX(GUL_6!$A:$J,MATCH('2019'!$A31,GUL_6!$A:$A,0),MATCH('2019'!$A$1,GUL_6!$3:$3,0))</f>
        <v>#N/A</v>
      </c>
      <c r="AD31" s="49" t="e">
        <f>INDEX(GUL_7!$A:$J,MATCH('2019'!$A31,GUL_7!$A:$A,0),MATCH('2019'!$A$1,GUL_7!$3:$3,0))</f>
        <v>#N/A</v>
      </c>
      <c r="AE31" s="103">
        <f>INDEX(GUL_8!$A:$J,MATCH('2019'!$A31,GUL_8!$A:$A,0),MATCH('2019'!$A$1,GUL_8!$3:$3,0))/(B31/1000)</f>
        <v>2.3692982493836818</v>
      </c>
      <c r="AF31" s="41">
        <f>INDEX(DES_1!$A:$J,MATCH('2019'!$A31,DES_1!$A:$A,0),MATCH('2019'!$A$1,DES_1!$3:$3,0))/(B31/1000)</f>
        <v>6.0163558932354672E-2</v>
      </c>
      <c r="AG31" s="100">
        <f>INDEX(DES_2!$A:$J,MATCH('2019'!$A31,DES_2!$A:$A,0),MATCH('2019'!$A$1,DES_2!$3:$3,0))/(B31/1000)</f>
        <v>0.51998504505820831</v>
      </c>
      <c r="AH31" s="57">
        <f>1/INDEX(DES_3!$A:$J,MATCH('2019'!$A31,DES_3!$A:$A,0),MATCH('2019'!$A$1,DES_3!$3:$3,0))</f>
        <v>7.8492935635792772E-3</v>
      </c>
      <c r="AI31" s="80">
        <f>INDEX(DES_4!$A:$J,MATCH('2019'!$A31,DES_4!$A:$A,0),MATCH('2019'!$A$1,DES_4!$3:$3,0))</f>
        <v>0.91097870090399991</v>
      </c>
      <c r="AJ31" s="110">
        <f>INDEX(DES_5!$A:$J,MATCH('2019'!$A31,DES_5!$A:$A,0),MATCH('2019'!$A$1,DES_5!$3:$3,0))</f>
        <v>0.79936223485199998</v>
      </c>
      <c r="AK31" s="57">
        <v>43</v>
      </c>
    </row>
    <row r="32" spans="1:37" x14ac:dyDescent="0.3">
      <c r="A32" s="29" t="s">
        <v>31</v>
      </c>
      <c r="B32" s="33">
        <f>INDEX(Population!$A:$J,MATCH('2019'!$A32,Population!$A:$A,0),MATCH('2019'!$A$1,Population!$3:$3,0))</f>
        <v>614980</v>
      </c>
      <c r="C32" s="14">
        <f>INDEX(Income!$A:$J,MATCH('2019'!$A32,Income!$A:$A,0),MATCH('2019'!$A$1,Income!$3:$3,0))</f>
        <v>25525</v>
      </c>
      <c r="D32" s="34">
        <f>INDEX(Livable_wage!$A:$J,MATCH('2019'!$A32,Livable_wage!$A:$A,0),MATCH('2019'!$A$1,Livable_wage!$3:$3,0))</f>
        <v>11565</v>
      </c>
      <c r="E32" s="41">
        <f>INDEX(AVA_1!$A:$J,MATCH('2019'!$A32,AVA_1!$A:$A,0),MATCH('2019'!$A$1,AVA_1!$3:$3,0))</f>
        <v>0.35199999999999998</v>
      </c>
      <c r="F32" s="15">
        <f>INDEX(AVA_2!$A:$J,MATCH('2019'!$A32,AVA_2!$A:$A,0),MATCH('2019'!$A$1,AVA_2!$3:$3,0))</f>
        <v>8.205333129790186E-3</v>
      </c>
      <c r="G32" s="15">
        <f>INDEX(AVA_3!$A:$J,MATCH('2019'!$A32,AVA_3!$A:$A,0),MATCH('2019'!$A$1,AVA_3!$3:$3,0))</f>
        <v>1.054281219230358E-2</v>
      </c>
      <c r="H32" s="87">
        <f>INDEX(AVA_4!$A:$J,MATCH('2019'!$A32,AVA_4!$A:$A,0),MATCH('2019'!$A$1,AVA_4!$3:$3,0))/(B32/1000)</f>
        <v>0.62115841165566354</v>
      </c>
      <c r="I32" s="89">
        <f>INDEX(AVA_5!$A:$J,MATCH('2019'!$A32,AVA_5!$A:$A,0),MATCH('2019'!$A$1,AVA_5!$3:$3,0))/(B32/1000)</f>
        <v>4.5139679339165504</v>
      </c>
      <c r="J32" s="93">
        <f>INDEX(IRA_1!$A:$J,MATCH('2019'!$A32,IRA_1!$A:$A,0),MATCH('2019'!$A$1,IRA_1!$3:$3,0))/(B32/1000)</f>
        <v>5.2034212494715272E-2</v>
      </c>
      <c r="K32" s="88">
        <f>INDEX(IRA_2!$A:$J,MATCH('2019'!$A32,IRA_2!$A:$A,0),MATCH('2019'!$A$1,IRA_2!$3:$3,0))/(B32/1000)</f>
        <v>0.1674851214673648</v>
      </c>
      <c r="L32" s="15">
        <f>INDEX(IRA_3!$A:$J,MATCH('2019'!$A32,IRA_3!$A:$A,0),MATCH('2019'!$A$1,IRA_3!$3:$3,0))</f>
        <v>0.42273781902552199</v>
      </c>
      <c r="M32" s="96">
        <f>INDEX(IRA_4!$A:$J,MATCH('2019'!$A32,IRA_4!$A:$A,0),MATCH('2019'!$A$1,IRA_4!$3:$3,0))/(B32/1000)</f>
        <v>2.8244820969787634</v>
      </c>
      <c r="N32" s="61">
        <f>INDEX(INV_1!$A:$J,MATCH('2019'!$A32,INV_1!$A:$A,0),MATCH('2019'!$A$1,INV_1!$3:$3,0))</f>
        <v>6.0123824488363259E-2</v>
      </c>
      <c r="O32" s="80">
        <f>INDEX(INV_2!$A:$J,MATCH('2019'!$A32,INV_2!$A:$A,0),MATCH('2019'!$A$1,INV_2!$3:$3,0))/B32*10^6/C32</f>
        <v>0.3138632653908241</v>
      </c>
      <c r="P32" s="87">
        <f>INDEX(INV_3!$A:$J,MATCH('2019'!$A32,INV_3!$A:$A,0),MATCH('2019'!$A$1,INV_3!$3:$3,0))/B32*10^6/C32</f>
        <v>3.6646916111300087</v>
      </c>
      <c r="Q32" s="87">
        <f>INDEX(INV_4!$A:$J,MATCH('2019'!$A32,INV_4!$A:$A,0),MATCH('2019'!$A$1,INV_4!$3:$3,0))/B32*10^3/C32</f>
        <v>0.26148901619759163</v>
      </c>
      <c r="R32" s="34">
        <f>INDEX(INV_5!$A:$J,MATCH('2019'!$A32,INV_5!$A:$A,0),MATCH('2019'!$A$1,INV_5!$3:$3,0))</f>
        <v>6.3899999999999998E-2</v>
      </c>
      <c r="S32" s="77">
        <f>INDEX(LUJ_1!$A:$J,MATCH('2019'!$A32,LUJ_1!$A:$A,0),MATCH('2019'!$A$1,LUJ_1!$3:$3,0))</f>
        <v>0.7254464285714286</v>
      </c>
      <c r="T32" s="73">
        <f>INDEX(LUJ_2!$A:$J,MATCH('2019'!$A32,LUJ_2!$A:$A,0),MATCH('2019'!$A$1,LUJ_2!$3:$3,0))</f>
        <v>0.222</v>
      </c>
      <c r="U32" s="73">
        <f>INDEX(LUJ_3!$A:$J,MATCH('2019'!$A32,LUJ_3!$A:$A,0),MATCH('2019'!$A$1,LUJ_3!$3:$3,0))</f>
        <v>0.67798528579513295</v>
      </c>
      <c r="V32" s="14">
        <f>INDEX(LUJ_4!$A:$J,MATCH('2019'!$A32,LUJ_4!$A:$A,0),MATCH('2019'!$A$1,LUJ_4!$3:$3,0))</f>
        <v>12</v>
      </c>
      <c r="W32" s="34">
        <f>INDEX(LUJ_5!$A:$J,MATCH('2019'!$A32,LUJ_5!$A:$A,0),MATCH('2019'!$A$1,LUJ_5!$3:$3,0))</f>
        <v>21.6</v>
      </c>
      <c r="X32" s="98">
        <f>1/INDEX(GUL_1!$A:$J,MATCH('2019'!$A32,GUL_1!$A:$A,0),MATCH('2019'!$A$1,GUL_1!$3:$3,0))</f>
        <v>1.4154281670205236E-2</v>
      </c>
      <c r="Y32" s="57">
        <f>INDEX(GUL_2!$A:$J,MATCH('2019'!$A32,GUL_2!$A:$A,0),MATCH('2019'!$A$1,GUL_2!$3:$3,0))</f>
        <v>25.5</v>
      </c>
      <c r="Z32" s="57">
        <f>INDEX(GUL_3!$A:$J,MATCH('2019'!$A32,GUL_3!$A:$A,0),MATCH('2019'!$A$1,GUL_3!$3:$3,0))/(B32/1000)</f>
        <v>0.92848547920257563</v>
      </c>
      <c r="AA32" s="101">
        <f>INDEX(GUL_4!$A:$J,MATCH('2019'!$A32,GUL_4!$A:$A,0),MATCH('2019'!$A$1,GUL_4!$3:$3,0))/B32/C32*10^6</f>
        <v>0.37872535864221024</v>
      </c>
      <c r="AB32" s="73">
        <f>INDEX(GUL_5!$A:$J,MATCH('2019'!$A32,GUL_5!$A:$A,0),MATCH('2019'!$A$1,GUL_5!$3:$3,0))</f>
        <v>3.4006121125190331E-2</v>
      </c>
      <c r="AC32" s="49" t="e">
        <f>INDEX(GUL_6!$A:$J,MATCH('2019'!$A32,GUL_6!$A:$A,0),MATCH('2019'!$A$1,GUL_6!$3:$3,0))</f>
        <v>#N/A</v>
      </c>
      <c r="AD32" s="49" t="e">
        <f>INDEX(GUL_7!$A:$J,MATCH('2019'!$A32,GUL_7!$A:$A,0),MATCH('2019'!$A$1,GUL_7!$3:$3,0))</f>
        <v>#N/A</v>
      </c>
      <c r="AE32" s="103">
        <f>INDEX(GUL_8!$A:$J,MATCH('2019'!$A32,GUL_8!$A:$A,0),MATCH('2019'!$A$1,GUL_8!$3:$3,0))/(B32/1000)</f>
        <v>2.8114735438550849</v>
      </c>
      <c r="AF32" s="41">
        <f>INDEX(DES_1!$A:$J,MATCH('2019'!$A32,DES_1!$A:$A,0),MATCH('2019'!$A$1,DES_1!$3:$3,0))/(B32/1000)</f>
        <v>0.14797229178184657</v>
      </c>
      <c r="AG32" s="100">
        <f>INDEX(DES_2!$A:$J,MATCH('2019'!$A32,DES_2!$A:$A,0),MATCH('2019'!$A$1,DES_2!$3:$3,0))/(B32/1000)</f>
        <v>0.31383134410875152</v>
      </c>
      <c r="AH32" s="57">
        <f>1/INDEX(DES_3!$A:$J,MATCH('2019'!$A32,DES_3!$A:$A,0),MATCH('2019'!$A$1,DES_3!$3:$3,0))</f>
        <v>9.140767824497258E-3</v>
      </c>
      <c r="AI32" s="80">
        <f>INDEX(DES_4!$A:$J,MATCH('2019'!$A32,DES_4!$A:$A,0),MATCH('2019'!$A$1,DES_4!$3:$3,0))</f>
        <v>0.60570755412700006</v>
      </c>
      <c r="AJ32" s="110">
        <f>INDEX(DES_5!$A:$J,MATCH('2019'!$A32,DES_5!$A:$A,0),MATCH('2019'!$A$1,DES_5!$3:$3,0))</f>
        <v>0.482415547291</v>
      </c>
      <c r="AK32" s="57">
        <v>44</v>
      </c>
    </row>
    <row r="33" spans="1:37" x14ac:dyDescent="0.3">
      <c r="A33" s="29" t="s">
        <v>32</v>
      </c>
      <c r="B33" s="33">
        <f>INDEX(Population!$A:$J,MATCH('2019'!$A33,Population!$A:$A,0),MATCH('2019'!$A$1,Population!$3:$3,0))</f>
        <v>5563564</v>
      </c>
      <c r="C33" s="14">
        <f>INDEX(Income!$A:$J,MATCH('2019'!$A33,Income!$A:$A,0),MATCH('2019'!$A$1,Income!$3:$3,0))</f>
        <v>47472</v>
      </c>
      <c r="D33" s="34">
        <f>INDEX(Livable_wage!$A:$J,MATCH('2019'!$A33,Livable_wage!$A:$A,0),MATCH('2019'!$A$1,Livable_wage!$3:$3,0))</f>
        <v>12622</v>
      </c>
      <c r="E33" s="41">
        <f>INDEX(AVA_1!$A:$J,MATCH('2019'!$A33,AVA_1!$A:$A,0),MATCH('2019'!$A$1,AVA_1!$3:$3,0))</f>
        <v>0.40600000000000003</v>
      </c>
      <c r="F33" s="15">
        <f>INDEX(AVA_2!$A:$J,MATCH('2019'!$A33,AVA_2!$A:$A,0),MATCH('2019'!$A$1,AVA_2!$3:$3,0))</f>
        <v>2.21711186599267E-2</v>
      </c>
      <c r="G33" s="15">
        <f>INDEX(AVA_3!$A:$J,MATCH('2019'!$A33,AVA_3!$A:$A,0),MATCH('2019'!$A$1,AVA_3!$3:$3,0))</f>
        <v>9.9056789746164164E-2</v>
      </c>
      <c r="H33" s="87">
        <f>INDEX(AVA_4!$A:$J,MATCH('2019'!$A33,AVA_4!$A:$A,0),MATCH('2019'!$A$1,AVA_4!$3:$3,0))/(B33/1000)</f>
        <v>0.48386250252535962</v>
      </c>
      <c r="I33" s="89">
        <f>INDEX(AVA_5!$A:$J,MATCH('2019'!$A33,AVA_5!$A:$A,0),MATCH('2019'!$A$1,AVA_5!$3:$3,0))/(B33/1000)</f>
        <v>3.4558782823384435</v>
      </c>
      <c r="J33" s="93">
        <f>INDEX(IRA_1!$A:$J,MATCH('2019'!$A33,IRA_1!$A:$A,0),MATCH('2019'!$A$1,IRA_1!$3:$3,0))/(B33/1000)</f>
        <v>2.4983985085819088E-2</v>
      </c>
      <c r="K33" s="88">
        <f>INDEX(IRA_2!$A:$J,MATCH('2019'!$A33,IRA_2!$A:$A,0),MATCH('2019'!$A$1,IRA_2!$3:$3,0))/(B33/1000)</f>
        <v>6.9739469160415873E-2</v>
      </c>
      <c r="L33" s="15">
        <f>INDEX(IRA_3!$A:$J,MATCH('2019'!$A33,IRA_3!$A:$A,0),MATCH('2019'!$A$1,IRA_3!$3:$3,0))</f>
        <v>0.57141392392084489</v>
      </c>
      <c r="M33" s="96">
        <f>INDEX(IRA_4!$A:$J,MATCH('2019'!$A33,IRA_4!$A:$A,0),MATCH('2019'!$A$1,IRA_4!$3:$3,0))/(B33/1000)</f>
        <v>2.5454906243551796</v>
      </c>
      <c r="N33" s="61">
        <f>INDEX(INV_1!$A:$J,MATCH('2019'!$A33,INV_1!$A:$A,0),MATCH('2019'!$A$1,INV_1!$3:$3,0))</f>
        <v>8.0771591171481139E-2</v>
      </c>
      <c r="O33" s="80">
        <f>INDEX(INV_2!$A:$J,MATCH('2019'!$A33,INV_2!$A:$A,0),MATCH('2019'!$A$1,INV_2!$3:$3,0))/B33*10^6/C33</f>
        <v>0.51666874885170722</v>
      </c>
      <c r="P33" s="87">
        <f>INDEX(INV_3!$A:$J,MATCH('2019'!$A33,INV_3!$A:$A,0),MATCH('2019'!$A$1,INV_3!$3:$3,0))/B33*10^6/C33</f>
        <v>3.6048250589308983</v>
      </c>
      <c r="Q33" s="87">
        <f>INDEX(INV_4!$A:$J,MATCH('2019'!$A33,INV_4!$A:$A,0),MATCH('2019'!$A$1,INV_4!$3:$3,0))/B33*10^3/C33</f>
        <v>0.38386292136345662</v>
      </c>
      <c r="R33" s="34">
        <f>INDEX(INV_5!$A:$J,MATCH('2019'!$A33,INV_5!$A:$A,0),MATCH('2019'!$A$1,INV_5!$3:$3,0))</f>
        <v>0.3256</v>
      </c>
      <c r="S33" s="77">
        <f>INDEX(LUJ_1!$A:$J,MATCH('2019'!$A33,LUJ_1!$A:$A,0),MATCH('2019'!$A$1,LUJ_1!$3:$3,0))</f>
        <v>0.54643856164105886</v>
      </c>
      <c r="T33" s="73">
        <f>INDEX(LUJ_2!$A:$J,MATCH('2019'!$A33,LUJ_2!$A:$A,0),MATCH('2019'!$A$1,LUJ_2!$3:$3,0))</f>
        <v>0.18</v>
      </c>
      <c r="U33" s="73">
        <f>INDEX(LUJ_3!$A:$J,MATCH('2019'!$A33,LUJ_3!$A:$A,0),MATCH('2019'!$A$1,LUJ_3!$3:$3,0))</f>
        <v>0.32262612536096485</v>
      </c>
      <c r="V33" s="14">
        <f>INDEX(LUJ_4!$A:$J,MATCH('2019'!$A33,LUJ_4!$A:$A,0),MATCH('2019'!$A$1,LUJ_4!$3:$3,0))</f>
        <v>60</v>
      </c>
      <c r="W33" s="34">
        <f>INDEX(LUJ_5!$A:$J,MATCH('2019'!$A33,LUJ_5!$A:$A,0),MATCH('2019'!$A$1,LUJ_5!$3:$3,0))</f>
        <v>47.9</v>
      </c>
      <c r="X33" s="98">
        <f>1/INDEX(GUL_1!$A:$J,MATCH('2019'!$A33,GUL_1!$A:$A,0),MATCH('2019'!$A$1,GUL_1!$3:$3,0))</f>
        <v>1.3104442405975626E-2</v>
      </c>
      <c r="Y33" s="57">
        <f>INDEX(GUL_2!$A:$J,MATCH('2019'!$A33,GUL_2!$A:$A,0),MATCH('2019'!$A$1,GUL_2!$3:$3,0))</f>
        <v>24.1</v>
      </c>
      <c r="Z33" s="57">
        <f>INDEX(GUL_3!$A:$J,MATCH('2019'!$A33,GUL_3!$A:$A,0),MATCH('2019'!$A$1,GUL_3!$3:$3,0))/(B33/1000)</f>
        <v>0.4678655624344395</v>
      </c>
      <c r="AA33" s="101">
        <f>INDEX(GUL_4!$A:$J,MATCH('2019'!$A33,GUL_4!$A:$A,0),MATCH('2019'!$A$1,GUL_4!$3:$3,0))/B33/C33*10^6</f>
        <v>0.35046972768300377</v>
      </c>
      <c r="AB33" s="73">
        <f>INDEX(GUL_5!$A:$J,MATCH('2019'!$A33,GUL_5!$A:$A,0),MATCH('2019'!$A$1,GUL_5!$3:$3,0))</f>
        <v>2.3658504024619373E-2</v>
      </c>
      <c r="AC33" s="49" t="e">
        <f>INDEX(GUL_6!$A:$J,MATCH('2019'!$A33,GUL_6!$A:$A,0),MATCH('2019'!$A$1,GUL_6!$3:$3,0))</f>
        <v>#N/A</v>
      </c>
      <c r="AD33" s="49" t="e">
        <f>INDEX(GUL_7!$A:$J,MATCH('2019'!$A33,GUL_7!$A:$A,0),MATCH('2019'!$A$1,GUL_7!$3:$3,0))</f>
        <v>#N/A</v>
      </c>
      <c r="AE33" s="103">
        <f>INDEX(GUL_8!$A:$J,MATCH('2019'!$A33,GUL_8!$A:$A,0),MATCH('2019'!$A$1,GUL_8!$3:$3,0))/(B33/1000)</f>
        <v>0.55809549418322502</v>
      </c>
      <c r="AF33" s="41">
        <f>INDEX(DES_1!$A:$J,MATCH('2019'!$A33,DES_1!$A:$A,0),MATCH('2019'!$A$1,DES_1!$3:$3,0))/(B33/1000)</f>
        <v>6.4167501263578522E-2</v>
      </c>
      <c r="AG33" s="100">
        <f>INDEX(DES_2!$A:$J,MATCH('2019'!$A33,DES_2!$A:$A,0),MATCH('2019'!$A$1,DES_2!$3:$3,0))/(B33/1000)</f>
        <v>0.65335817112915384</v>
      </c>
      <c r="AH33" s="57">
        <f>1/INDEX(DES_3!$A:$J,MATCH('2019'!$A33,DES_3!$A:$A,0),MATCH('2019'!$A$1,DES_3!$3:$3,0))</f>
        <v>8.8183421516754845E-3</v>
      </c>
      <c r="AI33" s="80">
        <f>INDEX(DES_4!$A:$J,MATCH('2019'!$A33,DES_4!$A:$A,0),MATCH('2019'!$A$1,DES_4!$3:$3,0))</f>
        <v>1</v>
      </c>
      <c r="AJ33" s="110">
        <f>INDEX(DES_5!$A:$J,MATCH('2019'!$A33,DES_5!$A:$A,0),MATCH('2019'!$A$1,DES_5!$3:$3,0))</f>
        <v>0.89896551752799991</v>
      </c>
      <c r="AK33" s="57">
        <v>45</v>
      </c>
    </row>
    <row r="34" spans="1:37" x14ac:dyDescent="0.3">
      <c r="A34" s="29" t="s">
        <v>33</v>
      </c>
      <c r="B34" s="33">
        <f>INDEX(Population!$A:$J,MATCH('2019'!$A34,Population!$A:$A,0),MATCH('2019'!$A$1,Population!$3:$3,0))</f>
        <v>1932223</v>
      </c>
      <c r="C34" s="14">
        <f>INDEX(Income!$A:$J,MATCH('2019'!$A34,Income!$A:$A,0),MATCH('2019'!$A$1,Income!$3:$3,0))</f>
        <v>32371</v>
      </c>
      <c r="D34" s="34">
        <f>INDEX(Livable_wage!$A:$J,MATCH('2019'!$A34,Livable_wage!$A:$A,0),MATCH('2019'!$A$1,Livable_wage!$3:$3,0))</f>
        <v>11944</v>
      </c>
      <c r="E34" s="41">
        <f>INDEX(AVA_1!$A:$J,MATCH('2019'!$A34,AVA_1!$A:$A,0),MATCH('2019'!$A$1,AVA_1!$3:$3,0))</f>
        <v>0.35799999999999998</v>
      </c>
      <c r="F34" s="15">
        <f>INDEX(AVA_2!$A:$J,MATCH('2019'!$A34,AVA_2!$A:$A,0),MATCH('2019'!$A$1,AVA_2!$3:$3,0))</f>
        <v>5.4331562182040657E-3</v>
      </c>
      <c r="G34" s="15">
        <f>INDEX(AVA_3!$A:$J,MATCH('2019'!$A34,AVA_3!$A:$A,0),MATCH('2019'!$A$1,AVA_3!$3:$3,0))</f>
        <v>1.13718413255547E-2</v>
      </c>
      <c r="H34" s="87">
        <f>INDEX(AVA_4!$A:$J,MATCH('2019'!$A34,AVA_4!$A:$A,0),MATCH('2019'!$A$1,AVA_4!$3:$3,0))/(B34/1000)</f>
        <v>0.62259894432474927</v>
      </c>
      <c r="I34" s="89">
        <f>INDEX(AVA_5!$A:$J,MATCH('2019'!$A34,AVA_5!$A:$A,0),MATCH('2019'!$A$1,AVA_5!$3:$3,0))/(B34/1000)</f>
        <v>6.0500263168381707</v>
      </c>
      <c r="J34" s="93">
        <f>INDEX(IRA_1!$A:$J,MATCH('2019'!$A34,IRA_1!$A:$A,0),MATCH('2019'!$A$1,IRA_1!$3:$3,0))/(B34/1000)</f>
        <v>7.3490482206246377E-2</v>
      </c>
      <c r="K34" s="88">
        <f>INDEX(IRA_2!$A:$J,MATCH('2019'!$A34,IRA_2!$A:$A,0),MATCH('2019'!$A$1,IRA_2!$3:$3,0))/(B34/1000)</f>
        <v>0.13093726759281926</v>
      </c>
      <c r="L34" s="15">
        <f>INDEX(IRA_3!$A:$J,MATCH('2019'!$A34,IRA_3!$A:$A,0),MATCH('2019'!$A$1,IRA_3!$3:$3,0))</f>
        <v>0.50235439900867407</v>
      </c>
      <c r="M34" s="96">
        <f>INDEX(IRA_4!$A:$J,MATCH('2019'!$A34,IRA_4!$A:$A,0),MATCH('2019'!$A$1,IRA_4!$3:$3,0))/(B34/1000)</f>
        <v>4.5067261905069964</v>
      </c>
      <c r="N34" s="61">
        <f>INDEX(INV_1!$A:$J,MATCH('2019'!$A34,INV_1!$A:$A,0),MATCH('2019'!$A$1,INV_1!$3:$3,0))</f>
        <v>8.2928863771420641E-2</v>
      </c>
      <c r="O34" s="80">
        <f>INDEX(INV_2!$A:$J,MATCH('2019'!$A34,INV_2!$A:$A,0),MATCH('2019'!$A$1,INV_2!$3:$3,0))/B34*10^6/C34</f>
        <v>0.37536045428255627</v>
      </c>
      <c r="P34" s="87">
        <f>INDEX(INV_3!$A:$J,MATCH('2019'!$A34,INV_3!$A:$A,0),MATCH('2019'!$A$1,INV_3!$3:$3,0))/B34*10^6/C34</f>
        <v>4.4114286768675184</v>
      </c>
      <c r="Q34" s="87">
        <f>INDEX(INV_4!$A:$J,MATCH('2019'!$A34,INV_4!$A:$A,0),MATCH('2019'!$A$1,INV_4!$3:$3,0))/B34*10^3/C34</f>
        <v>4.5771650958717928E-2</v>
      </c>
      <c r="R34" s="34">
        <f>INDEX(INV_5!$A:$J,MATCH('2019'!$A34,INV_5!$A:$A,0),MATCH('2019'!$A$1,INV_5!$3:$3,0))</f>
        <v>0.1258</v>
      </c>
      <c r="S34" s="77">
        <f>INDEX(LUJ_1!$A:$J,MATCH('2019'!$A34,LUJ_1!$A:$A,0),MATCH('2019'!$A$1,LUJ_1!$3:$3,0))</f>
        <v>0.97960492560287327</v>
      </c>
      <c r="T34" s="73">
        <f>INDEX(LUJ_2!$A:$J,MATCH('2019'!$A34,LUJ_2!$A:$A,0),MATCH('2019'!$A$1,LUJ_2!$3:$3,0))</f>
        <v>0.22</v>
      </c>
      <c r="U34" s="73">
        <f>INDEX(LUJ_3!$A:$J,MATCH('2019'!$A34,LUJ_3!$A:$A,0),MATCH('2019'!$A$1,LUJ_3!$3:$3,0))</f>
        <v>0.50140970470396207</v>
      </c>
      <c r="V34" s="14">
        <f>INDEX(LUJ_4!$A:$J,MATCH('2019'!$A34,LUJ_4!$A:$A,0),MATCH('2019'!$A$1,LUJ_4!$3:$3,0))</f>
        <v>62</v>
      </c>
      <c r="W34" s="34">
        <f>INDEX(LUJ_5!$A:$J,MATCH('2019'!$A34,LUJ_5!$A:$A,0),MATCH('2019'!$A$1,LUJ_5!$3:$3,0))</f>
        <v>44.9</v>
      </c>
      <c r="X34" s="98">
        <f>1/INDEX(GUL_1!$A:$J,MATCH('2019'!$A34,GUL_1!$A:$A,0),MATCH('2019'!$A$1,GUL_1!$3:$3,0))</f>
        <v>1.3579576317218903E-2</v>
      </c>
      <c r="Y34" s="57">
        <f>INDEX(GUL_2!$A:$J,MATCH('2019'!$A34,GUL_2!$A:$A,0),MATCH('2019'!$A$1,GUL_2!$3:$3,0))</f>
        <v>25.1</v>
      </c>
      <c r="Z34" s="57">
        <f>INDEX(GUL_3!$A:$J,MATCH('2019'!$A34,GUL_3!$A:$A,0),MATCH('2019'!$A$1,GUL_3!$3:$3,0))/(B34/1000)</f>
        <v>0.87360516876157668</v>
      </c>
      <c r="AA34" s="101">
        <f>INDEX(GUL_4!$A:$J,MATCH('2019'!$A34,GUL_4!$A:$A,0),MATCH('2019'!$A$1,GUL_4!$3:$3,0))/B34/C34*10^6</f>
        <v>0.30136363741025812</v>
      </c>
      <c r="AB34" s="73">
        <f>INDEX(GUL_5!$A:$J,MATCH('2019'!$A34,GUL_5!$A:$A,0),MATCH('2019'!$A$1,GUL_5!$3:$3,0))</f>
        <v>3.8257456239784896E-2</v>
      </c>
      <c r="AC34" s="49" t="e">
        <f>INDEX(GUL_6!$A:$J,MATCH('2019'!$A34,GUL_6!$A:$A,0),MATCH('2019'!$A$1,GUL_6!$3:$3,0))</f>
        <v>#N/A</v>
      </c>
      <c r="AD34" s="49" t="e">
        <f>INDEX(GUL_7!$A:$J,MATCH('2019'!$A34,GUL_7!$A:$A,0),MATCH('2019'!$A$1,GUL_7!$3:$3,0))</f>
        <v>#N/A</v>
      </c>
      <c r="AE34" s="103">
        <f>INDEX(GUL_8!$A:$J,MATCH('2019'!$A34,GUL_8!$A:$A,0),MATCH('2019'!$A$1,GUL_8!$3:$3,0))/(B34/1000)</f>
        <v>1.3595739208155582</v>
      </c>
      <c r="AF34" s="41">
        <f>INDEX(DES_1!$A:$J,MATCH('2019'!$A34,DES_1!$A:$A,0),MATCH('2019'!$A$1,DES_1!$3:$3,0))/(B34/1000)</f>
        <v>0.14801604162666526</v>
      </c>
      <c r="AG34" s="100">
        <f>INDEX(DES_2!$A:$J,MATCH('2019'!$A34,DES_2!$A:$A,0),MATCH('2019'!$A$1,DES_2!$3:$3,0))/(B34/1000)</f>
        <v>0.33691763321314361</v>
      </c>
      <c r="AH34" s="57">
        <f>1/INDEX(DES_3!$A:$J,MATCH('2019'!$A34,DES_3!$A:$A,0),MATCH('2019'!$A$1,DES_3!$3:$3,0))</f>
        <v>7.7041602465331271E-3</v>
      </c>
      <c r="AI34" s="80">
        <f>INDEX(DES_4!$A:$J,MATCH('2019'!$A34,DES_4!$A:$A,0),MATCH('2019'!$A$1,DES_4!$3:$3,0))</f>
        <v>0.93398223476300002</v>
      </c>
      <c r="AJ34" s="110">
        <f>INDEX(DES_5!$A:$J,MATCH('2019'!$A34,DES_5!$A:$A,0),MATCH('2019'!$A$1,DES_5!$3:$3,0))</f>
        <v>0.56100722616999998</v>
      </c>
      <c r="AK34" s="57">
        <v>46</v>
      </c>
    </row>
    <row r="35" spans="1:37" x14ac:dyDescent="0.3">
      <c r="A35" s="29" t="s">
        <v>34</v>
      </c>
      <c r="B35" s="33">
        <f>INDEX(Population!$A:$J,MATCH('2019'!$A35,Population!$A:$A,0),MATCH('2019'!$A$1,Population!$3:$3,0))</f>
        <v>801163</v>
      </c>
      <c r="C35" s="14">
        <f>INDEX(Income!$A:$J,MATCH('2019'!$A35,Income!$A:$A,0),MATCH('2019'!$A$1,Income!$3:$3,0))</f>
        <v>19748</v>
      </c>
      <c r="D35" s="34">
        <f>INDEX(Livable_wage!$A:$J,MATCH('2019'!$A35,Livable_wage!$A:$A,0),MATCH('2019'!$A$1,Livable_wage!$3:$3,0))</f>
        <v>9914</v>
      </c>
      <c r="E35" s="41">
        <f>INDEX(AVA_1!$A:$J,MATCH('2019'!$A35,AVA_1!$A:$A,0),MATCH('2019'!$A$1,AVA_1!$3:$3,0))</f>
        <v>0.34599999999999997</v>
      </c>
      <c r="F35" s="15">
        <f>INDEX(AVA_2!$A:$J,MATCH('2019'!$A35,AVA_2!$A:$A,0),MATCH('2019'!$A$1,AVA_2!$3:$3,0))</f>
        <v>1.0450031344955518E-2</v>
      </c>
      <c r="G35" s="15">
        <f>INDEX(AVA_3!$A:$J,MATCH('2019'!$A35,AVA_3!$A:$A,0),MATCH('2019'!$A$1,AVA_3!$3:$3,0))</f>
        <v>6.1352303695093723E-2</v>
      </c>
      <c r="H35" s="87">
        <f>INDEX(AVA_4!$A:$J,MATCH('2019'!$A35,AVA_4!$A:$A,0),MATCH('2019'!$A$1,AVA_4!$3:$3,0))/(B35/1000)</f>
        <v>1.0559648910396511</v>
      </c>
      <c r="I35" s="89">
        <f>INDEX(AVA_5!$A:$J,MATCH('2019'!$A35,AVA_5!$A:$A,0),MATCH('2019'!$A$1,AVA_5!$3:$3,0))/(B35/1000)</f>
        <v>2.3852823957172262</v>
      </c>
      <c r="J35" s="93">
        <f>INDEX(IRA_1!$A:$J,MATCH('2019'!$A35,IRA_1!$A:$A,0),MATCH('2019'!$A$1,IRA_1!$3:$3,0))/(B35/1000)</f>
        <v>3.4949192611241409E-2</v>
      </c>
      <c r="K35" s="88">
        <f>INDEX(IRA_2!$A:$J,MATCH('2019'!$A35,IRA_2!$A:$A,0),MATCH('2019'!$A$1,IRA_2!$3:$3,0))/(B35/1000)</f>
        <v>0.10484757783372423</v>
      </c>
      <c r="L35" s="15">
        <f>INDEX(IRA_3!$A:$J,MATCH('2019'!$A35,IRA_3!$A:$A,0),MATCH('2019'!$A$1,IRA_3!$3:$3,0))</f>
        <v>0.38783894823336074</v>
      </c>
      <c r="M35" s="96">
        <f>INDEX(IRA_4!$A:$J,MATCH('2019'!$A35,IRA_4!$A:$A,0),MATCH('2019'!$A$1,IRA_4!$3:$3,0))/(B35/1000)</f>
        <v>2.5762547696286524</v>
      </c>
      <c r="N35" s="61">
        <f>INDEX(INV_1!$A:$J,MATCH('2019'!$A35,INV_1!$A:$A,0),MATCH('2019'!$A$1,INV_1!$3:$3,0))</f>
        <v>0.10184926208870121</v>
      </c>
      <c r="O35" s="80">
        <f>INDEX(INV_2!$A:$J,MATCH('2019'!$A35,INV_2!$A:$A,0),MATCH('2019'!$A$1,INV_2!$3:$3,0))/B35*10^6/C35</f>
        <v>0.34328818534390249</v>
      </c>
      <c r="P35" s="87">
        <f>INDEX(INV_3!$A:$J,MATCH('2019'!$A35,INV_3!$A:$A,0),MATCH('2019'!$A$1,INV_3!$3:$3,0))/B35*10^6/C35</f>
        <v>4.5639545778099038</v>
      </c>
      <c r="Q35" s="87">
        <f>INDEX(INV_4!$A:$J,MATCH('2019'!$A35,INV_4!$A:$A,0),MATCH('2019'!$A$1,INV_4!$3:$3,0))/B35*10^3/C35</f>
        <v>0.30687965985005305</v>
      </c>
      <c r="R35" s="34">
        <f>INDEX(INV_5!$A:$J,MATCH('2019'!$A35,INV_5!$A:$A,0),MATCH('2019'!$A$1,INV_5!$3:$3,0))</f>
        <v>4.2799999999999998E-2</v>
      </c>
      <c r="S35" s="77">
        <f>INDEX(LUJ_1!$A:$J,MATCH('2019'!$A35,LUJ_1!$A:$A,0),MATCH('2019'!$A$1,LUJ_1!$3:$3,0))</f>
        <v>0.63987058237929317</v>
      </c>
      <c r="T35" s="73">
        <f>INDEX(LUJ_2!$A:$J,MATCH('2019'!$A35,LUJ_2!$A:$A,0),MATCH('2019'!$A$1,LUJ_2!$3:$3,0))</f>
        <v>0.157</v>
      </c>
      <c r="U35" s="73">
        <f>INDEX(LUJ_3!$A:$J,MATCH('2019'!$A35,LUJ_3!$A:$A,0),MATCH('2019'!$A$1,LUJ_3!$3:$3,0))</f>
        <v>0.36650975117686618</v>
      </c>
      <c r="V35" s="14">
        <f>INDEX(LUJ_4!$A:$J,MATCH('2019'!$A35,LUJ_4!$A:$A,0),MATCH('2019'!$A$1,LUJ_4!$3:$3,0))</f>
        <v>9</v>
      </c>
      <c r="W35" s="34">
        <f>INDEX(LUJ_5!$A:$J,MATCH('2019'!$A35,LUJ_5!$A:$A,0),MATCH('2019'!$A$1,LUJ_5!$3:$3,0))</f>
        <v>21.6</v>
      </c>
      <c r="X35" s="98">
        <f>1/INDEX(GUL_1!$A:$J,MATCH('2019'!$A35,GUL_1!$A:$A,0),MATCH('2019'!$A$1,GUL_1!$3:$3,0))</f>
        <v>1.3522650439486139E-2</v>
      </c>
      <c r="Y35" s="57">
        <f>INDEX(GUL_2!$A:$J,MATCH('2019'!$A35,GUL_2!$A:$A,0),MATCH('2019'!$A$1,GUL_2!$3:$3,0))</f>
        <v>26.200000000000003</v>
      </c>
      <c r="Z35" s="57">
        <f>INDEX(GUL_3!$A:$J,MATCH('2019'!$A35,GUL_3!$A:$A,0),MATCH('2019'!$A$1,GUL_3!$3:$3,0))/(B35/1000)</f>
        <v>0.55169796907745361</v>
      </c>
      <c r="AA35" s="101">
        <f>INDEX(GUL_4!$A:$J,MATCH('2019'!$A35,GUL_4!$A:$A,0),MATCH('2019'!$A$1,GUL_4!$3:$3,0))/B35/C35*10^6</f>
        <v>0.31674254342702707</v>
      </c>
      <c r="AB35" s="73">
        <f>INDEX(GUL_5!$A:$J,MATCH('2019'!$A35,GUL_5!$A:$A,0),MATCH('2019'!$A$1,GUL_5!$3:$3,0))</f>
        <v>2.7658952105882116E-2</v>
      </c>
      <c r="AC35" s="49" t="e">
        <f>INDEX(GUL_6!$A:$J,MATCH('2019'!$A35,GUL_6!$A:$A,0),MATCH('2019'!$A$1,GUL_6!$3:$3,0))</f>
        <v>#N/A</v>
      </c>
      <c r="AD35" s="49" t="e">
        <f>INDEX(GUL_7!$A:$J,MATCH('2019'!$A35,GUL_7!$A:$A,0),MATCH('2019'!$A$1,GUL_7!$3:$3,0))</f>
        <v>#N/A</v>
      </c>
      <c r="AE35" s="103">
        <f>INDEX(GUL_8!$A:$J,MATCH('2019'!$A35,GUL_8!$A:$A,0),MATCH('2019'!$A$1,GUL_8!$3:$3,0))/(B35/1000)</f>
        <v>2.1206670802321126</v>
      </c>
      <c r="AF35" s="41">
        <f>INDEX(DES_1!$A:$J,MATCH('2019'!$A35,DES_1!$A:$A,0),MATCH('2019'!$A$1,DES_1!$3:$3,0))/(B35/1000)</f>
        <v>0.14603769769697303</v>
      </c>
      <c r="AG35" s="100">
        <f>INDEX(DES_2!$A:$J,MATCH('2019'!$A35,DES_2!$A:$A,0),MATCH('2019'!$A$1,DES_2!$3:$3,0))/(B35/1000)</f>
        <v>0.4493467621445324</v>
      </c>
      <c r="AH35" s="57">
        <f>1/INDEX(DES_3!$A:$J,MATCH('2019'!$A35,DES_3!$A:$A,0),MATCH('2019'!$A$1,DES_3!$3:$3,0))</f>
        <v>7.575757575757576E-3</v>
      </c>
      <c r="AI35" s="80">
        <f>INDEX(DES_4!$A:$J,MATCH('2019'!$A35,DES_4!$A:$A,0),MATCH('2019'!$A$1,DES_4!$3:$3,0))</f>
        <v>0.49006297239800001</v>
      </c>
      <c r="AJ35" s="110">
        <f>INDEX(DES_5!$A:$J,MATCH('2019'!$A35,DES_5!$A:$A,0),MATCH('2019'!$A$1,DES_5!$3:$3,0))</f>
        <v>0.27873852584600001</v>
      </c>
      <c r="AK35" s="57">
        <v>48</v>
      </c>
    </row>
    <row r="36" spans="1:37" x14ac:dyDescent="0.3">
      <c r="A36" s="29" t="s">
        <v>35</v>
      </c>
      <c r="B36" s="33">
        <f>INDEX(Population!$A:$J,MATCH('2019'!$A36,Population!$A:$A,0),MATCH('2019'!$A$1,Population!$3:$3,0))</f>
        <v>3989152</v>
      </c>
      <c r="C36" s="14">
        <f>INDEX(Income!$A:$J,MATCH('2019'!$A36,Income!$A:$A,0),MATCH('2019'!$A$1,Income!$3:$3,0))</f>
        <v>35733</v>
      </c>
      <c r="D36" s="34">
        <f>INDEX(Livable_wage!$A:$J,MATCH('2019'!$A36,Livable_wage!$A:$A,0),MATCH('2019'!$A$1,Livable_wage!$3:$3,0))</f>
        <v>9534</v>
      </c>
      <c r="E36" s="41">
        <f>INDEX(AVA_1!$A:$J,MATCH('2019'!$A36,AVA_1!$A:$A,0),MATCH('2019'!$A$1,AVA_1!$3:$3,0))</f>
        <v>0.39700000000000002</v>
      </c>
      <c r="F36" s="15">
        <f>INDEX(AVA_2!$A:$J,MATCH('2019'!$A36,AVA_2!$A:$A,0),MATCH('2019'!$A$1,AVA_2!$3:$3,0))</f>
        <v>1.671818861470278E-2</v>
      </c>
      <c r="G36" s="15">
        <f>INDEX(AVA_3!$A:$J,MATCH('2019'!$A36,AVA_3!$A:$A,0),MATCH('2019'!$A$1,AVA_3!$3:$3,0))</f>
        <v>0.19922438868260067</v>
      </c>
      <c r="H36" s="87">
        <f>INDEX(AVA_4!$A:$J,MATCH('2019'!$A36,AVA_4!$A:$A,0),MATCH('2019'!$A$1,AVA_4!$3:$3,0))/(B36/1000)</f>
        <v>0.55726129262560065</v>
      </c>
      <c r="I36" s="89">
        <f>INDEX(AVA_5!$A:$J,MATCH('2019'!$A36,AVA_5!$A:$A,0),MATCH('2019'!$A$1,AVA_5!$3:$3,0))/(B36/1000)</f>
        <v>5.0156023134741421</v>
      </c>
      <c r="J36" s="93">
        <f>INDEX(IRA_1!$A:$J,MATCH('2019'!$A36,IRA_1!$A:$A,0),MATCH('2019'!$A$1,IRA_1!$3:$3,0))/(B36/1000)</f>
        <v>5.2141407497132225E-2</v>
      </c>
      <c r="K36" s="88">
        <f>INDEX(IRA_2!$A:$J,MATCH('2019'!$A36,IRA_2!$A:$A,0),MATCH('2019'!$A$1,IRA_2!$3:$3,0))/(B36/1000)</f>
        <v>0.10002125765074883</v>
      </c>
      <c r="L36" s="15">
        <f>INDEX(IRA_3!$A:$J,MATCH('2019'!$A36,IRA_3!$A:$A,0),MATCH('2019'!$A$1,IRA_3!$3:$3,0))</f>
        <v>0.40693341973108699</v>
      </c>
      <c r="M36" s="96">
        <f>INDEX(IRA_4!$A:$J,MATCH('2019'!$A36,IRA_4!$A:$A,0),MATCH('2019'!$A$1,IRA_4!$3:$3,0))/(B36/1000)</f>
        <v>4.5488364444373142</v>
      </c>
      <c r="N36" s="61">
        <f>INDEX(INV_1!$A:$J,MATCH('2019'!$A36,INV_1!$A:$A,0),MATCH('2019'!$A$1,INV_1!$3:$3,0))</f>
        <v>0.10138094885392369</v>
      </c>
      <c r="O36" s="80">
        <f>INDEX(INV_2!$A:$J,MATCH('2019'!$A36,INV_2!$A:$A,0),MATCH('2019'!$A$1,INV_2!$3:$3,0))/B36*10^6/C36</f>
        <v>0.36824797671984372</v>
      </c>
      <c r="P36" s="87">
        <f>INDEX(INV_3!$A:$J,MATCH('2019'!$A36,INV_3!$A:$A,0),MATCH('2019'!$A$1,INV_3!$3:$3,0))/B36*10^6/C36</f>
        <v>3.2882814327120586</v>
      </c>
      <c r="Q36" s="87">
        <f>INDEX(INV_4!$A:$J,MATCH('2019'!$A36,INV_4!$A:$A,0),MATCH('2019'!$A$1,INV_4!$3:$3,0))/B36*10^3/C36</f>
        <v>0.20651541703906245</v>
      </c>
      <c r="R36" s="34">
        <f>INDEX(INV_5!$A:$J,MATCH('2019'!$A36,INV_5!$A:$A,0),MATCH('2019'!$A$1,INV_5!$3:$3,0))</f>
        <v>0.15790000000000001</v>
      </c>
      <c r="S36" s="77">
        <f>INDEX(LUJ_1!$A:$J,MATCH('2019'!$A36,LUJ_1!$A:$A,0),MATCH('2019'!$A$1,LUJ_1!$3:$3,0))</f>
        <v>0.55063055612983258</v>
      </c>
      <c r="T36" s="73">
        <f>INDEX(LUJ_2!$A:$J,MATCH('2019'!$A36,LUJ_2!$A:$A,0),MATCH('2019'!$A$1,LUJ_2!$3:$3,0))</f>
        <v>0.156</v>
      </c>
      <c r="U36" s="73">
        <f>INDEX(LUJ_3!$A:$J,MATCH('2019'!$A36,LUJ_3!$A:$A,0),MATCH('2019'!$A$1,LUJ_3!$3:$3,0))</f>
        <v>0.4077058703726143</v>
      </c>
      <c r="V36" s="14">
        <f>INDEX(LUJ_4!$A:$J,MATCH('2019'!$A36,LUJ_4!$A:$A,0),MATCH('2019'!$A$1,LUJ_4!$3:$3,0))</f>
        <v>66</v>
      </c>
      <c r="W36" s="34">
        <f>INDEX(LUJ_5!$A:$J,MATCH('2019'!$A36,LUJ_5!$A:$A,0),MATCH('2019'!$A$1,LUJ_5!$3:$3,0))</f>
        <v>27.8</v>
      </c>
      <c r="X36" s="98">
        <f>1/INDEX(GUL_1!$A:$J,MATCH('2019'!$A36,GUL_1!$A:$A,0),MATCH('2019'!$A$1,GUL_1!$3:$3,0))</f>
        <v>1.3328002132480341E-2</v>
      </c>
      <c r="Y36" s="57">
        <f>INDEX(GUL_2!$A:$J,MATCH('2019'!$A36,GUL_2!$A:$A,0),MATCH('2019'!$A$1,GUL_2!$3:$3,0))</f>
        <v>24</v>
      </c>
      <c r="Z36" s="57">
        <f>INDEX(GUL_3!$A:$J,MATCH('2019'!$A36,GUL_3!$A:$A,0),MATCH('2019'!$A$1,GUL_3!$3:$3,0))/(B36/1000)</f>
        <v>0.57029664449988371</v>
      </c>
      <c r="AA36" s="101">
        <f>INDEX(GUL_4!$A:$J,MATCH('2019'!$A36,GUL_4!$A:$A,0),MATCH('2019'!$A$1,GUL_4!$3:$3,0))/B36/C36*10^6</f>
        <v>0.33429023208363634</v>
      </c>
      <c r="AB36" s="73">
        <f>INDEX(GUL_5!$A:$J,MATCH('2019'!$A36,GUL_5!$A:$A,0),MATCH('2019'!$A$1,GUL_5!$3:$3,0))</f>
        <v>2.5743480226430745E-2</v>
      </c>
      <c r="AC36" s="49" t="e">
        <f>INDEX(GUL_6!$A:$J,MATCH('2019'!$A36,GUL_6!$A:$A,0),MATCH('2019'!$A$1,GUL_6!$3:$3,0))</f>
        <v>#N/A</v>
      </c>
      <c r="AD36" s="49" t="e">
        <f>INDEX(GUL_7!$A:$J,MATCH('2019'!$A36,GUL_7!$A:$A,0),MATCH('2019'!$A$1,GUL_7!$3:$3,0))</f>
        <v>#N/A</v>
      </c>
      <c r="AE36" s="103">
        <f>INDEX(GUL_8!$A:$J,MATCH('2019'!$A36,GUL_8!$A:$A,0),MATCH('2019'!$A$1,GUL_8!$3:$3,0))/(B36/1000)</f>
        <v>1.7409715147479965</v>
      </c>
      <c r="AF36" s="41">
        <f>INDEX(DES_1!$A:$J,MATCH('2019'!$A36,DES_1!$A:$A,0),MATCH('2019'!$A$1,DES_1!$3:$3,0))/(B36/1000)</f>
        <v>6.4926079527679065E-2</v>
      </c>
      <c r="AG36" s="100">
        <f>INDEX(DES_2!$A:$J,MATCH('2019'!$A36,DES_2!$A:$A,0),MATCH('2019'!$A$1,DES_2!$3:$3,0))/(B36/1000)</f>
        <v>0.36824869044849634</v>
      </c>
      <c r="AH36" s="57">
        <f>1/INDEX(DES_3!$A:$J,MATCH('2019'!$A36,DES_3!$A:$A,0),MATCH('2019'!$A$1,DES_3!$3:$3,0))</f>
        <v>8.4033613445378148E-3</v>
      </c>
      <c r="AI36" s="80">
        <f>INDEX(DES_4!$A:$J,MATCH('2019'!$A36,DES_4!$A:$A,0),MATCH('2019'!$A$1,DES_4!$3:$3,0))</f>
        <v>0.93383186225499992</v>
      </c>
      <c r="AJ36" s="110">
        <f>INDEX(DES_5!$A:$J,MATCH('2019'!$A36,DES_5!$A:$A,0),MATCH('2019'!$A$1,DES_5!$3:$3,0))</f>
        <v>0.71511002780300004</v>
      </c>
      <c r="AK36" s="57">
        <v>50</v>
      </c>
    </row>
    <row r="37" spans="1:37" x14ac:dyDescent="0.3">
      <c r="A37" s="29" t="s">
        <v>36</v>
      </c>
      <c r="B37" s="33">
        <f>INDEX(Population!$A:$J,MATCH('2019'!$A37,Population!$A:$A,0),MATCH('2019'!$A$1,Population!$3:$3,0))</f>
        <v>1201063</v>
      </c>
      <c r="C37" s="14">
        <f>INDEX(Income!$A:$J,MATCH('2019'!$A37,Income!$A:$A,0),MATCH('2019'!$A$1,Income!$3:$3,0))</f>
        <v>23684</v>
      </c>
      <c r="D37" s="34">
        <f>INDEX(Livable_wage!$A:$J,MATCH('2019'!$A37,Livable_wage!$A:$A,0),MATCH('2019'!$A$1,Livable_wage!$3:$3,0))</f>
        <v>11054</v>
      </c>
      <c r="E37" s="41">
        <f>INDEX(AVA_1!$A:$J,MATCH('2019'!$A37,AVA_1!$A:$A,0),MATCH('2019'!$A$1,AVA_1!$3:$3,0))</f>
        <v>0.34</v>
      </c>
      <c r="F37" s="15">
        <f>INDEX(AVA_2!$A:$J,MATCH('2019'!$A37,AVA_2!$A:$A,0),MATCH('2019'!$A$1,AVA_2!$3:$3,0))</f>
        <v>1.0110403125167273E-2</v>
      </c>
      <c r="G37" s="15">
        <f>INDEX(AVA_3!$A:$J,MATCH('2019'!$A37,AVA_3!$A:$A,0),MATCH('2019'!$A$1,AVA_3!$3:$3,0))</f>
        <v>7.1404626996976004E-3</v>
      </c>
      <c r="H37" s="87">
        <f>INDEX(AVA_4!$A:$J,MATCH('2019'!$A37,AVA_4!$A:$A,0),MATCH('2019'!$A$1,AVA_4!$3:$3,0))/(B37/1000)</f>
        <v>0.58448224614362443</v>
      </c>
      <c r="I37" s="89">
        <f>INDEX(AVA_5!$A:$J,MATCH('2019'!$A37,AVA_5!$A:$A,0),MATCH('2019'!$A$1,AVA_5!$3:$3,0))/(B37/1000)</f>
        <v>5.5733962331701159</v>
      </c>
      <c r="J37" s="93">
        <f>INDEX(IRA_1!$A:$J,MATCH('2019'!$A37,IRA_1!$A:$A,0),MATCH('2019'!$A$1,IRA_1!$3:$3,0))/(B37/1000)</f>
        <v>6.660766337819081E-2</v>
      </c>
      <c r="K37" s="88">
        <f>INDEX(IRA_2!$A:$J,MATCH('2019'!$A37,IRA_2!$A:$A,0),MATCH('2019'!$A$1,IRA_2!$3:$3,0))/(B37/1000)</f>
        <v>0.10740485719733268</v>
      </c>
      <c r="L37" s="15">
        <f>INDEX(IRA_3!$A:$J,MATCH('2019'!$A37,IRA_3!$A:$A,0),MATCH('2019'!$A$1,IRA_3!$3:$3,0))</f>
        <v>0.34143091430914307</v>
      </c>
      <c r="M37" s="96">
        <f>INDEX(IRA_4!$A:$J,MATCH('2019'!$A37,IRA_4!$A:$A,0),MATCH('2019'!$A$1,IRA_4!$3:$3,0))/(B37/1000)</f>
        <v>4.2220932623850702</v>
      </c>
      <c r="N37" s="61">
        <f>INDEX(INV_1!$A:$J,MATCH('2019'!$A37,INV_1!$A:$A,0),MATCH('2019'!$A$1,INV_1!$3:$3,0))</f>
        <v>7.2785141287906363E-2</v>
      </c>
      <c r="O37" s="80">
        <f>INDEX(INV_2!$A:$J,MATCH('2019'!$A37,INV_2!$A:$A,0),MATCH('2019'!$A$1,INV_2!$3:$3,0))/B37*10^6/C37</f>
        <v>0.40166284496784421</v>
      </c>
      <c r="P37" s="87">
        <f>INDEX(INV_3!$A:$J,MATCH('2019'!$A37,INV_3!$A:$A,0),MATCH('2019'!$A$1,INV_3!$3:$3,0))/B37*10^6/C37</f>
        <v>4.4653767404284297</v>
      </c>
      <c r="Q37" s="87">
        <f>INDEX(INV_4!$A:$J,MATCH('2019'!$A37,INV_4!$A:$A,0),MATCH('2019'!$A$1,INV_4!$3:$3,0))/B37*10^3/C37</f>
        <v>0.30579743763640366</v>
      </c>
      <c r="R37" s="34">
        <f>INDEX(INV_5!$A:$J,MATCH('2019'!$A37,INV_5!$A:$A,0),MATCH('2019'!$A$1,INV_5!$3:$3,0))</f>
        <v>4.3700000000000003E-2</v>
      </c>
      <c r="S37" s="77">
        <f>INDEX(LUJ_1!$A:$J,MATCH('2019'!$A37,LUJ_1!$A:$A,0),MATCH('2019'!$A$1,LUJ_1!$3:$3,0))</f>
        <v>0.74767459028495498</v>
      </c>
      <c r="T37" s="73">
        <f>INDEX(LUJ_2!$A:$J,MATCH('2019'!$A37,LUJ_2!$A:$A,0),MATCH('2019'!$A$1,LUJ_2!$3:$3,0))</f>
        <v>0.23399999999999999</v>
      </c>
      <c r="U37" s="73">
        <f>INDEX(LUJ_3!$A:$J,MATCH('2019'!$A37,LUJ_3!$A:$A,0),MATCH('2019'!$A$1,LUJ_3!$3:$3,0))</f>
        <v>0.65095939312806783</v>
      </c>
      <c r="V37" s="14">
        <f>INDEX(LUJ_4!$A:$J,MATCH('2019'!$A37,LUJ_4!$A:$A,0),MATCH('2019'!$A$1,LUJ_4!$3:$3,0))</f>
        <v>19</v>
      </c>
      <c r="W37" s="34">
        <f>INDEX(LUJ_5!$A:$J,MATCH('2019'!$A37,LUJ_5!$A:$A,0),MATCH('2019'!$A$1,LUJ_5!$3:$3,0))</f>
        <v>18.2</v>
      </c>
      <c r="X37" s="98">
        <f>1/INDEX(GUL_1!$A:$J,MATCH('2019'!$A37,GUL_1!$A:$A,0),MATCH('2019'!$A$1,GUL_1!$3:$3,0))</f>
        <v>1.3706140350877194E-2</v>
      </c>
      <c r="Y37" s="57">
        <f>INDEX(GUL_2!$A:$J,MATCH('2019'!$A37,GUL_2!$A:$A,0),MATCH('2019'!$A$1,GUL_2!$3:$3,0))</f>
        <v>25.2</v>
      </c>
      <c r="Z37" s="57">
        <f>INDEX(GUL_3!$A:$J,MATCH('2019'!$A37,GUL_3!$A:$A,0),MATCH('2019'!$A$1,GUL_3!$3:$3,0))/(B37/1000)</f>
        <v>0.74184285087460022</v>
      </c>
      <c r="AA37" s="101">
        <f>INDEX(GUL_4!$A:$J,MATCH('2019'!$A37,GUL_4!$A:$A,0),MATCH('2019'!$A$1,GUL_4!$3:$3,0))/B37/C37*10^6</f>
        <v>0.41013498578032903</v>
      </c>
      <c r="AB37" s="73">
        <f>INDEX(GUL_5!$A:$J,MATCH('2019'!$A37,GUL_5!$A:$A,0),MATCH('2019'!$A$1,GUL_5!$3:$3,0))</f>
        <v>3.5820988408663032E-2</v>
      </c>
      <c r="AC37" s="49" t="e">
        <f>INDEX(GUL_6!$A:$J,MATCH('2019'!$A37,GUL_6!$A:$A,0),MATCH('2019'!$A$1,GUL_6!$3:$3,0))</f>
        <v>#N/A</v>
      </c>
      <c r="AD37" s="49" t="e">
        <f>INDEX(GUL_7!$A:$J,MATCH('2019'!$A37,GUL_7!$A:$A,0),MATCH('2019'!$A$1,GUL_7!$3:$3,0))</f>
        <v>#N/A</v>
      </c>
      <c r="AE37" s="103">
        <f>INDEX(GUL_8!$A:$J,MATCH('2019'!$A37,GUL_8!$A:$A,0),MATCH('2019'!$A$1,GUL_8!$3:$3,0))/(B37/1000)</f>
        <v>3.7658307682444629</v>
      </c>
      <c r="AF37" s="41">
        <f>INDEX(DES_1!$A:$J,MATCH('2019'!$A37,DES_1!$A:$A,0),MATCH('2019'!$A$1,DES_1!$3:$3,0))/(B37/1000)</f>
        <v>0.27642180301949187</v>
      </c>
      <c r="AG37" s="100">
        <f>INDEX(DES_2!$A:$J,MATCH('2019'!$A37,DES_2!$A:$A,0),MATCH('2019'!$A$1,DES_2!$3:$3,0))/(B37/1000)</f>
        <v>0.3471924453588196</v>
      </c>
      <c r="AH37" s="57">
        <f>1/INDEX(DES_3!$A:$J,MATCH('2019'!$A37,DES_3!$A:$A,0),MATCH('2019'!$A$1,DES_3!$3:$3,0))</f>
        <v>8.3963056255247689E-3</v>
      </c>
      <c r="AI37" s="80">
        <f>INDEX(DES_4!$A:$J,MATCH('2019'!$A37,DES_4!$A:$A,0),MATCH('2019'!$A$1,DES_4!$3:$3,0))</f>
        <v>0.79724218966899996</v>
      </c>
      <c r="AJ37" s="110">
        <f>INDEX(DES_5!$A:$J,MATCH('2019'!$A37,DES_5!$A:$A,0),MATCH('2019'!$A$1,DES_5!$3:$3,0))</f>
        <v>0.64447032383500003</v>
      </c>
      <c r="AK37" s="57">
        <v>52</v>
      </c>
    </row>
    <row r="38" spans="1:37" x14ac:dyDescent="0.3">
      <c r="A38" s="29" t="s">
        <v>37</v>
      </c>
      <c r="B38" s="33">
        <f>INDEX(Population!$A:$J,MATCH('2019'!$A38,Population!$A:$A,0),MATCH('2019'!$A$1,Population!$3:$3,0))</f>
        <v>601815</v>
      </c>
      <c r="C38" s="14">
        <f>INDEX(Income!$A:$J,MATCH('2019'!$A38,Income!$A:$A,0),MATCH('2019'!$A$1,Income!$3:$3,0))</f>
        <v>25318</v>
      </c>
      <c r="D38" s="34">
        <f>INDEX(Livable_wage!$A:$J,MATCH('2019'!$A38,Livable_wage!$A:$A,0),MATCH('2019'!$A$1,Livable_wage!$3:$3,0))</f>
        <v>11052</v>
      </c>
      <c r="E38" s="41">
        <f>INDEX(AVA_1!$A:$J,MATCH('2019'!$A38,AVA_1!$A:$A,0),MATCH('2019'!$A$1,AVA_1!$3:$3,0))</f>
        <v>0.33800000000000002</v>
      </c>
      <c r="F38" s="15">
        <f>INDEX(AVA_2!$A:$J,MATCH('2019'!$A38,AVA_2!$A:$A,0),MATCH('2019'!$A$1,AVA_2!$3:$3,0))</f>
        <v>1.2946927374301675E-2</v>
      </c>
      <c r="G38" s="15">
        <f>INDEX(AVA_3!$A:$J,MATCH('2019'!$A38,AVA_3!$A:$A,0),MATCH('2019'!$A$1,AVA_3!$3:$3,0))</f>
        <v>1.2606986128508864E-2</v>
      </c>
      <c r="H38" s="87">
        <f>INDEX(AVA_4!$A:$J,MATCH('2019'!$A38,AVA_4!$A:$A,0),MATCH('2019'!$A$1,AVA_4!$3:$3,0))/(B38/1000)</f>
        <v>0.6596711614034213</v>
      </c>
      <c r="I38" s="89">
        <f>INDEX(AVA_5!$A:$J,MATCH('2019'!$A38,AVA_5!$A:$A,0),MATCH('2019'!$A$1,AVA_5!$3:$3,0))/(B38/1000)</f>
        <v>4.7124116215115937</v>
      </c>
      <c r="J38" s="93">
        <f>INDEX(IRA_1!$A:$J,MATCH('2019'!$A38,IRA_1!$A:$A,0),MATCH('2019'!$A$1,IRA_1!$3:$3,0))/(B38/1000)</f>
        <v>5.1510846356438433E-2</v>
      </c>
      <c r="K38" s="88">
        <f>INDEX(IRA_2!$A:$J,MATCH('2019'!$A38,IRA_2!$A:$A,0),MATCH('2019'!$A$1,IRA_2!$3:$3,0))/(B38/1000)</f>
        <v>0.1429010576339905</v>
      </c>
      <c r="L38" s="15">
        <f>INDEX(IRA_3!$A:$J,MATCH('2019'!$A38,IRA_3!$A:$A,0),MATCH('2019'!$A$1,IRA_3!$3:$3,0))</f>
        <v>0.36953868684403224</v>
      </c>
      <c r="M38" s="96">
        <f>INDEX(IRA_4!$A:$J,MATCH('2019'!$A38,IRA_4!$A:$A,0),MATCH('2019'!$A$1,IRA_4!$3:$3,0))/(B38/1000)</f>
        <v>3.0308317340046358</v>
      </c>
      <c r="N38" s="61">
        <f>INDEX(INV_1!$A:$J,MATCH('2019'!$A38,INV_1!$A:$A,0),MATCH('2019'!$A$1,INV_1!$3:$3,0))</f>
        <v>7.6732484546594579E-2</v>
      </c>
      <c r="O38" s="80">
        <f>INDEX(INV_2!$A:$J,MATCH('2019'!$A38,INV_2!$A:$A,0),MATCH('2019'!$A$1,INV_2!$3:$3,0))/B38*10^6/C38</f>
        <v>0.48426814479059693</v>
      </c>
      <c r="P38" s="87">
        <f>INDEX(INV_3!$A:$J,MATCH('2019'!$A38,INV_3!$A:$A,0),MATCH('2019'!$A$1,INV_3!$3:$3,0))/B38*10^6/C38</f>
        <v>3.6238037728745178</v>
      </c>
      <c r="Q38" s="87">
        <f>INDEX(INV_4!$A:$J,MATCH('2019'!$A38,INV_4!$A:$A,0),MATCH('2019'!$A$1,INV_4!$3:$3,0))/B38*10^3/C38</f>
        <v>0.32707439514650843</v>
      </c>
      <c r="R38" s="34">
        <f>INDEX(INV_5!$A:$J,MATCH('2019'!$A38,INV_5!$A:$A,0),MATCH('2019'!$A$1,INV_5!$3:$3,0))</f>
        <v>0.1429</v>
      </c>
      <c r="S38" s="77">
        <f>INDEX(LUJ_1!$A:$J,MATCH('2019'!$A38,LUJ_1!$A:$A,0),MATCH('2019'!$A$1,LUJ_1!$3:$3,0))</f>
        <v>0.78145879732739421</v>
      </c>
      <c r="T38" s="73">
        <f>INDEX(LUJ_2!$A:$J,MATCH('2019'!$A38,LUJ_2!$A:$A,0),MATCH('2019'!$A$1,LUJ_2!$3:$3,0))</f>
        <v>0.187</v>
      </c>
      <c r="U38" s="73">
        <f>INDEX(LUJ_3!$A:$J,MATCH('2019'!$A38,LUJ_3!$A:$A,0),MATCH('2019'!$A$1,LUJ_3!$3:$3,0))</f>
        <v>0.51761673320604062</v>
      </c>
      <c r="V38" s="14">
        <f>INDEX(LUJ_4!$A:$J,MATCH('2019'!$A38,LUJ_4!$A:$A,0),MATCH('2019'!$A$1,LUJ_4!$3:$3,0))</f>
        <v>21</v>
      </c>
      <c r="W38" s="34">
        <f>INDEX(LUJ_5!$A:$J,MATCH('2019'!$A38,LUJ_5!$A:$A,0),MATCH('2019'!$A$1,LUJ_5!$3:$3,0))</f>
        <v>40.200000000000003</v>
      </c>
      <c r="X38" s="98">
        <f>1/INDEX(GUL_1!$A:$J,MATCH('2019'!$A38,GUL_1!$A:$A,0),MATCH('2019'!$A$1,GUL_1!$3:$3,0))</f>
        <v>1.3821700069108501E-2</v>
      </c>
      <c r="Y38" s="57">
        <f>INDEX(GUL_2!$A:$J,MATCH('2019'!$A38,GUL_2!$A:$A,0),MATCH('2019'!$A$1,GUL_2!$3:$3,0))</f>
        <v>25.3</v>
      </c>
      <c r="Z38" s="57">
        <f>INDEX(GUL_3!$A:$J,MATCH('2019'!$A38,GUL_3!$A:$A,0),MATCH('2019'!$A$1,GUL_3!$3:$3,0))/(B38/1000)</f>
        <v>0.80423385924245816</v>
      </c>
      <c r="AA38" s="101">
        <f>INDEX(GUL_4!$A:$J,MATCH('2019'!$A38,GUL_4!$A:$A,0),MATCH('2019'!$A$1,GUL_4!$3:$3,0))/B38/C38*10^6</f>
        <v>0.31329445716120752</v>
      </c>
      <c r="AB38" s="73">
        <f>INDEX(GUL_5!$A:$J,MATCH('2019'!$A38,GUL_5!$A:$A,0),MATCH('2019'!$A$1,GUL_5!$3:$3,0))</f>
        <v>4.4554773651900519E-2</v>
      </c>
      <c r="AC38" s="49" t="e">
        <f>INDEX(GUL_6!$A:$J,MATCH('2019'!$A38,GUL_6!$A:$A,0),MATCH('2019'!$A$1,GUL_6!$3:$3,0))</f>
        <v>#N/A</v>
      </c>
      <c r="AD38" s="49" t="e">
        <f>INDEX(GUL_7!$A:$J,MATCH('2019'!$A38,GUL_7!$A:$A,0),MATCH('2019'!$A$1,GUL_7!$3:$3,0))</f>
        <v>#N/A</v>
      </c>
      <c r="AE38" s="103">
        <f>INDEX(GUL_8!$A:$J,MATCH('2019'!$A38,GUL_8!$A:$A,0),MATCH('2019'!$A$1,GUL_8!$3:$3,0))/(B38/1000)</f>
        <v>2.7616460207871185</v>
      </c>
      <c r="AF38" s="41">
        <f>INDEX(DES_1!$A:$J,MATCH('2019'!$A38,DES_1!$A:$A,0),MATCH('2019'!$A$1,DES_1!$3:$3,0))/(B38/1000)</f>
        <v>0.19441190399042893</v>
      </c>
      <c r="AG38" s="100">
        <f>INDEX(DES_2!$A:$J,MATCH('2019'!$A38,DES_2!$A:$A,0),MATCH('2019'!$A$1,DES_2!$3:$3,0))/(B38/1000)</f>
        <v>0.4237182522868323</v>
      </c>
      <c r="AH38" s="57">
        <f>1/INDEX(DES_3!$A:$J,MATCH('2019'!$A38,DES_3!$A:$A,0),MATCH('2019'!$A$1,DES_3!$3:$3,0))</f>
        <v>8.1234768480909839E-3</v>
      </c>
      <c r="AI38" s="80">
        <f>INDEX(DES_4!$A:$J,MATCH('2019'!$A38,DES_4!$A:$A,0),MATCH('2019'!$A$1,DES_4!$3:$3,0))</f>
        <v>0.71687458922100011</v>
      </c>
      <c r="AJ38" s="110">
        <f>INDEX(DES_5!$A:$J,MATCH('2019'!$A38,DES_5!$A:$A,0),MATCH('2019'!$A$1,DES_5!$3:$3,0))</f>
        <v>0.45729299442799998</v>
      </c>
      <c r="AK38" s="57">
        <v>53</v>
      </c>
    </row>
    <row r="39" spans="1:37" x14ac:dyDescent="0.3">
      <c r="A39" s="29" t="s">
        <v>38</v>
      </c>
      <c r="B39" s="33">
        <f>INDEX(Population!$A:$J,MATCH('2019'!$A39,Population!$A:$A,0),MATCH('2019'!$A$1,Population!$3:$3,0))</f>
        <v>1261790</v>
      </c>
      <c r="C39" s="14">
        <f>INDEX(Income!$A:$J,MATCH('2019'!$A39,Income!$A:$A,0),MATCH('2019'!$A$1,Income!$3:$3,0))</f>
        <v>27212</v>
      </c>
      <c r="D39" s="34">
        <f>INDEX(Livable_wage!$A:$J,MATCH('2019'!$A39,Livable_wage!$A:$A,0),MATCH('2019'!$A$1,Livable_wage!$3:$3,0))</f>
        <v>11234</v>
      </c>
      <c r="E39" s="41">
        <f>INDEX(AVA_1!$A:$J,MATCH('2019'!$A39,AVA_1!$A:$A,0),MATCH('2019'!$A$1,AVA_1!$3:$3,0))</f>
        <v>0.34200000000000003</v>
      </c>
      <c r="F39" s="15">
        <f>INDEX(AVA_2!$A:$J,MATCH('2019'!$A39,AVA_2!$A:$A,0),MATCH('2019'!$A$1,AVA_2!$3:$3,0))</f>
        <v>1.0680026855266667E-2</v>
      </c>
      <c r="G39" s="15">
        <f>INDEX(AVA_3!$A:$J,MATCH('2019'!$A39,AVA_3!$A:$A,0),MATCH('2019'!$A$1,AVA_3!$3:$3,0))</f>
        <v>2.5524660812599183E-2</v>
      </c>
      <c r="H39" s="87">
        <f>INDEX(AVA_4!$A:$J,MATCH('2019'!$A39,AVA_4!$A:$A,0),MATCH('2019'!$A$1,AVA_4!$3:$3,0))/(B39/1000)</f>
        <v>0.49770564039974957</v>
      </c>
      <c r="I39" s="89">
        <f>INDEX(AVA_5!$A:$J,MATCH('2019'!$A39,AVA_5!$A:$A,0),MATCH('2019'!$A$1,AVA_5!$3:$3,0))/(B39/1000)</f>
        <v>6.3925058844974201</v>
      </c>
      <c r="J39" s="93">
        <f>INDEX(IRA_1!$A:$J,MATCH('2019'!$A39,IRA_1!$A:$A,0),MATCH('2019'!$A$1,IRA_1!$3:$3,0))/(B39/1000)</f>
        <v>6.4194517312706548E-2</v>
      </c>
      <c r="K39" s="88">
        <f>INDEX(IRA_2!$A:$J,MATCH('2019'!$A39,IRA_2!$A:$A,0),MATCH('2019'!$A$1,IRA_2!$3:$3,0))/(B39/1000)</f>
        <v>0.12521893500503253</v>
      </c>
      <c r="L39" s="15">
        <f>INDEX(IRA_3!$A:$J,MATCH('2019'!$A39,IRA_3!$A:$A,0),MATCH('2019'!$A$1,IRA_3!$3:$3,0))</f>
        <v>0.45874886672710791</v>
      </c>
      <c r="M39" s="96">
        <f>INDEX(IRA_4!$A:$J,MATCH('2019'!$A39,IRA_4!$A:$A,0),MATCH('2019'!$A$1,IRA_4!$3:$3,0))/(B39/1000)</f>
        <v>5.8670618724193409</v>
      </c>
      <c r="N39" s="61">
        <f>INDEX(INV_1!$A:$J,MATCH('2019'!$A39,INV_1!$A:$A,0),MATCH('2019'!$A$1,INV_1!$3:$3,0))</f>
        <v>7.4522359801701563E-2</v>
      </c>
      <c r="O39" s="80">
        <f>INDEX(INV_2!$A:$J,MATCH('2019'!$A39,INV_2!$A:$A,0),MATCH('2019'!$A$1,INV_2!$3:$3,0))/B39*10^6/C39</f>
        <v>0.2563670968871552</v>
      </c>
      <c r="P39" s="87">
        <f>INDEX(INV_3!$A:$J,MATCH('2019'!$A39,INV_3!$A:$A,0),MATCH('2019'!$A$1,INV_3!$3:$3,0))/B39*10^6/C39</f>
        <v>4.0144654166659732</v>
      </c>
      <c r="Q39" s="87">
        <f>INDEX(INV_4!$A:$J,MATCH('2019'!$A39,INV_4!$A:$A,0),MATCH('2019'!$A$1,INV_4!$3:$3,0))/B39*10^3/C39</f>
        <v>0.2691255676634377</v>
      </c>
      <c r="R39" s="34">
        <f>INDEX(INV_5!$A:$J,MATCH('2019'!$A39,INV_5!$A:$A,0),MATCH('2019'!$A$1,INV_5!$3:$3,0))</f>
        <v>6.2600000000000003E-2</v>
      </c>
      <c r="S39" s="77">
        <f>INDEX(LUJ_1!$A:$J,MATCH('2019'!$A39,LUJ_1!$A:$A,0),MATCH('2019'!$A$1,LUJ_1!$3:$3,0))</f>
        <v>0.73299252850963426</v>
      </c>
      <c r="T39" s="73">
        <f>INDEX(LUJ_2!$A:$J,MATCH('2019'!$A39,LUJ_2!$A:$A,0),MATCH('2019'!$A$1,LUJ_2!$3:$3,0))</f>
        <v>0.214</v>
      </c>
      <c r="U39" s="73">
        <f>INDEX(LUJ_3!$A:$J,MATCH('2019'!$A39,LUJ_3!$A:$A,0),MATCH('2019'!$A$1,LUJ_3!$3:$3,0))</f>
        <v>0.44269704372382374</v>
      </c>
      <c r="V39" s="14">
        <f>INDEX(LUJ_4!$A:$J,MATCH('2019'!$A39,LUJ_4!$A:$A,0),MATCH('2019'!$A$1,LUJ_4!$3:$3,0))</f>
        <v>27</v>
      </c>
      <c r="W39" s="34">
        <f>INDEX(LUJ_5!$A:$J,MATCH('2019'!$A39,LUJ_5!$A:$A,0),MATCH('2019'!$A$1,LUJ_5!$3:$3,0))</f>
        <v>51.5</v>
      </c>
      <c r="X39" s="98">
        <f>1/INDEX(GUL_1!$A:$J,MATCH('2019'!$A39,GUL_1!$A:$A,0),MATCH('2019'!$A$1,GUL_1!$3:$3,0))</f>
        <v>1.4037057832678272E-2</v>
      </c>
      <c r="Y39" s="57">
        <f>INDEX(GUL_2!$A:$J,MATCH('2019'!$A39,GUL_2!$A:$A,0),MATCH('2019'!$A$1,GUL_2!$3:$3,0))</f>
        <v>25.8</v>
      </c>
      <c r="Z39" s="57">
        <f>INDEX(GUL_3!$A:$J,MATCH('2019'!$A39,GUL_3!$A:$A,0),MATCH('2019'!$A$1,GUL_3!$3:$3,0))/(B39/1000)</f>
        <v>0.94468968687341004</v>
      </c>
      <c r="AA39" s="101">
        <f>INDEX(GUL_4!$A:$J,MATCH('2019'!$A39,GUL_4!$A:$A,0),MATCH('2019'!$A$1,GUL_4!$3:$3,0))/B39/C39*10^6</f>
        <v>0.26933935017899563</v>
      </c>
      <c r="AB39" s="73">
        <f>INDEX(GUL_5!$A:$J,MATCH('2019'!$A39,GUL_5!$A:$A,0),MATCH('2019'!$A$1,GUL_5!$3:$3,0))</f>
        <v>3.489349917020719E-2</v>
      </c>
      <c r="AC39" s="49" t="e">
        <f>INDEX(GUL_6!$A:$J,MATCH('2019'!$A39,GUL_6!$A:$A,0),MATCH('2019'!$A$1,GUL_6!$3:$3,0))</f>
        <v>#N/A</v>
      </c>
      <c r="AD39" s="49" t="e">
        <f>INDEX(GUL_7!$A:$J,MATCH('2019'!$A39,GUL_7!$A:$A,0),MATCH('2019'!$A$1,GUL_7!$3:$3,0))</f>
        <v>#N/A</v>
      </c>
      <c r="AE39" s="103">
        <f>INDEX(GUL_8!$A:$J,MATCH('2019'!$A39,GUL_8!$A:$A,0),MATCH('2019'!$A$1,GUL_8!$3:$3,0))/(B39/1000)</f>
        <v>2.2040117610695917</v>
      </c>
      <c r="AF39" s="41">
        <f>INDEX(DES_1!$A:$J,MATCH('2019'!$A39,DES_1!$A:$A,0),MATCH('2019'!$A$1,DES_1!$3:$3,0))/(B39/1000)</f>
        <v>0.16801527988017023</v>
      </c>
      <c r="AG39" s="100">
        <f>INDEX(DES_2!$A:$J,MATCH('2019'!$A39,DES_2!$A:$A,0),MATCH('2019'!$A$1,DES_2!$3:$3,0))/(B39/1000)</f>
        <v>0.28293139111896592</v>
      </c>
      <c r="AH39" s="57">
        <f>1/INDEX(DES_3!$A:$J,MATCH('2019'!$A39,DES_3!$A:$A,0),MATCH('2019'!$A$1,DES_3!$3:$3,0))</f>
        <v>8.8417329796640146E-3</v>
      </c>
      <c r="AI39" s="80">
        <f>INDEX(DES_4!$A:$J,MATCH('2019'!$A39,DES_4!$A:$A,0),MATCH('2019'!$A$1,DES_4!$3:$3,0))</f>
        <v>0.73245087922399998</v>
      </c>
      <c r="AJ39" s="110">
        <f>INDEX(DES_5!$A:$J,MATCH('2019'!$A39,DES_5!$A:$A,0),MATCH('2019'!$A$1,DES_5!$3:$3,0))</f>
        <v>0.60761270729600003</v>
      </c>
      <c r="AK39" s="57">
        <v>54</v>
      </c>
    </row>
    <row r="40" spans="1:37" x14ac:dyDescent="0.3">
      <c r="A40" s="29" t="s">
        <v>39</v>
      </c>
      <c r="B40" s="33">
        <f>INDEX(Population!$A:$J,MATCH('2019'!$A40,Population!$A:$A,0),MATCH('2019'!$A$1,Population!$3:$3,0))</f>
        <v>1522369</v>
      </c>
      <c r="C40" s="14">
        <f>INDEX(Income!$A:$J,MATCH('2019'!$A40,Income!$A:$A,0),MATCH('2019'!$A$1,Income!$3:$3,0))</f>
        <v>28561</v>
      </c>
      <c r="D40" s="34">
        <f>INDEX(Livable_wage!$A:$J,MATCH('2019'!$A40,Livable_wage!$A:$A,0),MATCH('2019'!$A$1,Livable_wage!$3:$3,0))</f>
        <v>11100</v>
      </c>
      <c r="E40" s="41">
        <f>INDEX(AVA_1!$A:$J,MATCH('2019'!$A40,AVA_1!$A:$A,0),MATCH('2019'!$A$1,AVA_1!$3:$3,0))</f>
        <v>0.34699999999999998</v>
      </c>
      <c r="F40" s="15">
        <f>INDEX(AVA_2!$A:$J,MATCH('2019'!$A40,AVA_2!$A:$A,0),MATCH('2019'!$A$1,AVA_2!$3:$3,0))</f>
        <v>1.083196098706803E-2</v>
      </c>
      <c r="G40" s="15">
        <f>INDEX(AVA_3!$A:$J,MATCH('2019'!$A40,AVA_3!$A:$A,0),MATCH('2019'!$A$1,AVA_3!$3:$3,0))</f>
        <v>2.374744557106059E-2</v>
      </c>
      <c r="H40" s="87">
        <f>INDEX(AVA_4!$A:$J,MATCH('2019'!$A40,AVA_4!$A:$A,0),MATCH('2019'!$A$1,AVA_4!$3:$3,0))/(B40/1000)</f>
        <v>0.62928238817264415</v>
      </c>
      <c r="I40" s="89">
        <f>INDEX(AVA_5!$A:$J,MATCH('2019'!$A40,AVA_5!$A:$A,0),MATCH('2019'!$A$1,AVA_5!$3:$3,0))/(B40/1000)</f>
        <v>2.9651155534564881</v>
      </c>
      <c r="J40" s="93">
        <f>INDEX(IRA_1!$A:$J,MATCH('2019'!$A40,IRA_1!$A:$A,0),MATCH('2019'!$A$1,IRA_1!$3:$3,0))/(B40/1000)</f>
        <v>4.2039742007358272E-2</v>
      </c>
      <c r="K40" s="88">
        <f>INDEX(IRA_2!$A:$J,MATCH('2019'!$A40,IRA_2!$A:$A,0),MATCH('2019'!$A$1,IRA_2!$3:$3,0))/(B40/1000)</f>
        <v>0.1287467098975347</v>
      </c>
      <c r="L40" s="15">
        <f>INDEX(IRA_3!$A:$J,MATCH('2019'!$A40,IRA_3!$A:$A,0),MATCH('2019'!$A$1,IRA_3!$3:$3,0))</f>
        <v>0.44453286646506451</v>
      </c>
      <c r="M40" s="96">
        <f>INDEX(IRA_4!$A:$J,MATCH('2019'!$A40,IRA_4!$A:$A,0),MATCH('2019'!$A$1,IRA_4!$3:$3,0))/(B40/1000)</f>
        <v>2.2924796813387558</v>
      </c>
      <c r="N40" s="61">
        <f>INDEX(INV_1!$A:$J,MATCH('2019'!$A40,INV_1!$A:$A,0),MATCH('2019'!$A$1,INV_1!$3:$3,0))</f>
        <v>8.6900140399177137E-2</v>
      </c>
      <c r="O40" s="80">
        <f>INDEX(INV_2!$A:$J,MATCH('2019'!$A40,INV_2!$A:$A,0),MATCH('2019'!$A$1,INV_2!$3:$3,0))/B40*10^6/C40</f>
        <v>0.35717805064278063</v>
      </c>
      <c r="P40" s="87">
        <f>INDEX(INV_3!$A:$J,MATCH('2019'!$A40,INV_3!$A:$A,0),MATCH('2019'!$A$1,INV_3!$3:$3,0))/B40*10^6/C40</f>
        <v>3.8225516001250543</v>
      </c>
      <c r="Q40" s="87">
        <f>INDEX(INV_4!$A:$J,MATCH('2019'!$A40,INV_4!$A:$A,0),MATCH('2019'!$A$1,INV_4!$3:$3,0))/B40*10^3/C40</f>
        <v>0.26527418395005631</v>
      </c>
      <c r="R40" s="34">
        <f>INDEX(INV_5!$A:$J,MATCH('2019'!$A40,INV_5!$A:$A,0),MATCH('2019'!$A$1,INV_5!$3:$3,0))</f>
        <v>6.9500000000000006E-2</v>
      </c>
      <c r="S40" s="77">
        <f>INDEX(LUJ_1!$A:$J,MATCH('2019'!$A40,LUJ_1!$A:$A,0),MATCH('2019'!$A$1,LUJ_1!$3:$3,0))</f>
        <v>0.67654867256637163</v>
      </c>
      <c r="T40" s="73">
        <f>INDEX(LUJ_2!$A:$J,MATCH('2019'!$A40,LUJ_2!$A:$A,0),MATCH('2019'!$A$1,LUJ_2!$3:$3,0))</f>
        <v>0.192</v>
      </c>
      <c r="U40" s="73">
        <f>INDEX(LUJ_3!$A:$J,MATCH('2019'!$A40,LUJ_3!$A:$A,0),MATCH('2019'!$A$1,LUJ_3!$3:$3,0))</f>
        <v>0.35487891737891736</v>
      </c>
      <c r="V40" s="14">
        <f>INDEX(LUJ_4!$A:$J,MATCH('2019'!$A40,LUJ_4!$A:$A,0),MATCH('2019'!$A$1,LUJ_4!$3:$3,0))</f>
        <v>8</v>
      </c>
      <c r="W40" s="34">
        <f>INDEX(LUJ_5!$A:$J,MATCH('2019'!$A40,LUJ_5!$A:$A,0),MATCH('2019'!$A$1,LUJ_5!$3:$3,0))</f>
        <v>56.1</v>
      </c>
      <c r="X40" s="98">
        <f>1/INDEX(GUL_1!$A:$J,MATCH('2019'!$A40,GUL_1!$A:$A,0),MATCH('2019'!$A$1,GUL_1!$3:$3,0))</f>
        <v>1.3848497438027975E-2</v>
      </c>
      <c r="Y40" s="57">
        <f>INDEX(GUL_2!$A:$J,MATCH('2019'!$A40,GUL_2!$A:$A,0),MATCH('2019'!$A$1,GUL_2!$3:$3,0))</f>
        <v>25.8</v>
      </c>
      <c r="Z40" s="57">
        <f>INDEX(GUL_3!$A:$J,MATCH('2019'!$A40,GUL_3!$A:$A,0),MATCH('2019'!$A$1,GUL_3!$3:$3,0))/(B40/1000)</f>
        <v>1.0286599372425478</v>
      </c>
      <c r="AA40" s="101">
        <f>INDEX(GUL_4!$A:$J,MATCH('2019'!$A40,GUL_4!$A:$A,0),MATCH('2019'!$A$1,GUL_4!$3:$3,0))/B40/C40*10^6</f>
        <v>0.20679418605229913</v>
      </c>
      <c r="AB40" s="73">
        <f>INDEX(GUL_5!$A:$J,MATCH('2019'!$A40,GUL_5!$A:$A,0),MATCH('2019'!$A$1,GUL_5!$3:$3,0))</f>
        <v>3.6203078251259568E-2</v>
      </c>
      <c r="AC40" s="49" t="e">
        <f>INDEX(GUL_6!$A:$J,MATCH('2019'!$A40,GUL_6!$A:$A,0),MATCH('2019'!$A$1,GUL_6!$3:$3,0))</f>
        <v>#N/A</v>
      </c>
      <c r="AD40" s="49" t="e">
        <f>INDEX(GUL_7!$A:$J,MATCH('2019'!$A40,GUL_7!$A:$A,0),MATCH('2019'!$A$1,GUL_7!$3:$3,0))</f>
        <v>#N/A</v>
      </c>
      <c r="AE40" s="103">
        <f>INDEX(GUL_8!$A:$J,MATCH('2019'!$A40,GUL_8!$A:$A,0),MATCH('2019'!$A$1,GUL_8!$3:$3,0))/(B40/1000)</f>
        <v>1.4181844217794766</v>
      </c>
      <c r="AF40" s="41">
        <f>INDEX(DES_1!$A:$J,MATCH('2019'!$A40,DES_1!$A:$A,0),MATCH('2019'!$A$1,DES_1!$3:$3,0))/(B40/1000)</f>
        <v>0.10312874211180076</v>
      </c>
      <c r="AG40" s="100">
        <f>INDEX(DES_2!$A:$J,MATCH('2019'!$A40,DES_2!$A:$A,0),MATCH('2019'!$A$1,DES_2!$3:$3,0))/(B40/1000)</f>
        <v>0.16947270996716304</v>
      </c>
      <c r="AH40" s="57">
        <f>1/INDEX(DES_3!$A:$J,MATCH('2019'!$A40,DES_3!$A:$A,0),MATCH('2019'!$A$1,DES_3!$3:$3,0))</f>
        <v>6.9589422407794017E-3</v>
      </c>
      <c r="AI40" s="80">
        <f>INDEX(DES_4!$A:$J,MATCH('2019'!$A40,DES_4!$A:$A,0),MATCH('2019'!$A$1,DES_4!$3:$3,0))</f>
        <v>0.89669419749699997</v>
      </c>
      <c r="AJ40" s="110">
        <f>INDEX(DES_5!$A:$J,MATCH('2019'!$A40,DES_5!$A:$A,0),MATCH('2019'!$A$1,DES_5!$3:$3,0))</f>
        <v>0.36989894285699998</v>
      </c>
      <c r="AK40" s="57">
        <v>65</v>
      </c>
    </row>
    <row r="41" spans="1:37" x14ac:dyDescent="0.3">
      <c r="A41" s="29" t="s">
        <v>40</v>
      </c>
      <c r="B41" s="33">
        <f>INDEX(Population!$A:$J,MATCH('2019'!$A41,Population!$A:$A,0),MATCH('2019'!$A$1,Population!$3:$3,0))</f>
        <v>1052781</v>
      </c>
      <c r="C41" s="14">
        <f>INDEX(Income!$A:$J,MATCH('2019'!$A41,Income!$A:$A,0),MATCH('2019'!$A$1,Income!$3:$3,0))</f>
        <v>31417</v>
      </c>
      <c r="D41" s="34">
        <f>INDEX(Livable_wage!$A:$J,MATCH('2019'!$A41,Livable_wage!$A:$A,0),MATCH('2019'!$A$1,Livable_wage!$3:$3,0))</f>
        <v>11393</v>
      </c>
      <c r="E41" s="41">
        <f>INDEX(AVA_1!$A:$J,MATCH('2019'!$A41,AVA_1!$A:$A,0),MATCH('2019'!$A$1,AVA_1!$3:$3,0))</f>
        <v>0.36299999999999999</v>
      </c>
      <c r="F41" s="15">
        <f>INDEX(AVA_2!$A:$J,MATCH('2019'!$A41,AVA_2!$A:$A,0),MATCH('2019'!$A$1,AVA_2!$3:$3,0))</f>
        <v>9.5839107816399639E-3</v>
      </c>
      <c r="G41" s="15">
        <f>INDEX(AVA_3!$A:$J,MATCH('2019'!$A41,AVA_3!$A:$A,0),MATCH('2019'!$A$1,AVA_3!$3:$3,0))</f>
        <v>2.3200085760711982E-2</v>
      </c>
      <c r="H41" s="87">
        <f>INDEX(AVA_4!$A:$J,MATCH('2019'!$A41,AVA_4!$A:$A,0),MATCH('2019'!$A$1,AVA_4!$3:$3,0))/(B41/1000)</f>
        <v>0.69340157164690475</v>
      </c>
      <c r="I41" s="89">
        <f>INDEX(AVA_5!$A:$J,MATCH('2019'!$A41,AVA_5!$A:$A,0),MATCH('2019'!$A$1,AVA_5!$3:$3,0))/(B41/1000)</f>
        <v>5.7295866851700401</v>
      </c>
      <c r="J41" s="93">
        <f>INDEX(IRA_1!$A:$J,MATCH('2019'!$A41,IRA_1!$A:$A,0),MATCH('2019'!$A$1,IRA_1!$3:$3,0))/(B41/1000)</f>
        <v>4.6543393165340181E-2</v>
      </c>
      <c r="K41" s="88">
        <f>INDEX(IRA_2!$A:$J,MATCH('2019'!$A41,IRA_2!$A:$A,0),MATCH('2019'!$A$1,IRA_2!$3:$3,0))/(B41/1000)</f>
        <v>0.13488085366282257</v>
      </c>
      <c r="L41" s="15">
        <f>INDEX(IRA_3!$A:$J,MATCH('2019'!$A41,IRA_3!$A:$A,0),MATCH('2019'!$A$1,IRA_3!$3:$3,0))</f>
        <v>0.48682087143625608</v>
      </c>
      <c r="M41" s="96">
        <f>INDEX(IRA_4!$A:$J,MATCH('2019'!$A41,IRA_4!$A:$A,0),MATCH('2019'!$A$1,IRA_4!$3:$3,0))/(B41/1000)</f>
        <v>4.3332848902098346</v>
      </c>
      <c r="N41" s="61">
        <f>INDEX(INV_1!$A:$J,MATCH('2019'!$A41,INV_1!$A:$A,0),MATCH('2019'!$A$1,INV_1!$3:$3,0))</f>
        <v>8.0556188973417028E-2</v>
      </c>
      <c r="O41" s="80">
        <f>INDEX(INV_2!$A:$J,MATCH('2019'!$A41,INV_2!$A:$A,0),MATCH('2019'!$A$1,INV_2!$3:$3,0))/B41*10^6/C41</f>
        <v>0.45136785289482462</v>
      </c>
      <c r="P41" s="87">
        <f>INDEX(INV_3!$A:$J,MATCH('2019'!$A41,INV_3!$A:$A,0),MATCH('2019'!$A$1,INV_3!$3:$3,0))/B41*10^6/C41</f>
        <v>4.0258537138829924</v>
      </c>
      <c r="Q41" s="87">
        <f>INDEX(INV_4!$A:$J,MATCH('2019'!$A41,INV_4!$A:$A,0),MATCH('2019'!$A$1,INV_4!$3:$3,0))/B41*10^3/C41</f>
        <v>0.25214847004178614</v>
      </c>
      <c r="R41" s="34">
        <f>INDEX(INV_5!$A:$J,MATCH('2019'!$A41,INV_5!$A:$A,0),MATCH('2019'!$A$1,INV_5!$3:$3,0))</f>
        <v>8.5099999999999995E-2</v>
      </c>
      <c r="S41" s="77">
        <f>INDEX(LUJ_1!$A:$J,MATCH('2019'!$A41,LUJ_1!$A:$A,0),MATCH('2019'!$A$1,LUJ_1!$3:$3,0))</f>
        <v>0.68723820161965932</v>
      </c>
      <c r="T41" s="73">
        <f>INDEX(LUJ_2!$A:$J,MATCH('2019'!$A41,LUJ_2!$A:$A,0),MATCH('2019'!$A$1,LUJ_2!$3:$3,0))</f>
        <v>0.20399999999999999</v>
      </c>
      <c r="U41" s="73">
        <f>INDEX(LUJ_3!$A:$J,MATCH('2019'!$A41,LUJ_3!$A:$A,0),MATCH('2019'!$A$1,LUJ_3!$3:$3,0))</f>
        <v>0.4170775437023756</v>
      </c>
      <c r="V41" s="14">
        <f>INDEX(LUJ_4!$A:$J,MATCH('2019'!$A41,LUJ_4!$A:$A,0),MATCH('2019'!$A$1,LUJ_4!$3:$3,0))</f>
        <v>33</v>
      </c>
      <c r="W41" s="34">
        <f>INDEX(LUJ_5!$A:$J,MATCH('2019'!$A41,LUJ_5!$A:$A,0),MATCH('2019'!$A$1,LUJ_5!$3:$3,0))</f>
        <v>37.4</v>
      </c>
      <c r="X41" s="98">
        <f>1/INDEX(GUL_1!$A:$J,MATCH('2019'!$A41,GUL_1!$A:$A,0),MATCH('2019'!$A$1,GUL_1!$3:$3,0))</f>
        <v>1.3821700069108501E-2</v>
      </c>
      <c r="Y41" s="57">
        <f>INDEX(GUL_2!$A:$J,MATCH('2019'!$A41,GUL_2!$A:$A,0),MATCH('2019'!$A$1,GUL_2!$3:$3,0))</f>
        <v>26</v>
      </c>
      <c r="Z41" s="57">
        <f>INDEX(GUL_3!$A:$J,MATCH('2019'!$A41,GUL_3!$A:$A,0),MATCH('2019'!$A$1,GUL_3!$3:$3,0))/(B41/1000)</f>
        <v>0.76464145914487447</v>
      </c>
      <c r="AA41" s="101">
        <f>INDEX(GUL_4!$A:$J,MATCH('2019'!$A41,GUL_4!$A:$A,0),MATCH('2019'!$A$1,GUL_4!$3:$3,0))/B41/C41*10^6</f>
        <v>0.3265674356486169</v>
      </c>
      <c r="AB41" s="73">
        <f>INDEX(GUL_5!$A:$J,MATCH('2019'!$A41,GUL_5!$A:$A,0),MATCH('2019'!$A$1,GUL_5!$3:$3,0))</f>
        <v>2.7535802296514283E-2</v>
      </c>
      <c r="AC41" s="49" t="e">
        <f>INDEX(GUL_6!$A:$J,MATCH('2019'!$A41,GUL_6!$A:$A,0),MATCH('2019'!$A$1,GUL_6!$3:$3,0))</f>
        <v>#N/A</v>
      </c>
      <c r="AD41" s="49" t="e">
        <f>INDEX(GUL_7!$A:$J,MATCH('2019'!$A41,GUL_7!$A:$A,0),MATCH('2019'!$A$1,GUL_7!$3:$3,0))</f>
        <v>#N/A</v>
      </c>
      <c r="AE41" s="103">
        <f>INDEX(GUL_8!$A:$J,MATCH('2019'!$A41,GUL_8!$A:$A,0),MATCH('2019'!$A$1,GUL_8!$3:$3,0))/(B41/1000)</f>
        <v>1.853186940113851</v>
      </c>
      <c r="AF41" s="41">
        <f>INDEX(DES_1!$A:$J,MATCH('2019'!$A41,DES_1!$A:$A,0),MATCH('2019'!$A$1,DES_1!$3:$3,0))/(B41/1000)</f>
        <v>0.11398381999675147</v>
      </c>
      <c r="AG41" s="100">
        <f>INDEX(DES_2!$A:$J,MATCH('2019'!$A41,DES_2!$A:$A,0),MATCH('2019'!$A$1,DES_2!$3:$3,0))/(B41/1000)</f>
        <v>0.32200429149082288</v>
      </c>
      <c r="AH41" s="57">
        <f>1/INDEX(DES_3!$A:$J,MATCH('2019'!$A41,DES_3!$A:$A,0),MATCH('2019'!$A$1,DES_3!$3:$3,0))</f>
        <v>7.8308535630383716E-3</v>
      </c>
      <c r="AI41" s="80">
        <f>INDEX(DES_4!$A:$J,MATCH('2019'!$A41,DES_4!$A:$A,0),MATCH('2019'!$A$1,DES_4!$3:$3,0))</f>
        <v>0.84557208641299997</v>
      </c>
      <c r="AJ41" s="110">
        <f>INDEX(DES_5!$A:$J,MATCH('2019'!$A41,DES_5!$A:$A,0),MATCH('2019'!$A$1,DES_5!$3:$3,0))</f>
        <v>0.49868554628399997</v>
      </c>
      <c r="AK41" s="57">
        <v>64</v>
      </c>
    </row>
    <row r="42" spans="1:37" x14ac:dyDescent="0.3">
      <c r="A42" s="29" t="s">
        <v>41</v>
      </c>
      <c r="B42" s="33">
        <f>INDEX(Population!$A:$J,MATCH('2019'!$A42,Population!$A:$A,0),MATCH('2019'!$A$1,Population!$3:$3,0))</f>
        <v>1224520</v>
      </c>
      <c r="C42" s="14">
        <f>INDEX(Income!$A:$J,MATCH('2019'!$A42,Income!$A:$A,0),MATCH('2019'!$A$1,Income!$3:$3,0))</f>
        <v>23710</v>
      </c>
      <c r="D42" s="34">
        <f>INDEX(Livable_wage!$A:$J,MATCH('2019'!$A42,Livable_wage!$A:$A,0),MATCH('2019'!$A$1,Livable_wage!$3:$3,0))</f>
        <v>10351</v>
      </c>
      <c r="E42" s="41">
        <f>INDEX(AVA_1!$A:$J,MATCH('2019'!$A42,AVA_1!$A:$A,0),MATCH('2019'!$A$1,AVA_1!$3:$3,0))</f>
        <v>0.35399999999999998</v>
      </c>
      <c r="F42" s="15">
        <f>INDEX(AVA_2!$A:$J,MATCH('2019'!$A42,AVA_2!$A:$A,0),MATCH('2019'!$A$1,AVA_2!$3:$3,0))</f>
        <v>1.4270720841050858E-2</v>
      </c>
      <c r="G42" s="15">
        <f>INDEX(AVA_3!$A:$J,MATCH('2019'!$A42,AVA_3!$A:$A,0),MATCH('2019'!$A$1,AVA_3!$3:$3,0))</f>
        <v>0.1597140900129598</v>
      </c>
      <c r="H42" s="87">
        <f>INDEX(AVA_4!$A:$J,MATCH('2019'!$A42,AVA_4!$A:$A,0),MATCH('2019'!$A$1,AVA_4!$3:$3,0))/(B42/1000)</f>
        <v>0.6337177016300265</v>
      </c>
      <c r="I42" s="89">
        <f>INDEX(AVA_5!$A:$J,MATCH('2019'!$A42,AVA_5!$A:$A,0),MATCH('2019'!$A$1,AVA_5!$3:$3,0))/(B42/1000)</f>
        <v>3.4486982654427858</v>
      </c>
      <c r="J42" s="93">
        <f>INDEX(IRA_1!$A:$J,MATCH('2019'!$A42,IRA_1!$A:$A,0),MATCH('2019'!$A$1,IRA_1!$3:$3,0))/(B42/1000)</f>
        <v>7.5131480090157771E-2</v>
      </c>
      <c r="K42" s="88">
        <f>INDEX(IRA_2!$A:$J,MATCH('2019'!$A42,IRA_2!$A:$A,0),MATCH('2019'!$A$1,IRA_2!$3:$3,0))/(B42/1000)</f>
        <v>0.13882990886224808</v>
      </c>
      <c r="L42" s="15">
        <f>INDEX(IRA_3!$A:$J,MATCH('2019'!$A42,IRA_3!$A:$A,0),MATCH('2019'!$A$1,IRA_3!$3:$3,0))</f>
        <v>0.38701067615658358</v>
      </c>
      <c r="M42" s="96">
        <f>INDEX(IRA_4!$A:$J,MATCH('2019'!$A42,IRA_4!$A:$A,0),MATCH('2019'!$A$1,IRA_4!$3:$3,0))/(B42/1000)</f>
        <v>2.075098814229249</v>
      </c>
      <c r="N42" s="61">
        <f>INDEX(INV_1!$A:$J,MATCH('2019'!$A42,INV_1!$A:$A,0),MATCH('2019'!$A$1,INV_1!$3:$3,0))</f>
        <v>8.2893475344550521E-2</v>
      </c>
      <c r="O42" s="80">
        <f>INDEX(INV_2!$A:$J,MATCH('2019'!$A42,INV_2!$A:$A,0),MATCH('2019'!$A$1,INV_2!$3:$3,0))/B42*10^6/C42</f>
        <v>0.38293665538479782</v>
      </c>
      <c r="P42" s="87">
        <f>INDEX(INV_3!$A:$J,MATCH('2019'!$A42,INV_3!$A:$A,0),MATCH('2019'!$A$1,INV_3!$3:$3,0))/B42*10^6/C42</f>
        <v>4.3007409556862592</v>
      </c>
      <c r="Q42" s="87">
        <f>INDEX(INV_4!$A:$J,MATCH('2019'!$A42,INV_4!$A:$A,0),MATCH('2019'!$A$1,INV_4!$3:$3,0))/B42*10^3/C42</f>
        <v>0.30356553279389975</v>
      </c>
      <c r="R42" s="34">
        <f>INDEX(INV_5!$A:$J,MATCH('2019'!$A42,INV_5!$A:$A,0),MATCH('2019'!$A$1,INV_5!$3:$3,0))</f>
        <v>7.0400000000000004E-2</v>
      </c>
      <c r="S42" s="77">
        <f>INDEX(LUJ_1!$A:$J,MATCH('2019'!$A42,LUJ_1!$A:$A,0),MATCH('2019'!$A$1,LUJ_1!$3:$3,0))</f>
        <v>0.65164957028001114</v>
      </c>
      <c r="T42" s="73">
        <f>INDEX(LUJ_2!$A:$J,MATCH('2019'!$A42,LUJ_2!$A:$A,0),MATCH('2019'!$A$1,LUJ_2!$3:$3,0))</f>
        <v>0.159</v>
      </c>
      <c r="U42" s="73">
        <f>INDEX(LUJ_3!$A:$J,MATCH('2019'!$A42,LUJ_3!$A:$A,0),MATCH('2019'!$A$1,LUJ_3!$3:$3,0))</f>
        <v>0.45805426633673285</v>
      </c>
      <c r="V42" s="14">
        <f>INDEX(LUJ_4!$A:$J,MATCH('2019'!$A42,LUJ_4!$A:$A,0),MATCH('2019'!$A$1,LUJ_4!$3:$3,0))</f>
        <v>16</v>
      </c>
      <c r="W42" s="34">
        <f>INDEX(LUJ_5!$A:$J,MATCH('2019'!$A42,LUJ_5!$A:$A,0),MATCH('2019'!$A$1,LUJ_5!$3:$3,0))</f>
        <v>103</v>
      </c>
      <c r="X42" s="98">
        <f>1/INDEX(GUL_1!$A:$J,MATCH('2019'!$A42,GUL_1!$A:$A,0),MATCH('2019'!$A$1,GUL_1!$3:$3,0))</f>
        <v>1.3706140350877194E-2</v>
      </c>
      <c r="Y42" s="57">
        <f>INDEX(GUL_2!$A:$J,MATCH('2019'!$A42,GUL_2!$A:$A,0),MATCH('2019'!$A$1,GUL_2!$3:$3,0))</f>
        <v>25.2</v>
      </c>
      <c r="Z42" s="57">
        <f>INDEX(GUL_3!$A:$J,MATCH('2019'!$A42,GUL_3!$A:$A,0),MATCH('2019'!$A$1,GUL_3!$3:$3,0))/(B42/1000)</f>
        <v>0.6753666742887009</v>
      </c>
      <c r="AA42" s="101">
        <f>INDEX(GUL_4!$A:$J,MATCH('2019'!$A42,GUL_4!$A:$A,0),MATCH('2019'!$A$1,GUL_4!$3:$3,0))/B42/C42*10^6</f>
        <v>0.23065183905697034</v>
      </c>
      <c r="AB42" s="73">
        <f>INDEX(GUL_5!$A:$J,MATCH('2019'!$A42,GUL_5!$A:$A,0),MATCH('2019'!$A$1,GUL_5!$3:$3,0))</f>
        <v>1.5480787880423629E-2</v>
      </c>
      <c r="AC42" s="49" t="e">
        <f>INDEX(GUL_6!$A:$J,MATCH('2019'!$A42,GUL_6!$A:$A,0),MATCH('2019'!$A$1,GUL_6!$3:$3,0))</f>
        <v>#N/A</v>
      </c>
      <c r="AD42" s="49" t="e">
        <f>INDEX(GUL_7!$A:$J,MATCH('2019'!$A42,GUL_7!$A:$A,0),MATCH('2019'!$A$1,GUL_7!$3:$3,0))</f>
        <v>#N/A</v>
      </c>
      <c r="AE42" s="103">
        <f>INDEX(GUL_8!$A:$J,MATCH('2019'!$A42,GUL_8!$A:$A,0),MATCH('2019'!$A$1,GUL_8!$3:$3,0))/(B42/1000)</f>
        <v>2.1330807173423056</v>
      </c>
      <c r="AF42" s="41">
        <f>INDEX(DES_1!$A:$J,MATCH('2019'!$A42,DES_1!$A:$A,0),MATCH('2019'!$A$1,DES_1!$3:$3,0))/(B42/1000)</f>
        <v>8.1664652271910623E-2</v>
      </c>
      <c r="AG42" s="100">
        <f>INDEX(DES_2!$A:$J,MATCH('2019'!$A42,DES_2!$A:$A,0),MATCH('2019'!$A$1,DES_2!$3:$3,0))/(B42/1000)</f>
        <v>0.58880214288047561</v>
      </c>
      <c r="AH42" s="57">
        <f>1/INDEX(DES_3!$A:$J,MATCH('2019'!$A42,DES_3!$A:$A,0),MATCH('2019'!$A$1,DES_3!$3:$3,0))</f>
        <v>8.4961767204757861E-3</v>
      </c>
      <c r="AI42" s="80">
        <f>INDEX(DES_4!$A:$J,MATCH('2019'!$A42,DES_4!$A:$A,0),MATCH('2019'!$A$1,DES_4!$3:$3,0))</f>
        <v>0.64929985243800004</v>
      </c>
      <c r="AJ42" s="110">
        <f>INDEX(DES_5!$A:$J,MATCH('2019'!$A42,DES_5!$A:$A,0),MATCH('2019'!$A$1,DES_5!$3:$3,0))</f>
        <v>0.483836892967</v>
      </c>
      <c r="AK42" s="57">
        <v>63</v>
      </c>
    </row>
    <row r="43" spans="1:37" x14ac:dyDescent="0.3">
      <c r="A43" s="29" t="s">
        <v>42</v>
      </c>
      <c r="B43" s="33">
        <f>INDEX(Population!$A:$J,MATCH('2019'!$A43,Population!$A:$A,0),MATCH('2019'!$A$1,Population!$3:$3,0))</f>
        <v>683686</v>
      </c>
      <c r="C43" s="14">
        <f>INDEX(Income!$A:$J,MATCH('2019'!$A43,Income!$A:$A,0),MATCH('2019'!$A$1,Income!$3:$3,0))</f>
        <v>20877</v>
      </c>
      <c r="D43" s="34">
        <f>INDEX(Livable_wage!$A:$J,MATCH('2019'!$A43,Livable_wage!$A:$A,0),MATCH('2019'!$A$1,Livable_wage!$3:$3,0))</f>
        <v>9894</v>
      </c>
      <c r="E43" s="41">
        <f>INDEX(AVA_1!$A:$J,MATCH('2019'!$A43,AVA_1!$A:$A,0),MATCH('2019'!$A$1,AVA_1!$3:$3,0))</f>
        <v>0.36399999999999999</v>
      </c>
      <c r="F43" s="15">
        <f>INDEX(AVA_2!$A:$J,MATCH('2019'!$A43,AVA_2!$A:$A,0),MATCH('2019'!$A$1,AVA_2!$3:$3,0))</f>
        <v>9.7621977494746857E-3</v>
      </c>
      <c r="G43" s="15">
        <f>INDEX(AVA_3!$A:$J,MATCH('2019'!$A43,AVA_3!$A:$A,0),MATCH('2019'!$A$1,AVA_3!$3:$3,0))</f>
        <v>1.0001798581741678E-2</v>
      </c>
      <c r="H43" s="87">
        <f>INDEX(AVA_4!$A:$J,MATCH('2019'!$A43,AVA_4!$A:$A,0),MATCH('2019'!$A$1,AVA_4!$3:$3,0))/(B43/1000)</f>
        <v>0.66697285010955321</v>
      </c>
      <c r="I43" s="89">
        <f>INDEX(AVA_5!$A:$J,MATCH('2019'!$A43,AVA_5!$A:$A,0),MATCH('2019'!$A$1,AVA_5!$3:$3,0))/(B43/1000)</f>
        <v>3.984285183549173</v>
      </c>
      <c r="J43" s="93">
        <f>INDEX(IRA_1!$A:$J,MATCH('2019'!$A43,IRA_1!$A:$A,0),MATCH('2019'!$A$1,IRA_1!$3:$3,0))/(B43/1000)</f>
        <v>7.167032819159673E-2</v>
      </c>
      <c r="K43" s="88">
        <f>INDEX(IRA_2!$A:$J,MATCH('2019'!$A43,IRA_2!$A:$A,0),MATCH('2019'!$A$1,IRA_2!$3:$3,0))/(B43/1000)</f>
        <v>0.1667432125273883</v>
      </c>
      <c r="L43" s="15">
        <f>INDEX(IRA_3!$A:$J,MATCH('2019'!$A43,IRA_3!$A:$A,0),MATCH('2019'!$A$1,IRA_3!$3:$3,0))</f>
        <v>0.44456551348406426</v>
      </c>
      <c r="M43" s="96">
        <f>INDEX(IRA_4!$A:$J,MATCH('2019'!$A43,IRA_4!$A:$A,0),MATCH('2019'!$A$1,IRA_4!$3:$3,0))/(B43/1000)</f>
        <v>3.6844399329516766</v>
      </c>
      <c r="N43" s="61">
        <f>INDEX(INV_1!$A:$J,MATCH('2019'!$A43,INV_1!$A:$A,0),MATCH('2019'!$A$1,INV_1!$3:$3,0))</f>
        <v>8.7078928607716322E-2</v>
      </c>
      <c r="O43" s="80">
        <f>INDEX(INV_2!$A:$J,MATCH('2019'!$A43,INV_2!$A:$A,0),MATCH('2019'!$A$1,INV_2!$3:$3,0))/B43*10^6/C43</f>
        <v>0.42767949807188071</v>
      </c>
      <c r="P43" s="87">
        <f>INDEX(INV_3!$A:$J,MATCH('2019'!$A43,INV_3!$A:$A,0),MATCH('2019'!$A$1,INV_3!$3:$3,0))/B43*10^6/C43</f>
        <v>4.4646258151578797</v>
      </c>
      <c r="Q43" s="87">
        <f>INDEX(INV_4!$A:$J,MATCH('2019'!$A43,INV_4!$A:$A,0),MATCH('2019'!$A$1,INV_4!$3:$3,0))/B43*10^3/C43</f>
        <v>0.31670413237026063</v>
      </c>
      <c r="R43" s="34">
        <f>INDEX(INV_5!$A:$J,MATCH('2019'!$A43,INV_5!$A:$A,0),MATCH('2019'!$A$1,INV_5!$3:$3,0))</f>
        <v>7.2800000000000004E-2</v>
      </c>
      <c r="S43" s="77">
        <f>INDEX(LUJ_1!$A:$J,MATCH('2019'!$A43,LUJ_1!$A:$A,0),MATCH('2019'!$A$1,LUJ_1!$3:$3,0))</f>
        <v>0.676056338028169</v>
      </c>
      <c r="T43" s="73">
        <f>INDEX(LUJ_2!$A:$J,MATCH('2019'!$A43,LUJ_2!$A:$A,0),MATCH('2019'!$A$1,LUJ_2!$3:$3,0))</f>
        <v>0.23300000000000001</v>
      </c>
      <c r="U43" s="73">
        <f>INDEX(LUJ_3!$A:$J,MATCH('2019'!$A43,LUJ_3!$A:$A,0),MATCH('2019'!$A$1,LUJ_3!$3:$3,0))</f>
        <v>0.6428260404399827</v>
      </c>
      <c r="V43" s="14">
        <f>INDEX(LUJ_4!$A:$J,MATCH('2019'!$A43,LUJ_4!$A:$A,0),MATCH('2019'!$A$1,LUJ_4!$3:$3,0))</f>
        <v>12</v>
      </c>
      <c r="W43" s="34">
        <f>INDEX(LUJ_5!$A:$J,MATCH('2019'!$A43,LUJ_5!$A:$A,0),MATCH('2019'!$A$1,LUJ_5!$3:$3,0))</f>
        <v>38.799999999999997</v>
      </c>
      <c r="X43" s="98">
        <f>1/INDEX(GUL_1!$A:$J,MATCH('2019'!$A43,GUL_1!$A:$A,0),MATCH('2019'!$A$1,GUL_1!$3:$3,0))</f>
        <v>1.3717421124828532E-2</v>
      </c>
      <c r="Y43" s="57">
        <f>INDEX(GUL_2!$A:$J,MATCH('2019'!$A43,GUL_2!$A:$A,0),MATCH('2019'!$A$1,GUL_2!$3:$3,0))</f>
        <v>23.8</v>
      </c>
      <c r="Z43" s="57">
        <f>INDEX(GUL_3!$A:$J,MATCH('2019'!$A43,GUL_3!$A:$A,0),MATCH('2019'!$A$1,GUL_3!$3:$3,0))/(B43/1000)</f>
        <v>0.9024610713105139</v>
      </c>
      <c r="AA43" s="101">
        <f>INDEX(GUL_4!$A:$J,MATCH('2019'!$A43,GUL_4!$A:$A,0),MATCH('2019'!$A$1,GUL_4!$3:$3,0))/B43/C43*10^6</f>
        <v>0.40066312225134132</v>
      </c>
      <c r="AB43" s="73">
        <f>INDEX(GUL_5!$A:$J,MATCH('2019'!$A43,GUL_5!$A:$A,0),MATCH('2019'!$A$1,GUL_5!$3:$3,0))</f>
        <v>2.8343804563967387E-2</v>
      </c>
      <c r="AC43" s="49" t="e">
        <f>INDEX(GUL_6!$A:$J,MATCH('2019'!$A43,GUL_6!$A:$A,0),MATCH('2019'!$A$1,GUL_6!$3:$3,0))</f>
        <v>#N/A</v>
      </c>
      <c r="AD43" s="49" t="e">
        <f>INDEX(GUL_7!$A:$J,MATCH('2019'!$A43,GUL_7!$A:$A,0),MATCH('2019'!$A$1,GUL_7!$3:$3,0))</f>
        <v>#N/A</v>
      </c>
      <c r="AE43" s="103">
        <f>INDEX(GUL_8!$A:$J,MATCH('2019'!$A43,GUL_8!$A:$A,0),MATCH('2019'!$A$1,GUL_8!$3:$3,0))/(B43/1000)</f>
        <v>2.2364067715296203</v>
      </c>
      <c r="AF43" s="41">
        <f>INDEX(DES_1!$A:$J,MATCH('2019'!$A43,DES_1!$A:$A,0),MATCH('2019'!$A$1,DES_1!$3:$3,0))/(B43/1000)</f>
        <v>0.14772863566022998</v>
      </c>
      <c r="AG43" s="100">
        <f>INDEX(DES_2!$A:$J,MATCH('2019'!$A43,DES_2!$A:$A,0),MATCH('2019'!$A$1,DES_2!$3:$3,0))/(B43/1000)</f>
        <v>0.25742811758614331</v>
      </c>
      <c r="AH43" s="57">
        <f>1/INDEX(DES_3!$A:$J,MATCH('2019'!$A43,DES_3!$A:$A,0),MATCH('2019'!$A$1,DES_3!$3:$3,0))</f>
        <v>7.7101002313030072E-3</v>
      </c>
      <c r="AI43" s="80">
        <f>INDEX(DES_4!$A:$J,MATCH('2019'!$A43,DES_4!$A:$A,0),MATCH('2019'!$A$1,DES_4!$3:$3,0))</f>
        <v>0.75195227195000003</v>
      </c>
      <c r="AJ43" s="110">
        <f>INDEX(DES_5!$A:$J,MATCH('2019'!$A43,DES_5!$A:$A,0),MATCH('2019'!$A$1,DES_5!$3:$3,0))</f>
        <v>0.61824267784499998</v>
      </c>
      <c r="AK43" s="57">
        <v>60</v>
      </c>
    </row>
    <row r="44" spans="1:37" x14ac:dyDescent="0.3">
      <c r="A44" s="29" t="s">
        <v>43</v>
      </c>
      <c r="B44" s="33">
        <f>INDEX(Population!$A:$J,MATCH('2019'!$A44,Population!$A:$A,0),MATCH('2019'!$A$1,Population!$3:$3,0))</f>
        <v>920967</v>
      </c>
      <c r="C44" s="14">
        <f>INDEX(Income!$A:$J,MATCH('2019'!$A44,Income!$A:$A,0),MATCH('2019'!$A$1,Income!$3:$3,0))</f>
        <v>27485</v>
      </c>
      <c r="D44" s="34">
        <f>INDEX(Livable_wage!$A:$J,MATCH('2019'!$A44,Livable_wage!$A:$A,0),MATCH('2019'!$A$1,Livable_wage!$3:$3,0))</f>
        <v>11110</v>
      </c>
      <c r="E44" s="41">
        <f>INDEX(AVA_1!$A:$J,MATCH('2019'!$A44,AVA_1!$A:$A,0),MATCH('2019'!$A$1,AVA_1!$3:$3,0))</f>
        <v>0.38</v>
      </c>
      <c r="F44" s="15">
        <f>INDEX(AVA_2!$A:$J,MATCH('2019'!$A44,AVA_2!$A:$A,0),MATCH('2019'!$A$1,AVA_2!$3:$3,0))</f>
        <v>8.0444910603214865E-3</v>
      </c>
      <c r="G44" s="15">
        <f>INDEX(AVA_3!$A:$J,MATCH('2019'!$A44,AVA_3!$A:$A,0),MATCH('2019'!$A$1,AVA_3!$3:$3,0))</f>
        <v>1.3150512636257376E-2</v>
      </c>
      <c r="H44" s="87">
        <f>INDEX(AVA_4!$A:$J,MATCH('2019'!$A44,AVA_4!$A:$A,0),MATCH('2019'!$A$1,AVA_4!$3:$3,0))/(B44/1000)</f>
        <v>0.63628772800762678</v>
      </c>
      <c r="I44" s="89">
        <f>INDEX(AVA_5!$A:$J,MATCH('2019'!$A44,AVA_5!$A:$A,0),MATCH('2019'!$A$1,AVA_5!$3:$3,0))/(B44/1000)</f>
        <v>5.6853285731193406</v>
      </c>
      <c r="J44" s="93">
        <f>INDEX(IRA_1!$A:$J,MATCH('2019'!$A44,IRA_1!$A:$A,0),MATCH('2019'!$A$1,IRA_1!$3:$3,0))/(B44/1000)</f>
        <v>6.6234729365981626E-2</v>
      </c>
      <c r="K44" s="88">
        <f>INDEX(IRA_2!$A:$J,MATCH('2019'!$A44,IRA_2!$A:$A,0),MATCH('2019'!$A$1,IRA_2!$3:$3,0))/(B44/1000)</f>
        <v>0.15961483961966064</v>
      </c>
      <c r="L44" s="15">
        <f>INDEX(IRA_3!$A:$J,MATCH('2019'!$A44,IRA_3!$A:$A,0),MATCH('2019'!$A$1,IRA_3!$3:$3,0))</f>
        <v>0.46084012925065398</v>
      </c>
      <c r="M44" s="96">
        <f>INDEX(IRA_4!$A:$J,MATCH('2019'!$A44,IRA_4!$A:$A,0),MATCH('2019'!$A$1,IRA_4!$3:$3,0))/(B44/1000)</f>
        <v>4.541965130129527</v>
      </c>
      <c r="N44" s="61">
        <f>INDEX(INV_1!$A:$J,MATCH('2019'!$A44,INV_1!$A:$A,0),MATCH('2019'!$A$1,INV_1!$3:$3,0))</f>
        <v>7.9064852943692754E-2</v>
      </c>
      <c r="O44" s="80">
        <f>INDEX(INV_2!$A:$J,MATCH('2019'!$A44,INV_2!$A:$A,0),MATCH('2019'!$A$1,INV_2!$3:$3,0))/B44*10^6/C44</f>
        <v>0.32163006389927445</v>
      </c>
      <c r="P44" s="87">
        <f>INDEX(INV_3!$A:$J,MATCH('2019'!$A44,INV_3!$A:$A,0),MATCH('2019'!$A$1,INV_3!$3:$3,0))/B44*10^6/C44</f>
        <v>3.6794855159081088</v>
      </c>
      <c r="Q44" s="87">
        <f>INDEX(INV_4!$A:$J,MATCH('2019'!$A44,INV_4!$A:$A,0),MATCH('2019'!$A$1,INV_4!$3:$3,0))/B44*10^3/C44</f>
        <v>0.25986109471269037</v>
      </c>
      <c r="R44" s="34">
        <f>INDEX(INV_5!$A:$J,MATCH('2019'!$A44,INV_5!$A:$A,0),MATCH('2019'!$A$1,INV_5!$3:$3,0))</f>
        <v>5.3499999999999999E-2</v>
      </c>
      <c r="S44" s="77">
        <f>INDEX(LUJ_1!$A:$J,MATCH('2019'!$A44,LUJ_1!$A:$A,0),MATCH('2019'!$A$1,LUJ_1!$3:$3,0))</f>
        <v>0.76313025210084029</v>
      </c>
      <c r="T44" s="73">
        <f>INDEX(LUJ_2!$A:$J,MATCH('2019'!$A44,LUJ_2!$A:$A,0),MATCH('2019'!$A$1,LUJ_2!$3:$3,0))</f>
        <v>0.217</v>
      </c>
      <c r="U44" s="73">
        <f>INDEX(LUJ_3!$A:$J,MATCH('2019'!$A44,LUJ_3!$A:$A,0),MATCH('2019'!$A$1,LUJ_3!$3:$3,0))</f>
        <v>0.52578047746856904</v>
      </c>
      <c r="V44" s="14">
        <f>INDEX(LUJ_4!$A:$J,MATCH('2019'!$A44,LUJ_4!$A:$A,0),MATCH('2019'!$A$1,LUJ_4!$3:$3,0))</f>
        <v>17</v>
      </c>
      <c r="W44" s="34">
        <f>INDEX(LUJ_5!$A:$J,MATCH('2019'!$A44,LUJ_5!$A:$A,0),MATCH('2019'!$A$1,LUJ_5!$3:$3,0))</f>
        <v>27.8</v>
      </c>
      <c r="X44" s="98">
        <f>1/INDEX(GUL_1!$A:$J,MATCH('2019'!$A44,GUL_1!$A:$A,0),MATCH('2019'!$A$1,GUL_1!$3:$3,0))</f>
        <v>1.3910140492418973E-2</v>
      </c>
      <c r="Y44" s="57">
        <f>INDEX(GUL_2!$A:$J,MATCH('2019'!$A44,GUL_2!$A:$A,0),MATCH('2019'!$A$1,GUL_2!$3:$3,0))</f>
        <v>26.1</v>
      </c>
      <c r="Z44" s="57">
        <f>INDEX(GUL_3!$A:$J,MATCH('2019'!$A44,GUL_3!$A:$A,0),MATCH('2019'!$A$1,GUL_3!$3:$3,0))/(B44/1000)</f>
        <v>0.8328202856345559</v>
      </c>
      <c r="AA44" s="101">
        <f>INDEX(GUL_4!$A:$J,MATCH('2019'!$A44,GUL_4!$A:$A,0),MATCH('2019'!$A$1,GUL_4!$3:$3,0))/B44/C44*10^6</f>
        <v>0.28777125929990205</v>
      </c>
      <c r="AB44" s="73">
        <f>INDEX(GUL_5!$A:$J,MATCH('2019'!$A44,GUL_5!$A:$A,0),MATCH('2019'!$A$1,GUL_5!$3:$3,0))</f>
        <v>1.8868589889556548E-2</v>
      </c>
      <c r="AC44" s="49" t="e">
        <f>INDEX(GUL_6!$A:$J,MATCH('2019'!$A44,GUL_6!$A:$A,0),MATCH('2019'!$A$1,GUL_6!$3:$3,0))</f>
        <v>#N/A</v>
      </c>
      <c r="AD44" s="49" t="e">
        <f>INDEX(GUL_7!$A:$J,MATCH('2019'!$A44,GUL_7!$A:$A,0),MATCH('2019'!$A$1,GUL_7!$3:$3,0))</f>
        <v>#N/A</v>
      </c>
      <c r="AE44" s="103">
        <f>INDEX(GUL_8!$A:$J,MATCH('2019'!$A44,GUL_8!$A:$A,0),MATCH('2019'!$A$1,GUL_8!$3:$3,0))/(B44/1000)</f>
        <v>2.516919715907302</v>
      </c>
      <c r="AF44" s="41">
        <f>INDEX(DES_1!$A:$J,MATCH('2019'!$A44,DES_1!$A:$A,0),MATCH('2019'!$A$1,DES_1!$3:$3,0))/(B44/1000)</f>
        <v>9.1208479782663221E-2</v>
      </c>
      <c r="AG44" s="100">
        <f>INDEX(DES_2!$A:$J,MATCH('2019'!$A44,DES_2!$A:$A,0),MATCH('2019'!$A$1,DES_2!$3:$3,0))/(B44/1000)</f>
        <v>0.55702321581555037</v>
      </c>
      <c r="AH44" s="57">
        <f>1/INDEX(DES_3!$A:$J,MATCH('2019'!$A44,DES_3!$A:$A,0),MATCH('2019'!$A$1,DES_3!$3:$3,0))</f>
        <v>7.6219512195121958E-3</v>
      </c>
      <c r="AI44" s="80">
        <f>INDEX(DES_4!$A:$J,MATCH('2019'!$A44,DES_4!$A:$A,0),MATCH('2019'!$A$1,DES_4!$3:$3,0))</f>
        <v>0.60439602199800002</v>
      </c>
      <c r="AJ44" s="110">
        <f>INDEX(DES_5!$A:$J,MATCH('2019'!$A44,DES_5!$A:$A,0),MATCH('2019'!$A$1,DES_5!$3:$3,0))</f>
        <v>0.53934268115799999</v>
      </c>
      <c r="AK44" s="57">
        <v>58</v>
      </c>
    </row>
    <row r="45" spans="1:37" x14ac:dyDescent="0.3">
      <c r="A45" s="29" t="s">
        <v>44</v>
      </c>
      <c r="B45" s="33">
        <f>INDEX(Population!$A:$J,MATCH('2019'!$A45,Population!$A:$A,0),MATCH('2019'!$A$1,Population!$3:$3,0))</f>
        <v>2581988</v>
      </c>
      <c r="C45" s="14">
        <f>INDEX(Income!$A:$J,MATCH('2019'!$A45,Income!$A:$A,0),MATCH('2019'!$A$1,Income!$3:$3,0))</f>
        <v>30618</v>
      </c>
      <c r="D45" s="34">
        <f>INDEX(Livable_wage!$A:$J,MATCH('2019'!$A45,Livable_wage!$A:$A,0),MATCH('2019'!$A$1,Livable_wage!$3:$3,0))</f>
        <v>11338</v>
      </c>
      <c r="E45" s="41">
        <f>INDEX(AVA_1!$A:$J,MATCH('2019'!$A45,AVA_1!$A:$A,0),MATCH('2019'!$A$1,AVA_1!$3:$3,0))</f>
        <v>0.39900000000000002</v>
      </c>
      <c r="F45" s="15">
        <f>INDEX(AVA_2!$A:$J,MATCH('2019'!$A45,AVA_2!$A:$A,0),MATCH('2019'!$A$1,AVA_2!$3:$3,0))</f>
        <v>1.1812822415952783E-2</v>
      </c>
      <c r="G45" s="15">
        <f>INDEX(AVA_3!$A:$J,MATCH('2019'!$A45,AVA_3!$A:$A,0),MATCH('2019'!$A$1,AVA_3!$3:$3,0))</f>
        <v>9.2295370353489073E-2</v>
      </c>
      <c r="H45" s="87">
        <f>INDEX(AVA_4!$A:$J,MATCH('2019'!$A45,AVA_4!$A:$A,0),MATCH('2019'!$A$1,AVA_4!$3:$3,0))/(B45/1000)</f>
        <v>0.80441892061465825</v>
      </c>
      <c r="I45" s="89">
        <f>INDEX(AVA_5!$A:$J,MATCH('2019'!$A45,AVA_5!$A:$A,0),MATCH('2019'!$A$1,AVA_5!$3:$3,0))/(B45/1000)</f>
        <v>6.0658686252608458</v>
      </c>
      <c r="J45" s="93">
        <f>INDEX(IRA_1!$A:$J,MATCH('2019'!$A45,IRA_1!$A:$A,0),MATCH('2019'!$A$1,IRA_1!$3:$3,0))/(B45/1000)</f>
        <v>6.7389933648026257E-2</v>
      </c>
      <c r="K45" s="88">
        <f>INDEX(IRA_2!$A:$J,MATCH('2019'!$A45,IRA_2!$A:$A,0),MATCH('2019'!$A$1,IRA_2!$3:$3,0))/(B45/1000)</f>
        <v>0.2269569029755367</v>
      </c>
      <c r="L45" s="15">
        <f>INDEX(IRA_3!$A:$J,MATCH('2019'!$A45,IRA_3!$A:$A,0),MATCH('2019'!$A$1,IRA_3!$3:$3,0))</f>
        <v>0.37832552873977254</v>
      </c>
      <c r="M45" s="96">
        <f>INDEX(IRA_4!$A:$J,MATCH('2019'!$A45,IRA_4!$A:$A,0),MATCH('2019'!$A$1,IRA_4!$3:$3,0))/(B45/1000)</f>
        <v>4.1925059295395641</v>
      </c>
      <c r="N45" s="61">
        <f>INDEX(INV_1!$A:$J,MATCH('2019'!$A45,INV_1!$A:$A,0),MATCH('2019'!$A$1,INV_1!$3:$3,0))</f>
        <v>6.347568992788373E-2</v>
      </c>
      <c r="O45" s="80">
        <f>INDEX(INV_2!$A:$J,MATCH('2019'!$A45,INV_2!$A:$A,0),MATCH('2019'!$A$1,INV_2!$3:$3,0))/B45*10^6/C45</f>
        <v>0.41985837117733715</v>
      </c>
      <c r="P45" s="87">
        <f>INDEX(INV_3!$A:$J,MATCH('2019'!$A45,INV_3!$A:$A,0),MATCH('2019'!$A$1,INV_3!$3:$3,0))/B45*10^6/C45</f>
        <v>4.0177694033349747</v>
      </c>
      <c r="Q45" s="87">
        <f>INDEX(INV_4!$A:$J,MATCH('2019'!$A45,INV_4!$A:$A,0),MATCH('2019'!$A$1,INV_4!$3:$3,0))/B45*10^3/C45</f>
        <v>0.24717995097365136</v>
      </c>
      <c r="R45" s="34">
        <f>INDEX(INV_5!$A:$J,MATCH('2019'!$A45,INV_5!$A:$A,0),MATCH('2019'!$A$1,INV_5!$3:$3,0))</f>
        <v>6.9500000000000006E-2</v>
      </c>
      <c r="S45" s="77">
        <f>INDEX(LUJ_1!$A:$J,MATCH('2019'!$A45,LUJ_1!$A:$A,0),MATCH('2019'!$A$1,LUJ_1!$3:$3,0))</f>
        <v>0.65436500861710345</v>
      </c>
      <c r="T45" s="73">
        <f>INDEX(LUJ_2!$A:$J,MATCH('2019'!$A45,LUJ_2!$A:$A,0),MATCH('2019'!$A$1,LUJ_2!$3:$3,0))</f>
        <v>0.28499999999999998</v>
      </c>
      <c r="U45" s="73">
        <f>INDEX(LUJ_3!$A:$J,MATCH('2019'!$A45,LUJ_3!$A:$A,0),MATCH('2019'!$A$1,LUJ_3!$3:$3,0))</f>
        <v>0.65619741375715279</v>
      </c>
      <c r="V45" s="14">
        <f>INDEX(LUJ_4!$A:$J,MATCH('2019'!$A45,LUJ_4!$A:$A,0),MATCH('2019'!$A$1,LUJ_4!$3:$3,0))</f>
        <v>125</v>
      </c>
      <c r="W45" s="34">
        <f>INDEX(LUJ_5!$A:$J,MATCH('2019'!$A45,LUJ_5!$A:$A,0),MATCH('2019'!$A$1,LUJ_5!$3:$3,0))</f>
        <v>132.80000000000001</v>
      </c>
      <c r="X45" s="98">
        <f>1/INDEX(GUL_1!$A:$J,MATCH('2019'!$A45,GUL_1!$A:$A,0),MATCH('2019'!$A$1,GUL_1!$3:$3,0))</f>
        <v>1.4021312394840158E-2</v>
      </c>
      <c r="Y45" s="57">
        <f>INDEX(GUL_2!$A:$J,MATCH('2019'!$A45,GUL_2!$A:$A,0),MATCH('2019'!$A$1,GUL_2!$3:$3,0))</f>
        <v>24.7</v>
      </c>
      <c r="Z45" s="57">
        <f>INDEX(GUL_3!$A:$J,MATCH('2019'!$A45,GUL_3!$A:$A,0),MATCH('2019'!$A$1,GUL_3!$3:$3,0))/(B45/1000)</f>
        <v>0.84005037978487895</v>
      </c>
      <c r="AA45" s="101">
        <f>INDEX(GUL_4!$A:$J,MATCH('2019'!$A45,GUL_4!$A:$A,0),MATCH('2019'!$A$1,GUL_4!$3:$3,0))/B45/C45*10^6</f>
        <v>0.3031319519110714</v>
      </c>
      <c r="AB45" s="73">
        <f>INDEX(GUL_5!$A:$J,MATCH('2019'!$A45,GUL_5!$A:$A,0),MATCH('2019'!$A$1,GUL_5!$3:$3,0))</f>
        <v>3.314085111169629E-2</v>
      </c>
      <c r="AC45" s="49" t="e">
        <f>INDEX(GUL_6!$A:$J,MATCH('2019'!$A45,GUL_6!$A:$A,0),MATCH('2019'!$A$1,GUL_6!$3:$3,0))</f>
        <v>#N/A</v>
      </c>
      <c r="AD45" s="49" t="e">
        <f>INDEX(GUL_7!$A:$J,MATCH('2019'!$A45,GUL_7!$A:$A,0),MATCH('2019'!$A$1,GUL_7!$3:$3,0))</f>
        <v>#N/A</v>
      </c>
      <c r="AE45" s="103">
        <f>INDEX(GUL_8!$A:$J,MATCH('2019'!$A45,GUL_8!$A:$A,0),MATCH('2019'!$A$1,GUL_8!$3:$3,0))/(B45/1000)</f>
        <v>3.184755312573103</v>
      </c>
      <c r="AF45" s="41">
        <f>INDEX(DES_1!$A:$J,MATCH('2019'!$A45,DES_1!$A:$A,0),MATCH('2019'!$A$1,DES_1!$3:$3,0))/(B45/1000)</f>
        <v>0.24554722949913013</v>
      </c>
      <c r="AG45" s="100">
        <f>INDEX(DES_2!$A:$J,MATCH('2019'!$A45,DES_2!$A:$A,0),MATCH('2019'!$A$1,DES_2!$3:$3,0))/(B45/1000)</f>
        <v>0.49031986205977723</v>
      </c>
      <c r="AH45" s="57">
        <f>1/INDEX(DES_3!$A:$J,MATCH('2019'!$A45,DES_3!$A:$A,0),MATCH('2019'!$A$1,DES_3!$3:$3,0))</f>
        <v>8.5763293310463125E-3</v>
      </c>
      <c r="AI45" s="80">
        <f>INDEX(DES_4!$A:$J,MATCH('2019'!$A45,DES_4!$A:$A,0),MATCH('2019'!$A$1,DES_4!$3:$3,0))</f>
        <v>0.97362517419599992</v>
      </c>
      <c r="AJ45" s="110">
        <f>INDEX(DES_5!$A:$J,MATCH('2019'!$A45,DES_5!$A:$A,0),MATCH('2019'!$A$1,DES_5!$3:$3,0))</f>
        <v>0.78690436360600002</v>
      </c>
      <c r="AK45" s="57">
        <v>56</v>
      </c>
    </row>
    <row r="46" spans="1:37" x14ac:dyDescent="0.3">
      <c r="A46" s="29" t="s">
        <v>45</v>
      </c>
      <c r="B46" s="33">
        <f>INDEX(Population!$A:$J,MATCH('2019'!$A46,Population!$A:$A,0),MATCH('2019'!$A$1,Population!$3:$3,0))</f>
        <v>959459</v>
      </c>
      <c r="C46" s="14">
        <f>INDEX(Income!$A:$J,MATCH('2019'!$A46,Income!$A:$A,0),MATCH('2019'!$A$1,Income!$3:$3,0))</f>
        <v>25794</v>
      </c>
      <c r="D46" s="34">
        <f>INDEX(Livable_wage!$A:$J,MATCH('2019'!$A46,Livable_wage!$A:$A,0),MATCH('2019'!$A$1,Livable_wage!$3:$3,0))</f>
        <v>10716</v>
      </c>
      <c r="E46" s="41">
        <f>INDEX(AVA_1!$A:$J,MATCH('2019'!$A46,AVA_1!$A:$A,0),MATCH('2019'!$A$1,AVA_1!$3:$3,0))</f>
        <v>0.36099999999999999</v>
      </c>
      <c r="F46" s="15">
        <f>INDEX(AVA_2!$A:$J,MATCH('2019'!$A46,AVA_2!$A:$A,0),MATCH('2019'!$A$1,AVA_2!$3:$3,0))</f>
        <v>1.1620347179188129E-2</v>
      </c>
      <c r="G46" s="15">
        <f>INDEX(AVA_3!$A:$J,MATCH('2019'!$A46,AVA_3!$A:$A,0),MATCH('2019'!$A$1,AVA_3!$3:$3,0))</f>
        <v>6.1489258211900724E-2</v>
      </c>
      <c r="H46" s="87">
        <f>INDEX(AVA_4!$A:$J,MATCH('2019'!$A46,AVA_4!$A:$A,0),MATCH('2019'!$A$1,AVA_4!$3:$3,0))/(B46/1000)</f>
        <v>0.74938064054847575</v>
      </c>
      <c r="I46" s="89">
        <f>INDEX(AVA_5!$A:$J,MATCH('2019'!$A46,AVA_5!$A:$A,0),MATCH('2019'!$A$1,AVA_5!$3:$3,0))/(B46/1000)</f>
        <v>5.8178619409479717</v>
      </c>
      <c r="J46" s="93">
        <f>INDEX(IRA_1!$A:$J,MATCH('2019'!$A46,IRA_1!$A:$A,0),MATCH('2019'!$A$1,IRA_1!$3:$3,0))/(B46/1000)</f>
        <v>5.6281717092653262E-2</v>
      </c>
      <c r="K46" s="88">
        <f>INDEX(IRA_2!$A:$J,MATCH('2019'!$A46,IRA_2!$A:$A,0),MATCH('2019'!$A$1,IRA_2!$3:$3,0))/(B46/1000)</f>
        <v>0.13966203871139882</v>
      </c>
      <c r="L46" s="15">
        <f>INDEX(IRA_3!$A:$J,MATCH('2019'!$A46,IRA_3!$A:$A,0),MATCH('2019'!$A$1,IRA_3!$3:$3,0))</f>
        <v>0.40551776266061978</v>
      </c>
      <c r="M46" s="96">
        <f>INDEX(IRA_4!$A:$J,MATCH('2019'!$A46,IRA_4!$A:$A,0),MATCH('2019'!$A$1,IRA_4!$3:$3,0))/(B46/1000)</f>
        <v>3.4456917908946605</v>
      </c>
      <c r="N46" s="61">
        <f>INDEX(INV_1!$A:$J,MATCH('2019'!$A46,INV_1!$A:$A,0),MATCH('2019'!$A$1,INV_1!$3:$3,0))</f>
        <v>9.6282938013997385E-2</v>
      </c>
      <c r="O46" s="80">
        <f>INDEX(INV_2!$A:$J,MATCH('2019'!$A46,INV_2!$A:$A,0),MATCH('2019'!$A$1,INV_2!$3:$3,0))/B46*10^6/C46</f>
        <v>0.53865982950971003</v>
      </c>
      <c r="P46" s="87">
        <f>INDEX(INV_3!$A:$J,MATCH('2019'!$A46,INV_3!$A:$A,0),MATCH('2019'!$A$1,INV_3!$3:$3,0))/B46*10^6/C46</f>
        <v>3.1951304332793895</v>
      </c>
      <c r="Q46" s="87">
        <f>INDEX(INV_4!$A:$J,MATCH('2019'!$A46,INV_4!$A:$A,0),MATCH('2019'!$A$1,INV_4!$3:$3,0))/B46*10^3/C46</f>
        <v>0.27661429374318364</v>
      </c>
      <c r="R46" s="34">
        <f>INDEX(INV_5!$A:$J,MATCH('2019'!$A46,INV_5!$A:$A,0),MATCH('2019'!$A$1,INV_5!$3:$3,0))</f>
        <v>7.0999999999999994E-2</v>
      </c>
      <c r="S46" s="77">
        <f>INDEX(LUJ_1!$A:$J,MATCH('2019'!$A46,LUJ_1!$A:$A,0),MATCH('2019'!$A$1,LUJ_1!$3:$3,0))</f>
        <v>0.71689497716894979</v>
      </c>
      <c r="T46" s="73">
        <f>INDEX(LUJ_2!$A:$J,MATCH('2019'!$A46,LUJ_2!$A:$A,0),MATCH('2019'!$A$1,LUJ_2!$3:$3,0))</f>
        <v>0.21299999999999999</v>
      </c>
      <c r="U46" s="73">
        <f>INDEX(LUJ_3!$A:$J,MATCH('2019'!$A46,LUJ_3!$A:$A,0),MATCH('2019'!$A$1,LUJ_3!$3:$3,0))</f>
        <v>0.40753389712005184</v>
      </c>
      <c r="V46" s="14">
        <f>INDEX(LUJ_4!$A:$J,MATCH('2019'!$A46,LUJ_4!$A:$A,0),MATCH('2019'!$A$1,LUJ_4!$3:$3,0))</f>
        <v>12</v>
      </c>
      <c r="W46" s="34">
        <f>INDEX(LUJ_5!$A:$J,MATCH('2019'!$A46,LUJ_5!$A:$A,0),MATCH('2019'!$A$1,LUJ_5!$3:$3,0))</f>
        <v>72.8</v>
      </c>
      <c r="X46" s="98">
        <f>1/INDEX(GUL_1!$A:$J,MATCH('2019'!$A46,GUL_1!$A:$A,0),MATCH('2019'!$A$1,GUL_1!$3:$3,0))</f>
        <v>1.3919821826280623E-2</v>
      </c>
      <c r="Y46" s="57">
        <f>INDEX(GUL_2!$A:$J,MATCH('2019'!$A46,GUL_2!$A:$A,0),MATCH('2019'!$A$1,GUL_2!$3:$3,0))</f>
        <v>26.400000000000002</v>
      </c>
      <c r="Z46" s="57">
        <f>INDEX(GUL_3!$A:$J,MATCH('2019'!$A46,GUL_3!$A:$A,0),MATCH('2019'!$A$1,GUL_3!$3:$3,0))/(B46/1000)</f>
        <v>1.0766484029020522</v>
      </c>
      <c r="AA46" s="101">
        <f>INDEX(GUL_4!$A:$J,MATCH('2019'!$A46,GUL_4!$A:$A,0),MATCH('2019'!$A$1,GUL_4!$3:$3,0))/B46/C46*10^6</f>
        <v>0.28876707501994114</v>
      </c>
      <c r="AB46" s="73">
        <f>INDEX(GUL_5!$A:$J,MATCH('2019'!$A46,GUL_5!$A:$A,0),MATCH('2019'!$A$1,GUL_5!$3:$3,0))</f>
        <v>4.5978195614587845E-2</v>
      </c>
      <c r="AC46" s="49" t="e">
        <f>INDEX(GUL_6!$A:$J,MATCH('2019'!$A46,GUL_6!$A:$A,0),MATCH('2019'!$A$1,GUL_6!$3:$3,0))</f>
        <v>#N/A</v>
      </c>
      <c r="AD46" s="49" t="e">
        <f>INDEX(GUL_7!$A:$J,MATCH('2019'!$A46,GUL_7!$A:$A,0),MATCH('2019'!$A$1,GUL_7!$3:$3,0))</f>
        <v>#N/A</v>
      </c>
      <c r="AE46" s="103">
        <f>INDEX(GUL_8!$A:$J,MATCH('2019'!$A46,GUL_8!$A:$A,0),MATCH('2019'!$A$1,GUL_8!$3:$3,0))/(B46/1000)</f>
        <v>2.0772122623269991</v>
      </c>
      <c r="AF46" s="41">
        <f>INDEX(DES_1!$A:$J,MATCH('2019'!$A46,DES_1!$A:$A,0),MATCH('2019'!$A$1,DES_1!$3:$3,0))/(B46/1000)</f>
        <v>0.17926769148030297</v>
      </c>
      <c r="AG46" s="100">
        <f>INDEX(DES_2!$A:$J,MATCH('2019'!$A46,DES_2!$A:$A,0),MATCH('2019'!$A$1,DES_2!$3:$3,0))/(B46/1000)</f>
        <v>0.32309874627263907</v>
      </c>
      <c r="AH46" s="57">
        <f>1/INDEX(DES_3!$A:$J,MATCH('2019'!$A46,DES_3!$A:$A,0),MATCH('2019'!$A$1,DES_3!$3:$3,0))</f>
        <v>9.8911968348170138E-3</v>
      </c>
      <c r="AI46" s="80">
        <f>INDEX(DES_4!$A:$J,MATCH('2019'!$A46,DES_4!$A:$A,0),MATCH('2019'!$A$1,DES_4!$3:$3,0))</f>
        <v>0.63964573692100002</v>
      </c>
      <c r="AJ46" s="110">
        <f>INDEX(DES_5!$A:$J,MATCH('2019'!$A46,DES_5!$A:$A,0),MATCH('2019'!$A$1,DES_5!$3:$3,0))</f>
        <v>0.586080626045</v>
      </c>
      <c r="AK46" s="57">
        <v>57</v>
      </c>
    </row>
    <row r="47" spans="1:37" x14ac:dyDescent="0.3">
      <c r="A47" s="29" t="s">
        <v>46</v>
      </c>
      <c r="B47" s="33">
        <f>INDEX(Population!$A:$J,MATCH('2019'!$A47,Population!$A:$A,0),MATCH('2019'!$A$1,Population!$3:$3,0))</f>
        <v>1209255</v>
      </c>
      <c r="C47" s="14">
        <f>INDEX(Income!$A:$J,MATCH('2019'!$A47,Income!$A:$A,0),MATCH('2019'!$A$1,Income!$3:$3,0))</f>
        <v>20162</v>
      </c>
      <c r="D47" s="34">
        <f>INDEX(Livable_wage!$A:$J,MATCH('2019'!$A47,Livable_wage!$A:$A,0),MATCH('2019'!$A$1,Livable_wage!$3:$3,0))</f>
        <v>9875</v>
      </c>
      <c r="E47" s="41">
        <f>INDEX(AVA_1!$A:$J,MATCH('2019'!$A47,AVA_1!$A:$A,0),MATCH('2019'!$A$1,AVA_1!$3:$3,0))</f>
        <v>0.34</v>
      </c>
      <c r="F47" s="15">
        <f>INDEX(AVA_2!$A:$J,MATCH('2019'!$A47,AVA_2!$A:$A,0),MATCH('2019'!$A$1,AVA_2!$3:$3,0))</f>
        <v>1.2886283587848013E-2</v>
      </c>
      <c r="G47" s="15">
        <f>INDEX(AVA_3!$A:$J,MATCH('2019'!$A47,AVA_3!$A:$A,0),MATCH('2019'!$A$1,AVA_3!$3:$3,0))</f>
        <v>2.3681457541209434E-2</v>
      </c>
      <c r="H47" s="87">
        <f>INDEX(AVA_4!$A:$J,MATCH('2019'!$A47,AVA_4!$A:$A,0),MATCH('2019'!$A$1,AVA_4!$3:$3,0))/(B47/1000)</f>
        <v>0.93032486944440995</v>
      </c>
      <c r="I47" s="89">
        <f>INDEX(AVA_5!$A:$J,MATCH('2019'!$A47,AVA_5!$A:$A,0),MATCH('2019'!$A$1,AVA_5!$3:$3,0))/(B47/1000)</f>
        <v>2.7612042125110086</v>
      </c>
      <c r="J47" s="93">
        <f>INDEX(IRA_1!$A:$J,MATCH('2019'!$A47,IRA_1!$A:$A,0),MATCH('2019'!$A$1,IRA_1!$3:$3,0))/(B47/1000)</f>
        <v>3.8039950217282535E-2</v>
      </c>
      <c r="K47" s="88">
        <f>INDEX(IRA_2!$A:$J,MATCH('2019'!$A47,IRA_2!$A:$A,0),MATCH('2019'!$A$1,IRA_2!$3:$3,0))/(B47/1000)</f>
        <v>0.11411985065184761</v>
      </c>
      <c r="L47" s="15">
        <f>INDEX(IRA_3!$A:$J,MATCH('2019'!$A47,IRA_3!$A:$A,0),MATCH('2019'!$A$1,IRA_3!$3:$3,0))</f>
        <v>0.43043824701195221</v>
      </c>
      <c r="M47" s="96">
        <f>INDEX(IRA_4!$A:$J,MATCH('2019'!$A47,IRA_4!$A:$A,0),MATCH('2019'!$A$1,IRA_4!$3:$3,0))/(B47/1000)</f>
        <v>2.7942824300912541</v>
      </c>
      <c r="N47" s="61">
        <f>INDEX(INV_1!$A:$J,MATCH('2019'!$A47,INV_1!$A:$A,0),MATCH('2019'!$A$1,INV_1!$3:$3,0))</f>
        <v>7.2591228640049646E-2</v>
      </c>
      <c r="O47" s="80">
        <f>INDEX(INV_2!$A:$J,MATCH('2019'!$A47,INV_2!$A:$A,0),MATCH('2019'!$A$1,INV_2!$3:$3,0))/B47*10^6/C47</f>
        <v>0.4600292114523668</v>
      </c>
      <c r="P47" s="87">
        <f>INDEX(INV_3!$A:$J,MATCH('2019'!$A47,INV_3!$A:$A,0),MATCH('2019'!$A$1,INV_3!$3:$3,0))/B47*10^6/C47</f>
        <v>5.3734877038557283</v>
      </c>
      <c r="Q47" s="87">
        <f>INDEX(INV_4!$A:$J,MATCH('2019'!$A47,INV_4!$A:$A,0),MATCH('2019'!$A$1,INV_4!$3:$3,0))/B47*10^3/C47</f>
        <v>0.34355147192693147</v>
      </c>
      <c r="R47" s="34">
        <f>INDEX(INV_5!$A:$J,MATCH('2019'!$A47,INV_5!$A:$A,0),MATCH('2019'!$A$1,INV_5!$3:$3,0))</f>
        <v>7.4300000000000005E-2</v>
      </c>
      <c r="S47" s="77">
        <f>INDEX(LUJ_1!$A:$J,MATCH('2019'!$A47,LUJ_1!$A:$A,0),MATCH('2019'!$A$1,LUJ_1!$3:$3,0))</f>
        <v>0.61347068145800321</v>
      </c>
      <c r="T47" s="73">
        <f>INDEX(LUJ_2!$A:$J,MATCH('2019'!$A47,LUJ_2!$A:$A,0),MATCH('2019'!$A$1,LUJ_2!$3:$3,0))</f>
        <v>0.188</v>
      </c>
      <c r="U47" s="73">
        <f>INDEX(LUJ_3!$A:$J,MATCH('2019'!$A47,LUJ_3!$A:$A,0),MATCH('2019'!$A$1,LUJ_3!$3:$3,0))</f>
        <v>0.54568134893324161</v>
      </c>
      <c r="V47" s="14">
        <f>INDEX(LUJ_4!$A:$J,MATCH('2019'!$A47,LUJ_4!$A:$A,0),MATCH('2019'!$A$1,LUJ_4!$3:$3,0))</f>
        <v>23</v>
      </c>
      <c r="W47" s="34">
        <f>INDEX(LUJ_5!$A:$J,MATCH('2019'!$A47,LUJ_5!$A:$A,0),MATCH('2019'!$A$1,LUJ_5!$3:$3,0))</f>
        <v>30.2</v>
      </c>
      <c r="X47" s="98">
        <f>1/INDEX(GUL_1!$A:$J,MATCH('2019'!$A47,GUL_1!$A:$A,0),MATCH('2019'!$A$1,GUL_1!$3:$3,0))</f>
        <v>1.3616557734204794E-2</v>
      </c>
      <c r="Y47" s="57">
        <f>INDEX(GUL_2!$A:$J,MATCH('2019'!$A47,GUL_2!$A:$A,0),MATCH('2019'!$A$1,GUL_2!$3:$3,0))</f>
        <v>24</v>
      </c>
      <c r="Z47" s="57">
        <f>INDEX(GUL_3!$A:$J,MATCH('2019'!$A47,GUL_3!$A:$A,0),MATCH('2019'!$A$1,GUL_3!$3:$3,0))/(B47/1000)</f>
        <v>0.81537806335305618</v>
      </c>
      <c r="AA47" s="101">
        <f>INDEX(GUL_4!$A:$J,MATCH('2019'!$A47,GUL_4!$A:$A,0),MATCH('2019'!$A$1,GUL_4!$3:$3,0))/B47/C47*10^6</f>
        <v>0.44675322210982832</v>
      </c>
      <c r="AB47" s="73">
        <f>INDEX(GUL_5!$A:$J,MATCH('2019'!$A47,GUL_5!$A:$A,0),MATCH('2019'!$A$1,GUL_5!$3:$3,0))</f>
        <v>2.8291178514006182E-2</v>
      </c>
      <c r="AC47" s="49" t="e">
        <f>INDEX(GUL_6!$A:$J,MATCH('2019'!$A47,GUL_6!$A:$A,0),MATCH('2019'!$A$1,GUL_6!$3:$3,0))</f>
        <v>#N/A</v>
      </c>
      <c r="AD47" s="49" t="e">
        <f>INDEX(GUL_7!$A:$J,MATCH('2019'!$A47,GUL_7!$A:$A,0),MATCH('2019'!$A$1,GUL_7!$3:$3,0))</f>
        <v>#N/A</v>
      </c>
      <c r="AE47" s="103">
        <f>INDEX(GUL_8!$A:$J,MATCH('2019'!$A47,GUL_8!$A:$A,0),MATCH('2019'!$A$1,GUL_8!$3:$3,0))/(B47/1000)</f>
        <v>1.8953818673480778</v>
      </c>
      <c r="AF47" s="41">
        <f>INDEX(DES_1!$A:$J,MATCH('2019'!$A47,DES_1!$A:$A,0),MATCH('2019'!$A$1,DES_1!$3:$3,0))/(B47/1000)</f>
        <v>7.2772078676540508E-2</v>
      </c>
      <c r="AG47" s="100">
        <f>INDEX(DES_2!$A:$J,MATCH('2019'!$A47,DES_2!$A:$A,0),MATCH('2019'!$A$1,DES_2!$3:$3,0))/(B47/1000)</f>
        <v>0.20095017179999253</v>
      </c>
      <c r="AH47" s="57">
        <f>1/INDEX(DES_3!$A:$J,MATCH('2019'!$A47,DES_3!$A:$A,0),MATCH('2019'!$A$1,DES_3!$3:$3,0))</f>
        <v>7.8492935635792772E-3</v>
      </c>
      <c r="AI47" s="80">
        <f>INDEX(DES_4!$A:$J,MATCH('2019'!$A47,DES_4!$A:$A,0),MATCH('2019'!$A$1,DES_4!$3:$3,0))</f>
        <v>0.63237296524999997</v>
      </c>
      <c r="AJ47" s="110">
        <f>INDEX(DES_5!$A:$J,MATCH('2019'!$A47,DES_5!$A:$A,0),MATCH('2019'!$A$1,DES_5!$3:$3,0))</f>
        <v>0.51736929913800001</v>
      </c>
      <c r="AK47" s="57">
        <v>49</v>
      </c>
    </row>
    <row r="48" spans="1:37" x14ac:dyDescent="0.3">
      <c r="A48" s="29" t="s">
        <v>47</v>
      </c>
      <c r="B48" s="33">
        <f>INDEX(Population!$A:$J,MATCH('2019'!$A48,Population!$A:$A,0),MATCH('2019'!$A$1,Population!$3:$3,0))</f>
        <v>696345</v>
      </c>
      <c r="C48" s="14">
        <f>INDEX(Income!$A:$J,MATCH('2019'!$A48,Income!$A:$A,0),MATCH('2019'!$A$1,Income!$3:$3,0))</f>
        <v>24522</v>
      </c>
      <c r="D48" s="34">
        <f>INDEX(Livable_wage!$A:$J,MATCH('2019'!$A48,Livable_wage!$A:$A,0),MATCH('2019'!$A$1,Livable_wage!$3:$3,0))</f>
        <v>9794</v>
      </c>
      <c r="E48" s="41">
        <f>INDEX(AVA_1!$A:$J,MATCH('2019'!$A48,AVA_1!$A:$A,0),MATCH('2019'!$A$1,AVA_1!$3:$3,0))</f>
        <v>0.36499999999999999</v>
      </c>
      <c r="F48" s="15">
        <f>INDEX(AVA_2!$A:$J,MATCH('2019'!$A48,AVA_2!$A:$A,0),MATCH('2019'!$A$1,AVA_2!$3:$3,0))</f>
        <v>7.6645447572130151E-3</v>
      </c>
      <c r="G48" s="15">
        <f>INDEX(AVA_3!$A:$J,MATCH('2019'!$A48,AVA_3!$A:$A,0),MATCH('2019'!$A$1,AVA_3!$3:$3,0))</f>
        <v>4.7571195631101355E-3</v>
      </c>
      <c r="H48" s="87">
        <f>INDEX(AVA_4!$A:$J,MATCH('2019'!$A48,AVA_4!$A:$A,0),MATCH('2019'!$A$1,AVA_4!$3:$3,0))/(B48/1000)</f>
        <v>1.1402393928297037</v>
      </c>
      <c r="I48" s="89">
        <f>INDEX(AVA_5!$A:$J,MATCH('2019'!$A48,AVA_5!$A:$A,0),MATCH('2019'!$A$1,AVA_5!$3:$3,0))/(B48/1000)</f>
        <v>1.9745959258700787</v>
      </c>
      <c r="J48" s="93">
        <f>INDEX(IRA_1!$A:$J,MATCH('2019'!$A48,IRA_1!$A:$A,0),MATCH('2019'!$A$1,IRA_1!$3:$3,0))/(B48/1000)</f>
        <v>3.4465674342459555E-2</v>
      </c>
      <c r="K48" s="88">
        <f>INDEX(IRA_2!$A:$J,MATCH('2019'!$A48,IRA_2!$A:$A,0),MATCH('2019'!$A$1,IRA_2!$3:$3,0))/(B48/1000)</f>
        <v>5.7442790570765928E-2</v>
      </c>
      <c r="L48" s="15">
        <f>INDEX(IRA_3!$A:$J,MATCH('2019'!$A48,IRA_3!$A:$A,0),MATCH('2019'!$A$1,IRA_3!$3:$3,0))</f>
        <v>0.48728714718917654</v>
      </c>
      <c r="M48" s="96">
        <f>INDEX(IRA_4!$A:$J,MATCH('2019'!$A48,IRA_4!$A:$A,0),MATCH('2019'!$A$1,IRA_4!$3:$3,0))/(B48/1000)</f>
        <v>4.4575605482914362</v>
      </c>
      <c r="N48" s="61">
        <f>INDEX(INV_1!$A:$J,MATCH('2019'!$A48,INV_1!$A:$A,0),MATCH('2019'!$A$1,INV_1!$3:$3,0))</f>
        <v>0.12682852398405228</v>
      </c>
      <c r="O48" s="80">
        <f>INDEX(INV_2!$A:$J,MATCH('2019'!$A48,INV_2!$A:$A,0),MATCH('2019'!$A$1,INV_2!$3:$3,0))/B48*10^6/C48</f>
        <v>0.44941928696121403</v>
      </c>
      <c r="P48" s="87">
        <f>INDEX(INV_3!$A:$J,MATCH('2019'!$A48,INV_3!$A:$A,0),MATCH('2019'!$A$1,INV_3!$3:$3,0))/B48*10^6/C48</f>
        <v>3.1785971207583619</v>
      </c>
      <c r="Q48" s="87">
        <f>INDEX(INV_4!$A:$J,MATCH('2019'!$A48,INV_4!$A:$A,0),MATCH('2019'!$A$1,INV_4!$3:$3,0))/B48*10^3/C48</f>
        <v>0.3383825849598816</v>
      </c>
      <c r="R48" s="34">
        <f>INDEX(INV_5!$A:$J,MATCH('2019'!$A48,INV_5!$A:$A,0),MATCH('2019'!$A$1,INV_5!$3:$3,0))</f>
        <v>0.1893</v>
      </c>
      <c r="S48" s="77">
        <f>INDEX(LUJ_1!$A:$J,MATCH('2019'!$A48,LUJ_1!$A:$A,0),MATCH('2019'!$A$1,LUJ_1!$3:$3,0))</f>
        <v>0.5579888957433683</v>
      </c>
      <c r="T48" s="73">
        <f>INDEX(LUJ_2!$A:$J,MATCH('2019'!$A48,LUJ_2!$A:$A,0),MATCH('2019'!$A$1,LUJ_2!$3:$3,0))</f>
        <v>0.248</v>
      </c>
      <c r="U48" s="73">
        <f>INDEX(LUJ_3!$A:$J,MATCH('2019'!$A48,LUJ_3!$A:$A,0),MATCH('2019'!$A$1,LUJ_3!$3:$3,0))</f>
        <v>0.23661807580174926</v>
      </c>
      <c r="V48" s="14">
        <f>INDEX(LUJ_4!$A:$J,MATCH('2019'!$A48,LUJ_4!$A:$A,0),MATCH('2019'!$A$1,LUJ_4!$3:$3,0))</f>
        <v>3</v>
      </c>
      <c r="W48" s="34">
        <f>INDEX(LUJ_5!$A:$J,MATCH('2019'!$A48,LUJ_5!$A:$A,0),MATCH('2019'!$A$1,LUJ_5!$3:$3,0))</f>
        <v>23.3</v>
      </c>
      <c r="X48" s="98">
        <f>1/INDEX(GUL_1!$A:$J,MATCH('2019'!$A48,GUL_1!$A:$A,0),MATCH('2019'!$A$1,GUL_1!$3:$3,0))</f>
        <v>1.3201320132013201E-2</v>
      </c>
      <c r="Y48" s="57">
        <f>INDEX(GUL_2!$A:$J,MATCH('2019'!$A48,GUL_2!$A:$A,0),MATCH('2019'!$A$1,GUL_2!$3:$3,0))</f>
        <v>24.9</v>
      </c>
      <c r="Z48" s="57">
        <f>INDEX(GUL_3!$A:$J,MATCH('2019'!$A48,GUL_3!$A:$A,0),MATCH('2019'!$A$1,GUL_3!$3:$3,0))/(B48/1000)</f>
        <v>0.74532020765568785</v>
      </c>
      <c r="AA48" s="101">
        <f>INDEX(GUL_4!$A:$J,MATCH('2019'!$A48,GUL_4!$A:$A,0),MATCH('2019'!$A$1,GUL_4!$3:$3,0))/B48/C48*10^6</f>
        <v>0.27725188501271453</v>
      </c>
      <c r="AB48" s="73">
        <f>INDEX(GUL_5!$A:$J,MATCH('2019'!$A48,GUL_5!$A:$A,0),MATCH('2019'!$A$1,GUL_5!$3:$3,0))</f>
        <v>9.6767428002058724E-3</v>
      </c>
      <c r="AC48" s="49" t="e">
        <f>INDEX(GUL_6!$A:$J,MATCH('2019'!$A48,GUL_6!$A:$A,0),MATCH('2019'!$A$1,GUL_6!$3:$3,0))</f>
        <v>#N/A</v>
      </c>
      <c r="AD48" s="49" t="e">
        <f>INDEX(GUL_7!$A:$J,MATCH('2019'!$A48,GUL_7!$A:$A,0),MATCH('2019'!$A$1,GUL_7!$3:$3,0))</f>
        <v>#N/A</v>
      </c>
      <c r="AE48" s="103">
        <f>INDEX(GUL_8!$A:$J,MATCH('2019'!$A48,GUL_8!$A:$A,0),MATCH('2019'!$A$1,GUL_8!$3:$3,0))/(B48/1000)</f>
        <v>0.61032964981438798</v>
      </c>
      <c r="AF48" s="41">
        <f>INDEX(DES_1!$A:$J,MATCH('2019'!$A48,DES_1!$A:$A,0),MATCH('2019'!$A$1,DES_1!$3:$3,0))/(B48/1000)</f>
        <v>1.2924627878422332E-2</v>
      </c>
      <c r="AG48" s="100">
        <f>INDEX(DES_2!$A:$J,MATCH('2019'!$A48,DES_2!$A:$A,0),MATCH('2019'!$A$1,DES_2!$3:$3,0))/(B48/1000)</f>
        <v>1.289590648313695</v>
      </c>
      <c r="AH48" s="57">
        <f>1/INDEX(DES_3!$A:$J,MATCH('2019'!$A48,DES_3!$A:$A,0),MATCH('2019'!$A$1,DES_3!$3:$3,0))</f>
        <v>9.4786729857819912E-3</v>
      </c>
      <c r="AI48" s="80">
        <f>INDEX(DES_4!$A:$J,MATCH('2019'!$A48,DES_4!$A:$A,0),MATCH('2019'!$A$1,DES_4!$3:$3,0))</f>
        <v>0.496848776055</v>
      </c>
      <c r="AJ48" s="110">
        <f>INDEX(DES_5!$A:$J,MATCH('2019'!$A48,DES_5!$A:$A,0),MATCH('2019'!$A$1,DES_5!$3:$3,0))</f>
        <v>0.21468057940600002</v>
      </c>
      <c r="AK48" s="57">
        <v>35</v>
      </c>
    </row>
    <row r="49" spans="1:37" x14ac:dyDescent="0.3">
      <c r="A49" s="29" t="s">
        <v>48</v>
      </c>
      <c r="B49" s="33">
        <f>INDEX(Population!$A:$J,MATCH('2019'!$A49,Population!$A:$A,0),MATCH('2019'!$A$1,Population!$3:$3,0))</f>
        <v>1193180</v>
      </c>
      <c r="C49" s="14">
        <f>INDEX(Income!$A:$J,MATCH('2019'!$A49,Income!$A:$A,0),MATCH('2019'!$A$1,Income!$3:$3,0))</f>
        <v>28422</v>
      </c>
      <c r="D49" s="34">
        <f>INDEX(Livable_wage!$A:$J,MATCH('2019'!$A49,Livable_wage!$A:$A,0),MATCH('2019'!$A$1,Livable_wage!$3:$3,0))</f>
        <v>11092</v>
      </c>
      <c r="E49" s="41">
        <f>INDEX(AVA_1!$A:$J,MATCH('2019'!$A49,AVA_1!$A:$A,0),MATCH('2019'!$A$1,AVA_1!$3:$3,0))</f>
        <v>0.375</v>
      </c>
      <c r="F49" s="15">
        <f>INDEX(AVA_2!$A:$J,MATCH('2019'!$A49,AVA_2!$A:$A,0),MATCH('2019'!$A$1,AVA_2!$3:$3,0))</f>
        <v>9.317508538219145E-3</v>
      </c>
      <c r="G49" s="15">
        <f>INDEX(AVA_3!$A:$J,MATCH('2019'!$A49,AVA_3!$A:$A,0),MATCH('2019'!$A$1,AVA_3!$3:$3,0))</f>
        <v>2.5780140937660505E-3</v>
      </c>
      <c r="H49" s="87">
        <f>INDEX(AVA_4!$A:$J,MATCH('2019'!$A49,AVA_4!$A:$A,0),MATCH('2019'!$A$1,AVA_4!$3:$3,0))/(B49/1000)</f>
        <v>0.65539147488224736</v>
      </c>
      <c r="I49" s="89">
        <f>INDEX(AVA_5!$A:$J,MATCH('2019'!$A49,AVA_5!$A:$A,0),MATCH('2019'!$A$1,AVA_5!$3:$3,0))/(B49/1000)</f>
        <v>3.8921202165641393</v>
      </c>
      <c r="J49" s="93">
        <f>INDEX(IRA_1!$A:$J,MATCH('2019'!$A49,IRA_1!$A:$A,0),MATCH('2019'!$A$1,IRA_1!$3:$3,0))/(B49/1000)</f>
        <v>4.6933404850902624E-2</v>
      </c>
      <c r="K49" s="88">
        <f>INDEX(IRA_2!$A:$J,MATCH('2019'!$A49,IRA_2!$A:$A,0),MATCH('2019'!$A$1,IRA_2!$3:$3,0))/(B49/1000)</f>
        <v>0.1483430831894601</v>
      </c>
      <c r="L49" s="15">
        <f>INDEX(IRA_3!$A:$J,MATCH('2019'!$A49,IRA_3!$A:$A,0),MATCH('2019'!$A$1,IRA_3!$3:$3,0))</f>
        <v>0.44182746878547108</v>
      </c>
      <c r="M49" s="96">
        <f>INDEX(IRA_4!$A:$J,MATCH('2019'!$A49,IRA_4!$A:$A,0),MATCH('2019'!$A$1,IRA_4!$3:$3,0))/(B49/1000)</f>
        <v>4.122596758242679</v>
      </c>
      <c r="N49" s="61">
        <f>INDEX(INV_1!$A:$J,MATCH('2019'!$A49,INV_1!$A:$A,0),MATCH('2019'!$A$1,INV_1!$3:$3,0))</f>
        <v>8.3787889373129781E-2</v>
      </c>
      <c r="O49" s="80">
        <f>INDEX(INV_2!$A:$J,MATCH('2019'!$A49,INV_2!$A:$A,0),MATCH('2019'!$A$1,INV_2!$3:$3,0))/B49*10^6/C49</f>
        <v>0.45736575288221026</v>
      </c>
      <c r="P49" s="87">
        <f>INDEX(INV_3!$A:$J,MATCH('2019'!$A49,INV_3!$A:$A,0),MATCH('2019'!$A$1,INV_3!$3:$3,0))/B49*10^6/C49</f>
        <v>2.9863565046915141</v>
      </c>
      <c r="Q49" s="87">
        <f>INDEX(INV_4!$A:$J,MATCH('2019'!$A49,INV_4!$A:$A,0),MATCH('2019'!$A$1,INV_4!$3:$3,0))/B49*10^3/C49</f>
        <v>0.28655499727393641</v>
      </c>
      <c r="R49" s="34">
        <f>INDEX(INV_5!$A:$J,MATCH('2019'!$A49,INV_5!$A:$A,0),MATCH('2019'!$A$1,INV_5!$3:$3,0))</f>
        <v>5.5599999999999997E-2</v>
      </c>
      <c r="S49" s="77">
        <f>INDEX(LUJ_1!$A:$J,MATCH('2019'!$A49,LUJ_1!$A:$A,0),MATCH('2019'!$A$1,LUJ_1!$3:$3,0))</f>
        <v>0.69718854784627293</v>
      </c>
      <c r="T49" s="73">
        <f>INDEX(LUJ_2!$A:$J,MATCH('2019'!$A49,LUJ_2!$A:$A,0),MATCH('2019'!$A$1,LUJ_2!$3:$3,0))</f>
        <v>0.17</v>
      </c>
      <c r="U49" s="73">
        <f>INDEX(LUJ_3!$A:$J,MATCH('2019'!$A49,LUJ_3!$A:$A,0),MATCH('2019'!$A$1,LUJ_3!$3:$3,0))</f>
        <v>0.58557553234230608</v>
      </c>
      <c r="V49" s="14">
        <f>INDEX(LUJ_4!$A:$J,MATCH('2019'!$A49,LUJ_4!$A:$A,0),MATCH('2019'!$A$1,LUJ_4!$3:$3,0))</f>
        <v>17</v>
      </c>
      <c r="W49" s="34">
        <f>INDEX(LUJ_5!$A:$J,MATCH('2019'!$A49,LUJ_5!$A:$A,0),MATCH('2019'!$A$1,LUJ_5!$3:$3,0))</f>
        <v>24.2</v>
      </c>
      <c r="X49" s="98">
        <f>1/INDEX(GUL_1!$A:$J,MATCH('2019'!$A49,GUL_1!$A:$A,0),MATCH('2019'!$A$1,GUL_1!$3:$3,0))</f>
        <v>1.3829345871940256E-2</v>
      </c>
      <c r="Y49" s="57">
        <f>INDEX(GUL_2!$A:$J,MATCH('2019'!$A49,GUL_2!$A:$A,0),MATCH('2019'!$A$1,GUL_2!$3:$3,0))</f>
        <v>25.8</v>
      </c>
      <c r="Z49" s="57">
        <f>INDEX(GUL_3!$A:$J,MATCH('2019'!$A49,GUL_3!$A:$A,0),MATCH('2019'!$A$1,GUL_3!$3:$3,0))/(B49/1000)</f>
        <v>0.85737273504416767</v>
      </c>
      <c r="AA49" s="101">
        <f>INDEX(GUL_4!$A:$J,MATCH('2019'!$A49,GUL_4!$A:$A,0),MATCH('2019'!$A$1,GUL_4!$3:$3,0))/B49/C49*10^6</f>
        <v>0.37790096823460401</v>
      </c>
      <c r="AB49" s="73">
        <f>INDEX(GUL_5!$A:$J,MATCH('2019'!$A49,GUL_5!$A:$A,0),MATCH('2019'!$A$1,GUL_5!$3:$3,0))</f>
        <v>3.0602570493356008E-2</v>
      </c>
      <c r="AC49" s="49" t="e">
        <f>INDEX(GUL_6!$A:$J,MATCH('2019'!$A49,GUL_6!$A:$A,0),MATCH('2019'!$A$1,GUL_6!$3:$3,0))</f>
        <v>#N/A</v>
      </c>
      <c r="AD49" s="49" t="e">
        <f>INDEX(GUL_7!$A:$J,MATCH('2019'!$A49,GUL_7!$A:$A,0),MATCH('2019'!$A$1,GUL_7!$3:$3,0))</f>
        <v>#N/A</v>
      </c>
      <c r="AE49" s="103">
        <f>INDEX(GUL_8!$A:$J,MATCH('2019'!$A49,GUL_8!$A:$A,0),MATCH('2019'!$A$1,GUL_8!$3:$3,0))/(B49/1000)</f>
        <v>2.2578320119344943</v>
      </c>
      <c r="AF49" s="41">
        <f>INDEX(DES_1!$A:$J,MATCH('2019'!$A49,DES_1!$A:$A,0),MATCH('2019'!$A$1,DES_1!$3:$3,0))/(B49/1000)</f>
        <v>0.11314302955128312</v>
      </c>
      <c r="AG49" s="100">
        <f>INDEX(DES_2!$A:$J,MATCH('2019'!$A49,DES_2!$A:$A,0),MATCH('2019'!$A$1,DES_2!$3:$3,0))/(B49/1000)</f>
        <v>0.33021002698670776</v>
      </c>
      <c r="AH49" s="57">
        <f>1/INDEX(DES_3!$A:$J,MATCH('2019'!$A49,DES_3!$A:$A,0),MATCH('2019'!$A$1,DES_3!$3:$3,0))</f>
        <v>6.9060773480662981E-3</v>
      </c>
      <c r="AI49" s="80">
        <f>INDEX(DES_4!$A:$J,MATCH('2019'!$A49,DES_4!$A:$A,0),MATCH('2019'!$A$1,DES_4!$3:$3,0))</f>
        <v>0.86837729729699997</v>
      </c>
      <c r="AJ49" s="110">
        <f>INDEX(DES_5!$A:$J,MATCH('2019'!$A49,DES_5!$A:$A,0),MATCH('2019'!$A$1,DES_5!$3:$3,0))</f>
        <v>0.53347057410499998</v>
      </c>
      <c r="AK49" s="57">
        <v>27</v>
      </c>
    </row>
    <row r="50" spans="1:37" x14ac:dyDescent="0.3">
      <c r="A50" s="29" t="s">
        <v>49</v>
      </c>
      <c r="B50" s="33">
        <f>INDEX(Population!$A:$J,MATCH('2019'!$A50,Population!$A:$A,0),MATCH('2019'!$A$1,Population!$3:$3,0))</f>
        <v>1301298</v>
      </c>
      <c r="C50" s="14">
        <f>INDEX(Income!$A:$J,MATCH('2019'!$A50,Income!$A:$A,0),MATCH('2019'!$A$1,Income!$3:$3,0))</f>
        <v>22990</v>
      </c>
      <c r="D50" s="34">
        <f>INDEX(Livable_wage!$A:$J,MATCH('2019'!$A50,Livable_wage!$A:$A,0),MATCH('2019'!$A$1,Livable_wage!$3:$3,0))</f>
        <v>9953</v>
      </c>
      <c r="E50" s="41">
        <f>INDEX(AVA_1!$A:$J,MATCH('2019'!$A50,AVA_1!$A:$A,0),MATCH('2019'!$A$1,AVA_1!$3:$3,0))</f>
        <v>0.34899999999999998</v>
      </c>
      <c r="F50" s="15">
        <f>INDEX(AVA_2!$A:$J,MATCH('2019'!$A50,AVA_2!$A:$A,0),MATCH('2019'!$A$1,AVA_2!$3:$3,0))</f>
        <v>9.0328646387478669E-3</v>
      </c>
      <c r="G50" s="15">
        <f>INDEX(AVA_3!$A:$J,MATCH('2019'!$A50,AVA_3!$A:$A,0),MATCH('2019'!$A$1,AVA_3!$3:$3,0))</f>
        <v>1.2818228376047373E-2</v>
      </c>
      <c r="H50" s="87">
        <f>INDEX(AVA_4!$A:$J,MATCH('2019'!$A50,AVA_4!$A:$A,0),MATCH('2019'!$A$1,AVA_4!$3:$3,0))/(B50/1000)</f>
        <v>0.45339345791663399</v>
      </c>
      <c r="I50" s="89">
        <f>INDEX(AVA_5!$A:$J,MATCH('2019'!$A50,AVA_5!$A:$A,0),MATCH('2019'!$A$1,AVA_5!$3:$3,0))/(B50/1000)</f>
        <v>3.3282153665032914</v>
      </c>
      <c r="J50" s="93">
        <f>INDEX(IRA_1!$A:$J,MATCH('2019'!$A50,IRA_1!$A:$A,0),MATCH('2019'!$A$1,IRA_1!$3:$3,0))/(B50/1000)</f>
        <v>2.9201612543783208E-2</v>
      </c>
      <c r="K50" s="88">
        <f>INDEX(IRA_2!$A:$J,MATCH('2019'!$A50,IRA_2!$A:$A,0),MATCH('2019'!$A$1,IRA_2!$3:$3,0))/(B50/1000)</f>
        <v>0.11834337715112142</v>
      </c>
      <c r="L50" s="15">
        <f>INDEX(IRA_3!$A:$J,MATCH('2019'!$A50,IRA_3!$A:$A,0),MATCH('2019'!$A$1,IRA_3!$3:$3,0))</f>
        <v>0.42449528936742931</v>
      </c>
      <c r="M50" s="96">
        <f>INDEX(IRA_4!$A:$J,MATCH('2019'!$A50,IRA_4!$A:$A,0),MATCH('2019'!$A$1,IRA_4!$3:$3,0))/(B50/1000)</f>
        <v>1.8973363518579143</v>
      </c>
      <c r="N50" s="61">
        <f>INDEX(INV_1!$A:$J,MATCH('2019'!$A50,INV_1!$A:$A,0),MATCH('2019'!$A$1,INV_1!$3:$3,0))</f>
        <v>7.3310044404008179E-2</v>
      </c>
      <c r="O50" s="80">
        <f>INDEX(INV_2!$A:$J,MATCH('2019'!$A50,INV_2!$A:$A,0),MATCH('2019'!$A$1,INV_2!$3:$3,0))/B50*10^6/C50</f>
        <v>0.45805596235374196</v>
      </c>
      <c r="P50" s="87">
        <f>INDEX(INV_3!$A:$J,MATCH('2019'!$A50,INV_3!$A:$A,0),MATCH('2019'!$A$1,INV_3!$3:$3,0))/B50*10^6/C50</f>
        <v>3.9980825488907183</v>
      </c>
      <c r="Q50" s="87">
        <f>INDEX(INV_4!$A:$J,MATCH('2019'!$A50,INV_4!$A:$A,0),MATCH('2019'!$A$1,INV_4!$3:$3,0))/B50*10^3/C50</f>
        <v>0.3379633392188946</v>
      </c>
      <c r="R50" s="34">
        <f>INDEX(INV_5!$A:$J,MATCH('2019'!$A50,INV_5!$A:$A,0),MATCH('2019'!$A$1,INV_5!$3:$3,0))</f>
        <v>7.3200000000000001E-2</v>
      </c>
      <c r="S50" s="77">
        <f>INDEX(LUJ_1!$A:$J,MATCH('2019'!$A50,LUJ_1!$A:$A,0),MATCH('2019'!$A$1,LUJ_1!$3:$3,0))</f>
        <v>0.72694494522257658</v>
      </c>
      <c r="T50" s="73">
        <f>INDEX(LUJ_2!$A:$J,MATCH('2019'!$A50,LUJ_2!$A:$A,0),MATCH('2019'!$A$1,LUJ_2!$3:$3,0))</f>
        <v>0.13600000000000001</v>
      </c>
      <c r="U50" s="73">
        <f>INDEX(LUJ_3!$A:$J,MATCH('2019'!$A50,LUJ_3!$A:$A,0),MATCH('2019'!$A$1,LUJ_3!$3:$3,0))</f>
        <v>0.44040697674418605</v>
      </c>
      <c r="V50" s="14">
        <f>INDEX(LUJ_4!$A:$J,MATCH('2019'!$A50,LUJ_4!$A:$A,0),MATCH('2019'!$A$1,LUJ_4!$3:$3,0))</f>
        <v>12</v>
      </c>
      <c r="W50" s="34">
        <f>INDEX(LUJ_5!$A:$J,MATCH('2019'!$A50,LUJ_5!$A:$A,0),MATCH('2019'!$A$1,LUJ_5!$3:$3,0))</f>
        <v>36.200000000000003</v>
      </c>
      <c r="X50" s="98">
        <f>1/INDEX(GUL_1!$A:$J,MATCH('2019'!$A50,GUL_1!$A:$A,0),MATCH('2019'!$A$1,GUL_1!$3:$3,0))</f>
        <v>1.3585110718652357E-2</v>
      </c>
      <c r="Y50" s="57">
        <f>INDEX(GUL_2!$A:$J,MATCH('2019'!$A50,GUL_2!$A:$A,0),MATCH('2019'!$A$1,GUL_2!$3:$3,0))</f>
        <v>25.6</v>
      </c>
      <c r="Z50" s="57">
        <f>INDEX(GUL_3!$A:$J,MATCH('2019'!$A50,GUL_3!$A:$A,0),MATCH('2019'!$A$1,GUL_3!$3:$3,0))/(B50/1000)</f>
        <v>0.83993059237776435</v>
      </c>
      <c r="AA50" s="101">
        <f>INDEX(GUL_4!$A:$J,MATCH('2019'!$A50,GUL_4!$A:$A,0),MATCH('2019'!$A$1,GUL_4!$3:$3,0))/B50/C50*10^6</f>
        <v>0.35977361355781273</v>
      </c>
      <c r="AB50" s="73">
        <f>INDEX(GUL_5!$A:$J,MATCH('2019'!$A50,GUL_5!$A:$A,0),MATCH('2019'!$A$1,GUL_5!$3:$3,0))</f>
        <v>3.4981643719046399E-2</v>
      </c>
      <c r="AC50" s="49" t="e">
        <f>INDEX(GUL_6!$A:$J,MATCH('2019'!$A50,GUL_6!$A:$A,0),MATCH('2019'!$A$1,GUL_6!$3:$3,0))</f>
        <v>#N/A</v>
      </c>
      <c r="AD50" s="49" t="e">
        <f>INDEX(GUL_7!$A:$J,MATCH('2019'!$A50,GUL_7!$A:$A,0),MATCH('2019'!$A$1,GUL_7!$3:$3,0))</f>
        <v>#N/A</v>
      </c>
      <c r="AE50" s="103">
        <f>INDEX(GUL_8!$A:$J,MATCH('2019'!$A50,GUL_8!$A:$A,0),MATCH('2019'!$A$1,GUL_8!$3:$3,0))/(B50/1000)</f>
        <v>2.3146120258388163</v>
      </c>
      <c r="AF50" s="41">
        <f>INDEX(DES_1!$A:$J,MATCH('2019'!$A50,DES_1!$A:$A,0),MATCH('2019'!$A$1,DES_1!$3:$3,0))/(B50/1000)</f>
        <v>0.16291425945479052</v>
      </c>
      <c r="AG50" s="100">
        <f>INDEX(DES_2!$A:$J,MATCH('2019'!$A50,DES_2!$A:$A,0),MATCH('2019'!$A$1,DES_2!$3:$3,0))/(B50/1000)</f>
        <v>0.4387926516447424</v>
      </c>
      <c r="AH50" s="57">
        <f>1/INDEX(DES_3!$A:$J,MATCH('2019'!$A50,DES_3!$A:$A,0),MATCH('2019'!$A$1,DES_3!$3:$3,0))</f>
        <v>7.3746312684365781E-3</v>
      </c>
      <c r="AI50" s="80">
        <f>INDEX(DES_4!$A:$J,MATCH('2019'!$A50,DES_4!$A:$A,0),MATCH('2019'!$A$1,DES_4!$3:$3,0))</f>
        <v>0.85962199195500011</v>
      </c>
      <c r="AJ50" s="110">
        <f>INDEX(DES_5!$A:$J,MATCH('2019'!$A50,DES_5!$A:$A,0),MATCH('2019'!$A$1,DES_5!$3:$3,0))</f>
        <v>0.46908722763299998</v>
      </c>
      <c r="AK50" s="57">
        <v>28</v>
      </c>
    </row>
    <row r="51" spans="1:37" x14ac:dyDescent="0.3">
      <c r="A51" s="29" t="s">
        <v>50</v>
      </c>
      <c r="B51" s="33">
        <f>INDEX(Population!$A:$J,MATCH('2019'!$A51,Population!$A:$A,0),MATCH('2019'!$A$1,Population!$3:$3,0))</f>
        <v>1551920</v>
      </c>
      <c r="C51" s="14">
        <f>INDEX(Income!$A:$J,MATCH('2019'!$A51,Income!$A:$A,0),MATCH('2019'!$A$1,Income!$3:$3,0))</f>
        <v>32398</v>
      </c>
      <c r="D51" s="34">
        <f>INDEX(Livable_wage!$A:$J,MATCH('2019'!$A51,Livable_wage!$A:$A,0),MATCH('2019'!$A$1,Livable_wage!$3:$3,0))</f>
        <v>9971</v>
      </c>
      <c r="E51" s="41">
        <f>INDEX(AVA_1!$A:$J,MATCH('2019'!$A51,AVA_1!$A:$A,0),MATCH('2019'!$A$1,AVA_1!$3:$3,0))</f>
        <v>0.38800000000000001</v>
      </c>
      <c r="F51" s="15">
        <f>INDEX(AVA_2!$A:$J,MATCH('2019'!$A51,AVA_2!$A:$A,0),MATCH('2019'!$A$1,AVA_2!$3:$3,0))</f>
        <v>9.3958671617528668E-3</v>
      </c>
      <c r="G51" s="15">
        <f>INDEX(AVA_3!$A:$J,MATCH('2019'!$A51,AVA_3!$A:$A,0),MATCH('2019'!$A$1,AVA_3!$3:$3,0))</f>
        <v>1.5414805224152239E-2</v>
      </c>
      <c r="H51" s="87">
        <f>INDEX(AVA_4!$A:$J,MATCH('2019'!$A51,AVA_4!$A:$A,0),MATCH('2019'!$A$1,AVA_4!$3:$3,0))/(B51/1000)</f>
        <v>0.46651889272642916</v>
      </c>
      <c r="I51" s="89">
        <f>INDEX(AVA_5!$A:$J,MATCH('2019'!$A51,AVA_5!$A:$A,0),MATCH('2019'!$A$1,AVA_5!$3:$3,0))/(B51/1000)</f>
        <v>3.4331666580751583</v>
      </c>
      <c r="J51" s="93">
        <f>INDEX(IRA_1!$A:$J,MATCH('2019'!$A51,IRA_1!$A:$A,0),MATCH('2019'!$A$1,IRA_1!$3:$3,0))/(B51/1000)</f>
        <v>3.0929429352028453E-2</v>
      </c>
      <c r="K51" s="88">
        <f>INDEX(IRA_2!$A:$J,MATCH('2019'!$A51,IRA_2!$A:$A,0),MATCH('2019'!$A$1,IRA_2!$3:$3,0))/(B51/1000)</f>
        <v>7.0879942265065207E-2</v>
      </c>
      <c r="L51" s="15">
        <f>INDEX(IRA_3!$A:$J,MATCH('2019'!$A51,IRA_3!$A:$A,0),MATCH('2019'!$A$1,IRA_3!$3:$3,0))</f>
        <v>0.4350991325898389</v>
      </c>
      <c r="M51" s="96">
        <f>INDEX(IRA_4!$A:$J,MATCH('2019'!$A51,IRA_4!$A:$A,0),MATCH('2019'!$A$1,IRA_4!$3:$3,0))/(B51/1000)</f>
        <v>2.6058044229083972</v>
      </c>
      <c r="N51" s="61">
        <f>INDEX(INV_1!$A:$J,MATCH('2019'!$A51,INV_1!$A:$A,0),MATCH('2019'!$A$1,INV_1!$3:$3,0))</f>
        <v>7.8307576283092331E-2</v>
      </c>
      <c r="O51" s="80">
        <f>INDEX(INV_2!$A:$J,MATCH('2019'!$A51,INV_2!$A:$A,0),MATCH('2019'!$A$1,INV_2!$3:$3,0))/B51*10^6/C51</f>
        <v>0.52734602467507452</v>
      </c>
      <c r="P51" s="87">
        <f>INDEX(INV_3!$A:$J,MATCH('2019'!$A51,INV_3!$A:$A,0),MATCH('2019'!$A$1,INV_3!$3:$3,0))/B51*10^6/C51</f>
        <v>2.8896895127178417</v>
      </c>
      <c r="Q51" s="87">
        <f>INDEX(INV_4!$A:$J,MATCH('2019'!$A51,INV_4!$A:$A,0),MATCH('2019'!$A$1,INV_4!$3:$3,0))/B51*10^3/C51</f>
        <v>0.21292864041354867</v>
      </c>
      <c r="R51" s="34">
        <f>INDEX(INV_5!$A:$J,MATCH('2019'!$A51,INV_5!$A:$A,0),MATCH('2019'!$A$1,INV_5!$3:$3,0))</f>
        <v>7.1499999999999994E-2</v>
      </c>
      <c r="S51" s="77">
        <f>INDEX(LUJ_1!$A:$J,MATCH('2019'!$A51,LUJ_1!$A:$A,0),MATCH('2019'!$A$1,LUJ_1!$3:$3,0))</f>
        <v>0.630586186883343</v>
      </c>
      <c r="T51" s="73">
        <f>INDEX(LUJ_2!$A:$J,MATCH('2019'!$A51,LUJ_2!$A:$A,0),MATCH('2019'!$A$1,LUJ_2!$3:$3,0))</f>
        <v>0.13699999999999998</v>
      </c>
      <c r="U51" s="73">
        <f>INDEX(LUJ_3!$A:$J,MATCH('2019'!$A51,LUJ_3!$A:$A,0),MATCH('2019'!$A$1,LUJ_3!$3:$3,0))</f>
        <v>0.29151179549419709</v>
      </c>
      <c r="V51" s="14">
        <f>INDEX(LUJ_4!$A:$J,MATCH('2019'!$A51,LUJ_4!$A:$A,0),MATCH('2019'!$A$1,LUJ_4!$3:$3,0))</f>
        <v>5</v>
      </c>
      <c r="W51" s="34">
        <f>INDEX(LUJ_5!$A:$J,MATCH('2019'!$A51,LUJ_5!$A:$A,0),MATCH('2019'!$A$1,LUJ_5!$3:$3,0))</f>
        <v>19.5</v>
      </c>
      <c r="X51" s="98">
        <f>1/INDEX(GUL_1!$A:$J,MATCH('2019'!$A51,GUL_1!$A:$A,0),MATCH('2019'!$A$1,GUL_1!$3:$3,0))</f>
        <v>1.3475272874275706E-2</v>
      </c>
      <c r="Y51" s="57">
        <f>INDEX(GUL_2!$A:$J,MATCH('2019'!$A51,GUL_2!$A:$A,0),MATCH('2019'!$A$1,GUL_2!$3:$3,0))</f>
        <v>25.5</v>
      </c>
      <c r="Z51" s="57">
        <f>INDEX(GUL_3!$A:$J,MATCH('2019'!$A51,GUL_3!$A:$A,0),MATCH('2019'!$A$1,GUL_3!$3:$3,0))/(B51/1000)</f>
        <v>0.59539151502654775</v>
      </c>
      <c r="AA51" s="101">
        <f>INDEX(GUL_4!$A:$J,MATCH('2019'!$A51,GUL_4!$A:$A,0),MATCH('2019'!$A$1,GUL_4!$3:$3,0))/B51/C51*10^6</f>
        <v>0.17975638490373611</v>
      </c>
      <c r="AB51" s="73">
        <f>INDEX(GUL_5!$A:$J,MATCH('2019'!$A51,GUL_5!$A:$A,0),MATCH('2019'!$A$1,GUL_5!$3:$3,0))</f>
        <v>3.4874457869226147E-2</v>
      </c>
      <c r="AC51" s="49" t="e">
        <f>INDEX(GUL_6!$A:$J,MATCH('2019'!$A51,GUL_6!$A:$A,0),MATCH('2019'!$A$1,GUL_6!$3:$3,0))</f>
        <v>#N/A</v>
      </c>
      <c r="AD51" s="49" t="e">
        <f>INDEX(GUL_7!$A:$J,MATCH('2019'!$A51,GUL_7!$A:$A,0),MATCH('2019'!$A$1,GUL_7!$3:$3,0))</f>
        <v>#N/A</v>
      </c>
      <c r="AE51" s="103">
        <f>INDEX(GUL_8!$A:$J,MATCH('2019'!$A51,GUL_8!$A:$A,0),MATCH('2019'!$A$1,GUL_8!$3:$3,0))/(B51/1000)</f>
        <v>1.3557399865972473</v>
      </c>
      <c r="AF51" s="41">
        <f>INDEX(DES_1!$A:$J,MATCH('2019'!$A51,DES_1!$A:$A,0),MATCH('2019'!$A$1,DES_1!$3:$3,0))/(B51/1000)</f>
        <v>0.11018609206660136</v>
      </c>
      <c r="AG51" s="100">
        <f>INDEX(DES_2!$A:$J,MATCH('2019'!$A51,DES_2!$A:$A,0),MATCH('2019'!$A$1,DES_2!$3:$3,0))/(B51/1000)</f>
        <v>0.39370586112686218</v>
      </c>
      <c r="AH51" s="57">
        <f>1/INDEX(DES_3!$A:$J,MATCH('2019'!$A51,DES_3!$A:$A,0),MATCH('2019'!$A$1,DES_3!$3:$3,0))</f>
        <v>7.7519379844961239E-3</v>
      </c>
      <c r="AI51" s="80">
        <f>INDEX(DES_4!$A:$J,MATCH('2019'!$A51,DES_4!$A:$A,0),MATCH('2019'!$A$1,DES_4!$3:$3,0))</f>
        <v>0.82663067224100006</v>
      </c>
      <c r="AJ51" s="110">
        <f>INDEX(DES_5!$A:$J,MATCH('2019'!$A51,DES_5!$A:$A,0),MATCH('2019'!$A$1,DES_5!$3:$3,0))</f>
        <v>0.48957411656399996</v>
      </c>
      <c r="AK51" s="57">
        <v>26</v>
      </c>
    </row>
    <row r="52" spans="1:37" x14ac:dyDescent="0.3">
      <c r="A52" s="29" t="s">
        <v>51</v>
      </c>
      <c r="B52" s="33">
        <f>INDEX(Population!$A:$J,MATCH('2019'!$A52,Population!$A:$A,0),MATCH('2019'!$A$1,Population!$3:$3,0))</f>
        <v>1160836</v>
      </c>
      <c r="C52" s="14">
        <f>INDEX(Income!$A:$J,MATCH('2019'!$A52,Income!$A:$A,0),MATCH('2019'!$A$1,Income!$3:$3,0))</f>
        <v>32535</v>
      </c>
      <c r="D52" s="34">
        <f>INDEX(Livable_wage!$A:$J,MATCH('2019'!$A52,Livable_wage!$A:$A,0),MATCH('2019'!$A$1,Livable_wage!$3:$3,0))</f>
        <v>9914</v>
      </c>
      <c r="E52" s="41">
        <f>INDEX(AVA_1!$A:$J,MATCH('2019'!$A52,AVA_1!$A:$A,0),MATCH('2019'!$A$1,AVA_1!$3:$3,0))</f>
        <v>0.39100000000000001</v>
      </c>
      <c r="F52" s="15">
        <f>INDEX(AVA_2!$A:$J,MATCH('2019'!$A52,AVA_2!$A:$A,0),MATCH('2019'!$A$1,AVA_2!$3:$3,0))</f>
        <v>1.009013739389166E-2</v>
      </c>
      <c r="G52" s="15">
        <f>INDEX(AVA_3!$A:$J,MATCH('2019'!$A52,AVA_3!$A:$A,0),MATCH('2019'!$A$1,AVA_3!$3:$3,0))</f>
        <v>5.4738760212853467E-3</v>
      </c>
      <c r="H52" s="87">
        <f>INDEX(AVA_4!$A:$J,MATCH('2019'!$A52,AVA_4!$A:$A,0),MATCH('2019'!$A$1,AVA_4!$3:$3,0))/(B52/1000)</f>
        <v>0.4625976451453952</v>
      </c>
      <c r="I52" s="89">
        <f>INDEX(AVA_5!$A:$J,MATCH('2019'!$A52,AVA_5!$A:$A,0),MATCH('2019'!$A$1,AVA_5!$3:$3,0))/(B52/1000)</f>
        <v>3.8058778328721714</v>
      </c>
      <c r="J52" s="93">
        <f>INDEX(IRA_1!$A:$J,MATCH('2019'!$A52,IRA_1!$A:$A,0),MATCH('2019'!$A$1,IRA_1!$3:$3,0))/(B52/1000)</f>
        <v>4.1349510180593983E-2</v>
      </c>
      <c r="K52" s="88">
        <f>INDEX(IRA_2!$A:$J,MATCH('2019'!$A52,IRA_2!$A:$A,0),MATCH('2019'!$A$1,IRA_2!$3:$3,0))/(B52/1000)</f>
        <v>9.8205086678910716E-2</v>
      </c>
      <c r="L52" s="15">
        <f>INDEX(IRA_3!$A:$J,MATCH('2019'!$A52,IRA_3!$A:$A,0),MATCH('2019'!$A$1,IRA_3!$3:$3,0))</f>
        <v>0.40578313253012044</v>
      </c>
      <c r="M52" s="96">
        <f>INDEX(IRA_4!$A:$J,MATCH('2019'!$A52,IRA_4!$A:$A,0),MATCH('2019'!$A$1,IRA_4!$3:$3,0))/(B52/1000)</f>
        <v>3.2735028892970237</v>
      </c>
      <c r="N52" s="61">
        <f>INDEX(INV_1!$A:$J,MATCH('2019'!$A52,INV_1!$A:$A,0),MATCH('2019'!$A$1,INV_1!$3:$3,0))</f>
        <v>8.0341786747954391E-2</v>
      </c>
      <c r="O52" s="80">
        <f>INDEX(INV_2!$A:$J,MATCH('2019'!$A52,INV_2!$A:$A,0),MATCH('2019'!$A$1,INV_2!$3:$3,0))/B52*10^6/C52</f>
        <v>0.38852678420532355</v>
      </c>
      <c r="P52" s="87">
        <f>INDEX(INV_3!$A:$J,MATCH('2019'!$A52,INV_3!$A:$A,0),MATCH('2019'!$A$1,INV_3!$3:$3,0))/B52*10^6/C52</f>
        <v>2.7871361864466762</v>
      </c>
      <c r="Q52" s="87">
        <f>INDEX(INV_4!$A:$J,MATCH('2019'!$A52,INV_4!$A:$A,0),MATCH('2019'!$A$1,INV_4!$3:$3,0))/B52*10^3/C52</f>
        <v>0.26386166510248499</v>
      </c>
      <c r="R52" s="34">
        <f>INDEX(INV_5!$A:$J,MATCH('2019'!$A52,INV_5!$A:$A,0),MATCH('2019'!$A$1,INV_5!$3:$3,0))</f>
        <v>6.3299999999999995E-2</v>
      </c>
      <c r="S52" s="77">
        <f>INDEX(LUJ_1!$A:$J,MATCH('2019'!$A52,LUJ_1!$A:$A,0),MATCH('2019'!$A$1,LUJ_1!$3:$3,0))</f>
        <v>0.6964285714285714</v>
      </c>
      <c r="T52" s="73">
        <f>INDEX(LUJ_2!$A:$J,MATCH('2019'!$A52,LUJ_2!$A:$A,0),MATCH('2019'!$A$1,LUJ_2!$3:$3,0))</f>
        <v>0.16500000000000001</v>
      </c>
      <c r="U52" s="73">
        <f>INDEX(LUJ_3!$A:$J,MATCH('2019'!$A52,LUJ_3!$A:$A,0),MATCH('2019'!$A$1,LUJ_3!$3:$3,0))</f>
        <v>0.40907233346955457</v>
      </c>
      <c r="V52" s="14">
        <f>INDEX(LUJ_4!$A:$J,MATCH('2019'!$A52,LUJ_4!$A:$A,0),MATCH('2019'!$A$1,LUJ_4!$3:$3,0))</f>
        <v>5</v>
      </c>
      <c r="W52" s="34">
        <f>INDEX(LUJ_5!$A:$J,MATCH('2019'!$A52,LUJ_5!$A:$A,0),MATCH('2019'!$A$1,LUJ_5!$3:$3,0))</f>
        <v>30.4</v>
      </c>
      <c r="X52" s="98">
        <f>1/INDEX(GUL_1!$A:$J,MATCH('2019'!$A52,GUL_1!$A:$A,0),MATCH('2019'!$A$1,GUL_1!$3:$3,0))</f>
        <v>1.3635124079629125E-2</v>
      </c>
      <c r="Y52" s="57">
        <f>INDEX(GUL_2!$A:$J,MATCH('2019'!$A52,GUL_2!$A:$A,0),MATCH('2019'!$A$1,GUL_2!$3:$3,0))</f>
        <v>25.6</v>
      </c>
      <c r="Z52" s="57">
        <f>INDEX(GUL_3!$A:$J,MATCH('2019'!$A52,GUL_3!$A:$A,0),MATCH('2019'!$A$1,GUL_3!$3:$3,0))/(B52/1000)</f>
        <v>0.55477259492296926</v>
      </c>
      <c r="AA52" s="101">
        <f>INDEX(GUL_4!$A:$J,MATCH('2019'!$A52,GUL_4!$A:$A,0),MATCH('2019'!$A$1,GUL_4!$3:$3,0))/B52/C52*10^6</f>
        <v>0.21199514286975693</v>
      </c>
      <c r="AB52" s="73">
        <f>INDEX(GUL_5!$A:$J,MATCH('2019'!$A52,GUL_5!$A:$A,0),MATCH('2019'!$A$1,GUL_5!$3:$3,0))</f>
        <v>2.6945610355115123E-2</v>
      </c>
      <c r="AC52" s="49" t="e">
        <f>INDEX(GUL_6!$A:$J,MATCH('2019'!$A52,GUL_6!$A:$A,0),MATCH('2019'!$A$1,GUL_6!$3:$3,0))</f>
        <v>#N/A</v>
      </c>
      <c r="AD52" s="49" t="e">
        <f>INDEX(GUL_7!$A:$J,MATCH('2019'!$A52,GUL_7!$A:$A,0),MATCH('2019'!$A$1,GUL_7!$3:$3,0))</f>
        <v>#N/A</v>
      </c>
      <c r="AE52" s="103">
        <f>INDEX(GUL_8!$A:$J,MATCH('2019'!$A52,GUL_8!$A:$A,0),MATCH('2019'!$A$1,GUL_8!$3:$3,0))/(B52/1000)</f>
        <v>1.6729322660565316</v>
      </c>
      <c r="AF52" s="41">
        <f>INDEX(DES_1!$A:$J,MATCH('2019'!$A52,DES_1!$A:$A,0),MATCH('2019'!$A$1,DES_1!$3:$3,0))/(B52/1000)</f>
        <v>2.3259099476584118E-2</v>
      </c>
      <c r="AG52" s="100">
        <f>INDEX(DES_2!$A:$J,MATCH('2019'!$A52,DES_2!$A:$A,0),MATCH('2019'!$A$1,DES_2!$3:$3,0))/(B52/1000)</f>
        <v>0.39368179484440524</v>
      </c>
      <c r="AH52" s="57">
        <f>1/INDEX(DES_3!$A:$J,MATCH('2019'!$A52,DES_3!$A:$A,0),MATCH('2019'!$A$1,DES_3!$3:$3,0))</f>
        <v>8.5763293310463125E-3</v>
      </c>
      <c r="AI52" s="80">
        <f>INDEX(DES_4!$A:$J,MATCH('2019'!$A52,DES_4!$A:$A,0),MATCH('2019'!$A$1,DES_4!$3:$3,0))</f>
        <v>0.88674705697400003</v>
      </c>
      <c r="AJ52" s="110">
        <f>INDEX(DES_5!$A:$J,MATCH('2019'!$A52,DES_5!$A:$A,0),MATCH('2019'!$A$1,DES_5!$3:$3,0))</f>
        <v>0.433641716866</v>
      </c>
      <c r="AK52" s="57">
        <v>6</v>
      </c>
    </row>
    <row r="53" spans="1:37" x14ac:dyDescent="0.3">
      <c r="A53" s="29" t="s">
        <v>52</v>
      </c>
      <c r="B53" s="33">
        <f>INDEX(Population!$A:$J,MATCH('2019'!$A53,Population!$A:$A,0),MATCH('2019'!$A$1,Population!$3:$3,0))</f>
        <v>594935</v>
      </c>
      <c r="C53" s="14">
        <f>INDEX(Income!$A:$J,MATCH('2019'!$A53,Income!$A:$A,0),MATCH('2019'!$A$1,Income!$3:$3,0))</f>
        <v>26193</v>
      </c>
      <c r="D53" s="34">
        <f>INDEX(Livable_wage!$A:$J,MATCH('2019'!$A53,Livable_wage!$A:$A,0),MATCH('2019'!$A$1,Livable_wage!$3:$3,0))</f>
        <v>11618</v>
      </c>
      <c r="E53" s="41">
        <f>INDEX(AVA_1!$A:$J,MATCH('2019'!$A53,AVA_1!$A:$A,0),MATCH('2019'!$A$1,AVA_1!$3:$3,0))</f>
        <v>0.34300000000000003</v>
      </c>
      <c r="F53" s="15">
        <f>INDEX(AVA_2!$A:$J,MATCH('2019'!$A53,AVA_2!$A:$A,0),MATCH('2019'!$A$1,AVA_2!$3:$3,0))</f>
        <v>1.2082365389995013E-2</v>
      </c>
      <c r="G53" s="15">
        <f>INDEX(AVA_3!$A:$J,MATCH('2019'!$A53,AVA_3!$A:$A,0),MATCH('2019'!$A$1,AVA_3!$3:$3,0))</f>
        <v>3.9667905932520585E-2</v>
      </c>
      <c r="H53" s="87">
        <f>INDEX(AVA_4!$A:$J,MATCH('2019'!$A53,AVA_4!$A:$A,0),MATCH('2019'!$A$1,AVA_4!$3:$3,0))/(B53/1000)</f>
        <v>0.81353425164093562</v>
      </c>
      <c r="I53" s="89">
        <f>INDEX(AVA_5!$A:$J,MATCH('2019'!$A53,AVA_5!$A:$A,0),MATCH('2019'!$A$1,AVA_5!$3:$3,0))/(B53/1000)</f>
        <v>7.5067024128686333</v>
      </c>
      <c r="J53" s="93">
        <f>INDEX(IRA_1!$A:$J,MATCH('2019'!$A53,IRA_1!$A:$A,0),MATCH('2019'!$A$1,IRA_1!$3:$3,0))/(B53/1000)</f>
        <v>6.7234235672804593E-2</v>
      </c>
      <c r="K53" s="88">
        <f>INDEX(IRA_2!$A:$J,MATCH('2019'!$A53,IRA_2!$A:$A,0),MATCH('2019'!$A$1,IRA_2!$3:$3,0))/(B53/1000)</f>
        <v>0.15968130972291092</v>
      </c>
      <c r="L53" s="15">
        <f>INDEX(IRA_3!$A:$J,MATCH('2019'!$A53,IRA_3!$A:$A,0),MATCH('2019'!$A$1,IRA_3!$3:$3,0))</f>
        <v>0.46302943287867915</v>
      </c>
      <c r="M53" s="96">
        <f>INDEX(IRA_4!$A:$J,MATCH('2019'!$A53,IRA_4!$A:$A,0),MATCH('2019'!$A$1,IRA_4!$3:$3,0))/(B53/1000)</f>
        <v>6.4208695067528394</v>
      </c>
      <c r="N53" s="61">
        <f>INDEX(INV_1!$A:$J,MATCH('2019'!$A53,INV_1!$A:$A,0),MATCH('2019'!$A$1,INV_1!$3:$3,0))</f>
        <v>8.0160434526044502E-2</v>
      </c>
      <c r="O53" s="80">
        <f>INDEX(INV_2!$A:$J,MATCH('2019'!$A53,INV_2!$A:$A,0),MATCH('2019'!$A$1,INV_2!$3:$3,0))/B53*10^6/C53</f>
        <v>0.44166116510109588</v>
      </c>
      <c r="P53" s="87">
        <f>INDEX(INV_3!$A:$J,MATCH('2019'!$A53,INV_3!$A:$A,0),MATCH('2019'!$A$1,INV_3!$3:$3,0))/B53*10^6/C53</f>
        <v>3.9413128379264615</v>
      </c>
      <c r="Q53" s="87">
        <f>INDEX(INV_4!$A:$J,MATCH('2019'!$A53,INV_4!$A:$A,0),MATCH('2019'!$A$1,INV_4!$3:$3,0))/B53*10^3/C53</f>
        <v>0.27674997966254533</v>
      </c>
      <c r="R53" s="34">
        <f>INDEX(INV_5!$A:$J,MATCH('2019'!$A53,INV_5!$A:$A,0),MATCH('2019'!$A$1,INV_5!$3:$3,0))</f>
        <v>4.4999999999999998E-2</v>
      </c>
      <c r="S53" s="77">
        <f>INDEX(LUJ_1!$A:$J,MATCH('2019'!$A53,LUJ_1!$A:$A,0),MATCH('2019'!$A$1,LUJ_1!$3:$3,0))</f>
        <v>0.80228571428571427</v>
      </c>
      <c r="T53" s="73">
        <f>INDEX(LUJ_2!$A:$J,MATCH('2019'!$A53,LUJ_2!$A:$A,0),MATCH('2019'!$A$1,LUJ_2!$3:$3,0))</f>
        <v>0.22899999999999998</v>
      </c>
      <c r="U53" s="73">
        <f>INDEX(LUJ_3!$A:$J,MATCH('2019'!$A53,LUJ_3!$A:$A,0),MATCH('2019'!$A$1,LUJ_3!$3:$3,0))</f>
        <v>0.53054538446714206</v>
      </c>
      <c r="V53" s="14">
        <f>INDEX(LUJ_4!$A:$J,MATCH('2019'!$A53,LUJ_4!$A:$A,0),MATCH('2019'!$A$1,LUJ_4!$3:$3,0))</f>
        <v>10</v>
      </c>
      <c r="W53" s="34">
        <f>INDEX(LUJ_5!$A:$J,MATCH('2019'!$A53,LUJ_5!$A:$A,0),MATCH('2019'!$A$1,LUJ_5!$3:$3,0))</f>
        <v>59.5</v>
      </c>
      <c r="X53" s="98">
        <f>1/INDEX(GUL_1!$A:$J,MATCH('2019'!$A53,GUL_1!$A:$A,0),MATCH('2019'!$A$1,GUL_1!$3:$3,0))</f>
        <v>1.4180374361883154E-2</v>
      </c>
      <c r="Y53" s="57">
        <f>INDEX(GUL_2!$A:$J,MATCH('2019'!$A53,GUL_2!$A:$A,0),MATCH('2019'!$A$1,GUL_2!$3:$3,0))</f>
        <v>25.3</v>
      </c>
      <c r="Z53" s="57">
        <f>INDEX(GUL_3!$A:$J,MATCH('2019'!$A53,GUL_3!$A:$A,0),MATCH('2019'!$A$1,GUL_3!$3:$3,0))/(B53/1000)</f>
        <v>1.2118970980023029</v>
      </c>
      <c r="AA53" s="101">
        <f>INDEX(GUL_4!$A:$J,MATCH('2019'!$A53,GUL_4!$A:$A,0),MATCH('2019'!$A$1,GUL_4!$3:$3,0))/B53/C53*10^6</f>
        <v>0.32770048093645626</v>
      </c>
      <c r="AB53" s="73">
        <f>INDEX(GUL_5!$A:$J,MATCH('2019'!$A53,GUL_5!$A:$A,0),MATCH('2019'!$A$1,GUL_5!$3:$3,0))</f>
        <v>1.547991987994495E-2</v>
      </c>
      <c r="AC53" s="49" t="e">
        <f>INDEX(GUL_6!$A:$J,MATCH('2019'!$A53,GUL_6!$A:$A,0),MATCH('2019'!$A$1,GUL_6!$3:$3,0))</f>
        <v>#N/A</v>
      </c>
      <c r="AD53" s="49" t="e">
        <f>INDEX(GUL_7!$A:$J,MATCH('2019'!$A53,GUL_7!$A:$A,0),MATCH('2019'!$A$1,GUL_7!$3:$3,0))</f>
        <v>#N/A</v>
      </c>
      <c r="AE53" s="103">
        <f>INDEX(GUL_8!$A:$J,MATCH('2019'!$A53,GUL_8!$A:$A,0),MATCH('2019'!$A$1,GUL_8!$3:$3,0))/(B53/1000)</f>
        <v>2.7549228066931684</v>
      </c>
      <c r="AF53" s="41">
        <f>INDEX(DES_1!$A:$J,MATCH('2019'!$A53,DES_1!$A:$A,0),MATCH('2019'!$A$1,DES_1!$3:$3,0))/(B53/1000)</f>
        <v>0.17312815685747185</v>
      </c>
      <c r="AG53" s="100">
        <f>INDEX(DES_2!$A:$J,MATCH('2019'!$A53,DES_2!$A:$A,0),MATCH('2019'!$A$1,DES_2!$3:$3,0))/(B53/1000)</f>
        <v>0.37483086387588566</v>
      </c>
      <c r="AH53" s="57">
        <f>1/INDEX(DES_3!$A:$J,MATCH('2019'!$A53,DES_3!$A:$A,0),MATCH('2019'!$A$1,DES_3!$3:$3,0))</f>
        <v>7.0671378091872791E-3</v>
      </c>
      <c r="AI53" s="80">
        <f>INDEX(DES_4!$A:$J,MATCH('2019'!$A53,DES_4!$A:$A,0),MATCH('2019'!$A$1,DES_4!$3:$3,0))</f>
        <v>0.60531688707599995</v>
      </c>
      <c r="AJ53" s="110">
        <f>INDEX(DES_5!$A:$J,MATCH('2019'!$A53,DES_5!$A:$A,0),MATCH('2019'!$A$1,DES_5!$3:$3,0))</f>
        <v>0.490332543836</v>
      </c>
      <c r="AK53" s="57">
        <v>4</v>
      </c>
    </row>
    <row r="54" spans="1:37" x14ac:dyDescent="0.3">
      <c r="A54" s="29" t="s">
        <v>53</v>
      </c>
      <c r="B54" s="33">
        <f>INDEX(Population!$A:$J,MATCH('2019'!$A54,Population!$A:$A,0),MATCH('2019'!$A$1,Population!$3:$3,0))</f>
        <v>1063524</v>
      </c>
      <c r="C54" s="14">
        <f>INDEX(Income!$A:$J,MATCH('2019'!$A54,Income!$A:$A,0),MATCH('2019'!$A$1,Income!$3:$3,0))</f>
        <v>35724</v>
      </c>
      <c r="D54" s="34">
        <f>INDEX(Livable_wage!$A:$J,MATCH('2019'!$A54,Livable_wage!$A:$A,0),MATCH('2019'!$A$1,Livable_wage!$3:$3,0))</f>
        <v>13792.176913732083</v>
      </c>
      <c r="E54" s="41">
        <f>INDEX(AVA_1!$A:$J,MATCH('2019'!$A54,AVA_1!$A:$A,0),MATCH('2019'!$A$1,AVA_1!$3:$3,0))</f>
        <v>0.38</v>
      </c>
      <c r="F54" s="15">
        <f>INDEX(AVA_2!$A:$J,MATCH('2019'!$A54,AVA_2!$A:$A,0),MATCH('2019'!$A$1,AVA_2!$3:$3,0))</f>
        <v>1.2285869312456399E-2</v>
      </c>
      <c r="G54" s="15">
        <f>INDEX(AVA_3!$A:$J,MATCH('2019'!$A54,AVA_3!$A:$A,0),MATCH('2019'!$A$1,AVA_3!$3:$3,0))</f>
        <v>5.8122225475621386E-3</v>
      </c>
      <c r="H54" s="87">
        <f>INDEX(AVA_4!$A:$J,MATCH('2019'!$A54,AVA_4!$A:$A,0),MATCH('2019'!$A$1,AVA_4!$3:$3,0))/(B54/1000)</f>
        <v>0.89043594690857952</v>
      </c>
      <c r="I54" s="89">
        <f>INDEX(AVA_5!$A:$J,MATCH('2019'!$A54,AVA_5!$A:$A,0),MATCH('2019'!$A$1,AVA_5!$3:$3,0))/(B54/1000)</f>
        <v>6.8178997371004328</v>
      </c>
      <c r="J54" s="93">
        <f>INDEX(IRA_1!$A:$J,MATCH('2019'!$A54,IRA_1!$A:$A,0),MATCH('2019'!$A$1,IRA_1!$3:$3,0))/(B54/1000)</f>
        <v>0.1194143244534209</v>
      </c>
      <c r="K54" s="88">
        <f>INDEX(IRA_2!$A:$J,MATCH('2019'!$A54,IRA_2!$A:$A,0),MATCH('2019'!$A$1,IRA_2!$3:$3,0))/(B54/1000)</f>
        <v>0.19087486507121609</v>
      </c>
      <c r="L54" s="15">
        <f>INDEX(IRA_3!$A:$J,MATCH('2019'!$A54,IRA_3!$A:$A,0),MATCH('2019'!$A$1,IRA_3!$3:$3,0))</f>
        <v>0.38092594648606637</v>
      </c>
      <c r="M54" s="96">
        <f>INDEX(IRA_4!$A:$J,MATCH('2019'!$A54,IRA_4!$A:$A,0),MATCH('2019'!$A$1,IRA_4!$3:$3,0))/(B54/1000)</f>
        <v>5.1113091947149298</v>
      </c>
      <c r="N54" s="61">
        <f>INDEX(INV_1!$A:$J,MATCH('2019'!$A54,INV_1!$A:$A,0),MATCH('2019'!$A$1,INV_1!$3:$3,0))</f>
        <v>7.4618180088231123E-2</v>
      </c>
      <c r="O54" s="80">
        <f>INDEX(INV_2!$A:$J,MATCH('2019'!$A54,INV_2!$A:$A,0),MATCH('2019'!$A$1,INV_2!$3:$3,0))/B54*10^6/C54</f>
        <v>0.39326363121814389</v>
      </c>
      <c r="P54" s="87">
        <f>INDEX(INV_3!$A:$J,MATCH('2019'!$A54,INV_3!$A:$A,0),MATCH('2019'!$A$1,INV_3!$3:$3,0))/B54*10^6/C54</f>
        <v>4.1181174257026276</v>
      </c>
      <c r="Q54" s="87">
        <f>INDEX(INV_4!$A:$J,MATCH('2019'!$A54,INV_4!$A:$A,0),MATCH('2019'!$A$1,INV_4!$3:$3,0))/B54*10^3/C54</f>
        <v>0.26252542324573858</v>
      </c>
      <c r="R54" s="34">
        <f>INDEX(INV_5!$A:$J,MATCH('2019'!$A54,INV_5!$A:$A,0),MATCH('2019'!$A$1,INV_5!$3:$3,0))</f>
        <v>3.6499999999999998E-2</v>
      </c>
      <c r="S54" s="77">
        <f>INDEX(LUJ_1!$A:$J,MATCH('2019'!$A54,LUJ_1!$A:$A,0),MATCH('2019'!$A$1,LUJ_1!$3:$3,0))</f>
        <v>0.70481840544060192</v>
      </c>
      <c r="T54" s="73">
        <f>INDEX(LUJ_2!$A:$J,MATCH('2019'!$A54,LUJ_2!$A:$A,0),MATCH('2019'!$A$1,LUJ_2!$3:$3,0))</f>
        <v>0.255</v>
      </c>
      <c r="U54" s="73">
        <f>INDEX(LUJ_3!$A:$J,MATCH('2019'!$A54,LUJ_3!$A:$A,0),MATCH('2019'!$A$1,LUJ_3!$3:$3,0))</f>
        <v>0.62765290667146445</v>
      </c>
      <c r="V54" s="14">
        <f>INDEX(LUJ_4!$A:$J,MATCH('2019'!$A54,LUJ_4!$A:$A,0),MATCH('2019'!$A$1,LUJ_4!$3:$3,0))</f>
        <v>26</v>
      </c>
      <c r="W54" s="34">
        <f>INDEX(LUJ_5!$A:$J,MATCH('2019'!$A54,LUJ_5!$A:$A,0),MATCH('2019'!$A$1,LUJ_5!$3:$3,0))</f>
        <v>35.9</v>
      </c>
      <c r="X54" s="98">
        <f>1/INDEX(GUL_1!$A:$J,MATCH('2019'!$A54,GUL_1!$A:$A,0),MATCH('2019'!$A$1,GUL_1!$3:$3,0))</f>
        <v>1.3823610727121923E-2</v>
      </c>
      <c r="Y54" s="57">
        <f>INDEX(GUL_2!$A:$J,MATCH('2019'!$A54,GUL_2!$A:$A,0),MATCH('2019'!$A$1,GUL_2!$3:$3,0))</f>
        <v>24.8</v>
      </c>
      <c r="Z54" s="57">
        <f>INDEX(GUL_3!$A:$J,MATCH('2019'!$A54,GUL_3!$A:$A,0),MATCH('2019'!$A$1,GUL_3!$3:$3,0))/(B54/1000)</f>
        <v>0.76067864947100405</v>
      </c>
      <c r="AA54" s="101">
        <f>INDEX(GUL_4!$A:$J,MATCH('2019'!$A54,GUL_4!$A:$A,0),MATCH('2019'!$A$1,GUL_4!$3:$3,0))/B54/C54*10^6</f>
        <v>0.42771190131184667</v>
      </c>
      <c r="AB54" s="73">
        <f>INDEX(GUL_5!$A:$J,MATCH('2019'!$A54,GUL_5!$A:$A,0),MATCH('2019'!$A$1,GUL_5!$3:$3,0))</f>
        <v>2.6077043077350794E-2</v>
      </c>
      <c r="AC54" s="49" t="e">
        <f>INDEX(GUL_6!$A:$J,MATCH('2019'!$A54,GUL_6!$A:$A,0),MATCH('2019'!$A$1,GUL_6!$3:$3,0))</f>
        <v>#N/A</v>
      </c>
      <c r="AD54" s="49" t="e">
        <f>INDEX(GUL_7!$A:$J,MATCH('2019'!$A54,GUL_7!$A:$A,0),MATCH('2019'!$A$1,GUL_7!$3:$3,0))</f>
        <v>#N/A</v>
      </c>
      <c r="AE54" s="103">
        <f>INDEX(GUL_8!$A:$J,MATCH('2019'!$A54,GUL_8!$A:$A,0),MATCH('2019'!$A$1,GUL_8!$3:$3,0))/(B54/1000)</f>
        <v>3.4818208145749416</v>
      </c>
      <c r="AF54" s="41">
        <f>INDEX(DES_1!$A:$J,MATCH('2019'!$A54,DES_1!$A:$A,0),MATCH('2019'!$A$1,DES_1!$3:$3,0))/(B54/1000)</f>
        <v>0.27832000030088649</v>
      </c>
      <c r="AG54" s="100">
        <f>INDEX(DES_2!$A:$J,MATCH('2019'!$A54,DES_2!$A:$A,0),MATCH('2019'!$A$1,DES_2!$3:$3,0))/(B54/1000)</f>
        <v>0.2924240543701882</v>
      </c>
      <c r="AH54" s="57">
        <f>1/INDEX(DES_3!$A:$J,MATCH('2019'!$A54,DES_3!$A:$A,0),MATCH('2019'!$A$1,DES_3!$3:$3,0))</f>
        <v>7.8926598263614842E-3</v>
      </c>
      <c r="AI54" s="80">
        <f>INDEX(DES_4!$A:$J,MATCH('2019'!$A54,DES_4!$A:$A,0),MATCH('2019'!$A$1,DES_4!$3:$3,0))</f>
        <v>0.76649768864099999</v>
      </c>
      <c r="AJ54" s="110">
        <f>INDEX(DES_5!$A:$J,MATCH('2019'!$A54,DES_5!$A:$A,0),MATCH('2019'!$A$1,DES_5!$3:$3,0))</f>
        <v>0.76832525776599991</v>
      </c>
      <c r="AK54" s="57">
        <v>2</v>
      </c>
    </row>
    <row r="55" spans="1:37" x14ac:dyDescent="0.3">
      <c r="A55" s="29" t="s">
        <v>54</v>
      </c>
      <c r="B55" s="33">
        <f>INDEX(Population!$A:$J,MATCH('2019'!$A55,Population!$A:$A,0),MATCH('2019'!$A$1,Population!$3:$3,0))</f>
        <v>3181635</v>
      </c>
      <c r="C55" s="14">
        <f>INDEX(Income!$A:$J,MATCH('2019'!$A55,Income!$A:$A,0),MATCH('2019'!$A$1,Income!$3:$3,0))</f>
        <v>33874</v>
      </c>
      <c r="D55" s="34">
        <f>INDEX(Livable_wage!$A:$J,MATCH('2019'!$A55,Livable_wage!$A:$A,0),MATCH('2019'!$A$1,Livable_wage!$3:$3,0))</f>
        <v>10450</v>
      </c>
      <c r="E55" s="41">
        <f>INDEX(AVA_1!$A:$J,MATCH('2019'!$A55,AVA_1!$A:$A,0),MATCH('2019'!$A$1,AVA_1!$3:$3,0))</f>
        <v>0.39300000000000002</v>
      </c>
      <c r="F55" s="15">
        <f>INDEX(AVA_2!$A:$J,MATCH('2019'!$A55,AVA_2!$A:$A,0),MATCH('2019'!$A$1,AVA_2!$3:$3,0))</f>
        <v>1.3265925844986494E-2</v>
      </c>
      <c r="G55" s="15">
        <f>INDEX(AVA_3!$A:$J,MATCH('2019'!$A55,AVA_3!$A:$A,0),MATCH('2019'!$A$1,AVA_3!$3:$3,0))</f>
        <v>8.8039755165530247E-3</v>
      </c>
      <c r="H55" s="87">
        <f>INDEX(AVA_4!$A:$J,MATCH('2019'!$A55,AVA_4!$A:$A,0),MATCH('2019'!$A$1,AVA_4!$3:$3,0))/(B55/1000)</f>
        <v>0.79393142205186951</v>
      </c>
      <c r="I55" s="89">
        <f>INDEX(AVA_5!$A:$J,MATCH('2019'!$A55,AVA_5!$A:$A,0),MATCH('2019'!$A$1,AVA_5!$3:$3,0))/(B55/1000)</f>
        <v>5.1640115852384065</v>
      </c>
      <c r="J55" s="93">
        <f>INDEX(IRA_1!$A:$J,MATCH('2019'!$A55,IRA_1!$A:$A,0),MATCH('2019'!$A$1,IRA_1!$3:$3,0))/(B55/1000)</f>
        <v>5.6888989466107834E-2</v>
      </c>
      <c r="K55" s="88">
        <f>INDEX(IRA_2!$A:$J,MATCH('2019'!$A55,IRA_2!$A:$A,0),MATCH('2019'!$A$1,IRA_2!$3:$3,0))/(B55/1000)</f>
        <v>0.10780620655732036</v>
      </c>
      <c r="L55" s="15">
        <f>INDEX(IRA_3!$A:$J,MATCH('2019'!$A55,IRA_3!$A:$A,0),MATCH('2019'!$A$1,IRA_3!$3:$3,0))</f>
        <v>0.44404396123847789</v>
      </c>
      <c r="M55" s="96">
        <f>INDEX(IRA_4!$A:$J,MATCH('2019'!$A55,IRA_4!$A:$A,0),MATCH('2019'!$A$1,IRA_4!$3:$3,0))/(B55/1000)</f>
        <v>4.3370782632200111</v>
      </c>
      <c r="N55" s="61">
        <f>INDEX(INV_1!$A:$J,MATCH('2019'!$A55,INV_1!$A:$A,0),MATCH('2019'!$A$1,INV_1!$3:$3,0))</f>
        <v>7.4715367988885881E-2</v>
      </c>
      <c r="O55" s="80">
        <f>INDEX(INV_2!$A:$J,MATCH('2019'!$A55,INV_2!$A:$A,0),MATCH('2019'!$A$1,INV_2!$3:$3,0))/B55*10^6/C55</f>
        <v>0.42291243776674275</v>
      </c>
      <c r="P55" s="87">
        <f>INDEX(INV_3!$A:$J,MATCH('2019'!$A55,INV_3!$A:$A,0),MATCH('2019'!$A$1,INV_3!$3:$3,0))/B55*10^6/C55</f>
        <v>3.031063764557504</v>
      </c>
      <c r="Q55" s="87">
        <f>INDEX(INV_4!$A:$J,MATCH('2019'!$A55,INV_4!$A:$A,0),MATCH('2019'!$A$1,INV_4!$3:$3,0))/B55*10^3/C55</f>
        <v>0.23301111179419351</v>
      </c>
      <c r="R55" s="34">
        <f>INDEX(INV_5!$A:$J,MATCH('2019'!$A55,INV_5!$A:$A,0),MATCH('2019'!$A$1,INV_5!$3:$3,0))</f>
        <v>8.6099999999999996E-2</v>
      </c>
      <c r="S55" s="77">
        <f>INDEX(LUJ_1!$A:$J,MATCH('2019'!$A55,LUJ_1!$A:$A,0),MATCH('2019'!$A$1,LUJ_1!$3:$3,0))</f>
        <v>0.69446147557735538</v>
      </c>
      <c r="T55" s="73">
        <f>INDEX(LUJ_2!$A:$J,MATCH('2019'!$A55,LUJ_2!$A:$A,0),MATCH('2019'!$A$1,LUJ_2!$3:$3,0))</f>
        <v>0.16300000000000001</v>
      </c>
      <c r="U55" s="73">
        <f>INDEX(LUJ_3!$A:$J,MATCH('2019'!$A55,LUJ_3!$A:$A,0),MATCH('2019'!$A$1,LUJ_3!$3:$3,0))</f>
        <v>0.45308347942485011</v>
      </c>
      <c r="V55" s="14">
        <f>INDEX(LUJ_4!$A:$J,MATCH('2019'!$A55,LUJ_4!$A:$A,0),MATCH('2019'!$A$1,LUJ_4!$3:$3,0))</f>
        <v>67</v>
      </c>
      <c r="W55" s="34">
        <f>INDEX(LUJ_5!$A:$J,MATCH('2019'!$A55,LUJ_5!$A:$A,0),MATCH('2019'!$A$1,LUJ_5!$3:$3,0))</f>
        <v>68.3</v>
      </c>
      <c r="X55" s="98">
        <f>1/INDEX(GUL_1!$A:$J,MATCH('2019'!$A55,GUL_1!$A:$A,0),MATCH('2019'!$A$1,GUL_1!$3:$3,0))</f>
        <v>1.3827433628318585E-2</v>
      </c>
      <c r="Y55" s="57">
        <f>INDEX(GUL_2!$A:$J,MATCH('2019'!$A55,GUL_2!$A:$A,0),MATCH('2019'!$A$1,GUL_2!$3:$3,0))</f>
        <v>25.5</v>
      </c>
      <c r="Z55" s="57">
        <f>INDEX(GUL_3!$A:$J,MATCH('2019'!$A55,GUL_3!$A:$A,0),MATCH('2019'!$A$1,GUL_3!$3:$3,0))/(B55/1000)</f>
        <v>0.92185307239831082</v>
      </c>
      <c r="AA55" s="101">
        <f>INDEX(GUL_4!$A:$J,MATCH('2019'!$A55,GUL_4!$A:$A,0),MATCH('2019'!$A$1,GUL_4!$3:$3,0))/B55/C55*10^6</f>
        <v>0.27430360655634961</v>
      </c>
      <c r="AB55" s="73">
        <f>INDEX(GUL_5!$A:$J,MATCH('2019'!$A55,GUL_5!$A:$A,0),MATCH('2019'!$A$1,GUL_5!$3:$3,0))</f>
        <v>2.5097220824949921E-2</v>
      </c>
      <c r="AC55" s="49" t="e">
        <f>INDEX(GUL_6!$A:$J,MATCH('2019'!$A55,GUL_6!$A:$A,0),MATCH('2019'!$A$1,GUL_6!$3:$3,0))</f>
        <v>#N/A</v>
      </c>
      <c r="AD55" s="49" t="e">
        <f>INDEX(GUL_7!$A:$J,MATCH('2019'!$A55,GUL_7!$A:$A,0),MATCH('2019'!$A$1,GUL_7!$3:$3,0))</f>
        <v>#N/A</v>
      </c>
      <c r="AE55" s="103">
        <f>INDEX(GUL_8!$A:$J,MATCH('2019'!$A55,GUL_8!$A:$A,0),MATCH('2019'!$A$1,GUL_8!$3:$3,0))/(B55/1000)</f>
        <v>2.01343020176733</v>
      </c>
      <c r="AF55" s="41">
        <f>INDEX(DES_1!$A:$J,MATCH('2019'!$A55,DES_1!$A:$A,0),MATCH('2019'!$A$1,DES_1!$3:$3,0))/(B55/1000)</f>
        <v>7.5747218018408766E-2</v>
      </c>
      <c r="AG55" s="100">
        <f>INDEX(DES_2!$A:$J,MATCH('2019'!$A55,DES_2!$A:$A,0),MATCH('2019'!$A$1,DES_2!$3:$3,0))/(B55/1000)</f>
        <v>0.41299520529539052</v>
      </c>
      <c r="AH55" s="57">
        <f>1/INDEX(DES_3!$A:$J,MATCH('2019'!$A55,DES_3!$A:$A,0),MATCH('2019'!$A$1,DES_3!$3:$3,0))</f>
        <v>8.1766148814390836E-3</v>
      </c>
      <c r="AI55" s="80">
        <f>INDEX(DES_4!$A:$J,MATCH('2019'!$A55,DES_4!$A:$A,0),MATCH('2019'!$A$1,DES_4!$3:$3,0))</f>
        <v>0.87588145064399991</v>
      </c>
      <c r="AJ55" s="110">
        <f>INDEX(DES_5!$A:$J,MATCH('2019'!$A55,DES_5!$A:$A,0),MATCH('2019'!$A$1,DES_5!$3:$3,0))</f>
        <v>0.54992276419200004</v>
      </c>
      <c r="AK55" s="57">
        <v>62</v>
      </c>
    </row>
    <row r="56" spans="1:37" x14ac:dyDescent="0.3">
      <c r="A56" s="29" t="s">
        <v>55</v>
      </c>
      <c r="B56" s="33">
        <f>INDEX(Population!$A:$J,MATCH('2019'!$A56,Population!$A:$A,0),MATCH('2019'!$A$1,Population!$3:$3,0))</f>
        <v>805272</v>
      </c>
      <c r="C56" s="14">
        <f>INDEX(Income!$A:$J,MATCH('2019'!$A56,Income!$A:$A,0),MATCH('2019'!$A$1,Income!$3:$3,0))</f>
        <v>21304</v>
      </c>
      <c r="D56" s="34">
        <f>INDEX(Livable_wage!$A:$J,MATCH('2019'!$A56,Livable_wage!$A:$A,0),MATCH('2019'!$A$1,Livable_wage!$3:$3,0))</f>
        <v>10466</v>
      </c>
      <c r="E56" s="41">
        <f>INDEX(AVA_1!$A:$J,MATCH('2019'!$A56,AVA_1!$A:$A,0),MATCH('2019'!$A$1,AVA_1!$3:$3,0))</f>
        <v>0.35199999999999998</v>
      </c>
      <c r="F56" s="15">
        <f>INDEX(AVA_2!$A:$J,MATCH('2019'!$A56,AVA_2!$A:$A,0),MATCH('2019'!$A$1,AVA_2!$3:$3,0))</f>
        <v>7.0838292749602254E-3</v>
      </c>
      <c r="G56" s="15">
        <f>INDEX(AVA_3!$A:$J,MATCH('2019'!$A56,AVA_3!$A:$A,0),MATCH('2019'!$A$1,AVA_3!$3:$3,0))</f>
        <v>3.2266304688357929E-2</v>
      </c>
      <c r="H56" s="87">
        <f>INDEX(AVA_4!$A:$J,MATCH('2019'!$A56,AVA_4!$A:$A,0),MATCH('2019'!$A$1,AVA_4!$3:$3,0))/(B56/1000)</f>
        <v>0.82829155862863724</v>
      </c>
      <c r="I56" s="89">
        <f>INDEX(AVA_5!$A:$J,MATCH('2019'!$A56,AVA_5!$A:$A,0),MATCH('2019'!$A$1,AVA_5!$3:$3,0))/(B56/1000)</f>
        <v>6.9839756007907887</v>
      </c>
      <c r="J56" s="93">
        <f>INDEX(IRA_1!$A:$J,MATCH('2019'!$A56,IRA_1!$A:$A,0),MATCH('2019'!$A$1,IRA_1!$3:$3,0))/(B56/1000)</f>
        <v>0.121698010113353</v>
      </c>
      <c r="K56" s="88">
        <f>INDEX(IRA_2!$A:$J,MATCH('2019'!$A56,IRA_2!$A:$A,0),MATCH('2019'!$A$1,IRA_2!$3:$3,0))/(B56/1000)</f>
        <v>0.17261248373220475</v>
      </c>
      <c r="L56" s="15">
        <f>INDEX(IRA_3!$A:$J,MATCH('2019'!$A56,IRA_3!$A:$A,0),MATCH('2019'!$A$1,IRA_3!$3:$3,0))</f>
        <v>0.33918424043439832</v>
      </c>
      <c r="M56" s="96">
        <f>INDEX(IRA_4!$A:$J,MATCH('2019'!$A56,IRA_4!$A:$A,0),MATCH('2019'!$A$1,IRA_4!$3:$3,0))/(B56/1000)</f>
        <v>5.3720978750037247</v>
      </c>
      <c r="N56" s="61">
        <f>INDEX(INV_1!$A:$J,MATCH('2019'!$A56,INV_1!$A:$A,0),MATCH('2019'!$A$1,INV_1!$3:$3,0))</f>
        <v>7.2455601843703629E-2</v>
      </c>
      <c r="O56" s="80">
        <f>INDEX(INV_2!$A:$J,MATCH('2019'!$A56,INV_2!$A:$A,0),MATCH('2019'!$A$1,INV_2!$3:$3,0))/B56*10^6/C56</f>
        <v>0.49241457715687043</v>
      </c>
      <c r="P56" s="87">
        <f>INDEX(INV_3!$A:$J,MATCH('2019'!$A56,INV_3!$A:$A,0),MATCH('2019'!$A$1,INV_3!$3:$3,0))/B56*10^6/C56</f>
        <v>4.868638540959874</v>
      </c>
      <c r="Q56" s="87">
        <f>INDEX(INV_4!$A:$J,MATCH('2019'!$A56,INV_4!$A:$A,0),MATCH('2019'!$A$1,INV_4!$3:$3,0))/B56*10^3/C56</f>
        <v>0.29723938294703989</v>
      </c>
      <c r="R56" s="34">
        <f>INDEX(INV_5!$A:$J,MATCH('2019'!$A56,INV_5!$A:$A,0),MATCH('2019'!$A$1,INV_5!$3:$3,0))</f>
        <v>3.3500000000000002E-2</v>
      </c>
      <c r="S56" s="77">
        <f>INDEX(LUJ_1!$A:$J,MATCH('2019'!$A56,LUJ_1!$A:$A,0),MATCH('2019'!$A$1,LUJ_1!$3:$3,0))</f>
        <v>0.81460437710437705</v>
      </c>
      <c r="T56" s="73">
        <f>INDEX(LUJ_2!$A:$J,MATCH('2019'!$A56,LUJ_2!$A:$A,0),MATCH('2019'!$A$1,LUJ_2!$3:$3,0))</f>
        <v>0.23399999999999999</v>
      </c>
      <c r="U56" s="73">
        <f>INDEX(LUJ_3!$A:$J,MATCH('2019'!$A56,LUJ_3!$A:$A,0),MATCH('2019'!$A$1,LUJ_3!$3:$3,0))</f>
        <v>0.66243490775873348</v>
      </c>
      <c r="V56" s="14">
        <f>INDEX(LUJ_4!$A:$J,MATCH('2019'!$A56,LUJ_4!$A:$A,0),MATCH('2019'!$A$1,LUJ_4!$3:$3,0))</f>
        <v>26</v>
      </c>
      <c r="W56" s="34">
        <f>INDEX(LUJ_5!$A:$J,MATCH('2019'!$A56,LUJ_5!$A:$A,0),MATCH('2019'!$A$1,LUJ_5!$3:$3,0))</f>
        <v>83.7</v>
      </c>
      <c r="X56" s="98">
        <f>1/INDEX(GUL_1!$A:$J,MATCH('2019'!$A56,GUL_1!$A:$A,0),MATCH('2019'!$A$1,GUL_1!$3:$3,0))</f>
        <v>1.4056789429294348E-2</v>
      </c>
      <c r="Y56" s="57">
        <f>INDEX(GUL_2!$A:$J,MATCH('2019'!$A56,GUL_2!$A:$A,0),MATCH('2019'!$A$1,GUL_2!$3:$3,0))</f>
        <v>25</v>
      </c>
      <c r="Z56" s="57">
        <f>INDEX(GUL_3!$A:$J,MATCH('2019'!$A56,GUL_3!$A:$A,0),MATCH('2019'!$A$1,GUL_3!$3:$3,0))/(B56/1000)</f>
        <v>0.76744255357196078</v>
      </c>
      <c r="AA56" s="101">
        <f>INDEX(GUL_4!$A:$J,MATCH('2019'!$A56,GUL_4!$A:$A,0),MATCH('2019'!$A$1,GUL_4!$3:$3,0))/B56/C56*10^6</f>
        <v>0.2318257465502862</v>
      </c>
      <c r="AB56" s="73">
        <f>INDEX(GUL_5!$A:$J,MATCH('2019'!$A56,GUL_5!$A:$A,0),MATCH('2019'!$A$1,GUL_5!$3:$3,0))</f>
        <v>3.3545218466334743E-2</v>
      </c>
      <c r="AC56" s="49" t="e">
        <f>INDEX(GUL_6!$A:$J,MATCH('2019'!$A56,GUL_6!$A:$A,0),MATCH('2019'!$A$1,GUL_6!$3:$3,0))</f>
        <v>#N/A</v>
      </c>
      <c r="AD56" s="49" t="e">
        <f>INDEX(GUL_7!$A:$J,MATCH('2019'!$A56,GUL_7!$A:$A,0),MATCH('2019'!$A$1,GUL_7!$3:$3,0))</f>
        <v>#N/A</v>
      </c>
      <c r="AE56" s="103">
        <f>INDEX(GUL_8!$A:$J,MATCH('2019'!$A56,GUL_8!$A:$A,0),MATCH('2019'!$A$1,GUL_8!$3:$3,0))/(B56/1000)</f>
        <v>3.952701695824516</v>
      </c>
      <c r="AF56" s="41">
        <f>INDEX(DES_1!$A:$J,MATCH('2019'!$A56,DES_1!$A:$A,0),MATCH('2019'!$A$1,DES_1!$3:$3,0))/(B56/1000)</f>
        <v>0.29431049384555774</v>
      </c>
      <c r="AG56" s="100">
        <f>INDEX(DES_2!$A:$J,MATCH('2019'!$A56,DES_2!$A:$A,0),MATCH('2019'!$A$1,DES_2!$3:$3,0))/(B56/1000)</f>
        <v>0.63208456273159874</v>
      </c>
      <c r="AH56" s="57">
        <f>1/INDEX(DES_3!$A:$J,MATCH('2019'!$A56,DES_3!$A:$A,0),MATCH('2019'!$A$1,DES_3!$3:$3,0))</f>
        <v>8.7489063867016627E-3</v>
      </c>
      <c r="AI56" s="80">
        <f>INDEX(DES_4!$A:$J,MATCH('2019'!$A56,DES_4!$A:$A,0),MATCH('2019'!$A$1,DES_4!$3:$3,0))</f>
        <v>0.44121515073399997</v>
      </c>
      <c r="AJ56" s="110">
        <f>INDEX(DES_5!$A:$J,MATCH('2019'!$A56,DES_5!$A:$A,0),MATCH('2019'!$A$1,DES_5!$3:$3,0))</f>
        <v>0.50268751816299995</v>
      </c>
      <c r="AK56" s="57">
        <v>1</v>
      </c>
    </row>
    <row r="57" spans="1:37" x14ac:dyDescent="0.3">
      <c r="A57" s="29" t="s">
        <v>56</v>
      </c>
      <c r="B57" s="33">
        <f>INDEX(Population!$A:$J,MATCH('2019'!$A57,Population!$A:$A,0),MATCH('2019'!$A$1,Population!$3:$3,0))</f>
        <v>1101403</v>
      </c>
      <c r="C57" s="14">
        <f>INDEX(Income!$A:$J,MATCH('2019'!$A57,Income!$A:$A,0),MATCH('2019'!$A$1,Income!$3:$3,0))</f>
        <v>29149</v>
      </c>
      <c r="D57" s="34">
        <f>INDEX(Livable_wage!$A:$J,MATCH('2019'!$A57,Livable_wage!$A:$A,0),MATCH('2019'!$A$1,Livable_wage!$3:$3,0))</f>
        <v>10156</v>
      </c>
      <c r="E57" s="41">
        <f>INDEX(AVA_1!$A:$J,MATCH('2019'!$A57,AVA_1!$A:$A,0),MATCH('2019'!$A$1,AVA_1!$3:$3,0))</f>
        <v>0.36699999999999999</v>
      </c>
      <c r="F57" s="15">
        <f>INDEX(AVA_2!$A:$J,MATCH('2019'!$A57,AVA_2!$A:$A,0),MATCH('2019'!$A$1,AVA_2!$3:$3,0))</f>
        <v>9.0204590074463003E-3</v>
      </c>
      <c r="G57" s="15">
        <f>INDEX(AVA_3!$A:$J,MATCH('2019'!$A57,AVA_3!$A:$A,0),MATCH('2019'!$A$1,AVA_3!$3:$3,0))</f>
        <v>1.3665820573897961E-2</v>
      </c>
      <c r="H57" s="87">
        <f>INDEX(AVA_4!$A:$J,MATCH('2019'!$A57,AVA_4!$A:$A,0),MATCH('2019'!$A$1,AVA_4!$3:$3,0))/(B57/1000)</f>
        <v>0.62465782279510773</v>
      </c>
      <c r="I57" s="89">
        <f>INDEX(AVA_5!$A:$J,MATCH('2019'!$A57,AVA_5!$A:$A,0),MATCH('2019'!$A$1,AVA_5!$3:$3,0))/(B57/1000)</f>
        <v>4.5759817251269519</v>
      </c>
      <c r="J57" s="93">
        <f>INDEX(IRA_1!$A:$J,MATCH('2019'!$A57,IRA_1!$A:$A,0),MATCH('2019'!$A$1,IRA_1!$3:$3,0))/(B57/1000)</f>
        <v>2.9053852223028264E-2</v>
      </c>
      <c r="K57" s="88">
        <f>INDEX(IRA_2!$A:$J,MATCH('2019'!$A57,IRA_2!$A:$A,0),MATCH('2019'!$A$1,IRA_2!$3:$3,0))/(B57/1000)</f>
        <v>0.10895194583635599</v>
      </c>
      <c r="L57" s="15">
        <f>INDEX(IRA_3!$A:$J,MATCH('2019'!$A57,IRA_3!$A:$A,0),MATCH('2019'!$A$1,IRA_3!$3:$3,0))</f>
        <v>0.39536728541964139</v>
      </c>
      <c r="M57" s="96">
        <f>INDEX(IRA_4!$A:$J,MATCH('2019'!$A57,IRA_4!$A:$A,0),MATCH('2019'!$A$1,IRA_4!$3:$3,0))/(B57/1000)</f>
        <v>3.8378322920856398</v>
      </c>
      <c r="N57" s="61">
        <f>INDEX(INV_1!$A:$J,MATCH('2019'!$A57,INV_1!$A:$A,0),MATCH('2019'!$A$1,INV_1!$3:$3,0))</f>
        <v>0.10789332030720232</v>
      </c>
      <c r="O57" s="80">
        <f>INDEX(INV_2!$A:$J,MATCH('2019'!$A57,INV_2!$A:$A,0),MATCH('2019'!$A$1,INV_2!$3:$3,0))/B57*10^6/C57</f>
        <v>0.59661596566316899</v>
      </c>
      <c r="P57" s="87">
        <f>INDEX(INV_3!$A:$J,MATCH('2019'!$A57,INV_3!$A:$A,0),MATCH('2019'!$A$1,INV_3!$3:$3,0))/B57*10^6/C57</f>
        <v>3.23708644178449</v>
      </c>
      <c r="Q57" s="87">
        <f>INDEX(INV_4!$A:$J,MATCH('2019'!$A57,INV_4!$A:$A,0),MATCH('2019'!$A$1,INV_4!$3:$3,0))/B57*10^3/C57</f>
        <v>0.23940129346245151</v>
      </c>
      <c r="R57" s="34">
        <f>INDEX(INV_5!$A:$J,MATCH('2019'!$A57,INV_5!$A:$A,0),MATCH('2019'!$A$1,INV_5!$3:$3,0))</f>
        <v>5.0299999999999997E-2</v>
      </c>
      <c r="S57" s="77">
        <f>INDEX(LUJ_1!$A:$J,MATCH('2019'!$A57,LUJ_1!$A:$A,0),MATCH('2019'!$A$1,LUJ_1!$3:$3,0))</f>
        <v>0.67888501742160279</v>
      </c>
      <c r="T57" s="73">
        <f>INDEX(LUJ_2!$A:$J,MATCH('2019'!$A57,LUJ_2!$A:$A,0),MATCH('2019'!$A$1,LUJ_2!$3:$3,0))</f>
        <v>0.17899999999999999</v>
      </c>
      <c r="U57" s="73">
        <f>INDEX(LUJ_3!$A:$J,MATCH('2019'!$A57,LUJ_3!$A:$A,0),MATCH('2019'!$A$1,LUJ_3!$3:$3,0))</f>
        <v>0.509085009733939</v>
      </c>
      <c r="V57" s="14">
        <f>INDEX(LUJ_4!$A:$J,MATCH('2019'!$A57,LUJ_4!$A:$A,0),MATCH('2019'!$A$1,LUJ_4!$3:$3,0))</f>
        <v>18</v>
      </c>
      <c r="W57" s="34">
        <f>INDEX(LUJ_5!$A:$J,MATCH('2019'!$A57,LUJ_5!$A:$A,0),MATCH('2019'!$A$1,LUJ_5!$3:$3,0))</f>
        <v>27.9</v>
      </c>
      <c r="X57" s="98">
        <f>1/INDEX(GUL_1!$A:$J,MATCH('2019'!$A57,GUL_1!$A:$A,0),MATCH('2019'!$A$1,GUL_1!$3:$3,0))</f>
        <v>1.3837000138370002E-2</v>
      </c>
      <c r="Y57" s="57">
        <f>INDEX(GUL_2!$A:$J,MATCH('2019'!$A57,GUL_2!$A:$A,0),MATCH('2019'!$A$1,GUL_2!$3:$3,0))</f>
        <v>25.4</v>
      </c>
      <c r="Z57" s="57">
        <f>INDEX(GUL_3!$A:$J,MATCH('2019'!$A57,GUL_3!$A:$A,0),MATCH('2019'!$A$1,GUL_3!$3:$3,0))/(B57/1000)</f>
        <v>0.73814943304131186</v>
      </c>
      <c r="AA57" s="101">
        <f>INDEX(GUL_4!$A:$J,MATCH('2019'!$A57,GUL_4!$A:$A,0),MATCH('2019'!$A$1,GUL_4!$3:$3,0))/B57/C57*10^6</f>
        <v>0.21094947901507843</v>
      </c>
      <c r="AB57" s="73">
        <f>INDEX(GUL_5!$A:$J,MATCH('2019'!$A57,GUL_5!$A:$A,0),MATCH('2019'!$A$1,GUL_5!$3:$3,0))</f>
        <v>3.7095317462274735E-2</v>
      </c>
      <c r="AC57" s="49" t="e">
        <f>INDEX(GUL_6!$A:$J,MATCH('2019'!$A57,GUL_6!$A:$A,0),MATCH('2019'!$A$1,GUL_6!$3:$3,0))</f>
        <v>#N/A</v>
      </c>
      <c r="AD57" s="49" t="e">
        <f>INDEX(GUL_7!$A:$J,MATCH('2019'!$A57,GUL_7!$A:$A,0),MATCH('2019'!$A$1,GUL_7!$3:$3,0))</f>
        <v>#N/A</v>
      </c>
      <c r="AE57" s="103">
        <f>INDEX(GUL_8!$A:$J,MATCH('2019'!$A57,GUL_8!$A:$A,0),MATCH('2019'!$A$1,GUL_8!$3:$3,0))/(B57/1000)</f>
        <v>2.1191153465171242</v>
      </c>
      <c r="AF57" s="41">
        <f>INDEX(DES_1!$A:$J,MATCH('2019'!$A57,DES_1!$A:$A,0),MATCH('2019'!$A$1,DES_1!$3:$3,0))/(B57/1000)</f>
        <v>0.10985987871832563</v>
      </c>
      <c r="AG57" s="100">
        <f>INDEX(DES_2!$A:$J,MATCH('2019'!$A57,DES_2!$A:$A,0),MATCH('2019'!$A$1,DES_2!$3:$3,0))/(B57/1000)</f>
        <v>0.42400465587981873</v>
      </c>
      <c r="AH57" s="57">
        <f>1/INDEX(DES_3!$A:$J,MATCH('2019'!$A57,DES_3!$A:$A,0),MATCH('2019'!$A$1,DES_3!$3:$3,0))</f>
        <v>7.2358900144717806E-3</v>
      </c>
      <c r="AI57" s="80">
        <f>INDEX(DES_4!$A:$J,MATCH('2019'!$A57,DES_4!$A:$A,0),MATCH('2019'!$A$1,DES_4!$3:$3,0))</f>
        <v>0.65739746635399998</v>
      </c>
      <c r="AJ57" s="110">
        <f>INDEX(DES_5!$A:$J,MATCH('2019'!$A57,DES_5!$A:$A,0),MATCH('2019'!$A$1,DES_5!$3:$3,0))</f>
        <v>0.49926145529999999</v>
      </c>
      <c r="AK57" s="57">
        <v>5</v>
      </c>
    </row>
    <row r="58" spans="1:37" x14ac:dyDescent="0.3">
      <c r="A58" s="29" t="s">
        <v>57</v>
      </c>
      <c r="B58" s="33">
        <f>INDEX(Population!$A:$J,MATCH('2019'!$A58,Population!$A:$A,0),MATCH('2019'!$A$1,Population!$3:$3,0))</f>
        <v>1030090</v>
      </c>
      <c r="C58" s="14">
        <f>INDEX(Income!$A:$J,MATCH('2019'!$A58,Income!$A:$A,0),MATCH('2019'!$A$1,Income!$3:$3,0))</f>
        <v>25750</v>
      </c>
      <c r="D58" s="34">
        <f>INDEX(Livable_wage!$A:$J,MATCH('2019'!$A58,Livable_wage!$A:$A,0),MATCH('2019'!$A$1,Livable_wage!$3:$3,0))</f>
        <v>12828</v>
      </c>
      <c r="E58" s="41">
        <f>INDEX(AVA_1!$A:$J,MATCH('2019'!$A58,AVA_1!$A:$A,0),MATCH('2019'!$A$1,AVA_1!$3:$3,0))</f>
        <v>0.36399999999999999</v>
      </c>
      <c r="F58" s="15">
        <f>INDEX(AVA_2!$A:$J,MATCH('2019'!$A58,AVA_2!$A:$A,0),MATCH('2019'!$A$1,AVA_2!$3:$3,0))</f>
        <v>1.0228957911079211E-2</v>
      </c>
      <c r="G58" s="15">
        <f>INDEX(AVA_3!$A:$J,MATCH('2019'!$A58,AVA_3!$A:$A,0),MATCH('2019'!$A$1,AVA_3!$3:$3,0))</f>
        <v>1.0599320806250541E-2</v>
      </c>
      <c r="H58" s="87">
        <f>INDEX(AVA_4!$A:$J,MATCH('2019'!$A58,AVA_4!$A:$A,0),MATCH('2019'!$A$1,AVA_4!$3:$3,0))/(B58/1000)</f>
        <v>0.50481025929773127</v>
      </c>
      <c r="I58" s="89">
        <f>INDEX(AVA_5!$A:$J,MATCH('2019'!$A58,AVA_5!$A:$A,0),MATCH('2019'!$A$1,AVA_5!$3:$3,0))/(B58/1000)</f>
        <v>11.471452292864017</v>
      </c>
      <c r="J58" s="93">
        <f>INDEX(IRA_1!$A:$J,MATCH('2019'!$A58,IRA_1!$A:$A,0),MATCH('2019'!$A$1,IRA_1!$3:$3,0))/(B58/1000)</f>
        <v>0.16212175635138679</v>
      </c>
      <c r="K58" s="88">
        <f>INDEX(IRA_2!$A:$J,MATCH('2019'!$A58,IRA_2!$A:$A,0),MATCH('2019'!$A$1,IRA_2!$3:$3,0))/(B58/1000)</f>
        <v>0.39122795095574175</v>
      </c>
      <c r="L58" s="15">
        <f>INDEX(IRA_3!$A:$J,MATCH('2019'!$A58,IRA_3!$A:$A,0),MATCH('2019'!$A$1,IRA_3!$3:$3,0))</f>
        <v>0.33969020004670347</v>
      </c>
      <c r="M58" s="96">
        <f>INDEX(IRA_4!$A:$J,MATCH('2019'!$A58,IRA_4!$A:$A,0),MATCH('2019'!$A$1,IRA_4!$3:$3,0))/(B58/1000)</f>
        <v>8.8186469143472905</v>
      </c>
      <c r="N58" s="61">
        <f>INDEX(INV_1!$A:$J,MATCH('2019'!$A58,INV_1!$A:$A,0),MATCH('2019'!$A$1,INV_1!$3:$3,0))</f>
        <v>8.5625152799654408E-2</v>
      </c>
      <c r="O58" s="80">
        <f>INDEX(INV_2!$A:$J,MATCH('2019'!$A58,INV_2!$A:$A,0),MATCH('2019'!$A$1,INV_2!$3:$3,0))/B58*10^6/C58</f>
        <v>0.41995662379203935</v>
      </c>
      <c r="P58" s="87">
        <f>INDEX(INV_3!$A:$J,MATCH('2019'!$A58,INV_3!$A:$A,0),MATCH('2019'!$A$1,INV_3!$3:$3,0))/B58*10^6/C58</f>
        <v>4.4420663780250331</v>
      </c>
      <c r="Q58" s="87">
        <f>INDEX(INV_4!$A:$J,MATCH('2019'!$A58,INV_4!$A:$A,0),MATCH('2019'!$A$1,INV_4!$3:$3,0))/B58*10^3/C58</f>
        <v>0.363747185065458</v>
      </c>
      <c r="R58" s="34">
        <f>INDEX(INV_5!$A:$J,MATCH('2019'!$A58,INV_5!$A:$A,0),MATCH('2019'!$A$1,INV_5!$3:$3,0))</f>
        <v>4.7500000000000001E-2</v>
      </c>
      <c r="S58" s="77">
        <f>INDEX(LUJ_1!$A:$J,MATCH('2019'!$A58,LUJ_1!$A:$A,0),MATCH('2019'!$A$1,LUJ_1!$3:$3,0))</f>
        <v>0.68773790103317023</v>
      </c>
      <c r="T58" s="73">
        <f>INDEX(LUJ_2!$A:$J,MATCH('2019'!$A58,LUJ_2!$A:$A,0),MATCH('2019'!$A$1,LUJ_2!$3:$3,0))</f>
        <v>0.318</v>
      </c>
      <c r="U58" s="73">
        <f>INDEX(LUJ_3!$A:$J,MATCH('2019'!$A58,LUJ_3!$A:$A,0),MATCH('2019'!$A$1,LUJ_3!$3:$3,0))</f>
        <v>0.54730214393879018</v>
      </c>
      <c r="V58" s="14">
        <f>INDEX(LUJ_4!$A:$J,MATCH('2019'!$A58,LUJ_4!$A:$A,0),MATCH('2019'!$A$1,LUJ_4!$3:$3,0))</f>
        <v>41</v>
      </c>
      <c r="W58" s="34">
        <f>INDEX(LUJ_5!$A:$J,MATCH('2019'!$A58,LUJ_5!$A:$A,0),MATCH('2019'!$A$1,LUJ_5!$3:$3,0))</f>
        <v>43.4</v>
      </c>
      <c r="X58" s="98">
        <f>1/INDEX(GUL_1!$A:$J,MATCH('2019'!$A58,GUL_1!$A:$A,0),MATCH('2019'!$A$1,GUL_1!$3:$3,0))</f>
        <v>1.4518002322880372E-2</v>
      </c>
      <c r="Y58" s="57">
        <f>INDEX(GUL_2!$A:$J,MATCH('2019'!$A58,GUL_2!$A:$A,0),MATCH('2019'!$A$1,GUL_2!$3:$3,0))</f>
        <v>24.1</v>
      </c>
      <c r="Z58" s="57">
        <f>INDEX(GUL_3!$A:$J,MATCH('2019'!$A58,GUL_3!$A:$A,0),MATCH('2019'!$A$1,GUL_3!$3:$3,0))/(B58/1000)</f>
        <v>0.70382199613625995</v>
      </c>
      <c r="AA58" s="101">
        <f>INDEX(GUL_4!$A:$J,MATCH('2019'!$A58,GUL_4!$A:$A,0),MATCH('2019'!$A$1,GUL_4!$3:$3,0))/B58/C58*10^6</f>
        <v>0.37332170145939747</v>
      </c>
      <c r="AB58" s="73">
        <f>INDEX(GUL_5!$A:$J,MATCH('2019'!$A58,GUL_5!$A:$A,0),MATCH('2019'!$A$1,GUL_5!$3:$3,0))</f>
        <v>3.9568028118340488E-2</v>
      </c>
      <c r="AC58" s="49" t="e">
        <f>INDEX(GUL_6!$A:$J,MATCH('2019'!$A58,GUL_6!$A:$A,0),MATCH('2019'!$A$1,GUL_6!$3:$3,0))</f>
        <v>#N/A</v>
      </c>
      <c r="AD58" s="49" t="e">
        <f>INDEX(GUL_7!$A:$J,MATCH('2019'!$A58,GUL_7!$A:$A,0),MATCH('2019'!$A$1,GUL_7!$3:$3,0))</f>
        <v>#N/A</v>
      </c>
      <c r="AE58" s="103">
        <f>INDEX(GUL_8!$A:$J,MATCH('2019'!$A58,GUL_8!$A:$A,0),MATCH('2019'!$A$1,GUL_8!$3:$3,0))/(B58/1000)</f>
        <v>5.6577580599753423</v>
      </c>
      <c r="AF58" s="41">
        <f>INDEX(DES_1!$A:$J,MATCH('2019'!$A58,DES_1!$A:$A,0),MATCH('2019'!$A$1,DES_1!$3:$3,0))/(B58/1000)</f>
        <v>0.29900299973788702</v>
      </c>
      <c r="AG58" s="100">
        <f>INDEX(DES_2!$A:$J,MATCH('2019'!$A58,DES_2!$A:$A,0),MATCH('2019'!$A$1,DES_2!$3:$3,0))/(B58/1000)</f>
        <v>1.2387267131998176</v>
      </c>
      <c r="AH58" s="57">
        <f>1/INDEX(DES_3!$A:$J,MATCH('2019'!$A58,DES_3!$A:$A,0),MATCH('2019'!$A$1,DES_3!$3:$3,0))</f>
        <v>9.3109869646182484E-3</v>
      </c>
      <c r="AI58" s="80">
        <f>INDEX(DES_4!$A:$J,MATCH('2019'!$A58,DES_4!$A:$A,0),MATCH('2019'!$A$1,DES_4!$3:$3,0))</f>
        <v>0.75809283939599992</v>
      </c>
      <c r="AJ58" s="110">
        <f>INDEX(DES_5!$A:$J,MATCH('2019'!$A58,DES_5!$A:$A,0),MATCH('2019'!$A$1,DES_5!$3:$3,0))</f>
        <v>0.75243270867400003</v>
      </c>
      <c r="AK58" s="57">
        <v>9</v>
      </c>
    </row>
    <row r="59" spans="1:37" x14ac:dyDescent="0.3">
      <c r="A59" s="29" t="s">
        <v>58</v>
      </c>
      <c r="B59" s="33">
        <f>INDEX(Population!$A:$J,MATCH('2019'!$A59,Population!$A:$A,0),MATCH('2019'!$A$1,Population!$3:$3,0))</f>
        <v>211127</v>
      </c>
      <c r="C59" s="14">
        <f>INDEX(Income!$A:$J,MATCH('2019'!$A59,Income!$A:$A,0),MATCH('2019'!$A$1,Income!$3:$3,0))</f>
        <v>20256</v>
      </c>
      <c r="D59" s="34">
        <f>INDEX(Livable_wage!$A:$J,MATCH('2019'!$A59,Livable_wage!$A:$A,0),MATCH('2019'!$A$1,Livable_wage!$3:$3,0))</f>
        <v>10380</v>
      </c>
      <c r="E59" s="41">
        <f>INDEX(AVA_1!$A:$J,MATCH('2019'!$A59,AVA_1!$A:$A,0),MATCH('2019'!$A$1,AVA_1!$3:$3,0))</f>
        <v>0.36699999999999999</v>
      </c>
      <c r="F59" s="15">
        <f>INDEX(AVA_2!$A:$J,MATCH('2019'!$A59,AVA_2!$A:$A,0),MATCH('2019'!$A$1,AVA_2!$3:$3,0))</f>
        <v>7.1652427209716639E-3</v>
      </c>
      <c r="G59" s="15">
        <f>INDEX(AVA_3!$A:$J,MATCH('2019'!$A59,AVA_3!$A:$A,0),MATCH('2019'!$A$1,AVA_3!$3:$3,0))</f>
        <v>0.19676653929366067</v>
      </c>
      <c r="H59" s="87">
        <f>INDEX(AVA_4!$A:$J,MATCH('2019'!$A59,AVA_4!$A:$A,0),MATCH('2019'!$A$1,AVA_4!$3:$3,0))/(B59/1000)</f>
        <v>0.62995258777891971</v>
      </c>
      <c r="I59" s="89">
        <f>INDEX(AVA_5!$A:$J,MATCH('2019'!$A59,AVA_5!$A:$A,0),MATCH('2019'!$A$1,AVA_5!$3:$3,0))/(B59/1000)</f>
        <v>5.6601003187654824</v>
      </c>
      <c r="J59" s="93">
        <f>INDEX(IRA_1!$A:$J,MATCH('2019'!$A59,IRA_1!$A:$A,0),MATCH('2019'!$A$1,IRA_1!$3:$3,0))/(B59/1000)</f>
        <v>0.10420268369275365</v>
      </c>
      <c r="K59" s="88">
        <f>INDEX(IRA_2!$A:$J,MATCH('2019'!$A59,IRA_2!$A:$A,0),MATCH('2019'!$A$1,IRA_2!$3:$3,0))/(B59/1000)</f>
        <v>0.30787156545586303</v>
      </c>
      <c r="L59" s="15">
        <f>INDEX(IRA_3!$A:$J,MATCH('2019'!$A59,IRA_3!$A:$A,0),MATCH('2019'!$A$1,IRA_3!$3:$3,0))</f>
        <v>0.34761575673807876</v>
      </c>
      <c r="M59" s="96">
        <f>INDEX(IRA_4!$A:$J,MATCH('2019'!$A59,IRA_4!$A:$A,0),MATCH('2019'!$A$1,IRA_4!$3:$3,0))/(B59/1000)</f>
        <v>6.7826474112737829</v>
      </c>
      <c r="N59" s="61">
        <f>INDEX(INV_1!$A:$J,MATCH('2019'!$A59,INV_1!$A:$A,0),MATCH('2019'!$A$1,INV_1!$3:$3,0))</f>
        <v>9.2070397896294717E-2</v>
      </c>
      <c r="O59" s="80">
        <f>INDEX(INV_2!$A:$J,MATCH('2019'!$A59,INV_2!$A:$A,0),MATCH('2019'!$A$1,INV_2!$3:$3,0))/B59*10^6/C59</f>
        <v>0.43362836050194209</v>
      </c>
      <c r="P59" s="87">
        <f>INDEX(INV_3!$A:$J,MATCH('2019'!$A59,INV_3!$A:$A,0),MATCH('2019'!$A$1,INV_3!$3:$3,0))/B59*10^6/C59</f>
        <v>4.3855049293084765</v>
      </c>
      <c r="Q59" s="87">
        <f>INDEX(INV_4!$A:$J,MATCH('2019'!$A59,INV_4!$A:$A,0),MATCH('2019'!$A$1,INV_4!$3:$3,0))/B59*10^3/C59</f>
        <v>0.25472235566815271</v>
      </c>
      <c r="R59" s="34">
        <f>INDEX(INV_5!$A:$J,MATCH('2019'!$A59,INV_5!$A:$A,0),MATCH('2019'!$A$1,INV_5!$3:$3,0))</f>
        <v>0.15279999999999999</v>
      </c>
      <c r="S59" s="77">
        <f>INDEX(LUJ_1!$A:$J,MATCH('2019'!$A59,LUJ_1!$A:$A,0),MATCH('2019'!$A$1,LUJ_1!$3:$3,0))</f>
        <v>0.65714285714285714</v>
      </c>
      <c r="T59" s="73">
        <f>INDEX(LUJ_2!$A:$J,MATCH('2019'!$A59,LUJ_2!$A:$A,0),MATCH('2019'!$A$1,LUJ_2!$3:$3,0))</f>
        <v>0.29699999999999999</v>
      </c>
      <c r="U59" s="73">
        <f>INDEX(LUJ_3!$A:$J,MATCH('2019'!$A59,LUJ_3!$A:$A,0),MATCH('2019'!$A$1,LUJ_3!$3:$3,0))</f>
        <v>0.53317873049172426</v>
      </c>
      <c r="V59" s="14">
        <f>INDEX(LUJ_4!$A:$J,MATCH('2019'!$A59,LUJ_4!$A:$A,0),MATCH('2019'!$A$1,LUJ_4!$3:$3,0))</f>
        <v>12</v>
      </c>
      <c r="W59" s="34">
        <f>INDEX(LUJ_5!$A:$J,MATCH('2019'!$A59,LUJ_5!$A:$A,0),MATCH('2019'!$A$1,LUJ_5!$3:$3,0))</f>
        <v>40.700000000000003</v>
      </c>
      <c r="X59" s="98">
        <f>1/INDEX(GUL_1!$A:$J,MATCH('2019'!$A59,GUL_1!$A:$A,0),MATCH('2019'!$A$1,GUL_1!$3:$3,0))</f>
        <v>1.4226774790155071E-2</v>
      </c>
      <c r="Y59" s="57">
        <f>INDEX(GUL_2!$A:$J,MATCH('2019'!$A59,GUL_2!$A:$A,0),MATCH('2019'!$A$1,GUL_2!$3:$3,0))</f>
        <v>24</v>
      </c>
      <c r="Z59" s="57">
        <f>INDEX(GUL_3!$A:$J,MATCH('2019'!$A59,GUL_3!$A:$A,0),MATCH('2019'!$A$1,GUL_3!$3:$3,0))/(B59/1000)</f>
        <v>0.56837827468774715</v>
      </c>
      <c r="AA59" s="101">
        <f>INDEX(GUL_4!$A:$J,MATCH('2019'!$A59,GUL_4!$A:$A,0),MATCH('2019'!$A$1,GUL_4!$3:$3,0))/B59/C59*10^6</f>
        <v>0.24668962118747792</v>
      </c>
      <c r="AB59" s="73">
        <f>INDEX(GUL_5!$A:$J,MATCH('2019'!$A59,GUL_5!$A:$A,0),MATCH('2019'!$A$1,GUL_5!$3:$3,0))</f>
        <v>3.7844244738235236E-2</v>
      </c>
      <c r="AC59" s="49" t="e">
        <f>INDEX(GUL_6!$A:$J,MATCH('2019'!$A59,GUL_6!$A:$A,0),MATCH('2019'!$A$1,GUL_6!$3:$3,0))</f>
        <v>#N/A</v>
      </c>
      <c r="AD59" s="49" t="e">
        <f>INDEX(GUL_7!$A:$J,MATCH('2019'!$A59,GUL_7!$A:$A,0),MATCH('2019'!$A$1,GUL_7!$3:$3,0))</f>
        <v>#N/A</v>
      </c>
      <c r="AE59" s="103">
        <f>INDEX(GUL_8!$A:$J,MATCH('2019'!$A59,GUL_8!$A:$A,0),MATCH('2019'!$A$1,GUL_8!$3:$3,0))/(B59/1000)</f>
        <v>6.517404216419501</v>
      </c>
      <c r="AF59" s="41">
        <f>INDEX(DES_1!$A:$J,MATCH('2019'!$A59,DES_1!$A:$A,0),MATCH('2019'!$A$1,DES_1!$3:$3,0))/(B59/1000)</f>
        <v>0.36470939292463778</v>
      </c>
      <c r="AG59" s="100">
        <f>INDEX(DES_2!$A:$J,MATCH('2019'!$A59,DES_2!$A:$A,0),MATCH('2019'!$A$1,DES_2!$3:$3,0))/(B59/1000)</f>
        <v>0.94256063885718067</v>
      </c>
      <c r="AH59" s="57">
        <f>1/INDEX(DES_3!$A:$J,MATCH('2019'!$A59,DES_3!$A:$A,0),MATCH('2019'!$A$1,DES_3!$3:$3,0))</f>
        <v>7.7942322681215891E-3</v>
      </c>
      <c r="AI59" s="80">
        <f>INDEX(DES_4!$A:$J,MATCH('2019'!$A59,DES_4!$A:$A,0),MATCH('2019'!$A$1,DES_4!$3:$3,0))</f>
        <v>0.58463037304799992</v>
      </c>
      <c r="AJ59" s="110">
        <f>INDEX(DES_5!$A:$J,MATCH('2019'!$A59,DES_5!$A:$A,0),MATCH('2019'!$A$1,DES_5!$3:$3,0))</f>
        <v>0.45076461416000002</v>
      </c>
      <c r="AK59" s="57">
        <v>77</v>
      </c>
    </row>
    <row r="60" spans="1:37" x14ac:dyDescent="0.3">
      <c r="A60" s="29" t="s">
        <v>59</v>
      </c>
      <c r="B60" s="33">
        <f>INDEX(Population!$A:$J,MATCH('2019'!$A60,Population!$A:$A,0),MATCH('2019'!$A$1,Population!$3:$3,0))</f>
        <v>1121803</v>
      </c>
      <c r="C60" s="14">
        <f>INDEX(Income!$A:$J,MATCH('2019'!$A60,Income!$A:$A,0),MATCH('2019'!$A$1,Income!$3:$3,0))</f>
        <v>26886</v>
      </c>
      <c r="D60" s="34">
        <f>INDEX(Livable_wage!$A:$J,MATCH('2019'!$A60,Livable_wage!$A:$A,0),MATCH('2019'!$A$1,Livable_wage!$3:$3,0))</f>
        <v>10406</v>
      </c>
      <c r="E60" s="41">
        <f>INDEX(AVA_1!$A:$J,MATCH('2019'!$A60,AVA_1!$A:$A,0),MATCH('2019'!$A$1,AVA_1!$3:$3,0))</f>
        <v>0.36599999999999999</v>
      </c>
      <c r="F60" s="15">
        <f>INDEX(AVA_2!$A:$J,MATCH('2019'!$A60,AVA_2!$A:$A,0),MATCH('2019'!$A$1,AVA_2!$3:$3,0))</f>
        <v>1.211758599809694E-2</v>
      </c>
      <c r="G60" s="15">
        <f>INDEX(AVA_3!$A:$J,MATCH('2019'!$A60,AVA_3!$A:$A,0),MATCH('2019'!$A$1,AVA_3!$3:$3,0))</f>
        <v>1.6598888053192602E-2</v>
      </c>
      <c r="H60" s="87">
        <f>INDEX(AVA_4!$A:$J,MATCH('2019'!$A60,AVA_4!$A:$A,0),MATCH('2019'!$A$1,AVA_4!$3:$3,0))/(B60/1000)</f>
        <v>0.57140157407316605</v>
      </c>
      <c r="I60" s="89">
        <f>INDEX(AVA_5!$A:$J,MATCH('2019'!$A60,AVA_5!$A:$A,0),MATCH('2019'!$A$1,AVA_5!$3:$3,0))/(B60/1000)</f>
        <v>3.056686423552085</v>
      </c>
      <c r="J60" s="93">
        <f>INDEX(IRA_1!$A:$J,MATCH('2019'!$A60,IRA_1!$A:$A,0),MATCH('2019'!$A$1,IRA_1!$3:$3,0))/(B60/1000)</f>
        <v>3.1199773935352282E-2</v>
      </c>
      <c r="K60" s="88">
        <f>INDEX(IRA_2!$A:$J,MATCH('2019'!$A60,IRA_2!$A:$A,0),MATCH('2019'!$A$1,IRA_2!$3:$3,0))/(B60/1000)</f>
        <v>9.3599321806056845E-2</v>
      </c>
      <c r="L60" s="15">
        <f>INDEX(IRA_3!$A:$J,MATCH('2019'!$A60,IRA_3!$A:$A,0),MATCH('2019'!$A$1,IRA_3!$3:$3,0))</f>
        <v>0.45941375422773389</v>
      </c>
      <c r="M60" s="96">
        <f>INDEX(IRA_4!$A:$J,MATCH('2019'!$A60,IRA_4!$A:$A,0),MATCH('2019'!$A$1,IRA_4!$3:$3,0))/(B60/1000)</f>
        <v>3.059360689889401</v>
      </c>
      <c r="N60" s="61">
        <f>INDEX(INV_1!$A:$J,MATCH('2019'!$A60,INV_1!$A:$A,0),MATCH('2019'!$A$1,INV_1!$3:$3,0))</f>
        <v>6.5538435988802421E-2</v>
      </c>
      <c r="O60" s="80">
        <f>INDEX(INV_2!$A:$J,MATCH('2019'!$A60,INV_2!$A:$A,0),MATCH('2019'!$A$1,INV_2!$3:$3,0))/B60*10^6/C60</f>
        <v>0.42631962651334659</v>
      </c>
      <c r="P60" s="87">
        <f>INDEX(INV_3!$A:$J,MATCH('2019'!$A60,INV_3!$A:$A,0),MATCH('2019'!$A$1,INV_3!$3:$3,0))/B60*10^6/C60</f>
        <v>3.9117668552307983</v>
      </c>
      <c r="Q60" s="87">
        <f>INDEX(INV_4!$A:$J,MATCH('2019'!$A60,INV_4!$A:$A,0),MATCH('2019'!$A$1,INV_4!$3:$3,0))/B60*10^3/C60</f>
        <v>0.32854545609710167</v>
      </c>
      <c r="R60" s="34">
        <f>INDEX(INV_5!$A:$J,MATCH('2019'!$A60,INV_5!$A:$A,0),MATCH('2019'!$A$1,INV_5!$3:$3,0))</f>
        <v>6.5699999999999995E-2</v>
      </c>
      <c r="S60" s="77">
        <f>INDEX(LUJ_1!$A:$J,MATCH('2019'!$A60,LUJ_1!$A:$A,0),MATCH('2019'!$A$1,LUJ_1!$3:$3,0))</f>
        <v>0.75245579567779963</v>
      </c>
      <c r="T60" s="73">
        <f>INDEX(LUJ_2!$A:$J,MATCH('2019'!$A60,LUJ_2!$A:$A,0),MATCH('2019'!$A$1,LUJ_2!$3:$3,0))</f>
        <v>0.17800000000000002</v>
      </c>
      <c r="U60" s="73">
        <f>INDEX(LUJ_3!$A:$J,MATCH('2019'!$A60,LUJ_3!$A:$A,0),MATCH('2019'!$A$1,LUJ_3!$3:$3,0))</f>
        <v>0.40558683412732782</v>
      </c>
      <c r="V60" s="14">
        <f>INDEX(LUJ_4!$A:$J,MATCH('2019'!$A60,LUJ_4!$A:$A,0),MATCH('2019'!$A$1,LUJ_4!$3:$3,0))</f>
        <v>10</v>
      </c>
      <c r="W60" s="34">
        <f>INDEX(LUJ_5!$A:$J,MATCH('2019'!$A60,LUJ_5!$A:$A,0),MATCH('2019'!$A$1,LUJ_5!$3:$3,0))</f>
        <v>35.700000000000003</v>
      </c>
      <c r="X60" s="98">
        <f>1/INDEX(GUL_1!$A:$J,MATCH('2019'!$A60,GUL_1!$A:$A,0),MATCH('2019'!$A$1,GUL_1!$3:$3,0))</f>
        <v>1.3661202185792349E-2</v>
      </c>
      <c r="Y60" s="57">
        <f>INDEX(GUL_2!$A:$J,MATCH('2019'!$A60,GUL_2!$A:$A,0),MATCH('2019'!$A$1,GUL_2!$3:$3,0))</f>
        <v>26.200000000000003</v>
      </c>
      <c r="Z60" s="57">
        <f>INDEX(GUL_3!$A:$J,MATCH('2019'!$A60,GUL_3!$A:$A,0),MATCH('2019'!$A$1,GUL_3!$3:$3,0))/(B60/1000)</f>
        <v>0.82902256456793211</v>
      </c>
      <c r="AA60" s="101">
        <f>INDEX(GUL_4!$A:$J,MATCH('2019'!$A60,GUL_4!$A:$A,0),MATCH('2019'!$A$1,GUL_4!$3:$3,0))/B60/C60*10^6</f>
        <v>0.23141299471757457</v>
      </c>
      <c r="AB60" s="73">
        <f>INDEX(GUL_5!$A:$J,MATCH('2019'!$A60,GUL_5!$A:$A,0),MATCH('2019'!$A$1,GUL_5!$3:$3,0))</f>
        <v>2.9213736644831595E-2</v>
      </c>
      <c r="AC60" s="49" t="e">
        <f>INDEX(GUL_6!$A:$J,MATCH('2019'!$A60,GUL_6!$A:$A,0),MATCH('2019'!$A$1,GUL_6!$3:$3,0))</f>
        <v>#N/A</v>
      </c>
      <c r="AD60" s="49" t="e">
        <f>INDEX(GUL_7!$A:$J,MATCH('2019'!$A60,GUL_7!$A:$A,0),MATCH('2019'!$A$1,GUL_7!$3:$3,0))</f>
        <v>#N/A</v>
      </c>
      <c r="AE60" s="103">
        <f>INDEX(GUL_8!$A:$J,MATCH('2019'!$A60,GUL_8!$A:$A,0),MATCH('2019'!$A$1,GUL_8!$3:$3,0))/(B60/1000)</f>
        <v>1.5671200736671231</v>
      </c>
      <c r="AF60" s="41">
        <f>INDEX(DES_1!$A:$J,MATCH('2019'!$A60,DES_1!$A:$A,0),MATCH('2019'!$A$1,DES_1!$3:$3,0))/(B60/1000)</f>
        <v>3.6548306609984101E-2</v>
      </c>
      <c r="AG60" s="100">
        <f>INDEX(DES_2!$A:$J,MATCH('2019'!$A60,DES_2!$A:$A,0),MATCH('2019'!$A$1,DES_2!$3:$3,0))/(B60/1000)</f>
        <v>0.56694446351097294</v>
      </c>
      <c r="AH60" s="57">
        <f>1/INDEX(DES_3!$A:$J,MATCH('2019'!$A60,DES_3!$A:$A,0),MATCH('2019'!$A$1,DES_3!$3:$3,0))</f>
        <v>8.9605734767025103E-3</v>
      </c>
      <c r="AI60" s="80">
        <f>INDEX(DES_4!$A:$J,MATCH('2019'!$A60,DES_4!$A:$A,0),MATCH('2019'!$A$1,DES_4!$3:$3,0))</f>
        <v>0.72125286948099998</v>
      </c>
      <c r="AJ60" s="110">
        <f>INDEX(DES_5!$A:$J,MATCH('2019'!$A60,DES_5!$A:$A,0),MATCH('2019'!$A$1,DES_5!$3:$3,0))</f>
        <v>0.427976728192</v>
      </c>
      <c r="AK60" s="57">
        <v>74</v>
      </c>
    </row>
    <row r="61" spans="1:37" x14ac:dyDescent="0.3">
      <c r="A61" s="29" t="s">
        <v>60</v>
      </c>
      <c r="B61" s="33">
        <f>INDEX(Population!$A:$J,MATCH('2019'!$A61,Population!$A:$A,0),MATCH('2019'!$A$1,Population!$3:$3,0))</f>
        <v>510367</v>
      </c>
      <c r="C61" s="14">
        <f>INDEX(Income!$A:$J,MATCH('2019'!$A61,Income!$A:$A,0),MATCH('2019'!$A$1,Income!$3:$3,0))</f>
        <v>84273</v>
      </c>
      <c r="D61" s="34">
        <f>INDEX(Livable_wage!$A:$J,MATCH('2019'!$A61,Livable_wage!$A:$A,0),MATCH('2019'!$A$1,Livable_wage!$3:$3,0))</f>
        <v>16434</v>
      </c>
      <c r="E61" s="41">
        <f>INDEX(AVA_1!$A:$J,MATCH('2019'!$A61,AVA_1!$A:$A,0),MATCH('2019'!$A$1,AVA_1!$3:$3,0))</f>
        <v>0.438</v>
      </c>
      <c r="F61" s="15">
        <f>INDEX(AVA_2!$A:$J,MATCH('2019'!$A61,AVA_2!$A:$A,0),MATCH('2019'!$A$1,AVA_2!$3:$3,0))</f>
        <v>8.6264664099425497E-3</v>
      </c>
      <c r="G61" s="15">
        <f>INDEX(AVA_3!$A:$J,MATCH('2019'!$A61,AVA_3!$A:$A,0),MATCH('2019'!$A$1,AVA_3!$3:$3,0))</f>
        <v>9.9241839124147413E-2</v>
      </c>
      <c r="H61" s="87">
        <f>INDEX(AVA_4!$A:$J,MATCH('2019'!$A61,AVA_4!$A:$A,0),MATCH('2019'!$A$1,AVA_4!$3:$3,0))/(B61/1000)</f>
        <v>0.53686856712914433</v>
      </c>
      <c r="I61" s="89">
        <f>INDEX(AVA_5!$A:$J,MATCH('2019'!$A61,AVA_5!$A:$A,0),MATCH('2019'!$A$1,AVA_5!$3:$3,0))/(B61/1000)</f>
        <v>4.1754267027452796</v>
      </c>
      <c r="J61" s="93">
        <f>INDEX(IRA_1!$A:$J,MATCH('2019'!$A61,IRA_1!$A:$A,0),MATCH('2019'!$A$1,IRA_1!$3:$3,0))/(B61/1000)</f>
        <v>8.817184496646531E-2</v>
      </c>
      <c r="K61" s="88">
        <f>INDEX(IRA_2!$A:$J,MATCH('2019'!$A61,IRA_2!$A:$A,0),MATCH('2019'!$A$1,IRA_2!$3:$3,0))/(B61/1000)</f>
        <v>0.25667803756904345</v>
      </c>
      <c r="L61" s="15">
        <f>INDEX(IRA_3!$A:$J,MATCH('2019'!$A61,IRA_3!$A:$A,0),MATCH('2019'!$A$1,IRA_3!$3:$3,0))</f>
        <v>0.45492957746478868</v>
      </c>
      <c r="M61" s="96">
        <f>INDEX(IRA_4!$A:$J,MATCH('2019'!$A61,IRA_4!$A:$A,0),MATCH('2019'!$A$1,IRA_4!$3:$3,0))/(B61/1000)</f>
        <v>2.9860864828642915</v>
      </c>
      <c r="N61" s="61">
        <f>INDEX(INV_1!$A:$J,MATCH('2019'!$A61,INV_1!$A:$A,0),MATCH('2019'!$A$1,INV_1!$3:$3,0))</f>
        <v>5.8067386380750478E-2</v>
      </c>
      <c r="O61" s="80">
        <f>INDEX(INV_2!$A:$J,MATCH('2019'!$A61,INV_2!$A:$A,0),MATCH('2019'!$A$1,INV_2!$3:$3,0))/B61*10^6/C61</f>
        <v>0.23037330253468727</v>
      </c>
      <c r="P61" s="87">
        <f>INDEX(INV_3!$A:$J,MATCH('2019'!$A61,INV_3!$A:$A,0),MATCH('2019'!$A$1,INV_3!$3:$3,0))/B61*10^6/C61</f>
        <v>3.5754576701877632</v>
      </c>
      <c r="Q61" s="87">
        <f>INDEX(INV_4!$A:$J,MATCH('2019'!$A61,INV_4!$A:$A,0),MATCH('2019'!$A$1,INV_4!$3:$3,0))/B61*10^3/C61</f>
        <v>0.17955877692205349</v>
      </c>
      <c r="R61" s="34">
        <f>INDEX(INV_5!$A:$J,MATCH('2019'!$A61,INV_5!$A:$A,0),MATCH('2019'!$A$1,INV_5!$3:$3,0))</f>
        <v>7.5700000000000003E-2</v>
      </c>
      <c r="S61" s="77">
        <f>INDEX(LUJ_1!$A:$J,MATCH('2019'!$A61,LUJ_1!$A:$A,0),MATCH('2019'!$A$1,LUJ_1!$3:$3,0))</f>
        <v>0.7461478192739619</v>
      </c>
      <c r="T61" s="73">
        <f>INDEX(LUJ_2!$A:$J,MATCH('2019'!$A61,LUJ_2!$A:$A,0),MATCH('2019'!$A$1,LUJ_2!$3:$3,0))</f>
        <v>0.22</v>
      </c>
      <c r="U61" s="73">
        <f>INDEX(LUJ_3!$A:$J,MATCH('2019'!$A61,LUJ_3!$A:$A,0),MATCH('2019'!$A$1,LUJ_3!$3:$3,0))</f>
        <v>0.49136922176711528</v>
      </c>
      <c r="V61" s="14">
        <f>INDEX(LUJ_4!$A:$J,MATCH('2019'!$A61,LUJ_4!$A:$A,0),MATCH('2019'!$A$1,LUJ_4!$3:$3,0))</f>
        <v>44</v>
      </c>
      <c r="W61" s="34">
        <f>INDEX(LUJ_5!$A:$J,MATCH('2019'!$A61,LUJ_5!$A:$A,0),MATCH('2019'!$A$1,LUJ_5!$3:$3,0))</f>
        <v>36.4</v>
      </c>
      <c r="X61" s="98">
        <f>1/INDEX(GUL_1!$A:$J,MATCH('2019'!$A61,GUL_1!$A:$A,0),MATCH('2019'!$A$1,GUL_1!$3:$3,0))</f>
        <v>1.3480722566729575E-2</v>
      </c>
      <c r="Y61" s="57">
        <f>INDEX(GUL_2!$A:$J,MATCH('2019'!$A61,GUL_2!$A:$A,0),MATCH('2019'!$A$1,GUL_2!$3:$3,0))</f>
        <v>27.1</v>
      </c>
      <c r="Z61" s="57">
        <f>INDEX(GUL_3!$A:$J,MATCH('2019'!$A61,GUL_3!$A:$A,0),MATCH('2019'!$A$1,GUL_3!$3:$3,0))/(B61/1000)</f>
        <v>0.40363111251315231</v>
      </c>
      <c r="AA61" s="101">
        <f>INDEX(GUL_4!$A:$J,MATCH('2019'!$A61,GUL_4!$A:$A,0),MATCH('2019'!$A$1,GUL_4!$3:$3,0))/B61/C61*10^6</f>
        <v>0.35945461840303328</v>
      </c>
      <c r="AB61" s="73">
        <f>INDEX(GUL_5!$A:$J,MATCH('2019'!$A61,GUL_5!$A:$A,0),MATCH('2019'!$A$1,GUL_5!$3:$3,0))</f>
        <v>4.1814615763032019E-2</v>
      </c>
      <c r="AC61" s="49" t="e">
        <f>INDEX(GUL_6!$A:$J,MATCH('2019'!$A61,GUL_6!$A:$A,0),MATCH('2019'!$A$1,GUL_6!$3:$3,0))</f>
        <v>#N/A</v>
      </c>
      <c r="AD61" s="49" t="e">
        <f>INDEX(GUL_7!$A:$J,MATCH('2019'!$A61,GUL_7!$A:$A,0),MATCH('2019'!$A$1,GUL_7!$3:$3,0))</f>
        <v>#N/A</v>
      </c>
      <c r="AE61" s="103">
        <f>INDEX(GUL_8!$A:$J,MATCH('2019'!$A61,GUL_8!$A:$A,0),MATCH('2019'!$A$1,GUL_8!$3:$3,0))/(B61/1000)</f>
        <v>2.9860864828642915</v>
      </c>
      <c r="AF61" s="41">
        <f>INDEX(DES_1!$A:$J,MATCH('2019'!$A61,DES_1!$A:$A,0),MATCH('2019'!$A$1,DES_1!$3:$3,0))/(B61/1000)</f>
        <v>0.12931870595081579</v>
      </c>
      <c r="AG61" s="100">
        <f>INDEX(DES_2!$A:$J,MATCH('2019'!$A61,DES_2!$A:$A,0),MATCH('2019'!$A$1,DES_2!$3:$3,0))/(B61/1000)</f>
        <v>0.46045296815820769</v>
      </c>
      <c r="AH61" s="57">
        <f>1/INDEX(DES_3!$A:$J,MATCH('2019'!$A61,DES_3!$A:$A,0),MATCH('2019'!$A$1,DES_3!$3:$3,0))</f>
        <v>7.0028011204481787E-3</v>
      </c>
      <c r="AI61" s="80">
        <f>INDEX(DES_4!$A:$J,MATCH('2019'!$A61,DES_4!$A:$A,0),MATCH('2019'!$A$1,DES_4!$3:$3,0))</f>
        <v>0.70049283867599998</v>
      </c>
      <c r="AJ61" s="110">
        <f>INDEX(DES_5!$A:$J,MATCH('2019'!$A61,DES_5!$A:$A,0),MATCH('2019'!$A$1,DES_5!$3:$3,0))</f>
        <v>0.72892523467500003</v>
      </c>
      <c r="AK61" s="57">
        <v>70</v>
      </c>
    </row>
    <row r="62" spans="1:37" x14ac:dyDescent="0.3">
      <c r="A62" s="29" t="s">
        <v>61</v>
      </c>
      <c r="B62" s="33">
        <f>INDEX(Population!$A:$J,MATCH('2019'!$A62,Population!$A:$A,0),MATCH('2019'!$A$1,Population!$3:$3,0))</f>
        <v>2875636</v>
      </c>
      <c r="C62" s="14">
        <f>INDEX(Income!$A:$J,MATCH('2019'!$A62,Income!$A:$A,0),MATCH('2019'!$A$1,Income!$3:$3,0))</f>
        <v>31755</v>
      </c>
      <c r="D62" s="34">
        <f>INDEX(Livable_wage!$A:$J,MATCH('2019'!$A62,Livable_wage!$A:$A,0),MATCH('2019'!$A$1,Livable_wage!$3:$3,0))</f>
        <v>13028</v>
      </c>
      <c r="E62" s="41">
        <f>INDEX(AVA_1!$A:$J,MATCH('2019'!$A62,AVA_1!$A:$A,0),MATCH('2019'!$A$1,AVA_1!$3:$3,0))</f>
        <v>0.39</v>
      </c>
      <c r="F62" s="15">
        <f>INDEX(AVA_2!$A:$J,MATCH('2019'!$A62,AVA_2!$A:$A,0),MATCH('2019'!$A$1,AVA_2!$3:$3,0))</f>
        <v>1.2715946379497942E-2</v>
      </c>
      <c r="G62" s="15">
        <f>INDEX(AVA_3!$A:$J,MATCH('2019'!$A62,AVA_3!$A:$A,0),MATCH('2019'!$A$1,AVA_3!$3:$3,0))</f>
        <v>5.6857477497894967E-3</v>
      </c>
      <c r="H62" s="87">
        <f>INDEX(AVA_4!$A:$J,MATCH('2019'!$A62,AVA_4!$A:$A,0),MATCH('2019'!$A$1,AVA_4!$3:$3,0))/(B62/1000)</f>
        <v>0.51223451090471817</v>
      </c>
      <c r="I62" s="89">
        <f>INDEX(AVA_5!$A:$J,MATCH('2019'!$A62,AVA_5!$A:$A,0),MATCH('2019'!$A$1,AVA_5!$3:$3,0))/(B62/1000)</f>
        <v>6.8711756286261547</v>
      </c>
      <c r="J62" s="93">
        <f>INDEX(IRA_1!$A:$J,MATCH('2019'!$A62,IRA_1!$A:$A,0),MATCH('2019'!$A$1,IRA_1!$3:$3,0))/(B62/1000)</f>
        <v>8.0677804840390097E-2</v>
      </c>
      <c r="K62" s="88">
        <f>INDEX(IRA_2!$A:$J,MATCH('2019'!$A62,IRA_2!$A:$A,0),MATCH('2019'!$A$1,IRA_2!$3:$3,0))/(B62/1000)</f>
        <v>0.26568035731921563</v>
      </c>
      <c r="L62" s="15">
        <f>INDEX(IRA_3!$A:$J,MATCH('2019'!$A62,IRA_3!$A:$A,0),MATCH('2019'!$A$1,IRA_3!$3:$3,0))</f>
        <v>0.34543892180362712</v>
      </c>
      <c r="M62" s="96">
        <f>INDEX(IRA_4!$A:$J,MATCH('2019'!$A62,IRA_4!$A:$A,0),MATCH('2019'!$A$1,IRA_4!$3:$3,0))/(B62/1000)</f>
        <v>6.3481608937987977</v>
      </c>
      <c r="N62" s="61">
        <f>INDEX(INV_1!$A:$J,MATCH('2019'!$A62,INV_1!$A:$A,0),MATCH('2019'!$A$1,INV_1!$3:$3,0))</f>
        <v>8.5441657251527178E-2</v>
      </c>
      <c r="O62" s="80">
        <f>INDEX(INV_2!$A:$J,MATCH('2019'!$A62,INV_2!$A:$A,0),MATCH('2019'!$A$1,INV_2!$3:$3,0))/B62*10^6/C62</f>
        <v>0.44052587345959854</v>
      </c>
      <c r="P62" s="87">
        <f>INDEX(INV_3!$A:$J,MATCH('2019'!$A62,INV_3!$A:$A,0),MATCH('2019'!$A$1,INV_3!$3:$3,0))/B62*10^6/C62</f>
        <v>4.2568636516312388</v>
      </c>
      <c r="Q62" s="87">
        <f>INDEX(INV_4!$A:$J,MATCH('2019'!$A62,INV_4!$A:$A,0),MATCH('2019'!$A$1,INV_4!$3:$3,0))/B62*10^3/C62</f>
        <v>0.26697370701999967</v>
      </c>
      <c r="R62" s="34">
        <f>INDEX(INV_5!$A:$J,MATCH('2019'!$A62,INV_5!$A:$A,0),MATCH('2019'!$A$1,INV_5!$3:$3,0))</f>
        <v>0.1168</v>
      </c>
      <c r="S62" s="77">
        <f>INDEX(LUJ_1!$A:$J,MATCH('2019'!$A62,LUJ_1!$A:$A,0),MATCH('2019'!$A$1,LUJ_1!$3:$3,0))</f>
        <v>0.70142878185299751</v>
      </c>
      <c r="T62" s="73">
        <f>INDEX(LUJ_2!$A:$J,MATCH('2019'!$A62,LUJ_2!$A:$A,0),MATCH('2019'!$A$1,LUJ_2!$3:$3,0))</f>
        <v>0.25900000000000001</v>
      </c>
      <c r="U62" s="73">
        <f>INDEX(LUJ_3!$A:$J,MATCH('2019'!$A62,LUJ_3!$A:$A,0),MATCH('2019'!$A$1,LUJ_3!$3:$3,0))</f>
        <v>0.67325769606797459</v>
      </c>
      <c r="V62" s="14">
        <f>INDEX(LUJ_4!$A:$J,MATCH('2019'!$A62,LUJ_4!$A:$A,0),MATCH('2019'!$A$1,LUJ_4!$3:$3,0))</f>
        <v>60</v>
      </c>
      <c r="W62" s="34">
        <f>INDEX(LUJ_5!$A:$J,MATCH('2019'!$A62,LUJ_5!$A:$A,0),MATCH('2019'!$A$1,LUJ_5!$3:$3,0))</f>
        <v>94.5</v>
      </c>
      <c r="X62" s="98">
        <f>1/INDEX(GUL_1!$A:$J,MATCH('2019'!$A62,GUL_1!$A:$A,0),MATCH('2019'!$A$1,GUL_1!$3:$3,0))</f>
        <v>1.4052838673412029E-2</v>
      </c>
      <c r="Y62" s="57">
        <f>INDEX(GUL_2!$A:$J,MATCH('2019'!$A62,GUL_2!$A:$A,0),MATCH('2019'!$A$1,GUL_2!$3:$3,0))</f>
        <v>25.1</v>
      </c>
      <c r="Z62" s="57">
        <f>INDEX(GUL_3!$A:$J,MATCH('2019'!$A62,GUL_3!$A:$A,0),MATCH('2019'!$A$1,GUL_3!$3:$3,0))/(B62/1000)</f>
        <v>0.87354588689249957</v>
      </c>
      <c r="AA62" s="101">
        <f>INDEX(GUL_4!$A:$J,MATCH('2019'!$A62,GUL_4!$A:$A,0),MATCH('2019'!$A$1,GUL_4!$3:$3,0))/B62/C62*10^6</f>
        <v>0.33173429980208824</v>
      </c>
      <c r="AB62" s="73">
        <f>INDEX(GUL_5!$A:$J,MATCH('2019'!$A62,GUL_5!$A:$A,0),MATCH('2019'!$A$1,GUL_5!$3:$3,0))</f>
        <v>3.6234815748267223E-2</v>
      </c>
      <c r="AC62" s="49" t="e">
        <f>INDEX(GUL_6!$A:$J,MATCH('2019'!$A62,GUL_6!$A:$A,0),MATCH('2019'!$A$1,GUL_6!$3:$3,0))</f>
        <v>#N/A</v>
      </c>
      <c r="AD62" s="49" t="e">
        <f>INDEX(GUL_7!$A:$J,MATCH('2019'!$A62,GUL_7!$A:$A,0),MATCH('2019'!$A$1,GUL_7!$3:$3,0))</f>
        <v>#N/A</v>
      </c>
      <c r="AE62" s="103">
        <f>INDEX(GUL_8!$A:$J,MATCH('2019'!$A62,GUL_8!$A:$A,0),MATCH('2019'!$A$1,GUL_8!$3:$3,0))/(B62/1000)</f>
        <v>2.951694859850134</v>
      </c>
      <c r="AF62" s="41">
        <f>INDEX(DES_1!$A:$J,MATCH('2019'!$A62,DES_1!$A:$A,0),MATCH('2019'!$A$1,DES_1!$3:$3,0))/(B62/1000)</f>
        <v>0.13388342613599219</v>
      </c>
      <c r="AG62" s="100">
        <f>INDEX(DES_2!$A:$J,MATCH('2019'!$A62,DES_2!$A:$A,0),MATCH('2019'!$A$1,DES_2!$3:$3,0))/(B62/1000)</f>
        <v>0.65133417442263208</v>
      </c>
      <c r="AH62" s="57">
        <f>1/INDEX(DES_3!$A:$J,MATCH('2019'!$A62,DES_3!$A:$A,0),MATCH('2019'!$A$1,DES_3!$3:$3,0))</f>
        <v>8.3263946711074101E-3</v>
      </c>
      <c r="AI62" s="80">
        <f>INDEX(DES_4!$A:$J,MATCH('2019'!$A62,DES_4!$A:$A,0),MATCH('2019'!$A$1,DES_4!$3:$3,0))</f>
        <v>0.97156575429600001</v>
      </c>
      <c r="AJ62" s="110">
        <f>INDEX(DES_5!$A:$J,MATCH('2019'!$A62,DES_5!$A:$A,0),MATCH('2019'!$A$1,DES_5!$3:$3,0))</f>
        <v>0.83923122723299992</v>
      </c>
      <c r="AK62" s="57">
        <v>69</v>
      </c>
    </row>
    <row r="63" spans="1:37" x14ac:dyDescent="0.3">
      <c r="A63" s="29" t="s">
        <v>62</v>
      </c>
      <c r="B63" s="33">
        <f>INDEX(Population!$A:$J,MATCH('2019'!$A63,Population!$A:$A,0),MATCH('2019'!$A$1,Population!$3:$3,0))</f>
        <v>974061</v>
      </c>
      <c r="C63" s="14">
        <f>INDEX(Income!$A:$J,MATCH('2019'!$A63,Income!$A:$A,0),MATCH('2019'!$A$1,Income!$3:$3,0))</f>
        <v>45528</v>
      </c>
      <c r="D63" s="34">
        <f>INDEX(Livable_wage!$A:$J,MATCH('2019'!$A63,Livable_wage!$A:$A,0),MATCH('2019'!$A$1,Livable_wage!$3:$3,0))</f>
        <v>18327</v>
      </c>
      <c r="E63" s="41">
        <f>INDEX(AVA_1!$A:$J,MATCH('2019'!$A63,AVA_1!$A:$A,0),MATCH('2019'!$A$1,AVA_1!$3:$3,0))</f>
        <v>0.40600000000000003</v>
      </c>
      <c r="F63" s="15">
        <f>INDEX(AVA_2!$A:$J,MATCH('2019'!$A63,AVA_2!$A:$A,0),MATCH('2019'!$A$1,AVA_2!$3:$3,0))</f>
        <v>1.1300099142671098E-2</v>
      </c>
      <c r="G63" s="15">
        <f>INDEX(AVA_3!$A:$J,MATCH('2019'!$A63,AVA_3!$A:$A,0),MATCH('2019'!$A$1,AVA_3!$3:$3,0))</f>
        <v>2.649138897428566E-2</v>
      </c>
      <c r="H63" s="87">
        <f>INDEX(AVA_4!$A:$J,MATCH('2019'!$A63,AVA_4!$A:$A,0),MATCH('2019'!$A$1,AVA_4!$3:$3,0))/(B63/1000)</f>
        <v>0.58415232721564658</v>
      </c>
      <c r="I63" s="89">
        <f>INDEX(AVA_5!$A:$J,MATCH('2019'!$A63,AVA_5!$A:$A,0),MATCH('2019'!$A$1,AVA_5!$3:$3,0))/(B63/1000)</f>
        <v>3.8447284102330346</v>
      </c>
      <c r="J63" s="93">
        <f>INDEX(IRA_1!$A:$J,MATCH('2019'!$A63,IRA_1!$A:$A,0),MATCH('2019'!$A$1,IRA_1!$3:$3,0))/(B63/1000)</f>
        <v>0.10882275340045439</v>
      </c>
      <c r="K63" s="88">
        <f>INDEX(IRA_2!$A:$J,MATCH('2019'!$A63,IRA_2!$A:$A,0),MATCH('2019'!$A$1,IRA_2!$3:$3,0))/(B63/1000)</f>
        <v>0.34597422543352008</v>
      </c>
      <c r="L63" s="15">
        <f>INDEX(IRA_3!$A:$J,MATCH('2019'!$A63,IRA_3!$A:$A,0),MATCH('2019'!$A$1,IRA_3!$3:$3,0))</f>
        <v>0.50729502905100066</v>
      </c>
      <c r="M63" s="96">
        <f>INDEX(IRA_4!$A:$J,MATCH('2019'!$A63,IRA_4!$A:$A,0),MATCH('2019'!$A$1,IRA_4!$3:$3,0))/(B63/1000)</f>
        <v>4.3508568765200533</v>
      </c>
      <c r="N63" s="61">
        <f>INDEX(INV_1!$A:$J,MATCH('2019'!$A63,INV_1!$A:$A,0),MATCH('2019'!$A$1,INV_1!$3:$3,0))</f>
        <v>9.6121977467081815E-2</v>
      </c>
      <c r="O63" s="80">
        <f>INDEX(INV_2!$A:$J,MATCH('2019'!$A63,INV_2!$A:$A,0),MATCH('2019'!$A$1,INV_2!$3:$3,0))/B63*10^6/C63</f>
        <v>0.13001333071693738</v>
      </c>
      <c r="P63" s="87">
        <f>INDEX(INV_3!$A:$J,MATCH('2019'!$A63,INV_3!$A:$A,0),MATCH('2019'!$A$1,INV_3!$3:$3,0))/B63*10^6/C63</f>
        <v>4.4256834108501302</v>
      </c>
      <c r="Q63" s="87">
        <f>INDEX(INV_4!$A:$J,MATCH('2019'!$A63,INV_4!$A:$A,0),MATCH('2019'!$A$1,INV_4!$3:$3,0))/B63*10^3/C63</f>
        <v>0.26067210325043733</v>
      </c>
      <c r="R63" s="34">
        <f>INDEX(INV_5!$A:$J,MATCH('2019'!$A63,INV_5!$A:$A,0),MATCH('2019'!$A$1,INV_5!$3:$3,0))</f>
        <v>0.105</v>
      </c>
      <c r="S63" s="77">
        <f>INDEX(LUJ_1!$A:$J,MATCH('2019'!$A63,LUJ_1!$A:$A,0),MATCH('2019'!$A$1,LUJ_1!$3:$3,0))</f>
        <v>0.64332096474953615</v>
      </c>
      <c r="T63" s="73">
        <f>INDEX(LUJ_2!$A:$J,MATCH('2019'!$A63,LUJ_2!$A:$A,0),MATCH('2019'!$A$1,LUJ_2!$3:$3,0))</f>
        <v>0.39799999999999996</v>
      </c>
      <c r="U63" s="73">
        <f>INDEX(LUJ_3!$A:$J,MATCH('2019'!$A63,LUJ_3!$A:$A,0),MATCH('2019'!$A$1,LUJ_3!$3:$3,0))</f>
        <v>0.66965748615120546</v>
      </c>
      <c r="V63" s="14">
        <f>INDEX(LUJ_4!$A:$J,MATCH('2019'!$A63,LUJ_4!$A:$A,0),MATCH('2019'!$A$1,LUJ_4!$3:$3,0))</f>
        <v>53</v>
      </c>
      <c r="W63" s="34">
        <f>INDEX(LUJ_5!$A:$J,MATCH('2019'!$A63,LUJ_5!$A:$A,0),MATCH('2019'!$A$1,LUJ_5!$3:$3,0))</f>
        <v>11.7</v>
      </c>
      <c r="X63" s="98">
        <f>1/INDEX(GUL_1!$A:$J,MATCH('2019'!$A63,GUL_1!$A:$A,0),MATCH('2019'!$A$1,GUL_1!$3:$3,0))</f>
        <v>1.3698630136986301E-2</v>
      </c>
      <c r="Y63" s="57">
        <f>INDEX(GUL_2!$A:$J,MATCH('2019'!$A63,GUL_2!$A:$A,0),MATCH('2019'!$A$1,GUL_2!$3:$3,0))</f>
        <v>24.1</v>
      </c>
      <c r="Z63" s="57">
        <f>INDEX(GUL_3!$A:$J,MATCH('2019'!$A63,GUL_3!$A:$A,0),MATCH('2019'!$A$1,GUL_3!$3:$3,0))/(B63/1000)</f>
        <v>0.40141223188280817</v>
      </c>
      <c r="AA63" s="101">
        <f>INDEX(GUL_4!$A:$J,MATCH('2019'!$A63,GUL_4!$A:$A,0),MATCH('2019'!$A$1,GUL_4!$3:$3,0))/B63/C63*10^6</f>
        <v>0.51029302747650818</v>
      </c>
      <c r="AB63" s="73">
        <f>INDEX(GUL_5!$A:$J,MATCH('2019'!$A63,GUL_5!$A:$A,0),MATCH('2019'!$A$1,GUL_5!$3:$3,0))</f>
        <v>2.6769831598794962E-2</v>
      </c>
      <c r="AC63" s="49" t="e">
        <f>INDEX(GUL_6!$A:$J,MATCH('2019'!$A63,GUL_6!$A:$A,0),MATCH('2019'!$A$1,GUL_6!$3:$3,0))</f>
        <v>#N/A</v>
      </c>
      <c r="AD63" s="49" t="e">
        <f>INDEX(GUL_7!$A:$J,MATCH('2019'!$A63,GUL_7!$A:$A,0),MATCH('2019'!$A$1,GUL_7!$3:$3,0))</f>
        <v>#N/A</v>
      </c>
      <c r="AE63" s="103">
        <f>INDEX(GUL_8!$A:$J,MATCH('2019'!$A63,GUL_8!$A:$A,0),MATCH('2019'!$A$1,GUL_8!$3:$3,0))/(B63/1000)</f>
        <v>4.0870130310114048</v>
      </c>
      <c r="AF63" s="41">
        <f>INDEX(DES_1!$A:$J,MATCH('2019'!$A63,DES_1!$A:$A,0),MATCH('2019'!$A$1,DES_1!$3:$3,0))/(B63/1000)</f>
        <v>0.22791180429151767</v>
      </c>
      <c r="AG63" s="100">
        <f>INDEX(DES_2!$A:$J,MATCH('2019'!$A63,DES_2!$A:$A,0),MATCH('2019'!$A$1,DES_2!$3:$3,0))/(B63/1000)</f>
        <v>0.35726715267318987</v>
      </c>
      <c r="AH63" s="57">
        <f>1/INDEX(DES_3!$A:$J,MATCH('2019'!$A63,DES_3!$A:$A,0),MATCH('2019'!$A$1,DES_3!$3:$3,0))</f>
        <v>8.4388185654008432E-3</v>
      </c>
      <c r="AI63" s="80">
        <f>INDEX(DES_4!$A:$J,MATCH('2019'!$A63,DES_4!$A:$A,0),MATCH('2019'!$A$1,DES_4!$3:$3,0))</f>
        <v>0.77782068335999999</v>
      </c>
      <c r="AJ63" s="110">
        <f>INDEX(DES_5!$A:$J,MATCH('2019'!$A63,DES_5!$A:$A,0),MATCH('2019'!$A$1,DES_5!$3:$3,0))</f>
        <v>0.50681908186900004</v>
      </c>
      <c r="AK63" s="57">
        <v>67</v>
      </c>
    </row>
    <row r="64" spans="1:37" x14ac:dyDescent="0.3">
      <c r="A64" s="29" t="s">
        <v>63</v>
      </c>
      <c r="B64" s="33">
        <f>INDEX(Population!$A:$J,MATCH('2019'!$A64,Population!$A:$A,0),MATCH('2019'!$A$1,Population!$3:$3,0))</f>
        <v>3126938</v>
      </c>
      <c r="C64" s="14">
        <f>INDEX(Income!$A:$J,MATCH('2019'!$A64,Income!$A:$A,0),MATCH('2019'!$A$1,Income!$3:$3,0))</f>
        <v>27410</v>
      </c>
      <c r="D64" s="34">
        <f>INDEX(Livable_wage!$A:$J,MATCH('2019'!$A64,Livable_wage!$A:$A,0),MATCH('2019'!$A$1,Livable_wage!$3:$3,0))</f>
        <v>10058</v>
      </c>
      <c r="E64" s="41">
        <f>INDEX(AVA_1!$A:$J,MATCH('2019'!$A64,AVA_1!$A:$A,0),MATCH('2019'!$A$1,AVA_1!$3:$3,0))</f>
        <v>0.39400000000000002</v>
      </c>
      <c r="F64" s="15">
        <f>INDEX(AVA_2!$A:$J,MATCH('2019'!$A64,AVA_2!$A:$A,0),MATCH('2019'!$A$1,AVA_2!$3:$3,0))</f>
        <v>5.2968296533024879E-3</v>
      </c>
      <c r="G64" s="15">
        <f>INDEX(AVA_3!$A:$J,MATCH('2019'!$A64,AVA_3!$A:$A,0),MATCH('2019'!$A$1,AVA_3!$3:$3,0))</f>
        <v>3.3044592427955204E-2</v>
      </c>
      <c r="H64" s="87">
        <f>INDEX(AVA_4!$A:$J,MATCH('2019'!$A64,AVA_4!$A:$A,0),MATCH('2019'!$A$1,AVA_4!$3:$3,0))/(B64/1000)</f>
        <v>0.6213746482981114</v>
      </c>
      <c r="I64" s="89">
        <f>INDEX(AVA_5!$A:$J,MATCH('2019'!$A64,AVA_5!$A:$A,0),MATCH('2019'!$A$1,AVA_5!$3:$3,0))/(B64/1000)</f>
        <v>0.51647969994927945</v>
      </c>
      <c r="J64" s="93">
        <f>INDEX(IRA_1!$A:$J,MATCH('2019'!$A64,IRA_1!$A:$A,0),MATCH('2019'!$A$1,IRA_1!$3:$3,0))/(B64/1000)</f>
        <v>2.2066315353870145E-2</v>
      </c>
      <c r="K64" s="88">
        <f>INDEX(IRA_2!$A:$J,MATCH('2019'!$A64,IRA_2!$A:$A,0),MATCH('2019'!$A$1,IRA_2!$3:$3,0))/(B64/1000)</f>
        <v>2.3985125384641461E-2</v>
      </c>
      <c r="L64" s="15">
        <f>INDEX(IRA_3!$A:$J,MATCH('2019'!$A64,IRA_3!$A:$A,0),MATCH('2019'!$A$1,IRA_3!$3:$3,0))</f>
        <v>0.5744130949816928</v>
      </c>
      <c r="M64" s="96">
        <f>INDEX(IRA_4!$A:$J,MATCH('2019'!$A64,IRA_4!$A:$A,0),MATCH('2019'!$A$1,IRA_4!$3:$3,0))/(B64/1000)</f>
        <v>1.2408304865654516</v>
      </c>
      <c r="N64" s="61">
        <f>INDEX(INV_1!$A:$J,MATCH('2019'!$A64,INV_1!$A:$A,0),MATCH('2019'!$A$1,INV_1!$3:$3,0))</f>
        <v>6.9203566270262543E-2</v>
      </c>
      <c r="O64" s="80">
        <f>INDEX(INV_2!$A:$J,MATCH('2019'!$A64,INV_2!$A:$A,0),MATCH('2019'!$A$1,INV_2!$3:$3,0))/B64*10^6/C64</f>
        <v>0.34965782734371353</v>
      </c>
      <c r="P64" s="87">
        <f>INDEX(INV_3!$A:$J,MATCH('2019'!$A64,INV_3!$A:$A,0),MATCH('2019'!$A$1,INV_3!$3:$3,0))/B64*10^6/C64</f>
        <v>0.81877861808001173</v>
      </c>
      <c r="Q64" s="87">
        <f>INDEX(INV_4!$A:$J,MATCH('2019'!$A64,INV_4!$A:$A,0),MATCH('2019'!$A$1,INV_4!$3:$3,0))/B64*10^3/C64</f>
        <v>0.20159226666905247</v>
      </c>
      <c r="R64" s="34">
        <f>INDEX(INV_5!$A:$J,MATCH('2019'!$A64,INV_5!$A:$A,0),MATCH('2019'!$A$1,INV_5!$3:$3,0))</f>
        <v>0.18379999999999999</v>
      </c>
      <c r="S64" s="77">
        <f>INDEX(LUJ_1!$A:$J,MATCH('2019'!$A64,LUJ_1!$A:$A,0),MATCH('2019'!$A$1,LUJ_1!$3:$3,0))</f>
        <v>0.33245185787903442</v>
      </c>
      <c r="T64" s="73">
        <f>INDEX(LUJ_2!$A:$J,MATCH('2019'!$A64,LUJ_2!$A:$A,0),MATCH('2019'!$A$1,LUJ_2!$3:$3,0))</f>
        <v>0.22399999999999998</v>
      </c>
      <c r="U64" s="73">
        <f>INDEX(LUJ_3!$A:$J,MATCH('2019'!$A64,LUJ_3!$A:$A,0),MATCH('2019'!$A$1,LUJ_3!$3:$3,0))</f>
        <v>0.12675903168975791</v>
      </c>
      <c r="V64" s="14">
        <f>INDEX(LUJ_4!$A:$J,MATCH('2019'!$A64,LUJ_4!$A:$A,0),MATCH('2019'!$A$1,LUJ_4!$3:$3,0))</f>
        <v>17</v>
      </c>
      <c r="W64" s="34">
        <f>INDEX(LUJ_5!$A:$J,MATCH('2019'!$A64,LUJ_5!$A:$A,0),MATCH('2019'!$A$1,LUJ_5!$3:$3,0))</f>
        <v>8.6999999999999993</v>
      </c>
      <c r="X64" s="98">
        <f>1/INDEX(GUL_1!$A:$J,MATCH('2019'!$A64,GUL_1!$A:$A,0),MATCH('2019'!$A$1,GUL_1!$3:$3,0))</f>
        <v>1.2642225031605564E-2</v>
      </c>
      <c r="Y64" s="57">
        <f>INDEX(GUL_2!$A:$J,MATCH('2019'!$A64,GUL_2!$A:$A,0),MATCH('2019'!$A$1,GUL_2!$3:$3,0))</f>
        <v>25</v>
      </c>
      <c r="Z64" s="57">
        <f>INDEX(GUL_3!$A:$J,MATCH('2019'!$A64,GUL_3!$A:$A,0),MATCH('2019'!$A$1,GUL_3!$3:$3,0))/(B64/1000)</f>
        <v>0.17780972951814203</v>
      </c>
      <c r="AA64" s="101">
        <f>INDEX(GUL_4!$A:$J,MATCH('2019'!$A64,GUL_4!$A:$A,0),MATCH('2019'!$A$1,GUL_4!$3:$3,0))/B64/C64*10^6</f>
        <v>0.93185831910235928</v>
      </c>
      <c r="AB64" s="73">
        <f>INDEX(GUL_5!$A:$J,MATCH('2019'!$A64,GUL_5!$A:$A,0),MATCH('2019'!$A$1,GUL_5!$3:$3,0))</f>
        <v>1.0969546076300908E-2</v>
      </c>
      <c r="AC64" s="49" t="e">
        <f>INDEX(GUL_6!$A:$J,MATCH('2019'!$A64,GUL_6!$A:$A,0),MATCH('2019'!$A$1,GUL_6!$3:$3,0))</f>
        <v>#N/A</v>
      </c>
      <c r="AD64" s="49" t="e">
        <f>INDEX(GUL_7!$A:$J,MATCH('2019'!$A64,GUL_7!$A:$A,0),MATCH('2019'!$A$1,GUL_7!$3:$3,0))</f>
        <v>#N/A</v>
      </c>
      <c r="AE64" s="103">
        <f>INDEX(GUL_8!$A:$J,MATCH('2019'!$A64,GUL_8!$A:$A,0),MATCH('2019'!$A$1,GUL_8!$3:$3,0))/(B64/1000)</f>
        <v>0.25552153576438036</v>
      </c>
      <c r="AF64" s="41">
        <f>INDEX(DES_1!$A:$J,MATCH('2019'!$A64,DES_1!$A:$A,0),MATCH('2019'!$A$1,DES_1!$3:$3,0))/(B64/1000)</f>
        <v>1.9827703651303607E-2</v>
      </c>
      <c r="AG64" s="100">
        <f>INDEX(DES_2!$A:$J,MATCH('2019'!$A64,DES_2!$A:$A,0),MATCH('2019'!$A$1,DES_2!$3:$3,0))/(B64/1000)</f>
        <v>0.64887759207250029</v>
      </c>
      <c r="AH64" s="57">
        <f>1/INDEX(DES_3!$A:$J,MATCH('2019'!$A64,DES_3!$A:$A,0),MATCH('2019'!$A$1,DES_3!$3:$3,0))</f>
        <v>8.8573959255978732E-3</v>
      </c>
      <c r="AI64" s="80">
        <f>INDEX(DES_4!$A:$J,MATCH('2019'!$A64,DES_4!$A:$A,0),MATCH('2019'!$A$1,DES_4!$3:$3,0))</f>
        <v>0.96051239150300005</v>
      </c>
      <c r="AJ64" s="110">
        <f>INDEX(DES_5!$A:$J,MATCH('2019'!$A64,DES_5!$A:$A,0),MATCH('2019'!$A$1,DES_5!$3:$3,0))</f>
        <v>0.55254848030100001</v>
      </c>
      <c r="AK64" s="57">
        <v>14</v>
      </c>
    </row>
    <row r="65" spans="1:37" x14ac:dyDescent="0.3">
      <c r="A65" s="29" t="s">
        <v>64</v>
      </c>
      <c r="B65" s="33">
        <f>INDEX(Population!$A:$J,MATCH('2019'!$A65,Population!$A:$A,0),MATCH('2019'!$A$1,Population!$3:$3,0))</f>
        <v>1913594</v>
      </c>
      <c r="C65" s="14">
        <f>INDEX(Income!$A:$J,MATCH('2019'!$A65,Income!$A:$A,0),MATCH('2019'!$A$1,Income!$3:$3,0))</f>
        <v>26970</v>
      </c>
      <c r="D65" s="34">
        <f>INDEX(Livable_wage!$A:$J,MATCH('2019'!$A65,Livable_wage!$A:$A,0),MATCH('2019'!$A$1,Livable_wage!$3:$3,0))</f>
        <v>10155</v>
      </c>
      <c r="E65" s="41">
        <f>INDEX(AVA_1!$A:$J,MATCH('2019'!$A65,AVA_1!$A:$A,0),MATCH('2019'!$A$1,AVA_1!$3:$3,0))</f>
        <v>0.38100000000000001</v>
      </c>
      <c r="F65" s="15">
        <f>INDEX(AVA_2!$A:$J,MATCH('2019'!$A65,AVA_2!$A:$A,0),MATCH('2019'!$A$1,AVA_2!$3:$3,0))</f>
        <v>1.0493375713763325E-2</v>
      </c>
      <c r="G65" s="15">
        <f>INDEX(AVA_3!$A:$J,MATCH('2019'!$A65,AVA_3!$A:$A,0),MATCH('2019'!$A$1,AVA_3!$3:$3,0))</f>
        <v>8.687031840861786E-3</v>
      </c>
      <c r="H65" s="87">
        <f>INDEX(AVA_4!$A:$J,MATCH('2019'!$A65,AVA_4!$A:$A,0),MATCH('2019'!$A$1,AVA_4!$3:$3,0))/(B65/1000)</f>
        <v>0.8188779856124131</v>
      </c>
      <c r="I65" s="89">
        <f>INDEX(AVA_5!$A:$J,MATCH('2019'!$A65,AVA_5!$A:$A,0),MATCH('2019'!$A$1,AVA_5!$3:$3,0))/(B65/1000)</f>
        <v>4.3128270678106224</v>
      </c>
      <c r="J65" s="93">
        <f>INDEX(IRA_1!$A:$J,MATCH('2019'!$A65,IRA_1!$A:$A,0),MATCH('2019'!$A$1,IRA_1!$3:$3,0))/(B65/1000)</f>
        <v>4.6509343152204702E-2</v>
      </c>
      <c r="K65" s="88">
        <f>INDEX(IRA_2!$A:$J,MATCH('2019'!$A65,IRA_2!$A:$A,0),MATCH('2019'!$A$1,IRA_2!$3:$3,0))/(B65/1000)</f>
        <v>0.17610841171115713</v>
      </c>
      <c r="L65" s="15">
        <f>INDEX(IRA_3!$A:$J,MATCH('2019'!$A65,IRA_3!$A:$A,0),MATCH('2019'!$A$1,IRA_3!$3:$3,0))</f>
        <v>0.34179566563467489</v>
      </c>
      <c r="M65" s="96">
        <f>INDEX(IRA_4!$A:$J,MATCH('2019'!$A65,IRA_4!$A:$A,0),MATCH('2019'!$A$1,IRA_4!$3:$3,0))/(B65/1000)</f>
        <v>3.0105654595488907</v>
      </c>
      <c r="N65" s="61">
        <f>INDEX(INV_1!$A:$J,MATCH('2019'!$A65,INV_1!$A:$A,0),MATCH('2019'!$A$1,INV_1!$3:$3,0))</f>
        <v>6.69362705314335E-2</v>
      </c>
      <c r="O65" s="80">
        <f>INDEX(INV_2!$A:$J,MATCH('2019'!$A65,INV_2!$A:$A,0),MATCH('2019'!$A$1,INV_2!$3:$3,0))/B65*10^6/C65</f>
        <v>0.4219389402724063</v>
      </c>
      <c r="P65" s="87">
        <f>INDEX(INV_3!$A:$J,MATCH('2019'!$A65,INV_3!$A:$A,0),MATCH('2019'!$A$1,INV_3!$3:$3,0))/B65*10^6/C65</f>
        <v>3.9332388023711276</v>
      </c>
      <c r="Q65" s="87">
        <f>INDEX(INV_4!$A:$J,MATCH('2019'!$A65,INV_4!$A:$A,0),MATCH('2019'!$A$1,INV_4!$3:$3,0))/B65*10^3/C65</f>
        <v>0.23847827134342781</v>
      </c>
      <c r="R65" s="34">
        <f>INDEX(INV_5!$A:$J,MATCH('2019'!$A65,INV_5!$A:$A,0),MATCH('2019'!$A$1,INV_5!$3:$3,0))</f>
        <v>7.3400000000000007E-2</v>
      </c>
      <c r="S65" s="77">
        <f>INDEX(LUJ_1!$A:$J,MATCH('2019'!$A65,LUJ_1!$A:$A,0),MATCH('2019'!$A$1,LUJ_1!$3:$3,0))</f>
        <v>0.68363752801793143</v>
      </c>
      <c r="T65" s="73">
        <f>INDEX(LUJ_2!$A:$J,MATCH('2019'!$A65,LUJ_2!$A:$A,0),MATCH('2019'!$A$1,LUJ_2!$3:$3,0))</f>
        <v>0.22800000000000001</v>
      </c>
      <c r="U65" s="73">
        <f>INDEX(LUJ_3!$A:$J,MATCH('2019'!$A65,LUJ_3!$A:$A,0),MATCH('2019'!$A$1,LUJ_3!$3:$3,0))</f>
        <v>0.3512684567284956</v>
      </c>
      <c r="V65" s="14">
        <f>INDEX(LUJ_4!$A:$J,MATCH('2019'!$A65,LUJ_4!$A:$A,0),MATCH('2019'!$A$1,LUJ_4!$3:$3,0))</f>
        <v>29</v>
      </c>
      <c r="W65" s="34">
        <f>INDEX(LUJ_5!$A:$J,MATCH('2019'!$A65,LUJ_5!$A:$A,0),MATCH('2019'!$A$1,LUJ_5!$3:$3,0))</f>
        <v>88</v>
      </c>
      <c r="X65" s="98">
        <f>1/INDEX(GUL_1!$A:$J,MATCH('2019'!$A65,GUL_1!$A:$A,0),MATCH('2019'!$A$1,GUL_1!$3:$3,0))</f>
        <v>1.3827433628318585E-2</v>
      </c>
      <c r="Y65" s="57">
        <f>INDEX(GUL_2!$A:$J,MATCH('2019'!$A65,GUL_2!$A:$A,0),MATCH('2019'!$A$1,GUL_2!$3:$3,0))</f>
        <v>25.7</v>
      </c>
      <c r="Z65" s="57">
        <f>INDEX(GUL_3!$A:$J,MATCH('2019'!$A65,GUL_3!$A:$A,0),MATCH('2019'!$A$1,GUL_3!$3:$3,0))/(B65/1000)</f>
        <v>0.57953777028983156</v>
      </c>
      <c r="AA65" s="101">
        <f>INDEX(GUL_4!$A:$J,MATCH('2019'!$A65,GUL_4!$A:$A,0),MATCH('2019'!$A$1,GUL_4!$3:$3,0))/B65/C65*10^6</f>
        <v>0.32755882847909218</v>
      </c>
      <c r="AB65" s="73">
        <f>INDEX(GUL_5!$A:$J,MATCH('2019'!$A65,GUL_5!$A:$A,0),MATCH('2019'!$A$1,GUL_5!$3:$3,0))</f>
        <v>3.3134179803227345E-2</v>
      </c>
      <c r="AC65" s="49" t="e">
        <f>INDEX(GUL_6!$A:$J,MATCH('2019'!$A65,GUL_6!$A:$A,0),MATCH('2019'!$A$1,GUL_6!$3:$3,0))</f>
        <v>#N/A</v>
      </c>
      <c r="AD65" s="49" t="e">
        <f>INDEX(GUL_7!$A:$J,MATCH('2019'!$A65,GUL_7!$A:$A,0),MATCH('2019'!$A$1,GUL_7!$3:$3,0))</f>
        <v>#N/A</v>
      </c>
      <c r="AE65" s="103">
        <f>INDEX(GUL_8!$A:$J,MATCH('2019'!$A65,GUL_8!$A:$A,0),MATCH('2019'!$A$1,GUL_8!$3:$3,0))/(B65/1000)</f>
        <v>2.2768675069006279</v>
      </c>
      <c r="AF65" s="41">
        <f>INDEX(DES_1!$A:$J,MATCH('2019'!$A65,DES_1!$A:$A,0),MATCH('2019'!$A$1,DES_1!$3:$3,0))/(B65/1000)</f>
        <v>0.18917283394492249</v>
      </c>
      <c r="AG65" s="100">
        <f>INDEX(DES_2!$A:$J,MATCH('2019'!$A65,DES_2!$A:$A,0),MATCH('2019'!$A$1,DES_2!$3:$3,0))/(B65/1000)</f>
        <v>0.73840114465241846</v>
      </c>
      <c r="AH65" s="57">
        <f>1/INDEX(DES_3!$A:$J,MATCH('2019'!$A65,DES_3!$A:$A,0),MATCH('2019'!$A$1,DES_3!$3:$3,0))</f>
        <v>8.9605734767025103E-3</v>
      </c>
      <c r="AI65" s="80">
        <f>INDEX(DES_4!$A:$J,MATCH('2019'!$A65,DES_4!$A:$A,0),MATCH('2019'!$A$1,DES_4!$3:$3,0))</f>
        <v>0.93429140147599998</v>
      </c>
      <c r="AJ65" s="110">
        <f>INDEX(DES_5!$A:$J,MATCH('2019'!$A65,DES_5!$A:$A,0),MATCH('2019'!$A$1,DES_5!$3:$3,0))</f>
        <v>0.63090249286599998</v>
      </c>
      <c r="AK65" s="57">
        <v>21</v>
      </c>
    </row>
    <row r="66" spans="1:37" x14ac:dyDescent="0.3">
      <c r="A66" s="29" t="s">
        <v>65</v>
      </c>
      <c r="B66" s="33">
        <f>INDEX(Population!$A:$J,MATCH('2019'!$A66,Population!$A:$A,0),MATCH('2019'!$A$1,Population!$3:$3,0))</f>
        <v>771255</v>
      </c>
      <c r="C66" s="14">
        <f>INDEX(Income!$A:$J,MATCH('2019'!$A66,Income!$A:$A,0),MATCH('2019'!$A$1,Income!$3:$3,0))</f>
        <v>35428</v>
      </c>
      <c r="D66" s="34">
        <f>INDEX(Livable_wage!$A:$J,MATCH('2019'!$A66,Livable_wage!$A:$A,0),MATCH('2019'!$A$1,Livable_wage!$3:$3,0))</f>
        <v>14868</v>
      </c>
      <c r="E66" s="41">
        <f>INDEX(AVA_1!$A:$J,MATCH('2019'!$A66,AVA_1!$A:$A,0),MATCH('2019'!$A$1,AVA_1!$3:$3,0))</f>
        <v>0.379</v>
      </c>
      <c r="F66" s="15">
        <f>INDEX(AVA_2!$A:$J,MATCH('2019'!$A66,AVA_2!$A:$A,0),MATCH('2019'!$A$1,AVA_2!$3:$3,0))</f>
        <v>1.1595626181009464E-2</v>
      </c>
      <c r="G66" s="15">
        <f>INDEX(AVA_3!$A:$J,MATCH('2019'!$A66,AVA_3!$A:$A,0),MATCH('2019'!$A$1,AVA_3!$3:$3,0))</f>
        <v>2.8768038795272516E-3</v>
      </c>
      <c r="H66" s="87">
        <f>INDEX(AVA_4!$A:$J,MATCH('2019'!$A66,AVA_4!$A:$A,0),MATCH('2019'!$A$1,AVA_4!$3:$3,0))/(B66/1000)</f>
        <v>0.9905932538524872</v>
      </c>
      <c r="I66" s="89">
        <f>INDEX(AVA_5!$A:$J,MATCH('2019'!$A66,AVA_5!$A:$A,0),MATCH('2019'!$A$1,AVA_5!$3:$3,0))/(B66/1000)</f>
        <v>6.2508508858937706</v>
      </c>
      <c r="J66" s="93">
        <f>INDEX(IRA_1!$A:$J,MATCH('2019'!$A66,IRA_1!$A:$A,0),MATCH('2019'!$A$1,IRA_1!$3:$3,0))/(B66/1000)</f>
        <v>8.5574809887780309E-2</v>
      </c>
      <c r="K66" s="88">
        <f>INDEX(IRA_2!$A:$J,MATCH('2019'!$A66,IRA_2!$A:$A,0),MATCH('2019'!$A$1,IRA_2!$3:$3,0))/(B66/1000)</f>
        <v>0.3202572430648748</v>
      </c>
      <c r="L66" s="15">
        <f>INDEX(IRA_3!$A:$J,MATCH('2019'!$A66,IRA_3!$A:$A,0),MATCH('2019'!$A$1,IRA_3!$3:$3,0))</f>
        <v>0.35976031343627568</v>
      </c>
      <c r="M66" s="96">
        <f>INDEX(IRA_4!$A:$J,MATCH('2019'!$A66,IRA_4!$A:$A,0),MATCH('2019'!$A$1,IRA_4!$3:$3,0))/(B66/1000)</f>
        <v>6.5101684916143165</v>
      </c>
      <c r="N66" s="61">
        <f>INDEX(INV_1!$A:$J,MATCH('2019'!$A66,INV_1!$A:$A,0),MATCH('2019'!$A$1,INV_1!$3:$3,0))</f>
        <v>7.5198411176394198E-2</v>
      </c>
      <c r="O66" s="80">
        <f>INDEX(INV_2!$A:$J,MATCH('2019'!$A66,INV_2!$A:$A,0),MATCH('2019'!$A$1,INV_2!$3:$3,0))/B66*10^6/C66</f>
        <v>0.35551319945607396</v>
      </c>
      <c r="P66" s="87">
        <f>INDEX(INV_3!$A:$J,MATCH('2019'!$A66,INV_3!$A:$A,0),MATCH('2019'!$A$1,INV_3!$3:$3,0))/B66*10^6/C66</f>
        <v>4.7611218924301459</v>
      </c>
      <c r="Q66" s="87">
        <f>INDEX(INV_4!$A:$J,MATCH('2019'!$A66,INV_4!$A:$A,0),MATCH('2019'!$A$1,INV_4!$3:$3,0))/B66*10^3/C66</f>
        <v>0.2730040310968655</v>
      </c>
      <c r="R66" s="34">
        <f>INDEX(INV_5!$A:$J,MATCH('2019'!$A66,INV_5!$A:$A,0),MATCH('2019'!$A$1,INV_5!$3:$3,0))</f>
        <v>3.9699999999999999E-2</v>
      </c>
      <c r="S66" s="77">
        <f>INDEX(LUJ_1!$A:$J,MATCH('2019'!$A66,LUJ_1!$A:$A,0),MATCH('2019'!$A$1,LUJ_1!$3:$3,0))</f>
        <v>0.8032445923460898</v>
      </c>
      <c r="T66" s="73">
        <f>INDEX(LUJ_2!$A:$J,MATCH('2019'!$A66,LUJ_2!$A:$A,0),MATCH('2019'!$A$1,LUJ_2!$3:$3,0))</f>
        <v>0.29100000000000004</v>
      </c>
      <c r="U66" s="73">
        <f>INDEX(LUJ_3!$A:$J,MATCH('2019'!$A66,LUJ_3!$A:$A,0),MATCH('2019'!$A$1,LUJ_3!$3:$3,0))</f>
        <v>0.62250646944489707</v>
      </c>
      <c r="V66" s="14">
        <f>INDEX(LUJ_4!$A:$J,MATCH('2019'!$A66,LUJ_4!$A:$A,0),MATCH('2019'!$A$1,LUJ_4!$3:$3,0))</f>
        <v>24</v>
      </c>
      <c r="W66" s="34">
        <f>INDEX(LUJ_5!$A:$J,MATCH('2019'!$A66,LUJ_5!$A:$A,0),MATCH('2019'!$A$1,LUJ_5!$3:$3,0))</f>
        <v>41.1</v>
      </c>
      <c r="X66" s="98">
        <f>1/INDEX(GUL_1!$A:$J,MATCH('2019'!$A66,GUL_1!$A:$A,0),MATCH('2019'!$A$1,GUL_1!$3:$3,0))</f>
        <v>1.4025245441795233E-2</v>
      </c>
      <c r="Y66" s="57">
        <f>INDEX(GUL_2!$A:$J,MATCH('2019'!$A66,GUL_2!$A:$A,0),MATCH('2019'!$A$1,GUL_2!$3:$3,0))</f>
        <v>24.7</v>
      </c>
      <c r="Z66" s="57">
        <f>INDEX(GUL_3!$A:$J,MATCH('2019'!$A66,GUL_3!$A:$A,0),MATCH('2019'!$A$1,GUL_3!$3:$3,0))/(B66/1000)</f>
        <v>1.0333806587963774</v>
      </c>
      <c r="AA66" s="101">
        <f>INDEX(GUL_4!$A:$J,MATCH('2019'!$A66,GUL_4!$A:$A,0),MATCH('2019'!$A$1,GUL_4!$3:$3,0))/B66/C66*10^6</f>
        <v>0.34134762269666352</v>
      </c>
      <c r="AB66" s="73">
        <f>INDEX(GUL_5!$A:$J,MATCH('2019'!$A66,GUL_5!$A:$A,0),MATCH('2019'!$A$1,GUL_5!$3:$3,0))</f>
        <v>3.7166283842799068E-2</v>
      </c>
      <c r="AC66" s="49" t="e">
        <f>INDEX(GUL_6!$A:$J,MATCH('2019'!$A66,GUL_6!$A:$A,0),MATCH('2019'!$A$1,GUL_6!$3:$3,0))</f>
        <v>#N/A</v>
      </c>
      <c r="AD66" s="49" t="e">
        <f>INDEX(GUL_7!$A:$J,MATCH('2019'!$A66,GUL_7!$A:$A,0),MATCH('2019'!$A$1,GUL_7!$3:$3,0))</f>
        <v>#N/A</v>
      </c>
      <c r="AE66" s="103">
        <f>INDEX(GUL_8!$A:$J,MATCH('2019'!$A66,GUL_8!$A:$A,0),MATCH('2019'!$A$1,GUL_8!$3:$3,0))/(B66/1000)</f>
        <v>5.0022366143493393</v>
      </c>
      <c r="AF66" s="41">
        <f>INDEX(DES_1!$A:$J,MATCH('2019'!$A66,DES_1!$A:$A,0),MATCH('2019'!$A$1,DES_1!$3:$3,0))/(B66/1000)</f>
        <v>0.26839372192076549</v>
      </c>
      <c r="AG66" s="100">
        <f>INDEX(DES_2!$A:$J,MATCH('2019'!$A66,DES_2!$A:$A,0),MATCH('2019'!$A$1,DES_2!$3:$3,0))/(B66/1000)</f>
        <v>0.42657746141029879</v>
      </c>
      <c r="AH66" s="57">
        <f>1/INDEX(DES_3!$A:$J,MATCH('2019'!$A66,DES_3!$A:$A,0),MATCH('2019'!$A$1,DES_3!$3:$3,0))</f>
        <v>9.5328884652049559E-3</v>
      </c>
      <c r="AI66" s="80">
        <f>INDEX(DES_4!$A:$J,MATCH('2019'!$A66,DES_4!$A:$A,0),MATCH('2019'!$A$1,DES_4!$3:$3,0))</f>
        <v>0.81374818413899996</v>
      </c>
      <c r="AJ66" s="110">
        <f>INDEX(DES_5!$A:$J,MATCH('2019'!$A66,DES_5!$A:$A,0),MATCH('2019'!$A$1,DES_5!$3:$3,0))</f>
        <v>0.79619595651899999</v>
      </c>
      <c r="AK66" s="57">
        <v>25</v>
      </c>
    </row>
    <row r="67" spans="1:37" x14ac:dyDescent="0.3">
      <c r="A67" s="29" t="s">
        <v>66</v>
      </c>
      <c r="B67" s="33">
        <f>INDEX(Population!$A:$J,MATCH('2019'!$A67,Population!$A:$A,0),MATCH('2019'!$A$1,Population!$3:$3,0))</f>
        <v>1467050</v>
      </c>
      <c r="C67" s="14">
        <f>INDEX(Income!$A:$J,MATCH('2019'!$A67,Income!$A:$A,0),MATCH('2019'!$A$1,Income!$3:$3,0))</f>
        <v>24153</v>
      </c>
      <c r="D67" s="34">
        <f>INDEX(Livable_wage!$A:$J,MATCH('2019'!$A67,Livable_wage!$A:$A,0),MATCH('2019'!$A$1,Livable_wage!$3:$3,0))</f>
        <v>11430</v>
      </c>
      <c r="E67" s="41">
        <f>INDEX(AVA_1!$A:$J,MATCH('2019'!$A67,AVA_1!$A:$A,0),MATCH('2019'!$A$1,AVA_1!$3:$3,0))</f>
        <v>0.374</v>
      </c>
      <c r="F67" s="15">
        <f>INDEX(AVA_2!$A:$J,MATCH('2019'!$A67,AVA_2!$A:$A,0),MATCH('2019'!$A$1,AVA_2!$3:$3,0))</f>
        <v>7.8114482704560598E-3</v>
      </c>
      <c r="G67" s="15">
        <f>INDEX(AVA_3!$A:$J,MATCH('2019'!$A67,AVA_3!$A:$A,0),MATCH('2019'!$A$1,AVA_3!$3:$3,0))</f>
        <v>1.0764681338333804E-2</v>
      </c>
      <c r="H67" s="87">
        <f>INDEX(AVA_4!$A:$J,MATCH('2019'!$A67,AVA_4!$A:$A,0),MATCH('2019'!$A$1,AVA_4!$3:$3,0))/(B67/1000)</f>
        <v>0.40557581541188098</v>
      </c>
      <c r="I67" s="89">
        <f>INDEX(AVA_5!$A:$J,MATCH('2019'!$A67,AVA_5!$A:$A,0),MATCH('2019'!$A$1,AVA_5!$3:$3,0))/(B67/1000)</f>
        <v>0.58825534235370303</v>
      </c>
      <c r="J67" s="93">
        <f>INDEX(IRA_1!$A:$J,MATCH('2019'!$A67,IRA_1!$A:$A,0),MATCH('2019'!$A$1,IRA_1!$3:$3,0))/(B67/1000)</f>
        <v>9.5429603626324949E-3</v>
      </c>
      <c r="K67" s="88">
        <f>INDEX(IRA_2!$A:$J,MATCH('2019'!$A67,IRA_2!$A:$A,0),MATCH('2019'!$A$1,IRA_2!$3:$3,0))/(B67/1000)</f>
        <v>3.4082001295116051E-3</v>
      </c>
      <c r="L67" s="15">
        <f>INDEX(IRA_3!$A:$J,MATCH('2019'!$A67,IRA_3!$A:$A,0),MATCH('2019'!$A$1,IRA_3!$3:$3,0))</f>
        <v>0.73872679045092837</v>
      </c>
      <c r="M67" s="96">
        <f>INDEX(IRA_4!$A:$J,MATCH('2019'!$A67,IRA_4!$A:$A,0),MATCH('2019'!$A$1,IRA_4!$3:$3,0))/(B67/1000)</f>
        <v>0.66323574520295836</v>
      </c>
      <c r="N67" s="61">
        <f>INDEX(INV_1!$A:$J,MATCH('2019'!$A67,INV_1!$A:$A,0),MATCH('2019'!$A$1,INV_1!$3:$3,0))</f>
        <v>0.11700025631659841</v>
      </c>
      <c r="O67" s="80">
        <f>INDEX(INV_2!$A:$J,MATCH('2019'!$A67,INV_2!$A:$A,0),MATCH('2019'!$A$1,INV_2!$3:$3,0))/B67*10^6/C67</f>
        <v>0.48787724329449111</v>
      </c>
      <c r="P67" s="87">
        <f>INDEX(INV_3!$A:$J,MATCH('2019'!$A67,INV_3!$A:$A,0),MATCH('2019'!$A$1,INV_3!$3:$3,0))/B67*10^6/C67</f>
        <v>0.97156210539946597</v>
      </c>
      <c r="Q67" s="87">
        <f>INDEX(INV_4!$A:$J,MATCH('2019'!$A67,INV_4!$A:$A,0),MATCH('2019'!$A$1,INV_4!$3:$3,0))/B67*10^3/C67</f>
        <v>0.2395340623399046</v>
      </c>
      <c r="R67" s="34">
        <f>INDEX(INV_5!$A:$J,MATCH('2019'!$A67,INV_5!$A:$A,0),MATCH('2019'!$A$1,INV_5!$3:$3,0))</f>
        <v>0.1137</v>
      </c>
      <c r="S67" s="77">
        <f>INDEX(LUJ_1!$A:$J,MATCH('2019'!$A67,LUJ_1!$A:$A,0),MATCH('2019'!$A$1,LUJ_1!$3:$3,0))</f>
        <v>0.15655199072284501</v>
      </c>
      <c r="T67" s="73">
        <f>INDEX(LUJ_2!$A:$J,MATCH('2019'!$A67,LUJ_2!$A:$A,0),MATCH('2019'!$A$1,LUJ_2!$3:$3,0))</f>
        <v>0.21299999999999999</v>
      </c>
      <c r="U67" s="73">
        <f>INDEX(LUJ_3!$A:$J,MATCH('2019'!$A67,LUJ_3!$A:$A,0),MATCH('2019'!$A$1,LUJ_3!$3:$3,0))</f>
        <v>0.13235841155147471</v>
      </c>
      <c r="V67" s="14">
        <f>INDEX(LUJ_4!$A:$J,MATCH('2019'!$A67,LUJ_4!$A:$A,0),MATCH('2019'!$A$1,LUJ_4!$3:$3,0))</f>
        <v>1</v>
      </c>
      <c r="W67" s="34">
        <f>INDEX(LUJ_5!$A:$J,MATCH('2019'!$A67,LUJ_5!$A:$A,0),MATCH('2019'!$A$1,LUJ_5!$3:$3,0))</f>
        <v>9.3000000000000007</v>
      </c>
      <c r="X67" s="98">
        <f>1/INDEX(GUL_1!$A:$J,MATCH('2019'!$A67,GUL_1!$A:$A,0),MATCH('2019'!$A$1,GUL_1!$3:$3,0))</f>
        <v>1.3178703215603585E-2</v>
      </c>
      <c r="Y67" s="57">
        <f>INDEX(GUL_2!$A:$J,MATCH('2019'!$A67,GUL_2!$A:$A,0),MATCH('2019'!$A$1,GUL_2!$3:$3,0))</f>
        <v>22.9</v>
      </c>
      <c r="Z67" s="57">
        <f>INDEX(GUL_3!$A:$J,MATCH('2019'!$A67,GUL_3!$A:$A,0),MATCH('2019'!$A$1,GUL_3!$3:$3,0))/(B67/1000)</f>
        <v>8.3841723185985484E-2</v>
      </c>
      <c r="AA67" s="101">
        <f>INDEX(GUL_4!$A:$J,MATCH('2019'!$A67,GUL_4!$A:$A,0),MATCH('2019'!$A$1,GUL_4!$3:$3,0))/B67/C67*10^6</f>
        <v>0.39305537533025819</v>
      </c>
      <c r="AB67" s="73">
        <f>INDEX(GUL_5!$A:$J,MATCH('2019'!$A67,GUL_5!$A:$A,0),MATCH('2019'!$A$1,GUL_5!$3:$3,0))</f>
        <v>6.4261605514587012E-4</v>
      </c>
      <c r="AC67" s="49" t="e">
        <f>INDEX(GUL_6!$A:$J,MATCH('2019'!$A67,GUL_6!$A:$A,0),MATCH('2019'!$A$1,GUL_6!$3:$3,0))</f>
        <v>#N/A</v>
      </c>
      <c r="AD67" s="49" t="e">
        <f>INDEX(GUL_7!$A:$J,MATCH('2019'!$A67,GUL_7!$A:$A,0),MATCH('2019'!$A$1,GUL_7!$3:$3,0))</f>
        <v>#N/A</v>
      </c>
      <c r="AE67" s="103">
        <f>INDEX(GUL_8!$A:$J,MATCH('2019'!$A67,GUL_8!$A:$A,0),MATCH('2019'!$A$1,GUL_8!$3:$3,0))/(B67/1000)</f>
        <v>0.12337684468832011</v>
      </c>
      <c r="AF67" s="41">
        <f>INDEX(DES_1!$A:$J,MATCH('2019'!$A67,DES_1!$A:$A,0),MATCH('2019'!$A$1,DES_1!$3:$3,0))/(B67/1000)</f>
        <v>2.7265601036092842E-3</v>
      </c>
      <c r="AG67" s="100">
        <f>INDEX(DES_2!$A:$J,MATCH('2019'!$A67,DES_2!$A:$A,0),MATCH('2019'!$A$1,DES_2!$3:$3,0))/(B67/1000)</f>
        <v>0.42057189598173206</v>
      </c>
      <c r="AH67" s="57">
        <f>1/INDEX(DES_3!$A:$J,MATCH('2019'!$A67,DES_3!$A:$A,0),MATCH('2019'!$A$1,DES_3!$3:$3,0))</f>
        <v>8.9605734767025103E-3</v>
      </c>
      <c r="AI67" s="80">
        <f>INDEX(DES_4!$A:$J,MATCH('2019'!$A67,DES_4!$A:$A,0),MATCH('2019'!$A$1,DES_4!$3:$3,0))</f>
        <v>0.79589982729999997</v>
      </c>
      <c r="AJ67" s="110">
        <f>INDEX(DES_5!$A:$J,MATCH('2019'!$A67,DES_5!$A:$A,0),MATCH('2019'!$A$1,DES_5!$3:$3,0))</f>
        <v>0.163522351904</v>
      </c>
      <c r="AK67" s="57">
        <v>32</v>
      </c>
    </row>
    <row r="68" spans="1:37" x14ac:dyDescent="0.3">
      <c r="A68" s="29" t="s">
        <v>67</v>
      </c>
      <c r="B68" s="33">
        <f>INDEX(Population!$A:$J,MATCH('2019'!$A68,Population!$A:$A,0),MATCH('2019'!$A$1,Population!$3:$3,0))</f>
        <v>894760</v>
      </c>
      <c r="C68" s="14">
        <f>INDEX(Income!$A:$J,MATCH('2019'!$A68,Income!$A:$A,0),MATCH('2019'!$A$1,Income!$3:$3,0))</f>
        <v>21474</v>
      </c>
      <c r="D68" s="34">
        <f>INDEX(Livable_wage!$A:$J,MATCH('2019'!$A68,Livable_wage!$A:$A,0),MATCH('2019'!$A$1,Livable_wage!$3:$3,0))</f>
        <v>11330</v>
      </c>
      <c r="E68" s="41">
        <f>INDEX(AVA_1!$A:$J,MATCH('2019'!$A68,AVA_1!$A:$A,0),MATCH('2019'!$A$1,AVA_1!$3:$3,0))</f>
        <v>0.33800000000000002</v>
      </c>
      <c r="F68" s="15">
        <f>INDEX(AVA_2!$A:$J,MATCH('2019'!$A68,AVA_2!$A:$A,0),MATCH('2019'!$A$1,AVA_2!$3:$3,0))</f>
        <v>5.4001826290160544E-3</v>
      </c>
      <c r="G68" s="15">
        <f>INDEX(AVA_3!$A:$J,MATCH('2019'!$A68,AVA_3!$A:$A,0),MATCH('2019'!$A$1,AVA_3!$3:$3,0))</f>
        <v>1.709874726865513E-2</v>
      </c>
      <c r="H68" s="87">
        <f>INDEX(AVA_4!$A:$J,MATCH('2019'!$A68,AVA_4!$A:$A,0),MATCH('2019'!$A$1,AVA_4!$3:$3,0))/(B68/1000)</f>
        <v>0.74656891233403366</v>
      </c>
      <c r="I68" s="89">
        <f>INDEX(AVA_5!$A:$J,MATCH('2019'!$A68,AVA_5!$A:$A,0),MATCH('2019'!$A$1,AVA_5!$3:$3,0))/(B68/1000)</f>
        <v>2.0642406902409585</v>
      </c>
      <c r="J68" s="93">
        <f>INDEX(IRA_1!$A:$J,MATCH('2019'!$A68,IRA_1!$A:$A,0),MATCH('2019'!$A$1,IRA_1!$3:$3,0))/(B68/1000)</f>
        <v>3.7999016496043633E-2</v>
      </c>
      <c r="K68" s="88">
        <f>INDEX(IRA_2!$A:$J,MATCH('2019'!$A68,IRA_2!$A:$A,0),MATCH('2019'!$A$1,IRA_2!$3:$3,0))/(B68/1000)</f>
        <v>5.9233761008538603E-2</v>
      </c>
      <c r="L68" s="15">
        <f>INDEX(IRA_3!$A:$J,MATCH('2019'!$A68,IRA_3!$A:$A,0),MATCH('2019'!$A$1,IRA_3!$3:$3,0))</f>
        <v>0.49404007101191982</v>
      </c>
      <c r="M68" s="96">
        <f>INDEX(IRA_4!$A:$J,MATCH('2019'!$A68,IRA_4!$A:$A,0),MATCH('2019'!$A$1,IRA_4!$3:$3,0))/(B68/1000)</f>
        <v>2.7627520228888192</v>
      </c>
      <c r="N68" s="61">
        <f>INDEX(INV_1!$A:$J,MATCH('2019'!$A68,INV_1!$A:$A,0),MATCH('2019'!$A$1,INV_1!$3:$3,0))</f>
        <v>0.11679766262781204</v>
      </c>
      <c r="O68" s="80">
        <f>INDEX(INV_2!$A:$J,MATCH('2019'!$A68,INV_2!$A:$A,0),MATCH('2019'!$A$1,INV_2!$3:$3,0))/B68*10^6/C68</f>
        <v>0.47349825858711175</v>
      </c>
      <c r="P68" s="87">
        <f>INDEX(INV_3!$A:$J,MATCH('2019'!$A68,INV_3!$A:$A,0),MATCH('2019'!$A$1,INV_3!$3:$3,0))/B68*10^6/C68</f>
        <v>2.4943171558894575</v>
      </c>
      <c r="Q68" s="87">
        <f>INDEX(INV_4!$A:$J,MATCH('2019'!$A68,INV_4!$A:$A,0),MATCH('2019'!$A$1,INV_4!$3:$3,0))/B68*10^3/C68</f>
        <v>0.32768650500576968</v>
      </c>
      <c r="R68" s="34">
        <f>INDEX(INV_5!$A:$J,MATCH('2019'!$A68,INV_5!$A:$A,0),MATCH('2019'!$A$1,INV_5!$3:$3,0))</f>
        <v>0.12809999999999999</v>
      </c>
      <c r="S68" s="77">
        <f>INDEX(LUJ_1!$A:$J,MATCH('2019'!$A68,LUJ_1!$A:$A,0),MATCH('2019'!$A$1,LUJ_1!$3:$3,0))</f>
        <v>0.50784530386740334</v>
      </c>
      <c r="T68" s="73">
        <f>INDEX(LUJ_2!$A:$J,MATCH('2019'!$A68,LUJ_2!$A:$A,0),MATCH('2019'!$A$1,LUJ_2!$3:$3,0))</f>
        <v>9.6000000000000002E-2</v>
      </c>
      <c r="U68" s="73">
        <f>INDEX(LUJ_3!$A:$J,MATCH('2019'!$A68,LUJ_3!$A:$A,0),MATCH('2019'!$A$1,LUJ_3!$3:$3,0))</f>
        <v>0.19838953195772521</v>
      </c>
      <c r="V68" s="14">
        <f>INDEX(LUJ_4!$A:$J,MATCH('2019'!$A68,LUJ_4!$A:$A,0),MATCH('2019'!$A$1,LUJ_4!$3:$3,0))</f>
        <v>57</v>
      </c>
      <c r="W68" s="34">
        <f>INDEX(LUJ_5!$A:$J,MATCH('2019'!$A68,LUJ_5!$A:$A,0),MATCH('2019'!$A$1,LUJ_5!$3:$3,0))</f>
        <v>31.1</v>
      </c>
      <c r="X68" s="98">
        <f>1/INDEX(GUL_1!$A:$J,MATCH('2019'!$A68,GUL_1!$A:$A,0),MATCH('2019'!$A$1,GUL_1!$3:$3,0))</f>
        <v>1.3078733978550878E-2</v>
      </c>
      <c r="Y68" s="57">
        <f>INDEX(GUL_2!$A:$J,MATCH('2019'!$A68,GUL_2!$A:$A,0),MATCH('2019'!$A$1,GUL_2!$3:$3,0))</f>
        <v>24.8</v>
      </c>
      <c r="Z68" s="57">
        <f>INDEX(GUL_3!$A:$J,MATCH('2019'!$A68,GUL_3!$A:$A,0),MATCH('2019'!$A$1,GUL_3!$3:$3,0))/(B68/1000)</f>
        <v>0.36881398363807055</v>
      </c>
      <c r="AA68" s="101">
        <f>INDEX(GUL_4!$A:$J,MATCH('2019'!$A68,GUL_4!$A:$A,0),MATCH('2019'!$A$1,GUL_4!$3:$3,0))/B68/C68*10^6</f>
        <v>0.28486927665068956</v>
      </c>
      <c r="AB68" s="73">
        <f>INDEX(GUL_5!$A:$J,MATCH('2019'!$A68,GUL_5!$A:$A,0),MATCH('2019'!$A$1,GUL_5!$3:$3,0))</f>
        <v>2.2008747154173489E-2</v>
      </c>
      <c r="AC68" s="49" t="e">
        <f>INDEX(GUL_6!$A:$J,MATCH('2019'!$A68,GUL_6!$A:$A,0),MATCH('2019'!$A$1,GUL_6!$3:$3,0))</f>
        <v>#N/A</v>
      </c>
      <c r="AD68" s="49" t="e">
        <f>INDEX(GUL_7!$A:$J,MATCH('2019'!$A68,GUL_7!$A:$A,0),MATCH('2019'!$A$1,GUL_7!$3:$3,0))</f>
        <v>#N/A</v>
      </c>
      <c r="AE68" s="103">
        <f>INDEX(GUL_8!$A:$J,MATCH('2019'!$A68,GUL_8!$A:$A,0),MATCH('2019'!$A$1,GUL_8!$3:$3,0))/(B68/1000)</f>
        <v>0.69851133264786092</v>
      </c>
      <c r="AF68" s="41">
        <f>INDEX(DES_1!$A:$J,MATCH('2019'!$A68,DES_1!$A:$A,0),MATCH('2019'!$A$1,DES_1!$3:$3,0))/(B68/1000)</f>
        <v>5.8116142876302027E-2</v>
      </c>
      <c r="AG68" s="100">
        <f>INDEX(DES_2!$A:$J,MATCH('2019'!$A68,DES_2!$A:$A,0),MATCH('2019'!$A$1,DES_2!$3:$3,0))/(B68/1000)</f>
        <v>0.78121507443336757</v>
      </c>
      <c r="AH68" s="57">
        <f>1/INDEX(DES_3!$A:$J,MATCH('2019'!$A68,DES_3!$A:$A,0),MATCH('2019'!$A$1,DES_3!$3:$3,0))</f>
        <v>9.2678405931417972E-3</v>
      </c>
      <c r="AI68" s="80">
        <f>INDEX(DES_4!$A:$J,MATCH('2019'!$A68,DES_4!$A:$A,0),MATCH('2019'!$A$1,DES_4!$3:$3,0))</f>
        <v>0.75675395253900002</v>
      </c>
      <c r="AJ68" s="110">
        <f>INDEX(DES_5!$A:$J,MATCH('2019'!$A68,DES_5!$A:$A,0),MATCH('2019'!$A$1,DES_5!$3:$3,0))</f>
        <v>0.276684462854</v>
      </c>
      <c r="AK68" s="57">
        <v>36</v>
      </c>
    </row>
    <row r="69" spans="1:37" x14ac:dyDescent="0.3">
      <c r="A69" s="29" t="s">
        <v>68</v>
      </c>
      <c r="B69" s="33">
        <f>INDEX(Population!$A:$J,MATCH('2019'!$A69,Population!$A:$A,0),MATCH('2019'!$A$1,Population!$3:$3,0))</f>
        <v>2484437</v>
      </c>
      <c r="C69" s="14">
        <f>INDEX(Income!$A:$J,MATCH('2019'!$A69,Income!$A:$A,0),MATCH('2019'!$A$1,Income!$3:$3,0))</f>
        <v>22760</v>
      </c>
      <c r="D69" s="34">
        <f>INDEX(Livable_wage!$A:$J,MATCH('2019'!$A69,Livable_wage!$A:$A,0),MATCH('2019'!$A$1,Livable_wage!$3:$3,0))</f>
        <v>9509</v>
      </c>
      <c r="E69" s="41">
        <f>INDEX(AVA_1!$A:$J,MATCH('2019'!$A69,AVA_1!$A:$A,0),MATCH('2019'!$A$1,AVA_1!$3:$3,0))</f>
        <v>0.36599999999999999</v>
      </c>
      <c r="F69" s="15">
        <f>INDEX(AVA_2!$A:$J,MATCH('2019'!$A69,AVA_2!$A:$A,0),MATCH('2019'!$A$1,AVA_2!$3:$3,0))</f>
        <v>1.2451472818297723E-2</v>
      </c>
      <c r="G69" s="15">
        <f>INDEX(AVA_3!$A:$J,MATCH('2019'!$A69,AVA_3!$A:$A,0),MATCH('2019'!$A$1,AVA_3!$3:$3,0))</f>
        <v>2.3580310664445606E-2</v>
      </c>
      <c r="H69" s="87">
        <f>INDEX(AVA_4!$A:$J,MATCH('2019'!$A69,AVA_4!$A:$A,0),MATCH('2019'!$A$1,AVA_4!$3:$3,0))/(B69/1000)</f>
        <v>0.64602161374991596</v>
      </c>
      <c r="I69" s="89">
        <f>INDEX(AVA_5!$A:$J,MATCH('2019'!$A69,AVA_5!$A:$A,0),MATCH('2019'!$A$1,AVA_5!$3:$3,0))/(B69/1000)</f>
        <v>4.5632068754409953</v>
      </c>
      <c r="J69" s="93">
        <f>INDEX(IRA_1!$A:$J,MATCH('2019'!$A69,IRA_1!$A:$A,0),MATCH('2019'!$A$1,IRA_1!$3:$3,0))/(B69/1000)</f>
        <v>4.3068107583327735E-2</v>
      </c>
      <c r="K69" s="88">
        <f>INDEX(IRA_2!$A:$J,MATCH('2019'!$A69,IRA_2!$A:$A,0),MATCH('2019'!$A$1,IRA_2!$3:$3,0))/(B69/1000)</f>
        <v>0.10545648772740061</v>
      </c>
      <c r="L69" s="15">
        <f>INDEX(IRA_3!$A:$J,MATCH('2019'!$A69,IRA_3!$A:$A,0),MATCH('2019'!$A$1,IRA_3!$3:$3,0))</f>
        <v>0.40246422893481715</v>
      </c>
      <c r="M69" s="96">
        <f>INDEX(IRA_4!$A:$J,MATCH('2019'!$A69,IRA_4!$A:$A,0),MATCH('2019'!$A$1,IRA_4!$3:$3,0))/(B69/1000)</f>
        <v>3.4293483795322643</v>
      </c>
      <c r="N69" s="61">
        <f>INDEX(INV_1!$A:$J,MATCH('2019'!$A69,INV_1!$A:$A,0),MATCH('2019'!$A$1,INV_1!$3:$3,0))</f>
        <v>7.2777686499307298E-2</v>
      </c>
      <c r="O69" s="80">
        <f>INDEX(INV_2!$A:$J,MATCH('2019'!$A69,INV_2!$A:$A,0),MATCH('2019'!$A$1,INV_2!$3:$3,0))/B69*10^6/C69</f>
        <v>0.42508894420513182</v>
      </c>
      <c r="P69" s="87">
        <f>INDEX(INV_3!$A:$J,MATCH('2019'!$A69,INV_3!$A:$A,0),MATCH('2019'!$A$1,INV_3!$3:$3,0))/B69*10^6/C69</f>
        <v>3.9578369204216126</v>
      </c>
      <c r="Q69" s="87">
        <f>INDEX(INV_4!$A:$J,MATCH('2019'!$A69,INV_4!$A:$A,0),MATCH('2019'!$A$1,INV_4!$3:$3,0))/B69*10^3/C69</f>
        <v>0.33337228966974347</v>
      </c>
      <c r="R69" s="34">
        <f>INDEX(INV_5!$A:$J,MATCH('2019'!$A69,INV_5!$A:$A,0),MATCH('2019'!$A$1,INV_5!$3:$3,0))</f>
        <v>7.4999999999999997E-2</v>
      </c>
      <c r="S69" s="77">
        <f>INDEX(LUJ_1!$A:$J,MATCH('2019'!$A69,LUJ_1!$A:$A,0),MATCH('2019'!$A$1,LUJ_1!$3:$3,0))</f>
        <v>0.72609078889378575</v>
      </c>
      <c r="T69" s="73">
        <f>INDEX(LUJ_2!$A:$J,MATCH('2019'!$A69,LUJ_2!$A:$A,0),MATCH('2019'!$A$1,LUJ_2!$3:$3,0))</f>
        <v>0.21600000000000003</v>
      </c>
      <c r="U69" s="73">
        <f>INDEX(LUJ_3!$A:$J,MATCH('2019'!$A69,LUJ_3!$A:$A,0),MATCH('2019'!$A$1,LUJ_3!$3:$3,0))</f>
        <v>0.45247453838017487</v>
      </c>
      <c r="V69" s="14">
        <f>INDEX(LUJ_4!$A:$J,MATCH('2019'!$A69,LUJ_4!$A:$A,0),MATCH('2019'!$A$1,LUJ_4!$3:$3,0))</f>
        <v>46</v>
      </c>
      <c r="W69" s="34">
        <f>INDEX(LUJ_5!$A:$J,MATCH('2019'!$A69,LUJ_5!$A:$A,0),MATCH('2019'!$A$1,LUJ_5!$3:$3,0))</f>
        <v>47.9</v>
      </c>
      <c r="X69" s="98">
        <f>1/INDEX(GUL_1!$A:$J,MATCH('2019'!$A69,GUL_1!$A:$A,0),MATCH('2019'!$A$1,GUL_1!$3:$3,0))</f>
        <v>1.368550704803613E-2</v>
      </c>
      <c r="Y69" s="57">
        <f>INDEX(GUL_2!$A:$J,MATCH('2019'!$A69,GUL_2!$A:$A,0),MATCH('2019'!$A$1,GUL_2!$3:$3,0))</f>
        <v>25.1</v>
      </c>
      <c r="Z69" s="57">
        <f>INDEX(GUL_3!$A:$J,MATCH('2019'!$A69,GUL_3!$A:$A,0),MATCH('2019'!$A$1,GUL_3!$3:$3,0))/(B69/1000)</f>
        <v>0.90201522517978927</v>
      </c>
      <c r="AA69" s="101">
        <f>INDEX(GUL_4!$A:$J,MATCH('2019'!$A69,GUL_4!$A:$A,0),MATCH('2019'!$A$1,GUL_4!$3:$3,0))/B69/C69*10^6</f>
        <v>0.27648550091463475</v>
      </c>
      <c r="AB69" s="73">
        <f>INDEX(GUL_5!$A:$J,MATCH('2019'!$A69,GUL_5!$A:$A,0),MATCH('2019'!$A$1,GUL_5!$3:$3,0))</f>
        <v>3.0455571160947759E-2</v>
      </c>
      <c r="AC69" s="49" t="e">
        <f>INDEX(GUL_6!$A:$J,MATCH('2019'!$A69,GUL_6!$A:$A,0),MATCH('2019'!$A$1,GUL_6!$3:$3,0))</f>
        <v>#N/A</v>
      </c>
      <c r="AD69" s="49" t="e">
        <f>INDEX(GUL_7!$A:$J,MATCH('2019'!$A69,GUL_7!$A:$A,0),MATCH('2019'!$A$1,GUL_7!$3:$3,0))</f>
        <v>#N/A</v>
      </c>
      <c r="AE69" s="103">
        <f>INDEX(GUL_8!$A:$J,MATCH('2019'!$A69,GUL_8!$A:$A,0),MATCH('2019'!$A$1,GUL_8!$3:$3,0))/(B69/1000)</f>
        <v>2.0805518513852435</v>
      </c>
      <c r="AF69" s="41">
        <f>INDEX(DES_1!$A:$J,MATCH('2019'!$A69,DES_1!$A:$A,0),MATCH('2019'!$A$1,DES_1!$3:$3,0))/(B69/1000)</f>
        <v>0.12034919782630835</v>
      </c>
      <c r="AG69" s="100">
        <f>INDEX(DES_2!$A:$J,MATCH('2019'!$A69,DES_2!$A:$A,0),MATCH('2019'!$A$1,DES_2!$3:$3,0))/(B69/1000)</f>
        <v>0.358230053730483</v>
      </c>
      <c r="AH69" s="57">
        <f>1/INDEX(DES_3!$A:$J,MATCH('2019'!$A69,DES_3!$A:$A,0),MATCH('2019'!$A$1,DES_3!$3:$3,0))</f>
        <v>8.0321285140562242E-3</v>
      </c>
      <c r="AI69" s="80">
        <f>INDEX(DES_4!$A:$J,MATCH('2019'!$A69,DES_4!$A:$A,0),MATCH('2019'!$A$1,DES_4!$3:$3,0))</f>
        <v>0.99335130459400001</v>
      </c>
      <c r="AJ69" s="110">
        <f>INDEX(DES_5!$A:$J,MATCH('2019'!$A69,DES_5!$A:$A,0),MATCH('2019'!$A$1,DES_5!$3:$3,0))</f>
        <v>0.59116927419900001</v>
      </c>
      <c r="AK69" s="57">
        <v>41</v>
      </c>
    </row>
    <row r="70" spans="1:37" x14ac:dyDescent="0.3">
      <c r="A70" s="29" t="s">
        <v>69</v>
      </c>
      <c r="B70" s="33">
        <f>INDEX(Population!$A:$J,MATCH('2019'!$A70,Population!$A:$A,0),MATCH('2019'!$A$1,Population!$3:$3,0))</f>
        <v>1009884</v>
      </c>
      <c r="C70" s="14">
        <f>INDEX(Income!$A:$J,MATCH('2019'!$A70,Income!$A:$A,0),MATCH('2019'!$A$1,Income!$3:$3,0))</f>
        <v>29098</v>
      </c>
      <c r="D70" s="34">
        <f>INDEX(Livable_wage!$A:$J,MATCH('2019'!$A70,Livable_wage!$A:$A,0),MATCH('2019'!$A$1,Livable_wage!$3:$3,0))</f>
        <v>12259</v>
      </c>
      <c r="E70" s="41">
        <f>INDEX(AVA_1!$A:$J,MATCH('2019'!$A70,AVA_1!$A:$A,0),MATCH('2019'!$A$1,AVA_1!$3:$3,0))</f>
        <v>0.35799999999999998</v>
      </c>
      <c r="F70" s="15">
        <f>INDEX(AVA_2!$A:$J,MATCH('2019'!$A70,AVA_2!$A:$A,0),MATCH('2019'!$A$1,AVA_2!$3:$3,0))</f>
        <v>1.2613471167824261E-2</v>
      </c>
      <c r="G70" s="15">
        <f>INDEX(AVA_3!$A:$J,MATCH('2019'!$A70,AVA_3!$A:$A,0),MATCH('2019'!$A$1,AVA_3!$3:$3,0))</f>
        <v>0.29994544359018327</v>
      </c>
      <c r="H70" s="87">
        <f>INDEX(AVA_4!$A:$J,MATCH('2019'!$A70,AVA_4!$A:$A,0),MATCH('2019'!$A$1,AVA_4!$3:$3,0))/(B70/1000)</f>
        <v>0.54956806920398782</v>
      </c>
      <c r="I70" s="89">
        <f>INDEX(AVA_5!$A:$J,MATCH('2019'!$A70,AVA_5!$A:$A,0),MATCH('2019'!$A$1,AVA_5!$3:$3,0))/(B70/1000)</f>
        <v>6.6096700215074202</v>
      </c>
      <c r="J70" s="93">
        <f>INDEX(IRA_1!$A:$J,MATCH('2019'!$A70,IRA_1!$A:$A,0),MATCH('2019'!$A$1,IRA_1!$3:$3,0))/(B70/1000)</f>
        <v>4.5549785916006197E-2</v>
      </c>
      <c r="K70" s="88">
        <f>INDEX(IRA_2!$A:$J,MATCH('2019'!$A70,IRA_2!$A:$A,0),MATCH('2019'!$A$1,IRA_2!$3:$3,0))/(B70/1000)</f>
        <v>0.12773744311227825</v>
      </c>
      <c r="L70" s="15">
        <f>INDEX(IRA_3!$A:$J,MATCH('2019'!$A70,IRA_3!$A:$A,0),MATCH('2019'!$A$1,IRA_3!$3:$3,0))</f>
        <v>0.40990606319385137</v>
      </c>
      <c r="M70" s="96">
        <f>INDEX(IRA_4!$A:$J,MATCH('2019'!$A70,IRA_4!$A:$A,0),MATCH('2019'!$A$1,IRA_4!$3:$3,0))/(B70/1000)</f>
        <v>5.5016219684637049</v>
      </c>
      <c r="N70" s="61">
        <f>INDEX(INV_1!$A:$J,MATCH('2019'!$A70,INV_1!$A:$A,0),MATCH('2019'!$A$1,INV_1!$3:$3,0))</f>
        <v>7.7074448039331736E-2</v>
      </c>
      <c r="O70" s="80">
        <f>INDEX(INV_2!$A:$J,MATCH('2019'!$A70,INV_2!$A:$A,0),MATCH('2019'!$A$1,INV_2!$3:$3,0))/B70*10^6/C70</f>
        <v>0.34003386655243145</v>
      </c>
      <c r="P70" s="87">
        <f>INDEX(INV_3!$A:$J,MATCH('2019'!$A70,INV_3!$A:$A,0),MATCH('2019'!$A$1,INV_3!$3:$3,0))/B70*10^6/C70</f>
        <v>4.0472197693182386</v>
      </c>
      <c r="Q70" s="87">
        <f>INDEX(INV_4!$A:$J,MATCH('2019'!$A70,INV_4!$A:$A,0),MATCH('2019'!$A$1,INV_4!$3:$3,0))/B70*10^3/C70</f>
        <v>0.29629206916228135</v>
      </c>
      <c r="R70" s="34">
        <f>INDEX(INV_5!$A:$J,MATCH('2019'!$A70,INV_5!$A:$A,0),MATCH('2019'!$A$1,INV_5!$3:$3,0))</f>
        <v>0.29780000000000001</v>
      </c>
      <c r="S70" s="77">
        <f>INDEX(LUJ_1!$A:$J,MATCH('2019'!$A70,LUJ_1!$A:$A,0),MATCH('2019'!$A$1,LUJ_1!$3:$3,0))</f>
        <v>0.74060099717019268</v>
      </c>
      <c r="T70" s="73">
        <f>INDEX(LUJ_2!$A:$J,MATCH('2019'!$A70,LUJ_2!$A:$A,0),MATCH('2019'!$A$1,LUJ_2!$3:$3,0))</f>
        <v>0.192</v>
      </c>
      <c r="U70" s="73">
        <f>INDEX(LUJ_3!$A:$J,MATCH('2019'!$A70,LUJ_3!$A:$A,0),MATCH('2019'!$A$1,LUJ_3!$3:$3,0))</f>
        <v>0.56569460884536749</v>
      </c>
      <c r="V70" s="14">
        <f>INDEX(LUJ_4!$A:$J,MATCH('2019'!$A70,LUJ_4!$A:$A,0),MATCH('2019'!$A$1,LUJ_4!$3:$3,0))</f>
        <v>8</v>
      </c>
      <c r="W70" s="34">
        <f>INDEX(LUJ_5!$A:$J,MATCH('2019'!$A70,LUJ_5!$A:$A,0),MATCH('2019'!$A$1,LUJ_5!$3:$3,0))</f>
        <v>40.4</v>
      </c>
      <c r="X70" s="98">
        <f>1/INDEX(GUL_1!$A:$J,MATCH('2019'!$A70,GUL_1!$A:$A,0),MATCH('2019'!$A$1,GUL_1!$3:$3,0))</f>
        <v>1.3594344752582924E-2</v>
      </c>
      <c r="Y70" s="57">
        <f>INDEX(GUL_2!$A:$J,MATCH('2019'!$A70,GUL_2!$A:$A,0),MATCH('2019'!$A$1,GUL_2!$3:$3,0))</f>
        <v>24.3</v>
      </c>
      <c r="Z70" s="57">
        <f>INDEX(GUL_3!$A:$J,MATCH('2019'!$A70,GUL_3!$A:$A,0),MATCH('2019'!$A$1,GUL_3!$3:$3,0))/(B70/1000)</f>
        <v>0.60204934428112533</v>
      </c>
      <c r="AA70" s="101">
        <f>INDEX(GUL_4!$A:$J,MATCH('2019'!$A70,GUL_4!$A:$A,0),MATCH('2019'!$A$1,GUL_4!$3:$3,0))/B70/C70*10^6</f>
        <v>0.48622412841016815</v>
      </c>
      <c r="AB70" s="73">
        <f>INDEX(GUL_5!$A:$J,MATCH('2019'!$A70,GUL_5!$A:$A,0),MATCH('2019'!$A$1,GUL_5!$3:$3,0))</f>
        <v>4.2398178799623064E-2</v>
      </c>
      <c r="AC70" s="49" t="e">
        <f>INDEX(GUL_6!$A:$J,MATCH('2019'!$A70,GUL_6!$A:$A,0),MATCH('2019'!$A$1,GUL_6!$3:$3,0))</f>
        <v>#N/A</v>
      </c>
      <c r="AD70" s="49" t="e">
        <f>INDEX(GUL_7!$A:$J,MATCH('2019'!$A70,GUL_7!$A:$A,0),MATCH('2019'!$A$1,GUL_7!$3:$3,0))</f>
        <v>#N/A</v>
      </c>
      <c r="AE70" s="103">
        <f>INDEX(GUL_8!$A:$J,MATCH('2019'!$A70,GUL_8!$A:$A,0),MATCH('2019'!$A$1,GUL_8!$3:$3,0))/(B70/1000)</f>
        <v>1.8744727117173854</v>
      </c>
      <c r="AF70" s="41">
        <f>INDEX(DES_1!$A:$J,MATCH('2019'!$A70,DES_1!$A:$A,0),MATCH('2019'!$A$1,DES_1!$3:$3,0))/(B70/1000)</f>
        <v>0.15150254880758582</v>
      </c>
      <c r="AG70" s="100">
        <f>INDEX(DES_2!$A:$J,MATCH('2019'!$A70,DES_2!$A:$A,0),MATCH('2019'!$A$1,DES_2!$3:$3,0))/(B70/1000)</f>
        <v>0.34063318163274198</v>
      </c>
      <c r="AH70" s="57">
        <f>1/INDEX(DES_3!$A:$J,MATCH('2019'!$A70,DES_3!$A:$A,0),MATCH('2019'!$A$1,DES_3!$3:$3,0))</f>
        <v>8.3402835696413675E-3</v>
      </c>
      <c r="AI70" s="80">
        <f>INDEX(DES_4!$A:$J,MATCH('2019'!$A70,DES_4!$A:$A,0),MATCH('2019'!$A$1,DES_4!$3:$3,0))</f>
        <v>0.80360347414800004</v>
      </c>
      <c r="AJ70" s="110">
        <f>INDEX(DES_5!$A:$J,MATCH('2019'!$A70,DES_5!$A:$A,0),MATCH('2019'!$A$1,DES_5!$3:$3,0))</f>
        <v>0.64400516113799999</v>
      </c>
      <c r="AK70" s="57">
        <v>47</v>
      </c>
    </row>
    <row r="71" spans="1:37" x14ac:dyDescent="0.3">
      <c r="A71" s="29" t="s">
        <v>70</v>
      </c>
      <c r="B71" s="33">
        <f>INDEX(Population!$A:$J,MATCH('2019'!$A71,Population!$A:$A,0),MATCH('2019'!$A$1,Population!$3:$3,0))</f>
        <v>733340</v>
      </c>
      <c r="C71" s="14">
        <f>INDEX(Income!$A:$J,MATCH('2019'!$A71,Income!$A:$A,0),MATCH('2019'!$A$1,Income!$3:$3,0))</f>
        <v>26184</v>
      </c>
      <c r="D71" s="34">
        <f>INDEX(Livable_wage!$A:$J,MATCH('2019'!$A71,Livable_wage!$A:$A,0),MATCH('2019'!$A$1,Livable_wage!$3:$3,0))</f>
        <v>10527</v>
      </c>
      <c r="E71" s="41">
        <f>INDEX(AVA_1!$A:$J,MATCH('2019'!$A71,AVA_1!$A:$A,0),MATCH('2019'!$A$1,AVA_1!$3:$3,0))</f>
        <v>0.36399999999999999</v>
      </c>
      <c r="F71" s="15">
        <f>INDEX(AVA_2!$A:$J,MATCH('2019'!$A71,AVA_2!$A:$A,0),MATCH('2019'!$A$1,AVA_2!$3:$3,0))</f>
        <v>1.155812907299719E-2</v>
      </c>
      <c r="G71" s="15">
        <f>INDEX(AVA_3!$A:$J,MATCH('2019'!$A71,AVA_3!$A:$A,0),MATCH('2019'!$A$1,AVA_3!$3:$3,0))</f>
        <v>4.3643726043639891E-2</v>
      </c>
      <c r="H71" s="87">
        <f>INDEX(AVA_4!$A:$J,MATCH('2019'!$A71,AVA_4!$A:$A,0),MATCH('2019'!$A$1,AVA_4!$3:$3,0))/(B71/1000)</f>
        <v>0.66408487195570942</v>
      </c>
      <c r="I71" s="89">
        <f>INDEX(AVA_5!$A:$J,MATCH('2019'!$A71,AVA_5!$A:$A,0),MATCH('2019'!$A$1,AVA_5!$3:$3,0))/(B71/1000)</f>
        <v>4.2967791201898162</v>
      </c>
      <c r="J71" s="93">
        <f>INDEX(IRA_1!$A:$J,MATCH('2019'!$A71,IRA_1!$A:$A,0),MATCH('2019'!$A$1,IRA_1!$3:$3,0))/(B71/1000)</f>
        <v>6.818119835274225E-2</v>
      </c>
      <c r="K71" s="88">
        <f>INDEX(IRA_2!$A:$J,MATCH('2019'!$A71,IRA_2!$A:$A,0),MATCH('2019'!$A$1,IRA_2!$3:$3,0))/(B71/1000)</f>
        <v>8.8635557858564917E-2</v>
      </c>
      <c r="L71" s="15">
        <f>INDEX(IRA_3!$A:$J,MATCH('2019'!$A71,IRA_3!$A:$A,0),MATCH('2019'!$A$1,IRA_3!$3:$3,0))</f>
        <v>0.40806184428492542</v>
      </c>
      <c r="M71" s="96">
        <f>INDEX(IRA_4!$A:$J,MATCH('2019'!$A71,IRA_4!$A:$A,0),MATCH('2019'!$A$1,IRA_4!$3:$3,0))/(B71/1000)</f>
        <v>4.3008699920909805</v>
      </c>
      <c r="N71" s="61">
        <f>INDEX(INV_1!$A:$J,MATCH('2019'!$A71,INV_1!$A:$A,0),MATCH('2019'!$A$1,INV_1!$3:$3,0))</f>
        <v>9.0614901496260739E-2</v>
      </c>
      <c r="O71" s="80">
        <f>INDEX(INV_2!$A:$J,MATCH('2019'!$A71,INV_2!$A:$A,0),MATCH('2019'!$A$1,INV_2!$3:$3,0))/B71*10^6/C71</f>
        <v>0.51833788059013641</v>
      </c>
      <c r="P71" s="87">
        <f>INDEX(INV_3!$A:$J,MATCH('2019'!$A71,INV_3!$A:$A,0),MATCH('2019'!$A$1,INV_3!$3:$3,0))/B71*10^6/C71</f>
        <v>3.7383003209261716</v>
      </c>
      <c r="Q71" s="87">
        <f>INDEX(INV_4!$A:$J,MATCH('2019'!$A71,INV_4!$A:$A,0),MATCH('2019'!$A$1,INV_4!$3:$3,0))/B71*10^3/C71</f>
        <v>0.2948599923568731</v>
      </c>
      <c r="R71" s="34">
        <f>INDEX(INV_5!$A:$J,MATCH('2019'!$A71,INV_5!$A:$A,0),MATCH('2019'!$A$1,INV_5!$3:$3,0))</f>
        <v>5.0500000000000003E-2</v>
      </c>
      <c r="S71" s="77">
        <f>INDEX(LUJ_1!$A:$J,MATCH('2019'!$A71,LUJ_1!$A:$A,0),MATCH('2019'!$A$1,LUJ_1!$3:$3,0))</f>
        <v>0.69856358259400086</v>
      </c>
      <c r="T71" s="73">
        <f>INDEX(LUJ_2!$A:$J,MATCH('2019'!$A71,LUJ_2!$A:$A,0),MATCH('2019'!$A$1,LUJ_2!$3:$3,0))</f>
        <v>0.19</v>
      </c>
      <c r="U71" s="73">
        <f>INDEX(LUJ_3!$A:$J,MATCH('2019'!$A71,LUJ_3!$A:$A,0),MATCH('2019'!$A$1,LUJ_3!$3:$3,0))</f>
        <v>0.57555891746512022</v>
      </c>
      <c r="V71" s="14">
        <f>INDEX(LUJ_4!$A:$J,MATCH('2019'!$A71,LUJ_4!$A:$A,0),MATCH('2019'!$A$1,LUJ_4!$3:$3,0))</f>
        <v>6</v>
      </c>
      <c r="W71" s="34">
        <f>INDEX(LUJ_5!$A:$J,MATCH('2019'!$A71,LUJ_5!$A:$A,0),MATCH('2019'!$A$1,LUJ_5!$3:$3,0))</f>
        <v>36.5</v>
      </c>
      <c r="X71" s="98">
        <f>1/INDEX(GUL_1!$A:$J,MATCH('2019'!$A71,GUL_1!$A:$A,0),MATCH('2019'!$A$1,GUL_1!$3:$3,0))</f>
        <v>1.3781697905181918E-2</v>
      </c>
      <c r="Y71" s="57">
        <f>INDEX(GUL_2!$A:$J,MATCH('2019'!$A71,GUL_2!$A:$A,0),MATCH('2019'!$A$1,GUL_2!$3:$3,0))</f>
        <v>25.7</v>
      </c>
      <c r="Z71" s="57">
        <f>INDEX(GUL_3!$A:$J,MATCH('2019'!$A71,GUL_3!$A:$A,0),MATCH('2019'!$A$1,GUL_3!$3:$3,0))/(B71/1000)</f>
        <v>0.96817301660893984</v>
      </c>
      <c r="AA71" s="101">
        <f>INDEX(GUL_4!$A:$J,MATCH('2019'!$A71,GUL_4!$A:$A,0),MATCH('2019'!$A$1,GUL_4!$3:$3,0))/B71/C71*10^6</f>
        <v>0.22649989908016085</v>
      </c>
      <c r="AB71" s="73">
        <f>INDEX(GUL_5!$A:$J,MATCH('2019'!$A71,GUL_5!$A:$A,0),MATCH('2019'!$A$1,GUL_5!$3:$3,0))</f>
        <v>2.7207390676369462E-2</v>
      </c>
      <c r="AC71" s="49" t="e">
        <f>INDEX(GUL_6!$A:$J,MATCH('2019'!$A71,GUL_6!$A:$A,0),MATCH('2019'!$A$1,GUL_6!$3:$3,0))</f>
        <v>#N/A</v>
      </c>
      <c r="AD71" s="49" t="e">
        <f>INDEX(GUL_7!$A:$J,MATCH('2019'!$A71,GUL_7!$A:$A,0),MATCH('2019'!$A$1,GUL_7!$3:$3,0))</f>
        <v>#N/A</v>
      </c>
      <c r="AE71" s="103">
        <f>INDEX(GUL_8!$A:$J,MATCH('2019'!$A71,GUL_8!$A:$A,0),MATCH('2019'!$A$1,GUL_8!$3:$3,0))/(B71/1000)</f>
        <v>1.573622057981291</v>
      </c>
      <c r="AF71" s="41">
        <f>INDEX(DES_1!$A:$J,MATCH('2019'!$A71,DES_1!$A:$A,0),MATCH('2019'!$A$1,DES_1!$3:$3,0))/(B71/1000)</f>
        <v>0.10363542149616821</v>
      </c>
      <c r="AG71" s="100">
        <f>INDEX(DES_2!$A:$J,MATCH('2019'!$A71,DES_2!$A:$A,0),MATCH('2019'!$A$1,DES_2!$3:$3,0))/(B71/1000)</f>
        <v>0.3940873264788502</v>
      </c>
      <c r="AH71" s="57">
        <f>1/INDEX(DES_3!$A:$J,MATCH('2019'!$A71,DES_3!$A:$A,0),MATCH('2019'!$A$1,DES_3!$3:$3,0))</f>
        <v>7.8678206136900079E-3</v>
      </c>
      <c r="AI71" s="80">
        <f>INDEX(DES_4!$A:$J,MATCH('2019'!$A71,DES_4!$A:$A,0),MATCH('2019'!$A$1,DES_4!$3:$3,0))</f>
        <v>0.79519025228399998</v>
      </c>
      <c r="AJ71" s="110">
        <f>INDEX(DES_5!$A:$J,MATCH('2019'!$A71,DES_5!$A:$A,0),MATCH('2019'!$A$1,DES_5!$3:$3,0))</f>
        <v>0.40602320695300004</v>
      </c>
      <c r="AK71" s="57">
        <v>51</v>
      </c>
    </row>
    <row r="72" spans="1:37" x14ac:dyDescent="0.3">
      <c r="A72" s="29" t="s">
        <v>71</v>
      </c>
      <c r="B72" s="33">
        <f>INDEX(Population!$A:$J,MATCH('2019'!$A72,Population!$A:$A,0),MATCH('2019'!$A$1,Population!$3:$3,0))</f>
        <v>555068</v>
      </c>
      <c r="C72" s="14">
        <f>INDEX(Income!$A:$J,MATCH('2019'!$A72,Income!$A:$A,0),MATCH('2019'!$A$1,Income!$3:$3,0))</f>
        <v>30854</v>
      </c>
      <c r="D72" s="34">
        <f>INDEX(Livable_wage!$A:$J,MATCH('2019'!$A72,Livable_wage!$A:$A,0),MATCH('2019'!$A$1,Livable_wage!$3:$3,0))</f>
        <v>14495</v>
      </c>
      <c r="E72" s="41">
        <f>INDEX(AVA_1!$A:$J,MATCH('2019'!$A72,AVA_1!$A:$A,0),MATCH('2019'!$A$1,AVA_1!$3:$3,0))</f>
        <v>0.34100000000000003</v>
      </c>
      <c r="F72" s="15">
        <f>INDEX(AVA_2!$A:$J,MATCH('2019'!$A72,AVA_2!$A:$A,0),MATCH('2019'!$A$1,AVA_2!$3:$3,0))</f>
        <v>1.1149412016955023E-2</v>
      </c>
      <c r="G72" s="15">
        <f>INDEX(AVA_3!$A:$J,MATCH('2019'!$A72,AVA_3!$A:$A,0),MATCH('2019'!$A$1,AVA_3!$3:$3,0))</f>
        <v>3.4228946291356087E-3</v>
      </c>
      <c r="H72" s="87">
        <f>INDEX(AVA_4!$A:$J,MATCH('2019'!$A72,AVA_4!$A:$A,0),MATCH('2019'!$A$1,AVA_4!$3:$3,0))/(B72/1000)</f>
        <v>0.72964033235567538</v>
      </c>
      <c r="I72" s="89">
        <f>INDEX(AVA_5!$A:$J,MATCH('2019'!$A72,AVA_5!$A:$A,0),MATCH('2019'!$A$1,AVA_5!$3:$3,0))/(B72/1000)</f>
        <v>9.4024515915167157</v>
      </c>
      <c r="J72" s="93">
        <f>INDEX(IRA_1!$A:$J,MATCH('2019'!$A72,IRA_1!$A:$A,0),MATCH('2019'!$A$1,IRA_1!$3:$3,0))/(B72/1000)</f>
        <v>7.9269566971974612E-2</v>
      </c>
      <c r="K72" s="88">
        <f>INDEX(IRA_2!$A:$J,MATCH('2019'!$A72,IRA_2!$A:$A,0),MATCH('2019'!$A$1,IRA_2!$3:$3,0))/(B72/1000)</f>
        <v>0.20357866063257116</v>
      </c>
      <c r="L72" s="15">
        <f>INDEX(IRA_3!$A:$J,MATCH('2019'!$A72,IRA_3!$A:$A,0),MATCH('2019'!$A$1,IRA_3!$3:$3,0))</f>
        <v>0.36072874493927121</v>
      </c>
      <c r="M72" s="96">
        <f>INDEX(IRA_4!$A:$J,MATCH('2019'!$A72,IRA_4!$A:$A,0),MATCH('2019'!$A$1,IRA_4!$3:$3,0))/(B72/1000)</f>
        <v>7.0063487716820285</v>
      </c>
      <c r="N72" s="61">
        <f>INDEX(INV_1!$A:$J,MATCH('2019'!$A72,INV_1!$A:$A,0),MATCH('2019'!$A$1,INV_1!$3:$3,0))</f>
        <v>5.3712936380758365E-2</v>
      </c>
      <c r="O72" s="80">
        <f>INDEX(INV_2!$A:$J,MATCH('2019'!$A72,INV_2!$A:$A,0),MATCH('2019'!$A$1,INV_2!$3:$3,0))/B72*10^6/C72</f>
        <v>0.33389269457295895</v>
      </c>
      <c r="P72" s="87">
        <f>INDEX(INV_3!$A:$J,MATCH('2019'!$A72,INV_3!$A:$A,0),MATCH('2019'!$A$1,INV_3!$3:$3,0))/B72*10^6/C72</f>
        <v>4.6994441258577293</v>
      </c>
      <c r="Q72" s="87">
        <f>INDEX(INV_4!$A:$J,MATCH('2019'!$A72,INV_4!$A:$A,0),MATCH('2019'!$A$1,INV_4!$3:$3,0))/B72*10^3/C72</f>
        <v>0.35227399976668733</v>
      </c>
      <c r="R72" s="34">
        <f>INDEX(INV_5!$A:$J,MATCH('2019'!$A72,INV_5!$A:$A,0),MATCH('2019'!$A$1,INV_5!$3:$3,0))</f>
        <v>8.6599999999999996E-2</v>
      </c>
      <c r="S72" s="77">
        <f>INDEX(LUJ_1!$A:$J,MATCH('2019'!$A72,LUJ_1!$A:$A,0),MATCH('2019'!$A$1,LUJ_1!$3:$3,0))</f>
        <v>0.72147395171537487</v>
      </c>
      <c r="T72" s="73">
        <f>INDEX(LUJ_2!$A:$J,MATCH('2019'!$A72,LUJ_2!$A:$A,0),MATCH('2019'!$A$1,LUJ_2!$3:$3,0))</f>
        <v>0.23899999999999999</v>
      </c>
      <c r="U72" s="73">
        <f>INDEX(LUJ_3!$A:$J,MATCH('2019'!$A72,LUJ_3!$A:$A,0),MATCH('2019'!$A$1,LUJ_3!$3:$3,0))</f>
        <v>0.55763977417592425</v>
      </c>
      <c r="V72" s="14">
        <f>INDEX(LUJ_4!$A:$J,MATCH('2019'!$A72,LUJ_4!$A:$A,0),MATCH('2019'!$A$1,LUJ_4!$3:$3,0))</f>
        <v>11</v>
      </c>
      <c r="W72" s="34">
        <f>INDEX(LUJ_5!$A:$J,MATCH('2019'!$A72,LUJ_5!$A:$A,0),MATCH('2019'!$A$1,LUJ_5!$3:$3,0))</f>
        <v>55.5</v>
      </c>
      <c r="X72" s="98">
        <f>1/INDEX(GUL_1!$A:$J,MATCH('2019'!$A72,GUL_1!$A:$A,0),MATCH('2019'!$A$1,GUL_1!$3:$3,0))</f>
        <v>1.399384270920795E-2</v>
      </c>
      <c r="Y72" s="57">
        <f>INDEX(GUL_2!$A:$J,MATCH('2019'!$A72,GUL_2!$A:$A,0),MATCH('2019'!$A$1,GUL_2!$3:$3,0))</f>
        <v>24.8</v>
      </c>
      <c r="Z72" s="57">
        <f>INDEX(GUL_3!$A:$J,MATCH('2019'!$A72,GUL_3!$A:$A,0),MATCH('2019'!$A$1,GUL_3!$3:$3,0))/(B72/1000)</f>
        <v>0.87376681775926557</v>
      </c>
      <c r="AA72" s="101">
        <f>INDEX(GUL_4!$A:$J,MATCH('2019'!$A72,GUL_4!$A:$A,0),MATCH('2019'!$A$1,GUL_4!$3:$3,0))/B72/C72*10^6</f>
        <v>0.32025973369609995</v>
      </c>
      <c r="AB72" s="73">
        <f>INDEX(GUL_5!$A:$J,MATCH('2019'!$A72,GUL_5!$A:$A,0),MATCH('2019'!$A$1,GUL_5!$3:$3,0))</f>
        <v>3.8565534261598353E-2</v>
      </c>
      <c r="AC72" s="49" t="e">
        <f>INDEX(GUL_6!$A:$J,MATCH('2019'!$A72,GUL_6!$A:$A,0),MATCH('2019'!$A$1,GUL_6!$3:$3,0))</f>
        <v>#N/A</v>
      </c>
      <c r="AD72" s="49" t="e">
        <f>INDEX(GUL_7!$A:$J,MATCH('2019'!$A72,GUL_7!$A:$A,0),MATCH('2019'!$A$1,GUL_7!$3:$3,0))</f>
        <v>#N/A</v>
      </c>
      <c r="AE72" s="103">
        <f>INDEX(GUL_8!$A:$J,MATCH('2019'!$A72,GUL_8!$A:$A,0),MATCH('2019'!$A$1,GUL_8!$3:$3,0))/(B72/1000)</f>
        <v>3.7472886204933449</v>
      </c>
      <c r="AF72" s="41">
        <f>INDEX(DES_1!$A:$J,MATCH('2019'!$A72,DES_1!$A:$A,0),MATCH('2019'!$A$1,DES_1!$3:$3,0))/(B72/1000)</f>
        <v>0.16754703928167361</v>
      </c>
      <c r="AG72" s="100">
        <f>INDEX(DES_2!$A:$J,MATCH('2019'!$A72,DES_2!$A:$A,0),MATCH('2019'!$A$1,DES_2!$3:$3,0))/(B72/1000)</f>
        <v>0.39814941592741793</v>
      </c>
      <c r="AH72" s="57">
        <f>1/INDEX(DES_3!$A:$J,MATCH('2019'!$A72,DES_3!$A:$A,0),MATCH('2019'!$A$1,DES_3!$3:$3,0))</f>
        <v>8.23045267489712E-3</v>
      </c>
      <c r="AI72" s="80">
        <f>INDEX(DES_4!$A:$J,MATCH('2019'!$A72,DES_4!$A:$A,0),MATCH('2019'!$A$1,DES_4!$3:$3,0))</f>
        <v>0.58470394996099995</v>
      </c>
      <c r="AJ72" s="110">
        <f>INDEX(DES_5!$A:$J,MATCH('2019'!$A72,DES_5!$A:$A,0),MATCH('2019'!$A$1,DES_5!$3:$3,0))</f>
        <v>0.48631217212899996</v>
      </c>
      <c r="AK72" s="57">
        <v>83</v>
      </c>
    </row>
    <row r="73" spans="1:37" x14ac:dyDescent="0.3">
      <c r="A73" s="29" t="s">
        <v>72</v>
      </c>
      <c r="B73" s="33">
        <f>INDEX(Population!$A:$J,MATCH('2019'!$A73,Population!$A:$A,0),MATCH('2019'!$A$1,Population!$3:$3,0))</f>
        <v>2399358</v>
      </c>
      <c r="C73" s="14">
        <f>INDEX(Income!$A:$J,MATCH('2019'!$A73,Income!$A:$A,0),MATCH('2019'!$A$1,Income!$3:$3,0))</f>
        <v>26355</v>
      </c>
      <c r="D73" s="34">
        <f>INDEX(Livable_wage!$A:$J,MATCH('2019'!$A73,Livable_wage!$A:$A,0),MATCH('2019'!$A$1,Livable_wage!$3:$3,0))</f>
        <v>12098</v>
      </c>
      <c r="E73" s="41">
        <f>INDEX(AVA_1!$A:$J,MATCH('2019'!$A73,AVA_1!$A:$A,0),MATCH('2019'!$A$1,AVA_1!$3:$3,0))</f>
        <v>0.36399999999999999</v>
      </c>
      <c r="F73" s="15">
        <f>INDEX(AVA_2!$A:$J,MATCH('2019'!$A73,AVA_2!$A:$A,0),MATCH('2019'!$A$1,AVA_2!$3:$3,0))</f>
        <v>1.0151188864538052E-2</v>
      </c>
      <c r="G73" s="15">
        <f>INDEX(AVA_3!$A:$J,MATCH('2019'!$A73,AVA_3!$A:$A,0),MATCH('2019'!$A$1,AVA_3!$3:$3,0))</f>
        <v>1.8955751181249172E-2</v>
      </c>
      <c r="H73" s="87">
        <f>INDEX(AVA_4!$A:$J,MATCH('2019'!$A73,AVA_4!$A:$A,0),MATCH('2019'!$A$1,AVA_4!$3:$3,0))/(B73/1000)</f>
        <v>0.67809805789715416</v>
      </c>
      <c r="I73" s="89">
        <f>INDEX(AVA_5!$A:$J,MATCH('2019'!$A73,AVA_5!$A:$A,0),MATCH('2019'!$A$1,AVA_5!$3:$3,0))/(B73/1000)</f>
        <v>8.2934685028245045</v>
      </c>
      <c r="J73" s="93">
        <f>INDEX(IRA_1!$A:$J,MATCH('2019'!$A73,IRA_1!$A:$A,0),MATCH('2019'!$A$1,IRA_1!$3:$3,0))/(B73/1000)</f>
        <v>0.10419453870577046</v>
      </c>
      <c r="K73" s="88">
        <f>INDEX(IRA_2!$A:$J,MATCH('2019'!$A73,IRA_2!$A:$A,0),MATCH('2019'!$A$1,IRA_2!$3:$3,0))/(B73/1000)</f>
        <v>0.33175541123917313</v>
      </c>
      <c r="L73" s="15">
        <f>INDEX(IRA_3!$A:$J,MATCH('2019'!$A73,IRA_3!$A:$A,0),MATCH('2019'!$A$1,IRA_3!$3:$3,0))</f>
        <v>0.38074045092189568</v>
      </c>
      <c r="M73" s="96">
        <f>INDEX(IRA_4!$A:$J,MATCH('2019'!$A73,IRA_4!$A:$A,0),MATCH('2019'!$A$1,IRA_4!$3:$3,0))/(B73/1000)</f>
        <v>7.089396413540622</v>
      </c>
      <c r="N73" s="61">
        <f>INDEX(INV_1!$A:$J,MATCH('2019'!$A73,INV_1!$A:$A,0),MATCH('2019'!$A$1,INV_1!$3:$3,0))</f>
        <v>8.6279257195900558E-2</v>
      </c>
      <c r="O73" s="80">
        <f>INDEX(INV_2!$A:$J,MATCH('2019'!$A73,INV_2!$A:$A,0),MATCH('2019'!$A$1,INV_2!$3:$3,0))/B73*10^6/C73</f>
        <v>0.30909741828714743</v>
      </c>
      <c r="P73" s="87">
        <f>INDEX(INV_3!$A:$J,MATCH('2019'!$A73,INV_3!$A:$A,0),MATCH('2019'!$A$1,INV_3!$3:$3,0))/B73*10^6/C73</f>
        <v>4.904271482832244</v>
      </c>
      <c r="Q73" s="87">
        <f>INDEX(INV_4!$A:$J,MATCH('2019'!$A73,INV_4!$A:$A,0),MATCH('2019'!$A$1,INV_4!$3:$3,0))/B73*10^3/C73</f>
        <v>0.29734718724541431</v>
      </c>
      <c r="R73" s="34">
        <f>INDEX(INV_5!$A:$J,MATCH('2019'!$A73,INV_5!$A:$A,0),MATCH('2019'!$A$1,INV_5!$3:$3,0))</f>
        <v>0.12540000000000001</v>
      </c>
      <c r="S73" s="77">
        <f>INDEX(LUJ_1!$A:$J,MATCH('2019'!$A73,LUJ_1!$A:$A,0),MATCH('2019'!$A$1,LUJ_1!$3:$3,0))</f>
        <v>0.66069354571096728</v>
      </c>
      <c r="T73" s="73">
        <f>INDEX(LUJ_2!$A:$J,MATCH('2019'!$A73,LUJ_2!$A:$A,0),MATCH('2019'!$A$1,LUJ_2!$3:$3,0))</f>
        <v>0.29499999999999998</v>
      </c>
      <c r="U73" s="73">
        <f>INDEX(LUJ_3!$A:$J,MATCH('2019'!$A73,LUJ_3!$A:$A,0),MATCH('2019'!$A$1,LUJ_3!$3:$3,0))</f>
        <v>0.60602307311203907</v>
      </c>
      <c r="V73" s="14">
        <f>INDEX(LUJ_4!$A:$J,MATCH('2019'!$A73,LUJ_4!$A:$A,0),MATCH('2019'!$A$1,LUJ_4!$3:$3,0))</f>
        <v>110</v>
      </c>
      <c r="W73" s="34">
        <f>INDEX(LUJ_5!$A:$J,MATCH('2019'!$A73,LUJ_5!$A:$A,0),MATCH('2019'!$A$1,LUJ_5!$3:$3,0))</f>
        <v>130.1</v>
      </c>
      <c r="X73" s="98">
        <f>1/INDEX(GUL_1!$A:$J,MATCH('2019'!$A73,GUL_1!$A:$A,0),MATCH('2019'!$A$1,GUL_1!$3:$3,0))</f>
        <v>1.4378145219266714E-2</v>
      </c>
      <c r="Y73" s="57">
        <f>INDEX(GUL_2!$A:$J,MATCH('2019'!$A73,GUL_2!$A:$A,0),MATCH('2019'!$A$1,GUL_2!$3:$3,0))</f>
        <v>24.4</v>
      </c>
      <c r="Z73" s="57">
        <f>INDEX(GUL_3!$A:$J,MATCH('2019'!$A73,GUL_3!$A:$A,0),MATCH('2019'!$A$1,GUL_3!$3:$3,0))/(B73/1000)</f>
        <v>0.58015519151372985</v>
      </c>
      <c r="AA73" s="101">
        <f>INDEX(GUL_4!$A:$J,MATCH('2019'!$A73,GUL_4!$A:$A,0),MATCH('2019'!$A$1,GUL_4!$3:$3,0))/B73/C73*10^6</f>
        <v>0.27300020772378214</v>
      </c>
      <c r="AB73" s="73">
        <f>INDEX(GUL_5!$A:$J,MATCH('2019'!$A73,GUL_5!$A:$A,0),MATCH('2019'!$A$1,GUL_5!$3:$3,0))</f>
        <v>2.9812384758071565E-2</v>
      </c>
      <c r="AC73" s="49" t="e">
        <f>INDEX(GUL_6!$A:$J,MATCH('2019'!$A73,GUL_6!$A:$A,0),MATCH('2019'!$A$1,GUL_6!$3:$3,0))</f>
        <v>#N/A</v>
      </c>
      <c r="AD73" s="49" t="e">
        <f>INDEX(GUL_7!$A:$J,MATCH('2019'!$A73,GUL_7!$A:$A,0),MATCH('2019'!$A$1,GUL_7!$3:$3,0))</f>
        <v>#N/A</v>
      </c>
      <c r="AE73" s="103">
        <f>INDEX(GUL_8!$A:$J,MATCH('2019'!$A73,GUL_8!$A:$A,0),MATCH('2019'!$A$1,GUL_8!$3:$3,0))/(B73/1000)</f>
        <v>3.68390211048122</v>
      </c>
      <c r="AF73" s="41">
        <f>INDEX(DES_1!$A:$J,MATCH('2019'!$A73,DES_1!$A:$A,0),MATCH('2019'!$A$1,DES_1!$3:$3,0))/(B73/1000)</f>
        <v>0.17671393764498669</v>
      </c>
      <c r="AG73" s="100">
        <f>INDEX(DES_2!$A:$J,MATCH('2019'!$A73,DES_2!$A:$A,0),MATCH('2019'!$A$1,DES_2!$3:$3,0))/(B73/1000)</f>
        <v>0.55556528037916808</v>
      </c>
      <c r="AH73" s="57">
        <f>1/INDEX(DES_3!$A:$J,MATCH('2019'!$A73,DES_3!$A:$A,0),MATCH('2019'!$A$1,DES_3!$3:$3,0))</f>
        <v>7.4128984432913266E-3</v>
      </c>
      <c r="AI73" s="80">
        <f>INDEX(DES_4!$A:$J,MATCH('2019'!$A73,DES_4!$A:$A,0),MATCH('2019'!$A$1,DES_4!$3:$3,0))</f>
        <v>0.93968909551099999</v>
      </c>
      <c r="AJ73" s="110">
        <f>INDEX(DES_5!$A:$J,MATCH('2019'!$A73,DES_5!$A:$A,0),MATCH('2019'!$A$1,DES_5!$3:$3,0))</f>
        <v>0.79043912199400002</v>
      </c>
      <c r="AK73" s="57">
        <v>82</v>
      </c>
    </row>
    <row r="74" spans="1:37" x14ac:dyDescent="0.3">
      <c r="A74" s="29" t="s">
        <v>73</v>
      </c>
      <c r="B74" s="33">
        <f>INDEX(Population!$A:$J,MATCH('2019'!$A74,Population!$A:$A,0),MATCH('2019'!$A$1,Population!$3:$3,0))</f>
        <v>784666</v>
      </c>
      <c r="C74" s="14">
        <f>INDEX(Income!$A:$J,MATCH('2019'!$A74,Income!$A:$A,0),MATCH('2019'!$A$1,Income!$3:$3,0))</f>
        <v>33304</v>
      </c>
      <c r="D74" s="34">
        <f>INDEX(Livable_wage!$A:$J,MATCH('2019'!$A74,Livable_wage!$A:$A,0),MATCH('2019'!$A$1,Livable_wage!$3:$3,0))</f>
        <v>13161</v>
      </c>
      <c r="E74" s="41">
        <f>INDEX(AVA_1!$A:$J,MATCH('2019'!$A74,AVA_1!$A:$A,0),MATCH('2019'!$A$1,AVA_1!$3:$3,0))</f>
        <v>0.39800000000000002</v>
      </c>
      <c r="F74" s="15">
        <f>INDEX(AVA_2!$A:$J,MATCH('2019'!$A74,AVA_2!$A:$A,0),MATCH('2019'!$A$1,AVA_2!$3:$3,0))</f>
        <v>1.3744690110597074E-2</v>
      </c>
      <c r="G74" s="15">
        <f>INDEX(AVA_3!$A:$J,MATCH('2019'!$A74,AVA_3!$A:$A,0),MATCH('2019'!$A$1,AVA_3!$3:$3,0))</f>
        <v>3.9598262022025963E-3</v>
      </c>
      <c r="H74" s="87">
        <f>INDEX(AVA_4!$A:$J,MATCH('2019'!$A74,AVA_4!$A:$A,0),MATCH('2019'!$A$1,AVA_4!$3:$3,0))/(B74/1000)</f>
        <v>0.5084966087481807</v>
      </c>
      <c r="I74" s="89">
        <f>INDEX(AVA_5!$A:$J,MATCH('2019'!$A74,AVA_5!$A:$A,0),MATCH('2019'!$A$1,AVA_5!$3:$3,0))/(B74/1000)</f>
        <v>10.470697086403641</v>
      </c>
      <c r="J74" s="93">
        <f>INDEX(IRA_1!$A:$J,MATCH('2019'!$A74,IRA_1!$A:$A,0),MATCH('2019'!$A$1,IRA_1!$3:$3,0))/(B74/1000)</f>
        <v>0.1529313109017085</v>
      </c>
      <c r="K74" s="88">
        <f>INDEX(IRA_2!$A:$J,MATCH('2019'!$A74,IRA_2!$A:$A,0),MATCH('2019'!$A$1,IRA_2!$3:$3,0))/(B74/1000)</f>
        <v>0.3351744563929111</v>
      </c>
      <c r="L74" s="15">
        <f>INDEX(IRA_3!$A:$J,MATCH('2019'!$A74,IRA_3!$A:$A,0),MATCH('2019'!$A$1,IRA_3!$3:$3,0))</f>
        <v>0.31324845581747129</v>
      </c>
      <c r="M74" s="96">
        <f>INDEX(IRA_4!$A:$J,MATCH('2019'!$A74,IRA_4!$A:$A,0),MATCH('2019'!$A$1,IRA_4!$3:$3,0))/(B74/1000)</f>
        <v>9.2192091921913271</v>
      </c>
      <c r="N74" s="61">
        <f>INDEX(INV_1!$A:$J,MATCH('2019'!$A74,INV_1!$A:$A,0),MATCH('2019'!$A$1,INV_1!$3:$3,0))</f>
        <v>7.0434542358821892E-2</v>
      </c>
      <c r="O74" s="80">
        <f>INDEX(INV_2!$A:$J,MATCH('2019'!$A74,INV_2!$A:$A,0),MATCH('2019'!$A$1,INV_2!$3:$3,0))/B74*10^6/C74</f>
        <v>0.34437652781727141</v>
      </c>
      <c r="P74" s="87">
        <f>INDEX(INV_3!$A:$J,MATCH('2019'!$A74,INV_3!$A:$A,0),MATCH('2019'!$A$1,INV_3!$3:$3,0))/B74*10^6/C74</f>
        <v>3.8616258077946122</v>
      </c>
      <c r="Q74" s="87">
        <f>INDEX(INV_4!$A:$J,MATCH('2019'!$A74,INV_4!$A:$A,0),MATCH('2019'!$A$1,INV_4!$3:$3,0))/B74*10^3/C74</f>
        <v>0.30259905550594662</v>
      </c>
      <c r="R74" s="34">
        <f>INDEX(INV_5!$A:$J,MATCH('2019'!$A74,INV_5!$A:$A,0),MATCH('2019'!$A$1,INV_5!$3:$3,0))</f>
        <v>0.1056</v>
      </c>
      <c r="S74" s="77">
        <f>INDEX(LUJ_1!$A:$J,MATCH('2019'!$A74,LUJ_1!$A:$A,0),MATCH('2019'!$A$1,LUJ_1!$3:$3,0))</f>
        <v>0.74319758136226211</v>
      </c>
      <c r="T74" s="73">
        <f>INDEX(LUJ_2!$A:$J,MATCH('2019'!$A74,LUJ_2!$A:$A,0),MATCH('2019'!$A$1,LUJ_2!$3:$3,0))</f>
        <v>0.30099999999999999</v>
      </c>
      <c r="U74" s="73">
        <f>INDEX(LUJ_3!$A:$J,MATCH('2019'!$A74,LUJ_3!$A:$A,0),MATCH('2019'!$A$1,LUJ_3!$3:$3,0))</f>
        <v>0.62473318817930767</v>
      </c>
      <c r="V74" s="14">
        <f>INDEX(LUJ_4!$A:$J,MATCH('2019'!$A74,LUJ_4!$A:$A,0),MATCH('2019'!$A$1,LUJ_4!$3:$3,0))</f>
        <v>33</v>
      </c>
      <c r="W74" s="34">
        <f>INDEX(LUJ_5!$A:$J,MATCH('2019'!$A74,LUJ_5!$A:$A,0),MATCH('2019'!$A$1,LUJ_5!$3:$3,0))</f>
        <v>21.1</v>
      </c>
      <c r="X74" s="98">
        <f>1/INDEX(GUL_1!$A:$J,MATCH('2019'!$A74,GUL_1!$A:$A,0),MATCH('2019'!$A$1,GUL_1!$3:$3,0))</f>
        <v>1.4564520827264784E-2</v>
      </c>
      <c r="Y74" s="57">
        <f>INDEX(GUL_2!$A:$J,MATCH('2019'!$A74,GUL_2!$A:$A,0),MATCH('2019'!$A$1,GUL_2!$3:$3,0))</f>
        <v>24.6</v>
      </c>
      <c r="Z74" s="57">
        <f>INDEX(GUL_3!$A:$J,MATCH('2019'!$A74,GUL_3!$A:$A,0),MATCH('2019'!$A$1,GUL_3!$3:$3,0))/(B74/1000)</f>
        <v>0.97366267940754403</v>
      </c>
      <c r="AA74" s="101">
        <f>INDEX(GUL_4!$A:$J,MATCH('2019'!$A74,GUL_4!$A:$A,0),MATCH('2019'!$A$1,GUL_4!$3:$3,0))/B74/C74*10^6</f>
        <v>0.24773695288467651</v>
      </c>
      <c r="AB74" s="73">
        <f>INDEX(GUL_5!$A:$J,MATCH('2019'!$A74,GUL_5!$A:$A,0),MATCH('2019'!$A$1,GUL_5!$3:$3,0))</f>
        <v>3.2564355429040778E-2</v>
      </c>
      <c r="AC74" s="49" t="e">
        <f>INDEX(GUL_6!$A:$J,MATCH('2019'!$A74,GUL_6!$A:$A,0),MATCH('2019'!$A$1,GUL_6!$3:$3,0))</f>
        <v>#N/A</v>
      </c>
      <c r="AD74" s="49" t="e">
        <f>INDEX(GUL_7!$A:$J,MATCH('2019'!$A74,GUL_7!$A:$A,0),MATCH('2019'!$A$1,GUL_7!$3:$3,0))</f>
        <v>#N/A</v>
      </c>
      <c r="AE74" s="103">
        <f>INDEX(GUL_8!$A:$J,MATCH('2019'!$A74,GUL_8!$A:$A,0),MATCH('2019'!$A$1,GUL_8!$3:$3,0))/(B74/1000)</f>
        <v>3.9341579729464509</v>
      </c>
      <c r="AF74" s="41">
        <f>INDEX(DES_1!$A:$J,MATCH('2019'!$A74,DES_1!$A:$A,0),MATCH('2019'!$A$1,DES_1!$3:$3,0))/(B74/1000)</f>
        <v>0.30458819421256939</v>
      </c>
      <c r="AG74" s="100">
        <f>INDEX(DES_2!$A:$J,MATCH('2019'!$A74,DES_2!$A:$A,0),MATCH('2019'!$A$1,DES_2!$3:$3,0))/(B74/1000)</f>
        <v>1.6809699923279458</v>
      </c>
      <c r="AH74" s="57">
        <f>1/INDEX(DES_3!$A:$J,MATCH('2019'!$A74,DES_3!$A:$A,0),MATCH('2019'!$A$1,DES_3!$3:$3,0))</f>
        <v>9.1157702825888781E-3</v>
      </c>
      <c r="AI74" s="80">
        <f>INDEX(DES_4!$A:$J,MATCH('2019'!$A74,DES_4!$A:$A,0),MATCH('2019'!$A$1,DES_4!$3:$3,0))</f>
        <v>0.66943825145999991</v>
      </c>
      <c r="AJ74" s="110">
        <f>INDEX(DES_5!$A:$J,MATCH('2019'!$A74,DES_5!$A:$A,0),MATCH('2019'!$A$1,DES_5!$3:$3,0))</f>
        <v>0.44256193437399999</v>
      </c>
      <c r="AK74" s="57">
        <v>81</v>
      </c>
    </row>
    <row r="75" spans="1:37" x14ac:dyDescent="0.3">
      <c r="A75" s="29" t="s">
        <v>74</v>
      </c>
      <c r="B75" s="33">
        <f>INDEX(Population!$A:$J,MATCH('2019'!$A75,Population!$A:$A,0),MATCH('2019'!$A$1,Population!$3:$3,0))</f>
        <v>155685</v>
      </c>
      <c r="C75" s="14">
        <f>INDEX(Income!$A:$J,MATCH('2019'!$A75,Income!$A:$A,0),MATCH('2019'!$A$1,Income!$3:$3,0))</f>
        <v>26602</v>
      </c>
      <c r="D75" s="34">
        <f>INDEX(Livable_wage!$A:$J,MATCH('2019'!$A75,Livable_wage!$A:$A,0),MATCH('2019'!$A$1,Livable_wage!$3:$3,0))</f>
        <v>15245</v>
      </c>
      <c r="E75" s="41">
        <f>INDEX(AVA_1!$A:$J,MATCH('2019'!$A75,AVA_1!$A:$A,0),MATCH('2019'!$A$1,AVA_1!$3:$3,0))</f>
        <v>0.34</v>
      </c>
      <c r="F75" s="15">
        <f>INDEX(AVA_2!$A:$J,MATCH('2019'!$A75,AVA_2!$A:$A,0),MATCH('2019'!$A$1,AVA_2!$3:$3,0))</f>
        <v>8.9776855215360669E-3</v>
      </c>
      <c r="G75" s="15">
        <f>INDEX(AVA_3!$A:$J,MATCH('2019'!$A75,AVA_3!$A:$A,0),MATCH('2019'!$A$1,AVA_3!$3:$3,0))</f>
        <v>1.8014250661610016E-2</v>
      </c>
      <c r="H75" s="87">
        <f>INDEX(AVA_4!$A:$J,MATCH('2019'!$A75,AVA_4!$A:$A,0),MATCH('2019'!$A$1,AVA_4!$3:$3,0))/(B75/1000)</f>
        <v>0.59736005395510161</v>
      </c>
      <c r="I75" s="89">
        <f>INDEX(AVA_5!$A:$J,MATCH('2019'!$A75,AVA_5!$A:$A,0),MATCH('2019'!$A$1,AVA_5!$3:$3,0))/(B75/1000)</f>
        <v>8.8833220926871572</v>
      </c>
      <c r="J75" s="93">
        <f>INDEX(IRA_1!$A:$J,MATCH('2019'!$A75,IRA_1!$A:$A,0),MATCH('2019'!$A$1,IRA_1!$3:$3,0))/(B75/1000)</f>
        <v>0.17342711243857789</v>
      </c>
      <c r="K75" s="88">
        <f>INDEX(IRA_2!$A:$J,MATCH('2019'!$A75,IRA_2!$A:$A,0),MATCH('2019'!$A$1,IRA_2!$3:$3,0))/(B75/1000)</f>
        <v>0.39824003597006774</v>
      </c>
      <c r="L75" s="15">
        <f>INDEX(IRA_3!$A:$J,MATCH('2019'!$A75,IRA_3!$A:$A,0),MATCH('2019'!$A$1,IRA_3!$3:$3,0))</f>
        <v>0.41563184806428055</v>
      </c>
      <c r="M75" s="96">
        <f>INDEX(IRA_4!$A:$J,MATCH('2019'!$A75,IRA_4!$A:$A,0),MATCH('2019'!$A$1,IRA_4!$3:$3,0))/(B75/1000)</f>
        <v>8.2345762276391437</v>
      </c>
      <c r="N75" s="61">
        <f>INDEX(INV_1!$A:$J,MATCH('2019'!$A75,INV_1!$A:$A,0),MATCH('2019'!$A$1,INV_1!$3:$3,0))</f>
        <v>8.5348792337211876E-2</v>
      </c>
      <c r="O75" s="80">
        <f>INDEX(INV_2!$A:$J,MATCH('2019'!$A75,INV_2!$A:$A,0),MATCH('2019'!$A$1,INV_2!$3:$3,0))/B75*10^6/C75</f>
        <v>0.23188608447360753</v>
      </c>
      <c r="P75" s="87">
        <f>INDEX(INV_3!$A:$J,MATCH('2019'!$A75,INV_3!$A:$A,0),MATCH('2019'!$A$1,INV_3!$3:$3,0))/B75*10^6/C75</f>
        <v>3.9765474536179948</v>
      </c>
      <c r="Q75" s="87">
        <f>INDEX(INV_4!$A:$J,MATCH('2019'!$A75,INV_4!$A:$A,0),MATCH('2019'!$A$1,INV_4!$3:$3,0))/B75*10^3/C75</f>
        <v>0.25468749384663147</v>
      </c>
      <c r="R75" s="34">
        <f>INDEX(INV_5!$A:$J,MATCH('2019'!$A75,INV_5!$A:$A,0),MATCH('2019'!$A$1,INV_5!$3:$3,0))</f>
        <v>6.4199999999999993E-2</v>
      </c>
      <c r="S75" s="77">
        <f>INDEX(LUJ_1!$A:$J,MATCH('2019'!$A75,LUJ_1!$A:$A,0),MATCH('2019'!$A$1,LUJ_1!$3:$3,0))</f>
        <v>0.78664007976071781</v>
      </c>
      <c r="T75" s="73">
        <f>INDEX(LUJ_2!$A:$J,MATCH('2019'!$A75,LUJ_2!$A:$A,0),MATCH('2019'!$A$1,LUJ_2!$3:$3,0))</f>
        <v>0.32500000000000001</v>
      </c>
      <c r="U75" s="73">
        <f>INDEX(LUJ_3!$A:$J,MATCH('2019'!$A75,LUJ_3!$A:$A,0),MATCH('2019'!$A$1,LUJ_3!$3:$3,0))</f>
        <v>0.81580510992275701</v>
      </c>
      <c r="V75" s="14">
        <f>INDEX(LUJ_4!$A:$J,MATCH('2019'!$A75,LUJ_4!$A:$A,0),MATCH('2019'!$A$1,LUJ_4!$3:$3,0))</f>
        <v>6</v>
      </c>
      <c r="W75" s="34">
        <f>INDEX(LUJ_5!$A:$J,MATCH('2019'!$A75,LUJ_5!$A:$A,0),MATCH('2019'!$A$1,LUJ_5!$3:$3,0))</f>
        <v>26.3</v>
      </c>
      <c r="X75" s="98">
        <f>1/INDEX(GUL_1!$A:$J,MATCH('2019'!$A75,GUL_1!$A:$A,0),MATCH('2019'!$A$1,GUL_1!$3:$3,0))</f>
        <v>1.4688601645123384E-2</v>
      </c>
      <c r="Y75" s="57">
        <f>INDEX(GUL_2!$A:$J,MATCH('2019'!$A75,GUL_2!$A:$A,0),MATCH('2019'!$A$1,GUL_2!$3:$3,0))</f>
        <v>24.4</v>
      </c>
      <c r="Z75" s="57">
        <f>INDEX(GUL_3!$A:$J,MATCH('2019'!$A75,GUL_3!$A:$A,0),MATCH('2019'!$A$1,GUL_3!$3:$3,0))/(B75/1000)</f>
        <v>0.82217297748659146</v>
      </c>
      <c r="AA75" s="101">
        <f>INDEX(GUL_4!$A:$J,MATCH('2019'!$A75,GUL_4!$A:$A,0),MATCH('2019'!$A$1,GUL_4!$3:$3,0))/B75/C75*10^6</f>
        <v>0.22583187005248492</v>
      </c>
      <c r="AB75" s="73">
        <f>INDEX(GUL_5!$A:$J,MATCH('2019'!$A75,GUL_5!$A:$A,0),MATCH('2019'!$A$1,GUL_5!$3:$3,0))</f>
        <v>5.6532045245058213E-2</v>
      </c>
      <c r="AC75" s="49" t="e">
        <f>INDEX(GUL_6!$A:$J,MATCH('2019'!$A75,GUL_6!$A:$A,0),MATCH('2019'!$A$1,GUL_6!$3:$3,0))</f>
        <v>#N/A</v>
      </c>
      <c r="AD75" s="49" t="e">
        <f>INDEX(GUL_7!$A:$J,MATCH('2019'!$A75,GUL_7!$A:$A,0),MATCH('2019'!$A$1,GUL_7!$3:$3,0))</f>
        <v>#N/A</v>
      </c>
      <c r="AE75" s="103">
        <f>INDEX(GUL_8!$A:$J,MATCH('2019'!$A75,GUL_8!$A:$A,0),MATCH('2019'!$A$1,GUL_8!$3:$3,0))/(B75/1000)</f>
        <v>2.7812570254038604</v>
      </c>
      <c r="AF75" s="41">
        <f>INDEX(DES_1!$A:$J,MATCH('2019'!$A75,DES_1!$A:$A,0),MATCH('2019'!$A$1,DES_1!$3:$3,0))/(B75/1000)</f>
        <v>0.33400777210392779</v>
      </c>
      <c r="AG75" s="100">
        <f>INDEX(DES_2!$A:$J,MATCH('2019'!$A75,DES_2!$A:$A,0),MATCH('2019'!$A$1,DES_2!$3:$3,0))/(B75/1000)</f>
        <v>1.496611748081061</v>
      </c>
      <c r="AH75" s="57">
        <f>1/INDEX(DES_3!$A:$J,MATCH('2019'!$A75,DES_3!$A:$A,0),MATCH('2019'!$A$1,DES_3!$3:$3,0))</f>
        <v>9.9108027750247768E-3</v>
      </c>
      <c r="AI75" s="80">
        <f>INDEX(DES_4!$A:$J,MATCH('2019'!$A75,DES_4!$A:$A,0),MATCH('2019'!$A$1,DES_4!$3:$3,0))</f>
        <v>0.51648073417899998</v>
      </c>
      <c r="AJ75" s="110">
        <f>INDEX(DES_5!$A:$J,MATCH('2019'!$A75,DES_5!$A:$A,0),MATCH('2019'!$A$1,DES_5!$3:$3,0))</f>
        <v>0.51871176495799998</v>
      </c>
      <c r="AK75" s="57">
        <v>80</v>
      </c>
    </row>
    <row r="76" spans="1:37" x14ac:dyDescent="0.3">
      <c r="A76" s="29" t="s">
        <v>75</v>
      </c>
      <c r="B76" s="33">
        <f>INDEX(Population!$A:$J,MATCH('2019'!$A76,Population!$A:$A,0),MATCH('2019'!$A$1,Population!$3:$3,0))</f>
        <v>1313552</v>
      </c>
      <c r="C76" s="14">
        <f>INDEX(Income!$A:$J,MATCH('2019'!$A76,Income!$A:$A,0),MATCH('2019'!$A$1,Income!$3:$3,0))</f>
        <v>41460</v>
      </c>
      <c r="D76" s="34">
        <f>INDEX(Livable_wage!$A:$J,MATCH('2019'!$A76,Livable_wage!$A:$A,0),MATCH('2019'!$A$1,Livable_wage!$3:$3,0))</f>
        <v>15328</v>
      </c>
      <c r="E76" s="41">
        <f>INDEX(AVA_1!$A:$J,MATCH('2019'!$A76,AVA_1!$A:$A,0),MATCH('2019'!$A$1,AVA_1!$3:$3,0))</f>
        <v>0.38200000000000001</v>
      </c>
      <c r="F76" s="15">
        <f>INDEX(AVA_2!$A:$J,MATCH('2019'!$A76,AVA_2!$A:$A,0),MATCH('2019'!$A$1,AVA_2!$3:$3,0))</f>
        <v>1.5359150402309764E-2</v>
      </c>
      <c r="G76" s="15">
        <f>INDEX(AVA_3!$A:$J,MATCH('2019'!$A76,AVA_3!$A:$A,0),MATCH('2019'!$A$1,AVA_3!$3:$3,0))</f>
        <v>1.1191368948072405E-2</v>
      </c>
      <c r="H76" s="87">
        <f>INDEX(AVA_4!$A:$J,MATCH('2019'!$A76,AVA_4!$A:$A,0),MATCH('2019'!$A$1,AVA_4!$3:$3,0))/(B76/1000)</f>
        <v>0.50245441368137689</v>
      </c>
      <c r="I76" s="89">
        <f>INDEX(AVA_5!$A:$J,MATCH('2019'!$A76,AVA_5!$A:$A,0),MATCH('2019'!$A$1,AVA_5!$3:$3,0))/(B76/1000)</f>
        <v>7.9410636198643072</v>
      </c>
      <c r="J76" s="93">
        <f>INDEX(IRA_1!$A:$J,MATCH('2019'!$A76,IRA_1!$A:$A,0),MATCH('2019'!$A$1,IRA_1!$3:$3,0))/(B76/1000)</f>
        <v>0.10505865013337881</v>
      </c>
      <c r="K76" s="88">
        <f>INDEX(IRA_2!$A:$J,MATCH('2019'!$A76,IRA_2!$A:$A,0),MATCH('2019'!$A$1,IRA_2!$3:$3,0))/(B76/1000)</f>
        <v>0.21925283506096449</v>
      </c>
      <c r="L76" s="15">
        <f>INDEX(IRA_3!$A:$J,MATCH('2019'!$A76,IRA_3!$A:$A,0),MATCH('2019'!$A$1,IRA_3!$3:$3,0))</f>
        <v>0.32974452554744527</v>
      </c>
      <c r="M76" s="96">
        <f>INDEX(IRA_4!$A:$J,MATCH('2019'!$A76,IRA_4!$A:$A,0),MATCH('2019'!$A$1,IRA_4!$3:$3,0))/(B76/1000)</f>
        <v>7.6007649487801023</v>
      </c>
      <c r="N76" s="61">
        <f>INDEX(INV_1!$A:$J,MATCH('2019'!$A76,INV_1!$A:$A,0),MATCH('2019'!$A$1,INV_1!$3:$3,0))</f>
        <v>9.1975624190458613E-2</v>
      </c>
      <c r="O76" s="80">
        <f>INDEX(INV_2!$A:$J,MATCH('2019'!$A76,INV_2!$A:$A,0),MATCH('2019'!$A$1,INV_2!$3:$3,0))/B76*10^6/C76</f>
        <v>0.2489924350882427</v>
      </c>
      <c r="P76" s="87">
        <f>INDEX(INV_3!$A:$J,MATCH('2019'!$A76,INV_3!$A:$A,0),MATCH('2019'!$A$1,INV_3!$3:$3,0))/B76*10^6/C76</f>
        <v>3.2387152818021478</v>
      </c>
      <c r="Q76" s="87">
        <f>INDEX(INV_4!$A:$J,MATCH('2019'!$A76,INV_4!$A:$A,0),MATCH('2019'!$A$1,INV_4!$3:$3,0))/B76*10^3/C76</f>
        <v>0.34455534884284195</v>
      </c>
      <c r="R76" s="34">
        <f>INDEX(INV_5!$A:$J,MATCH('2019'!$A76,INV_5!$A:$A,0),MATCH('2019'!$A$1,INV_5!$3:$3,0))</f>
        <v>0.15029999999999999</v>
      </c>
      <c r="S76" s="77">
        <f>INDEX(LUJ_1!$A:$J,MATCH('2019'!$A76,LUJ_1!$A:$A,0),MATCH('2019'!$A$1,LUJ_1!$3:$3,0))</f>
        <v>0.70499692811796022</v>
      </c>
      <c r="T76" s="73">
        <f>INDEX(LUJ_2!$A:$J,MATCH('2019'!$A76,LUJ_2!$A:$A,0),MATCH('2019'!$A$1,LUJ_2!$3:$3,0))</f>
        <v>0.29399999999999998</v>
      </c>
      <c r="U76" s="73">
        <f>INDEX(LUJ_3!$A:$J,MATCH('2019'!$A76,LUJ_3!$A:$A,0),MATCH('2019'!$A$1,LUJ_3!$3:$3,0))</f>
        <v>0.60954822616407978</v>
      </c>
      <c r="V76" s="14">
        <f>INDEX(LUJ_4!$A:$J,MATCH('2019'!$A76,LUJ_4!$A:$A,0),MATCH('2019'!$A$1,LUJ_4!$3:$3,0))</f>
        <v>30</v>
      </c>
      <c r="W76" s="34">
        <f>INDEX(LUJ_5!$A:$J,MATCH('2019'!$A76,LUJ_5!$A:$A,0),MATCH('2019'!$A$1,LUJ_5!$3:$3,0))</f>
        <v>28.4</v>
      </c>
      <c r="X76" s="98">
        <f>1/INDEX(GUL_1!$A:$J,MATCH('2019'!$A76,GUL_1!$A:$A,0),MATCH('2019'!$A$1,GUL_1!$3:$3,0))</f>
        <v>1.4275517487508924E-2</v>
      </c>
      <c r="Y76" s="57">
        <f>INDEX(GUL_2!$A:$J,MATCH('2019'!$A76,GUL_2!$A:$A,0),MATCH('2019'!$A$1,GUL_2!$3:$3,0))</f>
        <v>24.2</v>
      </c>
      <c r="Z76" s="57">
        <f>INDEX(GUL_3!$A:$J,MATCH('2019'!$A76,GUL_3!$A:$A,0),MATCH('2019'!$A$1,GUL_3!$3:$3,0))/(B76/1000)</f>
        <v>0.88690816960424868</v>
      </c>
      <c r="AA76" s="101">
        <f>INDEX(GUL_4!$A:$J,MATCH('2019'!$A76,GUL_4!$A:$A,0),MATCH('2019'!$A$1,GUL_4!$3:$3,0))/B76/C76*10^6</f>
        <v>0.35817734161619469</v>
      </c>
      <c r="AB76" s="73">
        <f>INDEX(GUL_5!$A:$J,MATCH('2019'!$A76,GUL_5!$A:$A,0),MATCH('2019'!$A$1,GUL_5!$3:$3,0))</f>
        <v>2.8249234536247381E-2</v>
      </c>
      <c r="AC76" s="49" t="e">
        <f>INDEX(GUL_6!$A:$J,MATCH('2019'!$A76,GUL_6!$A:$A,0),MATCH('2019'!$A$1,GUL_6!$3:$3,0))</f>
        <v>#N/A</v>
      </c>
      <c r="AD76" s="49" t="e">
        <f>INDEX(GUL_7!$A:$J,MATCH('2019'!$A76,GUL_7!$A:$A,0),MATCH('2019'!$A$1,GUL_7!$3:$3,0))</f>
        <v>#N/A</v>
      </c>
      <c r="AE76" s="103">
        <f>INDEX(GUL_8!$A:$J,MATCH('2019'!$A76,GUL_8!$A:$A,0),MATCH('2019'!$A$1,GUL_8!$3:$3,0))/(B76/1000)</f>
        <v>3.0238620168824686</v>
      </c>
      <c r="AF76" s="41">
        <f>INDEX(DES_1!$A:$J,MATCH('2019'!$A76,DES_1!$A:$A,0),MATCH('2019'!$A$1,DES_1!$3:$3,0))/(B76/1000)</f>
        <v>5.3290619632873314E-3</v>
      </c>
      <c r="AG76" s="100">
        <f>INDEX(DES_2!$A:$J,MATCH('2019'!$A76,DES_2!$A:$A,0),MATCH('2019'!$A$1,DES_2!$3:$3,0))/(B76/1000)</f>
        <v>0.63187448993264073</v>
      </c>
      <c r="AH76" s="57">
        <f>1/INDEX(DES_3!$A:$J,MATCH('2019'!$A76,DES_3!$A:$A,0),MATCH('2019'!$A$1,DES_3!$3:$3,0))</f>
        <v>9.4607379375591296E-3</v>
      </c>
      <c r="AI76" s="80">
        <f>INDEX(DES_4!$A:$J,MATCH('2019'!$A76,DES_4!$A:$A,0),MATCH('2019'!$A$1,DES_4!$3:$3,0))</f>
        <v>0.94826393295599998</v>
      </c>
      <c r="AJ76" s="110">
        <f>INDEX(DES_5!$A:$J,MATCH('2019'!$A76,DES_5!$A:$A,0),MATCH('2019'!$A$1,DES_5!$3:$3,0))</f>
        <v>0.79514599366799998</v>
      </c>
      <c r="AK76" s="57">
        <v>79</v>
      </c>
    </row>
    <row r="77" spans="1:37" x14ac:dyDescent="0.3">
      <c r="A77" s="29" t="s">
        <v>76</v>
      </c>
      <c r="B77" s="33">
        <f>INDEX(Population!$A:$J,MATCH('2019'!$A77,Population!$A:$A,0),MATCH('2019'!$A$1,Population!$3:$3,0))</f>
        <v>2656497</v>
      </c>
      <c r="C77" s="14">
        <f>INDEX(Income!$A:$J,MATCH('2019'!$A77,Income!$A:$A,0),MATCH('2019'!$A$1,Income!$3:$3,0))</f>
        <v>24890</v>
      </c>
      <c r="D77" s="34">
        <f>INDEX(Livable_wage!$A:$J,MATCH('2019'!$A77,Livable_wage!$A:$A,0),MATCH('2019'!$A$1,Livable_wage!$3:$3,0))</f>
        <v>10356</v>
      </c>
      <c r="E77" s="41">
        <f>INDEX(AVA_1!$A:$J,MATCH('2019'!$A77,AVA_1!$A:$A,0),MATCH('2019'!$A$1,AVA_1!$3:$3,0))</f>
        <v>0.35</v>
      </c>
      <c r="F77" s="15">
        <f>INDEX(AVA_2!$A:$J,MATCH('2019'!$A77,AVA_2!$A:$A,0),MATCH('2019'!$A$1,AVA_2!$3:$3,0))</f>
        <v>1.1557180567147376E-2</v>
      </c>
      <c r="G77" s="15">
        <f>INDEX(AVA_3!$A:$J,MATCH('2019'!$A77,AVA_3!$A:$A,0),MATCH('2019'!$A$1,AVA_3!$3:$3,0))</f>
        <v>1.056183179259043E-2</v>
      </c>
      <c r="H77" s="87">
        <f>INDEX(AVA_4!$A:$J,MATCH('2019'!$A77,AVA_4!$A:$A,0),MATCH('2019'!$A$1,AVA_4!$3:$3,0))/(B77/1000)</f>
        <v>0.43440666411443341</v>
      </c>
      <c r="I77" s="89">
        <f>INDEX(AVA_5!$A:$J,MATCH('2019'!$A77,AVA_5!$A:$A,0),MATCH('2019'!$A$1,AVA_5!$3:$3,0))/(B77/1000)</f>
        <v>7.6886968063581485</v>
      </c>
      <c r="J77" s="93">
        <f>INDEX(IRA_1!$A:$J,MATCH('2019'!$A77,IRA_1!$A:$A,0),MATCH('2019'!$A$1,IRA_1!$3:$3,0))/(B77/1000)</f>
        <v>7.0017018652759638E-2</v>
      </c>
      <c r="K77" s="88">
        <f>INDEX(IRA_2!$A:$J,MATCH('2019'!$A77,IRA_2!$A:$A,0),MATCH('2019'!$A$1,IRA_2!$3:$3,0))/(B77/1000)</f>
        <v>0.31131222809587211</v>
      </c>
      <c r="L77" s="15">
        <f>INDEX(IRA_3!$A:$J,MATCH('2019'!$A77,IRA_3!$A:$A,0),MATCH('2019'!$A$1,IRA_3!$3:$3,0))</f>
        <v>0.30604375532735317</v>
      </c>
      <c r="M77" s="96">
        <f>INDEX(IRA_4!$A:$J,MATCH('2019'!$A77,IRA_4!$A:$A,0),MATCH('2019'!$A$1,IRA_4!$3:$3,0))/(B77/1000)</f>
        <v>6.5526142133795</v>
      </c>
      <c r="N77" s="61">
        <f>INDEX(INV_1!$A:$J,MATCH('2019'!$A77,INV_1!$A:$A,0),MATCH('2019'!$A$1,INV_1!$3:$3,0))</f>
        <v>8.0182862311241193E-2</v>
      </c>
      <c r="O77" s="80">
        <f>INDEX(INV_2!$A:$J,MATCH('2019'!$A77,INV_2!$A:$A,0),MATCH('2019'!$A$1,INV_2!$3:$3,0))/B77*10^6/C77</f>
        <v>0.34945444336429105</v>
      </c>
      <c r="P77" s="87">
        <f>INDEX(INV_3!$A:$J,MATCH('2019'!$A77,INV_3!$A:$A,0),MATCH('2019'!$A$1,INV_3!$3:$3,0))/B77*10^6/C77</f>
        <v>4.2895205351655452</v>
      </c>
      <c r="Q77" s="87">
        <f>INDEX(INV_4!$A:$J,MATCH('2019'!$A77,INV_4!$A:$A,0),MATCH('2019'!$A$1,INV_4!$3:$3,0))/B77*10^3/C77</f>
        <v>0.30356350803822374</v>
      </c>
      <c r="R77" s="34">
        <f>INDEX(INV_5!$A:$J,MATCH('2019'!$A77,INV_5!$A:$A,0),MATCH('2019'!$A$1,INV_5!$3:$3,0))</f>
        <v>7.8100000000000003E-2</v>
      </c>
      <c r="S77" s="77">
        <f>INDEX(LUJ_1!$A:$J,MATCH('2019'!$A77,LUJ_1!$A:$A,0),MATCH('2019'!$A$1,LUJ_1!$3:$3,0))</f>
        <v>0.70952351446805872</v>
      </c>
      <c r="T77" s="73">
        <f>INDEX(LUJ_2!$A:$J,MATCH('2019'!$A77,LUJ_2!$A:$A,0),MATCH('2019'!$A$1,LUJ_2!$3:$3,0))</f>
        <v>0.26600000000000001</v>
      </c>
      <c r="U77" s="73">
        <f>INDEX(LUJ_3!$A:$J,MATCH('2019'!$A77,LUJ_3!$A:$A,0),MATCH('2019'!$A$1,LUJ_3!$3:$3,0))</f>
        <v>0.67034890991704532</v>
      </c>
      <c r="V77" s="14">
        <f>INDEX(LUJ_4!$A:$J,MATCH('2019'!$A77,LUJ_4!$A:$A,0),MATCH('2019'!$A$1,LUJ_4!$3:$3,0))</f>
        <v>64</v>
      </c>
      <c r="W77" s="34">
        <f>INDEX(LUJ_5!$A:$J,MATCH('2019'!$A77,LUJ_5!$A:$A,0),MATCH('2019'!$A$1,LUJ_5!$3:$3,0))</f>
        <v>164.3</v>
      </c>
      <c r="X77" s="98">
        <f>1/INDEX(GUL_1!$A:$J,MATCH('2019'!$A77,GUL_1!$A:$A,0),MATCH('2019'!$A$1,GUL_1!$3:$3,0))</f>
        <v>1.4330753797649757E-2</v>
      </c>
      <c r="Y77" s="57">
        <f>INDEX(GUL_2!$A:$J,MATCH('2019'!$A77,GUL_2!$A:$A,0),MATCH('2019'!$A$1,GUL_2!$3:$3,0))</f>
        <v>24.9</v>
      </c>
      <c r="Z77" s="57">
        <f>INDEX(GUL_3!$A:$J,MATCH('2019'!$A77,GUL_3!$A:$A,0),MATCH('2019'!$A$1,GUL_3!$3:$3,0))/(B77/1000)</f>
        <v>0.80971294151659123</v>
      </c>
      <c r="AA77" s="101">
        <f>INDEX(GUL_4!$A:$J,MATCH('2019'!$A77,GUL_4!$A:$A,0),MATCH('2019'!$A$1,GUL_4!$3:$3,0))/B77/C77*10^6</f>
        <v>0.3340323615089747</v>
      </c>
      <c r="AB77" s="73">
        <f>INDEX(GUL_5!$A:$J,MATCH('2019'!$A77,GUL_5!$A:$A,0),MATCH('2019'!$A$1,GUL_5!$3:$3,0))</f>
        <v>2.6943516871457563E-2</v>
      </c>
      <c r="AC77" s="49" t="e">
        <f>INDEX(GUL_6!$A:$J,MATCH('2019'!$A77,GUL_6!$A:$A,0),MATCH('2019'!$A$1,GUL_6!$3:$3,0))</f>
        <v>#N/A</v>
      </c>
      <c r="AD77" s="49" t="e">
        <f>INDEX(GUL_7!$A:$J,MATCH('2019'!$A77,GUL_7!$A:$A,0),MATCH('2019'!$A$1,GUL_7!$3:$3,0))</f>
        <v>#N/A</v>
      </c>
      <c r="AE77" s="103">
        <f>INDEX(GUL_8!$A:$J,MATCH('2019'!$A77,GUL_8!$A:$A,0),MATCH('2019'!$A$1,GUL_8!$3:$3,0))/(B77/1000)</f>
        <v>3.9823120447717431</v>
      </c>
      <c r="AF77" s="41">
        <f>INDEX(DES_1!$A:$J,MATCH('2019'!$A77,DES_1!$A:$A,0),MATCH('2019'!$A$1,DES_1!$3:$3,0))/(B77/1000)</f>
        <v>0.22774352841354611</v>
      </c>
      <c r="AG77" s="100">
        <f>INDEX(DES_2!$A:$J,MATCH('2019'!$A77,DES_2!$A:$A,0),MATCH('2019'!$A$1,DES_2!$3:$3,0))/(B77/1000)</f>
        <v>0.70769889821068876</v>
      </c>
      <c r="AH77" s="57">
        <f>1/INDEX(DES_3!$A:$J,MATCH('2019'!$A77,DES_3!$A:$A,0),MATCH('2019'!$A$1,DES_3!$3:$3,0))</f>
        <v>9.3984962406015032E-3</v>
      </c>
      <c r="AI77" s="80">
        <f>INDEX(DES_4!$A:$J,MATCH('2019'!$A77,DES_4!$A:$A,0),MATCH('2019'!$A$1,DES_4!$3:$3,0))</f>
        <v>0.92097181080699997</v>
      </c>
      <c r="AJ77" s="110">
        <f>INDEX(DES_5!$A:$J,MATCH('2019'!$A77,DES_5!$A:$A,0),MATCH('2019'!$A$1,DES_5!$3:$3,0))</f>
        <v>0.85783183037300004</v>
      </c>
      <c r="AK77" s="57">
        <v>78</v>
      </c>
    </row>
    <row r="78" spans="1:37" x14ac:dyDescent="0.3">
      <c r="A78" s="29" t="s">
        <v>77</v>
      </c>
      <c r="B78" s="33">
        <f>INDEX(Population!$A:$J,MATCH('2019'!$A78,Population!$A:$A,0),MATCH('2019'!$A$1,Population!$3:$3,0))</f>
        <v>538969</v>
      </c>
      <c r="C78" s="14">
        <f>INDEX(Income!$A:$J,MATCH('2019'!$A78,Income!$A:$A,0),MATCH('2019'!$A$1,Income!$3:$3,0))</f>
        <v>22691</v>
      </c>
      <c r="D78" s="34">
        <f>INDEX(Livable_wage!$A:$J,MATCH('2019'!$A78,Livable_wage!$A:$A,0),MATCH('2019'!$A$1,Livable_wage!$3:$3,0))</f>
        <v>11397</v>
      </c>
      <c r="E78" s="41">
        <f>INDEX(AVA_1!$A:$J,MATCH('2019'!$A78,AVA_1!$A:$A,0),MATCH('2019'!$A$1,AVA_1!$3:$3,0))</f>
        <v>0.34</v>
      </c>
      <c r="F78" s="15">
        <f>INDEX(AVA_2!$A:$J,MATCH('2019'!$A78,AVA_2!$A:$A,0),MATCH('2019'!$A$1,AVA_2!$3:$3,0))</f>
        <v>1.0243207545443176E-2</v>
      </c>
      <c r="G78" s="15">
        <f>INDEX(AVA_3!$A:$J,MATCH('2019'!$A78,AVA_3!$A:$A,0),MATCH('2019'!$A$1,AVA_3!$3:$3,0))</f>
        <v>6.7307242738579048E-2</v>
      </c>
      <c r="H78" s="87">
        <f>INDEX(AVA_4!$A:$J,MATCH('2019'!$A78,AVA_4!$A:$A,0),MATCH('2019'!$A$1,AVA_4!$3:$3,0))/(B78/1000)</f>
        <v>0.63083405539094084</v>
      </c>
      <c r="I78" s="89">
        <f>INDEX(AVA_5!$A:$J,MATCH('2019'!$A78,AVA_5!$A:$A,0),MATCH('2019'!$A$1,AVA_5!$3:$3,0))/(B78/1000)</f>
        <v>6.6497331015327408</v>
      </c>
      <c r="J78" s="93">
        <f>INDEX(IRA_1!$A:$J,MATCH('2019'!$A78,IRA_1!$A:$A,0),MATCH('2019'!$A$1,IRA_1!$3:$3,0))/(B78/1000)</f>
        <v>8.7203531186394762E-2</v>
      </c>
      <c r="K78" s="88">
        <f>INDEX(IRA_2!$A:$J,MATCH('2019'!$A78,IRA_2!$A:$A,0),MATCH('2019'!$A$1,IRA_2!$3:$3,0))/(B78/1000)</f>
        <v>0.26161059355918426</v>
      </c>
      <c r="L78" s="15">
        <f>INDEX(IRA_3!$A:$J,MATCH('2019'!$A78,IRA_3!$A:$A,0),MATCH('2019'!$A$1,IRA_3!$3:$3,0))</f>
        <v>0.31219670009705602</v>
      </c>
      <c r="M78" s="96">
        <f>INDEX(IRA_4!$A:$J,MATCH('2019'!$A78,IRA_4!$A:$A,0),MATCH('2019'!$A$1,IRA_4!$3:$3,0))/(B78/1000)</f>
        <v>6.419664210743103</v>
      </c>
      <c r="N78" s="61">
        <f>INDEX(INV_1!$A:$J,MATCH('2019'!$A78,INV_1!$A:$A,0),MATCH('2019'!$A$1,INV_1!$3:$3,0))</f>
        <v>8.8052121177360068E-2</v>
      </c>
      <c r="O78" s="80">
        <f>INDEX(INV_2!$A:$J,MATCH('2019'!$A78,INV_2!$A:$A,0),MATCH('2019'!$A$1,INV_2!$3:$3,0))/B78*10^6/C78</f>
        <v>0.40364757599508844</v>
      </c>
      <c r="P78" s="87">
        <f>INDEX(INV_3!$A:$J,MATCH('2019'!$A78,INV_3!$A:$A,0),MATCH('2019'!$A$1,INV_3!$3:$3,0))/B78*10^6/C78</f>
        <v>4.4909356163802503</v>
      </c>
      <c r="Q78" s="87">
        <f>INDEX(INV_4!$A:$J,MATCH('2019'!$A78,INV_4!$A:$A,0),MATCH('2019'!$A$1,INV_4!$3:$3,0))/B78*10^3/C78</f>
        <v>0.31865247521515921</v>
      </c>
      <c r="R78" s="34">
        <f>INDEX(INV_5!$A:$J,MATCH('2019'!$A78,INV_5!$A:$A,0),MATCH('2019'!$A$1,INV_5!$3:$3,0))</f>
        <v>8.2799999999999999E-2</v>
      </c>
      <c r="S78" s="77">
        <f>INDEX(LUJ_1!$A:$J,MATCH('2019'!$A78,LUJ_1!$A:$A,0),MATCH('2019'!$A$1,LUJ_1!$3:$3,0))</f>
        <v>0.65296052631578949</v>
      </c>
      <c r="T78" s="73">
        <f>INDEX(LUJ_2!$A:$J,MATCH('2019'!$A78,LUJ_2!$A:$A,0),MATCH('2019'!$A$1,LUJ_2!$3:$3,0))</f>
        <v>0.25800000000000001</v>
      </c>
      <c r="U78" s="73">
        <f>INDEX(LUJ_3!$A:$J,MATCH('2019'!$A78,LUJ_3!$A:$A,0),MATCH('2019'!$A$1,LUJ_3!$3:$3,0))</f>
        <v>0.45168642241379309</v>
      </c>
      <c r="V78" s="14">
        <f>INDEX(LUJ_4!$A:$J,MATCH('2019'!$A78,LUJ_4!$A:$A,0),MATCH('2019'!$A$1,LUJ_4!$3:$3,0))</f>
        <v>12</v>
      </c>
      <c r="W78" s="34">
        <f>INDEX(LUJ_5!$A:$J,MATCH('2019'!$A78,LUJ_5!$A:$A,0),MATCH('2019'!$A$1,LUJ_5!$3:$3,0))</f>
        <v>56.3</v>
      </c>
      <c r="X78" s="98">
        <f>1/INDEX(GUL_1!$A:$J,MATCH('2019'!$A78,GUL_1!$A:$A,0),MATCH('2019'!$A$1,GUL_1!$3:$3,0))</f>
        <v>1.4074595355383534E-2</v>
      </c>
      <c r="Y78" s="57">
        <f>INDEX(GUL_2!$A:$J,MATCH('2019'!$A78,GUL_2!$A:$A,0),MATCH('2019'!$A$1,GUL_2!$3:$3,0))</f>
        <v>24.9</v>
      </c>
      <c r="Z78" s="57">
        <f>INDEX(GUL_3!$A:$J,MATCH('2019'!$A78,GUL_3!$A:$A,0),MATCH('2019'!$A$1,GUL_3!$3:$3,0))/(B78/1000)</f>
        <v>0.77926559783586802</v>
      </c>
      <c r="AA78" s="101">
        <f>INDEX(GUL_4!$A:$J,MATCH('2019'!$A78,GUL_4!$A:$A,0),MATCH('2019'!$A$1,GUL_4!$3:$3,0))/B78/C78*10^6</f>
        <v>0.46070377863581879</v>
      </c>
      <c r="AB78" s="73">
        <f>INDEX(GUL_5!$A:$J,MATCH('2019'!$A78,GUL_5!$A:$A,0),MATCH('2019'!$A$1,GUL_5!$3:$3,0))</f>
        <v>4.1977726586355846E-2</v>
      </c>
      <c r="AC78" s="49" t="e">
        <f>INDEX(GUL_6!$A:$J,MATCH('2019'!$A78,GUL_6!$A:$A,0),MATCH('2019'!$A$1,GUL_6!$3:$3,0))</f>
        <v>#N/A</v>
      </c>
      <c r="AD78" s="49" t="e">
        <f>INDEX(GUL_7!$A:$J,MATCH('2019'!$A78,GUL_7!$A:$A,0),MATCH('2019'!$A$1,GUL_7!$3:$3,0))</f>
        <v>#N/A</v>
      </c>
      <c r="AE78" s="103">
        <f>INDEX(GUL_8!$A:$J,MATCH('2019'!$A78,GUL_8!$A:$A,0),MATCH('2019'!$A$1,GUL_8!$3:$3,0))/(B78/1000)</f>
        <v>4.6273533357206071</v>
      </c>
      <c r="AF78" s="41">
        <f>INDEX(DES_1!$A:$J,MATCH('2019'!$A78,DES_1!$A:$A,0),MATCH('2019'!$A$1,DES_1!$3:$3,0))/(B78/1000)</f>
        <v>0.30614005629266244</v>
      </c>
      <c r="AG78" s="100">
        <f>INDEX(DES_2!$A:$J,MATCH('2019'!$A78,DES_2!$A:$A,0),MATCH('2019'!$A$1,DES_2!$3:$3,0))/(B78/1000)</f>
        <v>1.1429228768259398</v>
      </c>
      <c r="AH78" s="57">
        <f>1/INDEX(DES_3!$A:$J,MATCH('2019'!$A78,DES_3!$A:$A,0),MATCH('2019'!$A$1,DES_3!$3:$3,0))</f>
        <v>7.5301204819277099E-3</v>
      </c>
      <c r="AI78" s="80">
        <f>INDEX(DES_4!$A:$J,MATCH('2019'!$A78,DES_4!$A:$A,0),MATCH('2019'!$A$1,DES_4!$3:$3,0))</f>
        <v>0.75502425721400002</v>
      </c>
      <c r="AJ78" s="110">
        <f>INDEX(DES_5!$A:$J,MATCH('2019'!$A78,DES_5!$A:$A,0),MATCH('2019'!$A$1,DES_5!$3:$3,0))</f>
        <v>0.55590098781999997</v>
      </c>
      <c r="AK78" s="57">
        <v>75</v>
      </c>
    </row>
    <row r="79" spans="1:37" x14ac:dyDescent="0.3">
      <c r="A79" s="29" t="s">
        <v>78</v>
      </c>
      <c r="B79" s="33">
        <f>INDEX(Population!$A:$J,MATCH('2019'!$A79,Population!$A:$A,0),MATCH('2019'!$A$1,Population!$3:$3,0))</f>
        <v>1239717</v>
      </c>
      <c r="C79" s="14">
        <f>INDEX(Income!$A:$J,MATCH('2019'!$A79,Income!$A:$A,0),MATCH('2019'!$A$1,Income!$3:$3,0))</f>
        <v>28667</v>
      </c>
      <c r="D79" s="34">
        <f>INDEX(Livable_wage!$A:$J,MATCH('2019'!$A79,Livable_wage!$A:$A,0),MATCH('2019'!$A$1,Livable_wage!$3:$3,0))</f>
        <v>10753</v>
      </c>
      <c r="E79" s="41">
        <f>INDEX(AVA_1!$A:$J,MATCH('2019'!$A79,AVA_1!$A:$A,0),MATCH('2019'!$A$1,AVA_1!$3:$3,0))</f>
        <v>0.35699999999999998</v>
      </c>
      <c r="F79" s="15">
        <f>INDEX(AVA_2!$A:$J,MATCH('2019'!$A79,AVA_2!$A:$A,0),MATCH('2019'!$A$1,AVA_2!$3:$3,0))</f>
        <v>1.4024852444888013E-2</v>
      </c>
      <c r="G79" s="15">
        <f>INDEX(AVA_3!$A:$J,MATCH('2019'!$A79,AVA_3!$A:$A,0),MATCH('2019'!$A$1,AVA_3!$3:$3,0))</f>
        <v>8.7041162310983203E-2</v>
      </c>
      <c r="H79" s="87">
        <f>INDEX(AVA_4!$A:$J,MATCH('2019'!$A79,AVA_4!$A:$A,0),MATCH('2019'!$A$1,AVA_4!$3:$3,0))/(B79/1000)</f>
        <v>0.58481088829144068</v>
      </c>
      <c r="I79" s="89">
        <f>INDEX(AVA_5!$A:$J,MATCH('2019'!$A79,AVA_5!$A:$A,0),MATCH('2019'!$A$1,AVA_5!$3:$3,0))/(B79/1000)</f>
        <v>6.3151509578395713</v>
      </c>
      <c r="J79" s="93">
        <f>INDEX(IRA_1!$A:$J,MATCH('2019'!$A79,IRA_1!$A:$A,0),MATCH('2019'!$A$1,IRA_1!$3:$3,0))/(B79/1000)</f>
        <v>5.8077770975149969E-2</v>
      </c>
      <c r="K79" s="88">
        <f>INDEX(IRA_2!$A:$J,MATCH('2019'!$A79,IRA_2!$A:$A,0),MATCH('2019'!$A$1,IRA_2!$3:$3,0))/(B79/1000)</f>
        <v>0.16132714159763881</v>
      </c>
      <c r="L79" s="15">
        <f>INDEX(IRA_3!$A:$J,MATCH('2019'!$A79,IRA_3!$A:$A,0),MATCH('2019'!$A$1,IRA_3!$3:$3,0))</f>
        <v>0.38177698656740577</v>
      </c>
      <c r="M79" s="96">
        <f>INDEX(IRA_4!$A:$J,MATCH('2019'!$A79,IRA_4!$A:$A,0),MATCH('2019'!$A$1,IRA_4!$3:$3,0))/(B79/1000)</f>
        <v>4.8390076122211756</v>
      </c>
      <c r="N79" s="61">
        <f>INDEX(INV_1!$A:$J,MATCH('2019'!$A79,INV_1!$A:$A,0),MATCH('2019'!$A$1,INV_1!$3:$3,0))</f>
        <v>6.8540305428531831E-2</v>
      </c>
      <c r="O79" s="80">
        <f>INDEX(INV_2!$A:$J,MATCH('2019'!$A79,INV_2!$A:$A,0),MATCH('2019'!$A$1,INV_2!$3:$3,0))/B79*10^6/C79</f>
        <v>0.43047485111529865</v>
      </c>
      <c r="P79" s="87">
        <f>INDEX(INV_3!$A:$J,MATCH('2019'!$A79,INV_3!$A:$A,0),MATCH('2019'!$A$1,INV_3!$3:$3,0))/B79*10^6/C79</f>
        <v>3.2760659367792049</v>
      </c>
      <c r="Q79" s="87">
        <f>INDEX(INV_4!$A:$J,MATCH('2019'!$A79,INV_4!$A:$A,0),MATCH('2019'!$A$1,INV_4!$3:$3,0))/B79*10^3/C79</f>
        <v>0.27132193614839895</v>
      </c>
      <c r="R79" s="34">
        <f>INDEX(INV_5!$A:$J,MATCH('2019'!$A79,INV_5!$A:$A,0),MATCH('2019'!$A$1,INV_5!$3:$3,0))</f>
        <v>9.0700000000000003E-2</v>
      </c>
      <c r="S79" s="77">
        <f>INDEX(LUJ_1!$A:$J,MATCH('2019'!$A79,LUJ_1!$A:$A,0),MATCH('2019'!$A$1,LUJ_1!$3:$3,0))</f>
        <v>0.67189249720044797</v>
      </c>
      <c r="T79" s="73">
        <f>INDEX(LUJ_2!$A:$J,MATCH('2019'!$A79,LUJ_2!$A:$A,0),MATCH('2019'!$A$1,LUJ_2!$3:$3,0))</f>
        <v>0.20699999999999999</v>
      </c>
      <c r="U79" s="73">
        <f>INDEX(LUJ_3!$A:$J,MATCH('2019'!$A79,LUJ_3!$A:$A,0),MATCH('2019'!$A$1,LUJ_3!$3:$3,0))</f>
        <v>0.41246008992131217</v>
      </c>
      <c r="V79" s="14">
        <f>INDEX(LUJ_4!$A:$J,MATCH('2019'!$A79,LUJ_4!$A:$A,0),MATCH('2019'!$A$1,LUJ_4!$3:$3,0))</f>
        <v>26</v>
      </c>
      <c r="W79" s="34">
        <f>INDEX(LUJ_5!$A:$J,MATCH('2019'!$A79,LUJ_5!$A:$A,0),MATCH('2019'!$A$1,LUJ_5!$3:$3,0))</f>
        <v>57.8</v>
      </c>
      <c r="X79" s="98">
        <f>1/INDEX(GUL_1!$A:$J,MATCH('2019'!$A79,GUL_1!$A:$A,0),MATCH('2019'!$A$1,GUL_1!$3:$3,0))</f>
        <v>1.3713658804168952E-2</v>
      </c>
      <c r="Y79" s="57">
        <f>INDEX(GUL_2!$A:$J,MATCH('2019'!$A79,GUL_2!$A:$A,0),MATCH('2019'!$A$1,GUL_2!$3:$3,0))</f>
        <v>25.6</v>
      </c>
      <c r="Z79" s="57">
        <f>INDEX(GUL_3!$A:$J,MATCH('2019'!$A79,GUL_3!$A:$A,0),MATCH('2019'!$A$1,GUL_3!$3:$3,0))/(B79/1000)</f>
        <v>1.0163609920651244</v>
      </c>
      <c r="AA79" s="101">
        <f>INDEX(GUL_4!$A:$J,MATCH('2019'!$A79,GUL_4!$A:$A,0),MATCH('2019'!$A$1,GUL_4!$3:$3,0))/B79/C79*10^6</f>
        <v>0.37253727467552988</v>
      </c>
      <c r="AB79" s="73">
        <f>INDEX(GUL_5!$A:$J,MATCH('2019'!$A79,GUL_5!$A:$A,0),MATCH('2019'!$A$1,GUL_5!$3:$3,0))</f>
        <v>2.9270058978655759E-2</v>
      </c>
      <c r="AC79" s="49" t="e">
        <f>INDEX(GUL_6!$A:$J,MATCH('2019'!$A79,GUL_6!$A:$A,0),MATCH('2019'!$A$1,GUL_6!$3:$3,0))</f>
        <v>#N/A</v>
      </c>
      <c r="AD79" s="49" t="e">
        <f>INDEX(GUL_7!$A:$J,MATCH('2019'!$A79,GUL_7!$A:$A,0),MATCH('2019'!$A$1,GUL_7!$3:$3,0))</f>
        <v>#N/A</v>
      </c>
      <c r="AE79" s="103">
        <f>INDEX(GUL_8!$A:$J,MATCH('2019'!$A79,GUL_8!$A:$A,0),MATCH('2019'!$A$1,GUL_8!$3:$3,0))/(B79/1000)</f>
        <v>1.8899474638163385</v>
      </c>
      <c r="AF79" s="41">
        <f>INDEX(DES_1!$A:$J,MATCH('2019'!$A79,DES_1!$A:$A,0),MATCH('2019'!$A$1,DES_1!$3:$3,0))/(B79/1000)</f>
        <v>5.1624685311244416E-2</v>
      </c>
      <c r="AG79" s="100">
        <f>INDEX(DES_2!$A:$J,MATCH('2019'!$A79,DES_2!$A:$A,0),MATCH('2019'!$A$1,DES_2!$3:$3,0))/(B79/1000)</f>
        <v>0.30732820474350192</v>
      </c>
      <c r="AH79" s="57">
        <f>1/INDEX(DES_3!$A:$J,MATCH('2019'!$A79,DES_3!$A:$A,0),MATCH('2019'!$A$1,DES_3!$3:$3,0))</f>
        <v>8.1833060556464818E-3</v>
      </c>
      <c r="AI79" s="80">
        <f>INDEX(DES_4!$A:$J,MATCH('2019'!$A79,DES_4!$A:$A,0),MATCH('2019'!$A$1,DES_4!$3:$3,0))</f>
        <v>0.83158107845900009</v>
      </c>
      <c r="AJ79" s="110">
        <f>INDEX(DES_5!$A:$J,MATCH('2019'!$A79,DES_5!$A:$A,0),MATCH('2019'!$A$1,DES_5!$3:$3,0))</f>
        <v>0.81547780305200002</v>
      </c>
      <c r="AK79" s="57">
        <v>66</v>
      </c>
    </row>
    <row r="80" spans="1:37" x14ac:dyDescent="0.3">
      <c r="A80" s="29" t="s">
        <v>79</v>
      </c>
      <c r="B80" s="33">
        <f>INDEX(Population!$A:$J,MATCH('2019'!$A80,Population!$A:$A,0),MATCH('2019'!$A$1,Population!$3:$3,0))</f>
        <v>1476440</v>
      </c>
      <c r="C80" s="14">
        <f>INDEX(Income!$A:$J,MATCH('2019'!$A80,Income!$A:$A,0),MATCH('2019'!$A$1,Income!$3:$3,0))</f>
        <v>25066</v>
      </c>
      <c r="D80" s="34">
        <f>INDEX(Livable_wage!$A:$J,MATCH('2019'!$A80,Livable_wage!$A:$A,0),MATCH('2019'!$A$1,Livable_wage!$3:$3,0))</f>
        <v>10029</v>
      </c>
      <c r="E80" s="41">
        <f>INDEX(AVA_1!$A:$J,MATCH('2019'!$A80,AVA_1!$A:$A,0),MATCH('2019'!$A$1,AVA_1!$3:$3,0))</f>
        <v>0.35199999999999998</v>
      </c>
      <c r="F80" s="15">
        <f>INDEX(AVA_2!$A:$J,MATCH('2019'!$A80,AVA_2!$A:$A,0),MATCH('2019'!$A$1,AVA_2!$3:$3,0))</f>
        <v>9.9321813720978543E-3</v>
      </c>
      <c r="G80" s="15">
        <f>INDEX(AVA_3!$A:$J,MATCH('2019'!$A80,AVA_3!$A:$A,0),MATCH('2019'!$A$1,AVA_3!$3:$3,0))</f>
        <v>1.908372386773885E-2</v>
      </c>
      <c r="H80" s="87">
        <f>INDEX(AVA_4!$A:$J,MATCH('2019'!$A80,AVA_4!$A:$A,0),MATCH('2019'!$A$1,AVA_4!$3:$3,0))/(B80/1000)</f>
        <v>0.78973747663298199</v>
      </c>
      <c r="I80" s="89">
        <f>INDEX(AVA_5!$A:$J,MATCH('2019'!$A80,AVA_5!$A:$A,0),MATCH('2019'!$A$1,AVA_5!$3:$3,0))/(B80/1000)</f>
        <v>6.5657933949229221</v>
      </c>
      <c r="J80" s="93">
        <f>INDEX(IRA_1!$A:$J,MATCH('2019'!$A80,IRA_1!$A:$A,0),MATCH('2019'!$A$1,IRA_1!$3:$3,0))/(B80/1000)</f>
        <v>5.3507084608924164E-2</v>
      </c>
      <c r="K80" s="88">
        <f>INDEX(IRA_2!$A:$J,MATCH('2019'!$A80,IRA_2!$A:$A,0),MATCH('2019'!$A$1,IRA_2!$3:$3,0))/(B80/1000)</f>
        <v>0.19303188751320743</v>
      </c>
      <c r="L80" s="15">
        <f>INDEX(IRA_3!$A:$J,MATCH('2019'!$A80,IRA_3!$A:$A,0),MATCH('2019'!$A$1,IRA_3!$3:$3,0))</f>
        <v>0.34173810724491516</v>
      </c>
      <c r="M80" s="96">
        <f>INDEX(IRA_4!$A:$J,MATCH('2019'!$A80,IRA_4!$A:$A,0),MATCH('2019'!$A$1,IRA_4!$3:$3,0))/(B80/1000)</f>
        <v>4.0651838205413018</v>
      </c>
      <c r="N80" s="61">
        <f>INDEX(INV_1!$A:$J,MATCH('2019'!$A80,INV_1!$A:$A,0),MATCH('2019'!$A$1,INV_1!$3:$3,0))</f>
        <v>8.7897610174035301E-2</v>
      </c>
      <c r="O80" s="80">
        <f>INDEX(INV_2!$A:$J,MATCH('2019'!$A80,INV_2!$A:$A,0),MATCH('2019'!$A$1,INV_2!$3:$3,0))/B80*10^6/C80</f>
        <v>0.27790775318670352</v>
      </c>
      <c r="P80" s="87">
        <f>INDEX(INV_3!$A:$J,MATCH('2019'!$A80,INV_3!$A:$A,0),MATCH('2019'!$A$1,INV_3!$3:$3,0))/B80*10^6/C80</f>
        <v>4.8983684616866574</v>
      </c>
      <c r="Q80" s="87">
        <f>INDEX(INV_4!$A:$J,MATCH('2019'!$A80,INV_4!$A:$A,0),MATCH('2019'!$A$1,INV_4!$3:$3,0))/B80*10^3/C80</f>
        <v>0.24313765899308909</v>
      </c>
      <c r="R80" s="34">
        <f>INDEX(INV_5!$A:$J,MATCH('2019'!$A80,INV_5!$A:$A,0),MATCH('2019'!$A$1,INV_5!$3:$3,0))</f>
        <v>6.1400000000000003E-2</v>
      </c>
      <c r="S80" s="77">
        <f>INDEX(LUJ_1!$A:$J,MATCH('2019'!$A80,LUJ_1!$A:$A,0),MATCH('2019'!$A$1,LUJ_1!$3:$3,0))</f>
        <v>0.62648756922351834</v>
      </c>
      <c r="T80" s="73">
        <f>INDEX(LUJ_2!$A:$J,MATCH('2019'!$A80,LUJ_2!$A:$A,0),MATCH('2019'!$A$1,LUJ_2!$3:$3,0))</f>
        <v>0.23</v>
      </c>
      <c r="U80" s="73">
        <f>INDEX(LUJ_3!$A:$J,MATCH('2019'!$A80,LUJ_3!$A:$A,0),MATCH('2019'!$A$1,LUJ_3!$3:$3,0))</f>
        <v>0.45955756455037328</v>
      </c>
      <c r="V80" s="14">
        <f>INDEX(LUJ_4!$A:$J,MATCH('2019'!$A80,LUJ_4!$A:$A,0),MATCH('2019'!$A$1,LUJ_4!$3:$3,0))</f>
        <v>56</v>
      </c>
      <c r="W80" s="34">
        <f>INDEX(LUJ_5!$A:$J,MATCH('2019'!$A80,LUJ_5!$A:$A,0),MATCH('2019'!$A$1,LUJ_5!$3:$3,0))</f>
        <v>64.7</v>
      </c>
      <c r="X80" s="98">
        <f>1/INDEX(GUL_1!$A:$J,MATCH('2019'!$A80,GUL_1!$A:$A,0),MATCH('2019'!$A$1,GUL_1!$3:$3,0))</f>
        <v>1.3736263736263736E-2</v>
      </c>
      <c r="Y80" s="57">
        <f>INDEX(GUL_2!$A:$J,MATCH('2019'!$A80,GUL_2!$A:$A,0),MATCH('2019'!$A$1,GUL_2!$3:$3,0))</f>
        <v>24.2</v>
      </c>
      <c r="Z80" s="57">
        <f>INDEX(GUL_3!$A:$J,MATCH('2019'!$A80,GUL_3!$A:$A,0),MATCH('2019'!$A$1,GUL_3!$3:$3,0))/(B80/1000)</f>
        <v>0.79041478150144939</v>
      </c>
      <c r="AA80" s="101">
        <f>INDEX(GUL_4!$A:$J,MATCH('2019'!$A80,GUL_4!$A:$A,0),MATCH('2019'!$A$1,GUL_4!$3:$3,0))/B80/C80*10^6</f>
        <v>0.35770754447239539</v>
      </c>
      <c r="AB80" s="73">
        <f>INDEX(GUL_5!$A:$J,MATCH('2019'!$A80,GUL_5!$A:$A,0),MATCH('2019'!$A$1,GUL_5!$3:$3,0))</f>
        <v>3.595905608063233E-2</v>
      </c>
      <c r="AC80" s="49" t="e">
        <f>INDEX(GUL_6!$A:$J,MATCH('2019'!$A80,GUL_6!$A:$A,0),MATCH('2019'!$A$1,GUL_6!$3:$3,0))</f>
        <v>#N/A</v>
      </c>
      <c r="AD80" s="49" t="e">
        <f>INDEX(GUL_7!$A:$J,MATCH('2019'!$A80,GUL_7!$A:$A,0),MATCH('2019'!$A$1,GUL_7!$3:$3,0))</f>
        <v>#N/A</v>
      </c>
      <c r="AE80" s="103">
        <f>INDEX(GUL_8!$A:$J,MATCH('2019'!$A80,GUL_8!$A:$A,0),MATCH('2019'!$A$1,GUL_8!$3:$3,0))/(B80/1000)</f>
        <v>3.6642193384086044</v>
      </c>
      <c r="AF80" s="41">
        <f>INDEX(DES_1!$A:$J,MATCH('2019'!$A80,DES_1!$A:$A,0),MATCH('2019'!$A$1,DES_1!$3:$3,0))/(B80/1000)</f>
        <v>0.27701769120316438</v>
      </c>
      <c r="AG80" s="100">
        <f>INDEX(DES_2!$A:$J,MATCH('2019'!$A80,DES_2!$A:$A,0),MATCH('2019'!$A$1,DES_2!$3:$3,0))/(B80/1000)</f>
        <v>0.60686516214678554</v>
      </c>
      <c r="AH80" s="57">
        <f>1/INDEX(DES_3!$A:$J,MATCH('2019'!$A80,DES_3!$A:$A,0),MATCH('2019'!$A$1,DES_3!$3:$3,0))</f>
        <v>8.7796312554872698E-3</v>
      </c>
      <c r="AI80" s="80">
        <f>INDEX(DES_4!$A:$J,MATCH('2019'!$A80,DES_4!$A:$A,0),MATCH('2019'!$A$1,DES_4!$3:$3,0))</f>
        <v>0.85103447333500004</v>
      </c>
      <c r="AJ80" s="110">
        <f>INDEX(DES_5!$A:$J,MATCH('2019'!$A80,DES_5!$A:$A,0),MATCH('2019'!$A$1,DES_5!$3:$3,0))</f>
        <v>0.75220523106399995</v>
      </c>
      <c r="AK80" s="57">
        <v>59</v>
      </c>
    </row>
    <row r="81" spans="1:37" x14ac:dyDescent="0.3">
      <c r="A81" s="29" t="s">
        <v>80</v>
      </c>
      <c r="B81" s="33">
        <f>INDEX(Population!$A:$J,MATCH('2019'!$A81,Population!$A:$A,0),MATCH('2019'!$A$1,Population!$3:$3,0))</f>
        <v>1163259</v>
      </c>
      <c r="C81" s="14">
        <f>INDEX(Income!$A:$J,MATCH('2019'!$A81,Income!$A:$A,0),MATCH('2019'!$A$1,Income!$3:$3,0))</f>
        <v>28418</v>
      </c>
      <c r="D81" s="34">
        <f>INDEX(Livable_wage!$A:$J,MATCH('2019'!$A81,Livable_wage!$A:$A,0),MATCH('2019'!$A$1,Livable_wage!$3:$3,0))</f>
        <v>11659</v>
      </c>
      <c r="E81" s="41">
        <f>INDEX(AVA_1!$A:$J,MATCH('2019'!$A81,AVA_1!$A:$A,0),MATCH('2019'!$A$1,AVA_1!$3:$3,0))</f>
        <v>0.35599999999999998</v>
      </c>
      <c r="F81" s="15">
        <f>INDEX(AVA_2!$A:$J,MATCH('2019'!$A81,AVA_2!$A:$A,0),MATCH('2019'!$A$1,AVA_2!$3:$3,0))</f>
        <v>9.9900940018624769E-3</v>
      </c>
      <c r="G81" s="15">
        <f>INDEX(AVA_3!$A:$J,MATCH('2019'!$A81,AVA_3!$A:$A,0),MATCH('2019'!$A$1,AVA_3!$3:$3,0))</f>
        <v>0.3570508521044029</v>
      </c>
      <c r="H81" s="87">
        <f>INDEX(AVA_4!$A:$J,MATCH('2019'!$A81,AVA_4!$A:$A,0),MATCH('2019'!$A$1,AVA_4!$3:$3,0))/(B81/1000)</f>
        <v>0.58112595733194417</v>
      </c>
      <c r="I81" s="89">
        <f>INDEX(AVA_5!$A:$J,MATCH('2019'!$A81,AVA_5!$A:$A,0),MATCH('2019'!$A$1,AVA_5!$3:$3,0))/(B81/1000)</f>
        <v>5.3083621102437206</v>
      </c>
      <c r="J81" s="93">
        <f>INDEX(IRA_1!$A:$J,MATCH('2019'!$A81,IRA_1!$A:$A,0),MATCH('2019'!$A$1,IRA_1!$3:$3,0))/(B81/1000)</f>
        <v>5.4158188331231476E-2</v>
      </c>
      <c r="K81" s="88">
        <f>INDEX(IRA_2!$A:$J,MATCH('2019'!$A81,IRA_2!$A:$A,0),MATCH('2019'!$A$1,IRA_2!$3:$3,0))/(B81/1000)</f>
        <v>0.20545725414546545</v>
      </c>
      <c r="L81" s="15">
        <f>INDEX(IRA_3!$A:$J,MATCH('2019'!$A81,IRA_3!$A:$A,0),MATCH('2019'!$A$1,IRA_3!$3:$3,0))</f>
        <v>0.35790172642762286</v>
      </c>
      <c r="M81" s="96">
        <f>INDEX(IRA_4!$A:$J,MATCH('2019'!$A81,IRA_4!$A:$A,0),MATCH('2019'!$A$1,IRA_4!$3:$3,0))/(B81/1000)</f>
        <v>4.5587440114368336</v>
      </c>
      <c r="N81" s="61">
        <f>INDEX(INV_1!$A:$J,MATCH('2019'!$A81,INV_1!$A:$A,0),MATCH('2019'!$A$1,INV_1!$3:$3,0))</f>
        <v>7.8338109605910186E-2</v>
      </c>
      <c r="O81" s="80">
        <f>INDEX(INV_2!$A:$J,MATCH('2019'!$A81,INV_2!$A:$A,0),MATCH('2019'!$A$1,INV_2!$3:$3,0))/B81*10^6/C81</f>
        <v>0.22508522288554816</v>
      </c>
      <c r="P81" s="87">
        <f>INDEX(INV_3!$A:$J,MATCH('2019'!$A81,INV_3!$A:$A,0),MATCH('2019'!$A$1,INV_3!$3:$3,0))/B81*10^6/C81</f>
        <v>3.9165702933760973</v>
      </c>
      <c r="Q81" s="87">
        <f>INDEX(INV_4!$A:$J,MATCH('2019'!$A81,INV_4!$A:$A,0),MATCH('2019'!$A$1,INV_4!$3:$3,0))/B81*10^3/C81</f>
        <v>0.25989977709460554</v>
      </c>
      <c r="R81" s="34">
        <f>INDEX(INV_5!$A:$J,MATCH('2019'!$A81,INV_5!$A:$A,0),MATCH('2019'!$A$1,INV_5!$3:$3,0))</f>
        <v>4.7100000000000003E-2</v>
      </c>
      <c r="S81" s="77">
        <f>INDEX(LUJ_1!$A:$J,MATCH('2019'!$A81,LUJ_1!$A:$A,0),MATCH('2019'!$A$1,LUJ_1!$3:$3,0))</f>
        <v>0.67659450820862999</v>
      </c>
      <c r="T81" s="73">
        <f>INDEX(LUJ_2!$A:$J,MATCH('2019'!$A81,LUJ_2!$A:$A,0),MATCH('2019'!$A$1,LUJ_2!$3:$3,0))</f>
        <v>0.25600000000000001</v>
      </c>
      <c r="U81" s="73">
        <f>INDEX(LUJ_3!$A:$J,MATCH('2019'!$A81,LUJ_3!$A:$A,0),MATCH('2019'!$A$1,LUJ_3!$3:$3,0))</f>
        <v>0.6156468095657085</v>
      </c>
      <c r="V81" s="14">
        <f>INDEX(LUJ_4!$A:$J,MATCH('2019'!$A81,LUJ_4!$A:$A,0),MATCH('2019'!$A$1,LUJ_4!$3:$3,0))</f>
        <v>15</v>
      </c>
      <c r="W81" s="34">
        <f>INDEX(LUJ_5!$A:$J,MATCH('2019'!$A81,LUJ_5!$A:$A,0),MATCH('2019'!$A$1,LUJ_5!$3:$3,0))</f>
        <v>30.4</v>
      </c>
      <c r="X81" s="98">
        <f>1/INDEX(GUL_1!$A:$J,MATCH('2019'!$A81,GUL_1!$A:$A,0),MATCH('2019'!$A$1,GUL_1!$3:$3,0))</f>
        <v>1.3923698134224451E-2</v>
      </c>
      <c r="Y81" s="57">
        <f>INDEX(GUL_2!$A:$J,MATCH('2019'!$A81,GUL_2!$A:$A,0),MATCH('2019'!$A$1,GUL_2!$3:$3,0))</f>
        <v>24.8</v>
      </c>
      <c r="Z81" s="57">
        <f>INDEX(GUL_3!$A:$J,MATCH('2019'!$A81,GUL_3!$A:$A,0),MATCH('2019'!$A$1,GUL_3!$3:$3,0))/(B81/1000)</f>
        <v>0.88974166544166</v>
      </c>
      <c r="AA81" s="101">
        <f>INDEX(GUL_4!$A:$J,MATCH('2019'!$A81,GUL_4!$A:$A,0),MATCH('2019'!$A$1,GUL_4!$3:$3,0))/B81/C81*10^6</f>
        <v>0.27513246853845885</v>
      </c>
      <c r="AB81" s="73">
        <f>INDEX(GUL_5!$A:$J,MATCH('2019'!$A81,GUL_5!$A:$A,0),MATCH('2019'!$A$1,GUL_5!$3:$3,0))</f>
        <v>2.5916602452027825E-2</v>
      </c>
      <c r="AC81" s="49" t="e">
        <f>INDEX(GUL_6!$A:$J,MATCH('2019'!$A81,GUL_6!$A:$A,0),MATCH('2019'!$A$1,GUL_6!$3:$3,0))</f>
        <v>#N/A</v>
      </c>
      <c r="AD81" s="49" t="e">
        <f>INDEX(GUL_7!$A:$J,MATCH('2019'!$A81,GUL_7!$A:$A,0),MATCH('2019'!$A$1,GUL_7!$3:$3,0))</f>
        <v>#N/A</v>
      </c>
      <c r="AE81" s="103">
        <f>INDEX(GUL_8!$A:$J,MATCH('2019'!$A81,GUL_8!$A:$A,0),MATCH('2019'!$A$1,GUL_8!$3:$3,0))/(B81/1000)</f>
        <v>3.3689831757158122</v>
      </c>
      <c r="AF81" s="41">
        <f>INDEX(DES_1!$A:$J,MATCH('2019'!$A81,DES_1!$A:$A,0),MATCH('2019'!$A$1,DES_1!$3:$3,0))/(B81/1000)</f>
        <v>0.11347429936067548</v>
      </c>
      <c r="AG81" s="100">
        <f>INDEX(DES_2!$A:$J,MATCH('2019'!$A81,DES_2!$A:$A,0),MATCH('2019'!$A$1,DES_2!$3:$3,0))/(B81/1000)</f>
        <v>0.36707216535612447</v>
      </c>
      <c r="AH81" s="57">
        <f>1/INDEX(DES_3!$A:$J,MATCH('2019'!$A81,DES_3!$A:$A,0),MATCH('2019'!$A$1,DES_3!$3:$3,0))</f>
        <v>8.5689802913453302E-3</v>
      </c>
      <c r="AI81" s="80">
        <f>INDEX(DES_4!$A:$J,MATCH('2019'!$A81,DES_4!$A:$A,0),MATCH('2019'!$A$1,DES_4!$3:$3,0))</f>
        <v>0.84830057335499998</v>
      </c>
      <c r="AJ81" s="110">
        <f>INDEX(DES_5!$A:$J,MATCH('2019'!$A81,DES_5!$A:$A,0),MATCH('2019'!$A$1,DES_5!$3:$3,0))</f>
        <v>0.66271930980399996</v>
      </c>
      <c r="AK81" s="57">
        <v>55</v>
      </c>
    </row>
    <row r="82" spans="1:37" x14ac:dyDescent="0.3">
      <c r="A82" s="29" t="s">
        <v>81</v>
      </c>
      <c r="B82" s="33">
        <f>INDEX(Population!$A:$J,MATCH('2019'!$A82,Population!$A:$A,0),MATCH('2019'!$A$1,Population!$3:$3,0))</f>
        <v>492438</v>
      </c>
      <c r="C82" s="14">
        <f>INDEX(Income!$A:$J,MATCH('2019'!$A82,Income!$A:$A,0),MATCH('2019'!$A$1,Income!$3:$3,0))</f>
        <v>16614</v>
      </c>
      <c r="D82" s="34">
        <f>INDEX(Livable_wage!$A:$J,MATCH('2019'!$A82,Livable_wage!$A:$A,0),MATCH('2019'!$A$1,Livable_wage!$3:$3,0))</f>
        <v>10534</v>
      </c>
      <c r="E82" s="41">
        <f>INDEX(AVA_1!$A:$J,MATCH('2019'!$A82,AVA_1!$A:$A,0),MATCH('2019'!$A$1,AVA_1!$3:$3,0))</f>
        <v>0.33400000000000002</v>
      </c>
      <c r="F82" s="15">
        <f>INDEX(AVA_2!$A:$J,MATCH('2019'!$A82,AVA_2!$A:$A,0),MATCH('2019'!$A$1,AVA_2!$3:$3,0))</f>
        <v>6.5551985402038954E-3</v>
      </c>
      <c r="G82" s="15">
        <f>INDEX(AVA_3!$A:$J,MATCH('2019'!$A82,AVA_3!$A:$A,0),MATCH('2019'!$A$1,AVA_3!$3:$3,0))</f>
        <v>3.8362269907401811E-2</v>
      </c>
      <c r="H82" s="87">
        <f>INDEX(AVA_4!$A:$J,MATCH('2019'!$A82,AVA_4!$A:$A,0),MATCH('2019'!$A$1,AVA_4!$3:$3,0))/(B82/1000)</f>
        <v>0.50564741145078163</v>
      </c>
      <c r="I82" s="89">
        <f>INDEX(AVA_5!$A:$J,MATCH('2019'!$A82,AVA_5!$A:$A,0),MATCH('2019'!$A$1,AVA_5!$3:$3,0))/(B82/1000)</f>
        <v>0.53813881138336195</v>
      </c>
      <c r="J82" s="93">
        <f>INDEX(IRA_1!$A:$J,MATCH('2019'!$A82,IRA_1!$A:$A,0),MATCH('2019'!$A$1,IRA_1!$3:$3,0))/(B82/1000)</f>
        <v>2.639926244522153E-2</v>
      </c>
      <c r="K82" s="88">
        <f>INDEX(IRA_2!$A:$J,MATCH('2019'!$A82,IRA_2!$A:$A,0),MATCH('2019'!$A$1,IRA_2!$3:$3,0))/(B82/1000)</f>
        <v>2.4368549949435259E-2</v>
      </c>
      <c r="L82" s="15">
        <f>INDEX(IRA_3!$A:$J,MATCH('2019'!$A82,IRA_3!$A:$A,0),MATCH('2019'!$A$1,IRA_3!$3:$3,0))</f>
        <v>0.72567287784679091</v>
      </c>
      <c r="M82" s="96">
        <f>INDEX(IRA_4!$A:$J,MATCH('2019'!$A82,IRA_4!$A:$A,0),MATCH('2019'!$A$1,IRA_4!$3:$3,0))/(B82/1000)</f>
        <v>1.2834102973369237</v>
      </c>
      <c r="N82" s="61">
        <f>INDEX(INV_1!$A:$J,MATCH('2019'!$A82,INV_1!$A:$A,0),MATCH('2019'!$A$1,INV_1!$3:$3,0))</f>
        <v>4.785964414805937E-2</v>
      </c>
      <c r="O82" s="80">
        <f>INDEX(INV_2!$A:$J,MATCH('2019'!$A82,INV_2!$A:$A,0),MATCH('2019'!$A$1,INV_2!$3:$3,0))/B82*10^6/C82</f>
        <v>7.0564363990407067E-2</v>
      </c>
      <c r="P82" s="87">
        <f>INDEX(INV_3!$A:$J,MATCH('2019'!$A82,INV_3!$A:$A,0),MATCH('2019'!$A$1,INV_3!$3:$3,0))/B82*10^6/C82</f>
        <v>0.90645021480383947</v>
      </c>
      <c r="Q82" s="87">
        <f>INDEX(INV_4!$A:$J,MATCH('2019'!$A82,INV_4!$A:$A,0),MATCH('2019'!$A$1,INV_4!$3:$3,0))/B82*10^3/C82</f>
        <v>0.21726230461222992</v>
      </c>
      <c r="R82" s="34">
        <f>INDEX(INV_5!$A:$J,MATCH('2019'!$A82,INV_5!$A:$A,0),MATCH('2019'!$A$1,INV_5!$3:$3,0))</f>
        <v>8.9399999999999993E-2</v>
      </c>
      <c r="S82" s="77">
        <f>INDEX(LUJ_1!$A:$J,MATCH('2019'!$A82,LUJ_1!$A:$A,0),MATCH('2019'!$A$1,LUJ_1!$3:$3,0))</f>
        <v>0.20473251028806586</v>
      </c>
      <c r="T82" s="73">
        <f>INDEX(LUJ_2!$A:$J,MATCH('2019'!$A82,LUJ_2!$A:$A,0),MATCH('2019'!$A$1,LUJ_2!$3:$3,0))</f>
        <v>9.9000000000000005E-2</v>
      </c>
      <c r="U82" s="73">
        <f>INDEX(LUJ_3!$A:$J,MATCH('2019'!$A82,LUJ_3!$A:$A,0),MATCH('2019'!$A$1,LUJ_3!$3:$3,0))</f>
        <v>0.10518662142510907</v>
      </c>
      <c r="V82" s="14">
        <f>INDEX(LUJ_4!$A:$J,MATCH('2019'!$A82,LUJ_4!$A:$A,0),MATCH('2019'!$A$1,LUJ_4!$3:$3,0))</f>
        <v>1</v>
      </c>
      <c r="W82" s="34">
        <f>INDEX(LUJ_5!$A:$J,MATCH('2019'!$A82,LUJ_5!$A:$A,0),MATCH('2019'!$A$1,LUJ_5!$3:$3,0))</f>
        <v>9.9</v>
      </c>
      <c r="X82" s="98">
        <f>1/INDEX(GUL_1!$A:$J,MATCH('2019'!$A82,GUL_1!$A:$A,0),MATCH('2019'!$A$1,GUL_1!$3:$3,0))</f>
        <v>1.1990407673860911E-2</v>
      </c>
      <c r="Y82" s="57">
        <f>INDEX(GUL_2!$A:$J,MATCH('2019'!$A82,GUL_2!$A:$A,0),MATCH('2019'!$A$1,GUL_2!$3:$3,0))</f>
        <v>24.2</v>
      </c>
      <c r="Z82" s="57">
        <f>INDEX(GUL_3!$A:$J,MATCH('2019'!$A82,GUL_3!$A:$A,0),MATCH('2019'!$A$1,GUL_3!$3:$3,0))/(B82/1000)</f>
        <v>4.4675674907297978E-2</v>
      </c>
      <c r="AA82" s="101">
        <f>INDEX(GUL_4!$A:$J,MATCH('2019'!$A82,GUL_4!$A:$A,0),MATCH('2019'!$A$1,GUL_4!$3:$3,0))/B82/C82*10^6</f>
        <v>5.4928487328842701E-2</v>
      </c>
      <c r="AB82" s="73">
        <f>INDEX(GUL_5!$A:$J,MATCH('2019'!$A82,GUL_5!$A:$A,0),MATCH('2019'!$A$1,GUL_5!$3:$3,0))</f>
        <v>4.1772596557776162E-3</v>
      </c>
      <c r="AC82" s="49" t="e">
        <f>INDEX(GUL_6!$A:$J,MATCH('2019'!$A82,GUL_6!$A:$A,0),MATCH('2019'!$A$1,GUL_6!$3:$3,0))</f>
        <v>#N/A</v>
      </c>
      <c r="AD82" s="49" t="e">
        <f>INDEX(GUL_7!$A:$J,MATCH('2019'!$A82,GUL_7!$A:$A,0),MATCH('2019'!$A$1,GUL_7!$3:$3,0))</f>
        <v>#N/A</v>
      </c>
      <c r="AE82" s="103">
        <f>INDEX(GUL_8!$A:$J,MATCH('2019'!$A82,GUL_8!$A:$A,0),MATCH('2019'!$A$1,GUL_8!$3:$3,0))/(B82/1000)</f>
        <v>0.17870269962919191</v>
      </c>
      <c r="AF82" s="41">
        <f>INDEX(DES_1!$A:$J,MATCH('2019'!$A82,DES_1!$A:$A,0),MATCH('2019'!$A$1,DES_1!$3:$3,0))/(B82/1000)</f>
        <v>2.0307124957862715E-3</v>
      </c>
      <c r="AG82" s="100">
        <f>INDEX(DES_2!$A:$J,MATCH('2019'!$A82,DES_2!$A:$A,0),MATCH('2019'!$A$1,DES_2!$3:$3,0))/(B82/1000)</f>
        <v>0.45691031155191114</v>
      </c>
      <c r="AH82" s="57">
        <f>1/INDEX(DES_3!$A:$J,MATCH('2019'!$A82,DES_3!$A:$A,0),MATCH('2019'!$A$1,DES_3!$3:$3,0))</f>
        <v>9.5238095238095247E-3</v>
      </c>
      <c r="AI82" s="80">
        <f>INDEX(DES_4!$A:$J,MATCH('2019'!$A82,DES_4!$A:$A,0),MATCH('2019'!$A$1,DES_4!$3:$3,0))</f>
        <v>0.721703916118</v>
      </c>
      <c r="AJ82" s="110">
        <f>INDEX(DES_5!$A:$J,MATCH('2019'!$A82,DES_5!$A:$A,0),MATCH('2019'!$A$1,DES_5!$3:$3,0))</f>
        <v>0.115269403198</v>
      </c>
      <c r="AK82" s="57">
        <v>34</v>
      </c>
    </row>
    <row r="83" spans="1:37" x14ac:dyDescent="0.3">
      <c r="A83" s="29" t="s">
        <v>82</v>
      </c>
      <c r="B83" s="33">
        <f>INDEX(Population!$A:$J,MATCH('2019'!$A83,Population!$A:$A,0),MATCH('2019'!$A$1,Population!$3:$3,0))</f>
        <v>3473309</v>
      </c>
      <c r="C83" s="14">
        <f>INDEX(Income!$A:$J,MATCH('2019'!$A83,Income!$A:$A,0),MATCH('2019'!$A$1,Income!$3:$3,0))</f>
        <v>25432</v>
      </c>
      <c r="D83" s="34">
        <f>INDEX(Livable_wage!$A:$J,MATCH('2019'!$A83,Livable_wage!$A:$A,0),MATCH('2019'!$A$1,Livable_wage!$3:$3,0))</f>
        <v>10777</v>
      </c>
      <c r="E83" s="41">
        <f>INDEX(AVA_1!$A:$J,MATCH('2019'!$A83,AVA_1!$A:$A,0),MATCH('2019'!$A$1,AVA_1!$3:$3,0))</f>
        <v>0.34799999999999998</v>
      </c>
      <c r="F83" s="15">
        <f>INDEX(AVA_2!$A:$J,MATCH('2019'!$A83,AVA_2!$A:$A,0),MATCH('2019'!$A$1,AVA_2!$3:$3,0))</f>
        <v>1.1498816472864012E-2</v>
      </c>
      <c r="G83" s="15">
        <f>INDEX(AVA_3!$A:$J,MATCH('2019'!$A83,AVA_3!$A:$A,0),MATCH('2019'!$A$1,AVA_3!$3:$3,0))</f>
        <v>4.2231344528871541E-2</v>
      </c>
      <c r="H83" s="87">
        <f>INDEX(AVA_4!$A:$J,MATCH('2019'!$A83,AVA_4!$A:$A,0),MATCH('2019'!$A$1,AVA_4!$3:$3,0))/(B83/1000)</f>
        <v>0.67601241352266672</v>
      </c>
      <c r="I83" s="89">
        <f>INDEX(AVA_5!$A:$J,MATCH('2019'!$A83,AVA_5!$A:$A,0),MATCH('2019'!$A$1,AVA_5!$3:$3,0))/(B83/1000)</f>
        <v>7.7226068858255914</v>
      </c>
      <c r="J83" s="93">
        <f>INDEX(IRA_1!$A:$J,MATCH('2019'!$A83,IRA_1!$A:$A,0),MATCH('2019'!$A$1,IRA_1!$3:$3,0))/(B83/1000)</f>
        <v>6.1324805826374791E-2</v>
      </c>
      <c r="K83" s="88">
        <f>INDEX(IRA_2!$A:$J,MATCH('2019'!$A83,IRA_2!$A:$A,0),MATCH('2019'!$A$1,IRA_2!$3:$3,0))/(B83/1000)</f>
        <v>0.1897326152093004</v>
      </c>
      <c r="L83" s="15">
        <f>INDEX(IRA_3!$A:$J,MATCH('2019'!$A83,IRA_3!$A:$A,0),MATCH('2019'!$A$1,IRA_3!$3:$3,0))</f>
        <v>0.36362648901118799</v>
      </c>
      <c r="M83" s="96">
        <f>INDEX(IRA_4!$A:$J,MATCH('2019'!$A83,IRA_4!$A:$A,0),MATCH('2019'!$A$1,IRA_4!$3:$3,0))/(B83/1000)</f>
        <v>6.4419837106344406</v>
      </c>
      <c r="N83" s="61">
        <f>INDEX(INV_1!$A:$J,MATCH('2019'!$A83,INV_1!$A:$A,0),MATCH('2019'!$A$1,INV_1!$3:$3,0))</f>
        <v>7.3018242738687428E-2</v>
      </c>
      <c r="O83" s="80">
        <f>INDEX(INV_2!$A:$J,MATCH('2019'!$A83,INV_2!$A:$A,0),MATCH('2019'!$A$1,INV_2!$3:$3,0))/B83*10^6/C83</f>
        <v>0.4270219342755035</v>
      </c>
      <c r="P83" s="87">
        <f>INDEX(INV_3!$A:$J,MATCH('2019'!$A83,INV_3!$A:$A,0),MATCH('2019'!$A$1,INV_3!$3:$3,0))/B83*10^6/C83</f>
        <v>4.2873690031831515</v>
      </c>
      <c r="Q83" s="87">
        <f>INDEX(INV_4!$A:$J,MATCH('2019'!$A83,INV_4!$A:$A,0),MATCH('2019'!$A$1,INV_4!$3:$3,0))/B83*10^3/C83</f>
        <v>0.27649485950967095</v>
      </c>
      <c r="R83" s="34">
        <f>INDEX(INV_5!$A:$J,MATCH('2019'!$A83,INV_5!$A:$A,0),MATCH('2019'!$A$1,INV_5!$3:$3,0))</f>
        <v>8.8300000000000003E-2</v>
      </c>
      <c r="S83" s="77">
        <f>INDEX(LUJ_1!$A:$J,MATCH('2019'!$A83,LUJ_1!$A:$A,0),MATCH('2019'!$A$1,LUJ_1!$3:$3,0))</f>
        <v>0.71915848774261693</v>
      </c>
      <c r="T83" s="73">
        <f>INDEX(LUJ_2!$A:$J,MATCH('2019'!$A83,LUJ_2!$A:$A,0),MATCH('2019'!$A$1,LUJ_2!$3:$3,0))</f>
        <v>0.222</v>
      </c>
      <c r="U83" s="73">
        <f>INDEX(LUJ_3!$A:$J,MATCH('2019'!$A83,LUJ_3!$A:$A,0),MATCH('2019'!$A$1,LUJ_3!$3:$3,0))</f>
        <v>0.51663696649236068</v>
      </c>
      <c r="V83" s="14">
        <f>INDEX(LUJ_4!$A:$J,MATCH('2019'!$A83,LUJ_4!$A:$A,0),MATCH('2019'!$A$1,LUJ_4!$3:$3,0))</f>
        <v>84</v>
      </c>
      <c r="W83" s="34">
        <f>INDEX(LUJ_5!$A:$J,MATCH('2019'!$A83,LUJ_5!$A:$A,0),MATCH('2019'!$A$1,LUJ_5!$3:$3,0))</f>
        <v>100.7</v>
      </c>
      <c r="X83" s="98">
        <f>1/INDEX(GUL_1!$A:$J,MATCH('2019'!$A83,GUL_1!$A:$A,0),MATCH('2019'!$A$1,GUL_1!$3:$3,0))</f>
        <v>1.3873473917869035E-2</v>
      </c>
      <c r="Y83" s="57">
        <f>INDEX(GUL_2!$A:$J,MATCH('2019'!$A83,GUL_2!$A:$A,0),MATCH('2019'!$A$1,GUL_2!$3:$3,0))</f>
        <v>24.8</v>
      </c>
      <c r="Z83" s="57">
        <f>INDEX(GUL_3!$A:$J,MATCH('2019'!$A83,GUL_3!$A:$A,0),MATCH('2019'!$A$1,GUL_3!$3:$3,0))/(B83/1000)</f>
        <v>0.68781671886952755</v>
      </c>
      <c r="AA83" s="101">
        <f>INDEX(GUL_4!$A:$J,MATCH('2019'!$A83,GUL_4!$A:$A,0),MATCH('2019'!$A$1,GUL_4!$3:$3,0))/B83/C83*10^6</f>
        <v>0.26091086293874421</v>
      </c>
      <c r="AB83" s="73">
        <f>INDEX(GUL_5!$A:$J,MATCH('2019'!$A83,GUL_5!$A:$A,0),MATCH('2019'!$A$1,GUL_5!$3:$3,0))</f>
        <v>3.5229691313917053E-2</v>
      </c>
      <c r="AC83" s="49" t="e">
        <f>INDEX(GUL_6!$A:$J,MATCH('2019'!$A83,GUL_6!$A:$A,0),MATCH('2019'!$A$1,GUL_6!$3:$3,0))</f>
        <v>#N/A</v>
      </c>
      <c r="AD83" s="49" t="e">
        <f>INDEX(GUL_7!$A:$J,MATCH('2019'!$A83,GUL_7!$A:$A,0),MATCH('2019'!$A$1,GUL_7!$3:$3,0))</f>
        <v>#N/A</v>
      </c>
      <c r="AE83" s="103">
        <f>INDEX(GUL_8!$A:$J,MATCH('2019'!$A83,GUL_8!$A:$A,0),MATCH('2019'!$A$1,GUL_8!$3:$3,0))/(B83/1000)</f>
        <v>3.050693157447264</v>
      </c>
      <c r="AF83" s="41">
        <f>INDEX(DES_1!$A:$J,MATCH('2019'!$A83,DES_1!$A:$A,0),MATCH('2019'!$A$1,DES_1!$3:$3,0))/(B83/1000)</f>
        <v>0.15403178928220898</v>
      </c>
      <c r="AG83" s="100">
        <f>INDEX(DES_2!$A:$J,MATCH('2019'!$A83,DES_2!$A:$A,0),MATCH('2019'!$A$1,DES_2!$3:$3,0))/(B83/1000)</f>
        <v>0.77937206277932658</v>
      </c>
      <c r="AH83" s="57">
        <f>1/INDEX(DES_3!$A:$J,MATCH('2019'!$A83,DES_3!$A:$A,0),MATCH('2019'!$A$1,DES_3!$3:$3,0))</f>
        <v>9.1743119266055051E-3</v>
      </c>
      <c r="AI83" s="80">
        <f>INDEX(DES_4!$A:$J,MATCH('2019'!$A83,DES_4!$A:$A,0),MATCH('2019'!$A$1,DES_4!$3:$3,0))</f>
        <v>0.94225093745099997</v>
      </c>
      <c r="AJ83" s="110">
        <f>INDEX(DES_5!$A:$J,MATCH('2019'!$A83,DES_5!$A:$A,0),MATCH('2019'!$A$1,DES_5!$3:$3,0))</f>
        <v>0.83234817301499997</v>
      </c>
      <c r="AK83" s="57">
        <v>24</v>
      </c>
    </row>
    <row r="84" spans="1:37" ht="17.25" thickBot="1" x14ac:dyDescent="0.35">
      <c r="A84" s="29" t="s">
        <v>83</v>
      </c>
      <c r="B84" s="35">
        <f>INDEX(Population!$A:$J,MATCH('2019'!$A84,Population!$A:$A,0),MATCH('2019'!$A$1,Population!$3:$3,0))</f>
        <v>4115453</v>
      </c>
      <c r="C84" s="36">
        <f>INDEX(Income!$A:$J,MATCH('2019'!$A84,Income!$A:$A,0),MATCH('2019'!$A$1,Income!$3:$3,0))</f>
        <v>30603</v>
      </c>
      <c r="D84" s="37">
        <f>INDEX(Livable_wage!$A:$J,MATCH('2019'!$A84,Livable_wage!$A:$A,0),MATCH('2019'!$A$1,Livable_wage!$3:$3,0))</f>
        <v>9816</v>
      </c>
      <c r="E84" s="42">
        <f>INDEX(AVA_1!$A:$J,MATCH('2019'!$A84,AVA_1!$A:$A,0),MATCH('2019'!$A$1,AVA_1!$3:$3,0))</f>
        <v>0.40799999999999997</v>
      </c>
      <c r="F84" s="43">
        <f>INDEX(AVA_2!$A:$J,MATCH('2019'!$A84,AVA_2!$A:$A,0),MATCH('2019'!$A$1,AVA_2!$3:$3,0))</f>
        <v>1.1249765309699813E-2</v>
      </c>
      <c r="G84" s="43">
        <f>INDEX(AVA_3!$A:$J,MATCH('2019'!$A84,AVA_3!$A:$A,0),MATCH('2019'!$A$1,AVA_3!$3:$3,0))</f>
        <v>3.0420471375885026E-2</v>
      </c>
      <c r="H84" s="87">
        <f>INDEX(AVA_4!$A:$J,MATCH('2019'!$A84,AVA_4!$A:$A,0),MATCH('2019'!$A$1,AVA_4!$3:$3,0))/(B84/1000)</f>
        <v>0.57028958901972637</v>
      </c>
      <c r="I84" s="90">
        <f>INDEX(AVA_5!$A:$J,MATCH('2019'!$A84,AVA_5!$A:$A,0),MATCH('2019'!$A$1,AVA_5!$3:$3,0))/(B84/1000)</f>
        <v>4.846368066893243</v>
      </c>
      <c r="J84" s="94">
        <f>INDEX(IRA_1!$A:$J,MATCH('2019'!$A84,IRA_1!$A:$A,0),MATCH('2019'!$A$1,IRA_1!$3:$3,0))/(B84/1000)</f>
        <v>5.8316787969635416E-2</v>
      </c>
      <c r="K84" s="95">
        <f>INDEX(IRA_2!$A:$J,MATCH('2019'!$A84,IRA_2!$A:$A,0),MATCH('2019'!$A$1,IRA_2!$3:$3,0))/(B84/1000)</f>
        <v>0.13996029112712499</v>
      </c>
      <c r="L84" s="43">
        <f>INDEX(IRA_3!$A:$J,MATCH('2019'!$A84,IRA_3!$A:$A,0),MATCH('2019'!$A$1,IRA_3!$3:$3,0))</f>
        <v>0.38698190551115896</v>
      </c>
      <c r="M84" s="97">
        <f>INDEX(IRA_4!$A:$J,MATCH('2019'!$A84,IRA_4!$A:$A,0),MATCH('2019'!$A$1,IRA_4!$3:$3,0))/(B84/1000)</f>
        <v>4.4218704477976054</v>
      </c>
      <c r="N84" s="62">
        <f>INDEX(INV_1!$A:$J,MATCH('2019'!$A84,INV_1!$A:$A,0),MATCH('2019'!$A$1,INV_1!$3:$3,0))</f>
        <v>7.094290342721242E-2</v>
      </c>
      <c r="O84" s="91">
        <f>INDEX(INV_2!$A:$J,MATCH('2019'!$A84,INV_2!$A:$A,0),MATCH('2019'!$A$1,INV_2!$3:$3,0))/B84*10^6/C84</f>
        <v>0.34335690981911948</v>
      </c>
      <c r="P84" s="92">
        <f>INDEX(INV_3!$A:$J,MATCH('2019'!$A84,INV_3!$A:$A,0),MATCH('2019'!$A$1,INV_3!$3:$3,0))/B84*10^6/C84</f>
        <v>3.8265449479552993</v>
      </c>
      <c r="Q84" s="92">
        <f>INDEX(INV_4!$A:$J,MATCH('2019'!$A84,INV_4!$A:$A,0),MATCH('2019'!$A$1,INV_4!$3:$3,0))/B84*10^3/C84</f>
        <v>0.26496885421690641</v>
      </c>
      <c r="R84" s="37">
        <f>INDEX(INV_5!$A:$J,MATCH('2019'!$A84,INV_5!$A:$A,0),MATCH('2019'!$A$1,INV_5!$3:$3,0))</f>
        <v>9.2999999999999999E-2</v>
      </c>
      <c r="S84" s="78">
        <f>INDEX(LUJ_1!$A:$J,MATCH('2019'!$A84,LUJ_1!$A:$A,0),MATCH('2019'!$A$1,LUJ_1!$3:$3,0))</f>
        <v>0.61448523543495615</v>
      </c>
      <c r="T84" s="79">
        <f>INDEX(LUJ_2!$A:$J,MATCH('2019'!$A84,LUJ_2!$A:$A,0),MATCH('2019'!$A$1,LUJ_2!$3:$3,0))</f>
        <v>0.17</v>
      </c>
      <c r="U84" s="79">
        <f>INDEX(LUJ_3!$A:$J,MATCH('2019'!$A84,LUJ_3!$A:$A,0),MATCH('2019'!$A$1,LUJ_3!$3:$3,0))</f>
        <v>0.35590307082219719</v>
      </c>
      <c r="V84" s="36">
        <f>INDEX(LUJ_4!$A:$J,MATCH('2019'!$A84,LUJ_4!$A:$A,0),MATCH('2019'!$A$1,LUJ_4!$3:$3,0))</f>
        <v>110</v>
      </c>
      <c r="W84" s="37">
        <f>INDEX(LUJ_5!$A:$J,MATCH('2019'!$A84,LUJ_5!$A:$A,0),MATCH('2019'!$A$1,LUJ_5!$3:$3,0))</f>
        <v>53.4</v>
      </c>
      <c r="X84" s="99">
        <f>1/INDEX(GUL_1!$A:$J,MATCH('2019'!$A84,GUL_1!$A:$A,0),MATCH('2019'!$A$1,GUL_1!$3:$3,0))</f>
        <v>1.3766519823788546E-2</v>
      </c>
      <c r="Y84" s="85">
        <f>INDEX(GUL_2!$A:$J,MATCH('2019'!$A84,GUL_2!$A:$A,0),MATCH('2019'!$A$1,GUL_2!$3:$3,0))</f>
        <v>25.3</v>
      </c>
      <c r="Z84" s="85">
        <f>INDEX(GUL_3!$A:$J,MATCH('2019'!$A84,GUL_3!$A:$A,0),MATCH('2019'!$A$1,GUL_3!$3:$3,0))/(B84/1000)</f>
        <v>0.6157280863127339</v>
      </c>
      <c r="AA84" s="102">
        <f>INDEX(GUL_4!$A:$J,MATCH('2019'!$A84,GUL_4!$A:$A,0),MATCH('2019'!$A$1,GUL_4!$3:$3,0))/B84/C84*10^6</f>
        <v>0.24434355581952255</v>
      </c>
      <c r="AB84" s="79">
        <f>INDEX(GUL_5!$A:$J,MATCH('2019'!$A84,GUL_5!$A:$A,0),MATCH('2019'!$A$1,GUL_5!$3:$3,0))</f>
        <v>2.4448379531183076E-2</v>
      </c>
      <c r="AC84" s="86" t="e">
        <f>INDEX(GUL_6!$A:$J,MATCH('2019'!$A84,GUL_6!$A:$A,0),MATCH('2019'!$A$1,GUL_6!$3:$3,0))</f>
        <v>#N/A</v>
      </c>
      <c r="AD84" s="86" t="e">
        <f>INDEX(GUL_7!$A:$J,MATCH('2019'!$A84,GUL_7!$A:$A,0),MATCH('2019'!$A$1,GUL_7!$3:$3,0))</f>
        <v>#N/A</v>
      </c>
      <c r="AE84" s="104">
        <f>INDEX(GUL_8!$A:$J,MATCH('2019'!$A84,GUL_8!$A:$A,0),MATCH('2019'!$A$1,GUL_8!$3:$3,0))/(B84/1000)</f>
        <v>2.6407785485583237</v>
      </c>
      <c r="AF84" s="42">
        <f>INDEX(DES_1!$A:$J,MATCH('2019'!$A84,DES_1!$A:$A,0),MATCH('2019'!$A$1,DES_1!$3:$3,0))/(B84/1000)</f>
        <v>0.17859516315700846</v>
      </c>
      <c r="AG84" s="111">
        <f>INDEX(DES_2!$A:$J,MATCH('2019'!$A84,DES_2!$A:$A,0),MATCH('2019'!$A$1,DES_2!$3:$3,0))/(B84/1000)</f>
        <v>0.46993611638864541</v>
      </c>
      <c r="AH84" s="57">
        <f>1/INDEX(DES_3!$A:$J,MATCH('2019'!$A84,DES_3!$A:$A,0),MATCH('2019'!$A$1,DES_3!$3:$3,0))</f>
        <v>7.8186082877247844E-3</v>
      </c>
      <c r="AI84" s="91">
        <f>INDEX(DES_4!$A:$J,MATCH('2019'!$A84,DES_4!$A:$A,0),MATCH('2019'!$A$1,DES_4!$3:$3,0))</f>
        <v>0.95592277741000009</v>
      </c>
      <c r="AJ84" s="112">
        <f>INDEX(DES_5!$A:$J,MATCH('2019'!$A84,DES_5!$A:$A,0),MATCH('2019'!$A$1,DES_5!$3:$3,0))</f>
        <v>0.70910873618799997</v>
      </c>
      <c r="AK84" s="57">
        <v>61</v>
      </c>
    </row>
  </sheetData>
  <autoFilter ref="A1:AK84" xr:uid="{00000000-0001-0000-00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EE20F-FAB1-48C8-963F-41F206236616}">
  <sheetPr codeName="Лист40">
    <tabColor rgb="FF002060"/>
  </sheetPr>
  <dimension ref="A1:AK84"/>
  <sheetViews>
    <sheetView showGridLines="0"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AH2" sqref="AH2:AH84"/>
    </sheetView>
  </sheetViews>
  <sheetFormatPr defaultRowHeight="16.5" x14ac:dyDescent="0.3"/>
  <cols>
    <col min="1" max="1" width="43.140625" style="13" bestFit="1" customWidth="1"/>
    <col min="2" max="4" width="19.7109375" style="13" customWidth="1"/>
    <col min="5" max="5" width="16.7109375" style="13" customWidth="1"/>
    <col min="6" max="36" width="15.85546875" style="13" customWidth="1"/>
    <col min="37" max="16384" width="9.140625" style="13"/>
  </cols>
  <sheetData>
    <row r="1" spans="1:37" x14ac:dyDescent="0.3">
      <c r="A1" s="28">
        <v>2018</v>
      </c>
      <c r="B1" s="30" t="s">
        <v>113</v>
      </c>
      <c r="C1" s="31" t="s">
        <v>140</v>
      </c>
      <c r="D1" s="32" t="s">
        <v>141</v>
      </c>
      <c r="E1" s="38" t="s">
        <v>84</v>
      </c>
      <c r="F1" s="39" t="s">
        <v>104</v>
      </c>
      <c r="G1" s="39" t="s">
        <v>107</v>
      </c>
      <c r="H1" s="39" t="s">
        <v>136</v>
      </c>
      <c r="I1" s="40" t="s">
        <v>144</v>
      </c>
      <c r="J1" s="44" t="s">
        <v>115</v>
      </c>
      <c r="K1" s="45" t="s">
        <v>116</v>
      </c>
      <c r="L1" s="45" t="s">
        <v>169</v>
      </c>
      <c r="M1" s="55" t="s">
        <v>170</v>
      </c>
      <c r="N1" s="58" t="s">
        <v>114</v>
      </c>
      <c r="O1" s="59" t="s">
        <v>279</v>
      </c>
      <c r="P1" s="59" t="s">
        <v>280</v>
      </c>
      <c r="Q1" s="59" t="s">
        <v>281</v>
      </c>
      <c r="R1" s="60" t="s">
        <v>282</v>
      </c>
      <c r="S1" s="74" t="s">
        <v>110</v>
      </c>
      <c r="T1" s="75" t="s">
        <v>111</v>
      </c>
      <c r="U1" s="75" t="s">
        <v>118</v>
      </c>
      <c r="V1" s="75" t="s">
        <v>119</v>
      </c>
      <c r="W1" s="76" t="s">
        <v>312</v>
      </c>
      <c r="X1" s="81" t="s">
        <v>108</v>
      </c>
      <c r="Y1" s="82" t="s">
        <v>109</v>
      </c>
      <c r="Z1" s="83" t="s">
        <v>120</v>
      </c>
      <c r="AA1" s="82" t="s">
        <v>313</v>
      </c>
      <c r="AB1" s="83" t="s">
        <v>314</v>
      </c>
      <c r="AC1" s="82" t="s">
        <v>315</v>
      </c>
      <c r="AD1" s="83" t="s">
        <v>316</v>
      </c>
      <c r="AE1" s="84" t="s">
        <v>317</v>
      </c>
      <c r="AF1" s="105" t="s">
        <v>121</v>
      </c>
      <c r="AG1" s="106" t="s">
        <v>122</v>
      </c>
      <c r="AH1" s="107" t="s">
        <v>318</v>
      </c>
      <c r="AI1" s="106" t="s">
        <v>319</v>
      </c>
      <c r="AJ1" s="108" t="s">
        <v>320</v>
      </c>
      <c r="AK1" s="56" t="s">
        <v>0</v>
      </c>
    </row>
    <row r="2" spans="1:37" x14ac:dyDescent="0.3">
      <c r="A2" s="29" t="s">
        <v>1</v>
      </c>
      <c r="B2" s="33">
        <f>INDEX(Population!$A:$J,MATCH('2018'!$A2,Population!$A:$A,0),MATCH('2018'!$A$1,Population!$3:$3,0))</f>
        <v>980413</v>
      </c>
      <c r="C2" s="14">
        <f>INDEX(Income!$A:$J,MATCH('2018'!$A2,Income!$A:$A,0),MATCH('2018'!$A$1,Income!$3:$3,0))</f>
        <v>24105</v>
      </c>
      <c r="D2" s="34">
        <f>INDEX(Livable_wage!$A:$J,MATCH('2018'!$A2,Livable_wage!$A:$A,0),MATCH('2018'!$A$1,Livable_wage!$3:$3,0))</f>
        <v>10815</v>
      </c>
      <c r="E2" s="41">
        <f>INDEX(AVA_1!$A:$J,MATCH('2018'!$A2,AVA_1!$A:$A,0),MATCH('2018'!$A$1,AVA_1!$3:$3,0))</f>
        <v>0.378</v>
      </c>
      <c r="F2" s="15">
        <f>INDEX(AVA_2!$A:$J,MATCH('2018'!$A2,AVA_2!$A:$A,0),MATCH('2018'!$A$1,AVA_2!$3:$3,0))</f>
        <v>9.7613559097165792E-3</v>
      </c>
      <c r="G2" s="15">
        <f>INDEX(AVA_3!$A:$J,MATCH('2018'!$A2,AVA_3!$A:$A,0),MATCH('2018'!$A$1,AVA_3!$3:$3,0))</f>
        <v>1.0443829931553801E-2</v>
      </c>
      <c r="H2" s="87">
        <f>INDEX(AVA_4!$A:$J,MATCH('2018'!$A2,AVA_4!$A:$A,0),MATCH('2018'!$A$1,AVA_4!$3:$3,0))/(B2/1000)</f>
        <v>0.74458417014054279</v>
      </c>
      <c r="I2" s="89">
        <f>INDEX(AVA_5!$A:$J,MATCH('2018'!$A2,AVA_5!$A:$A,0),MATCH('2018'!$A$1,AVA_5!$3:$3,0))/(B2/1000)</f>
        <v>10.10012488602082</v>
      </c>
      <c r="J2" s="93">
        <f>INDEX(IRA_1!$A:$J,MATCH('2018'!$A2,IRA_1!$A:$A,0),MATCH('2018'!$A$1,IRA_1!$3:$3,0))/(B2/1000)</f>
        <v>0.18665603169276621</v>
      </c>
      <c r="K2" s="88">
        <f>INDEX(IRA_2!$A:$J,MATCH('2018'!$A2,IRA_2!$A:$A,0),MATCH('2018'!$A$1,IRA_2!$3:$3,0))/(B2/1000)</f>
        <v>0.33557286572087475</v>
      </c>
      <c r="L2" s="15">
        <f>INDEX(IRA_3!$A:$J,MATCH('2018'!$A2,IRA_3!$A:$A,0),MATCH('2018'!$A$1,IRA_3!$3:$3,0))</f>
        <v>0.36017531797868685</v>
      </c>
      <c r="M2" s="96">
        <f>INDEX(IRA_4!$A:$J,MATCH('2018'!$A2,IRA_4!$A:$A,0),MATCH('2018'!$A$1,IRA_4!$3:$3,0))/(B2/1000)</f>
        <v>9.5143577247547721</v>
      </c>
      <c r="N2" s="61">
        <f>INDEX(INV_1!$A:$J,MATCH('2018'!$A2,INV_1!$A:$A,0),MATCH('2018'!$A$1,INV_1!$3:$3,0))</f>
        <v>9.1716809496997079E-2</v>
      </c>
      <c r="O2" s="80">
        <f>INDEX(INV_2!$A:$J,MATCH('2018'!$A2,INV_2!$A:$A,0),MATCH('2018'!$A$1,INV_2!$3:$3,0))/B2*10^6/C2</f>
        <v>0.43069702809057908</v>
      </c>
      <c r="P2" s="87">
        <f>INDEX(INV_3!$A:$J,MATCH('2018'!$A2,INV_3!$A:$A,0),MATCH('2018'!$A$1,INV_3!$3:$3,0))/B2*10^6/C2</f>
        <v>3.5942757947818547</v>
      </c>
      <c r="Q2" s="87">
        <f>INDEX(INV_4!$A:$J,MATCH('2018'!$A2,INV_4!$A:$A,0),MATCH('2018'!$A$1,INV_4!$3:$3,0))/B2*10^3/C2</f>
        <v>0.30863711503952668</v>
      </c>
      <c r="R2" s="34">
        <f>INDEX(INV_5!$A:$J,MATCH('2018'!$A2,INV_5!$A:$A,0),MATCH('2018'!$A$1,INV_5!$3:$3,0))</f>
        <v>7.7200000000000005E-2</v>
      </c>
      <c r="S2" s="77">
        <f>INDEX(LUJ_1!$A:$J,MATCH('2018'!$A2,LUJ_1!$A:$A,0),MATCH('2018'!$A$1,LUJ_1!$3:$3,0))</f>
        <v>0.62966954022988508</v>
      </c>
      <c r="T2" s="73">
        <f>INDEX(LUJ_2!$A:$J,MATCH('2018'!$A2,LUJ_2!$A:$A,0),MATCH('2018'!$A$1,LUJ_2!$3:$3,0))</f>
        <v>0.31432885182256093</v>
      </c>
      <c r="U2" s="73">
        <f>INDEX(LUJ_3!$A:$J,MATCH('2018'!$A2,LUJ_3!$A:$A,0),MATCH('2018'!$A$1,LUJ_3!$3:$3,0))</f>
        <v>0.54231112395652026</v>
      </c>
      <c r="V2" s="14">
        <f>INDEX(LUJ_4!$A:$J,MATCH('2018'!$A2,LUJ_4!$A:$A,0),MATCH('2018'!$A$1,LUJ_4!$3:$3,0))</f>
        <v>64</v>
      </c>
      <c r="W2" s="34">
        <f>INDEX(LUJ_5!$A:$J,MATCH('2018'!$A2,LUJ_5!$A:$A,0),MATCH('2018'!$A$1,LUJ_5!$3:$3,0))</f>
        <v>64.5</v>
      </c>
      <c r="X2" s="98">
        <f>1/INDEX(GUL_1!$A:$J,MATCH('2018'!$A2,GUL_1!$A:$A,0),MATCH('2018'!$A$1,GUL_1!$3:$3,0))</f>
        <v>1.411631846414455E-2</v>
      </c>
      <c r="Y2" s="57" t="e">
        <f>INDEX(GUL_2!$A:$J,MATCH('2018'!$A2,GUL_2!$A:$A,0),MATCH('2018'!$A$1,GUL_2!$3:$3,0))</f>
        <v>#N/A</v>
      </c>
      <c r="Z2" s="100">
        <f>INDEX(GUL_3!$A:$J,MATCH('2018'!$A2,GUL_3!$A:$A,0),MATCH('2018'!$A$1,GUL_3!$3:$3,0))/(B2/1000)</f>
        <v>0.62728666388552579</v>
      </c>
      <c r="AA2" s="101">
        <f>INDEX(GUL_4!$A:$J,MATCH('2018'!$A2,GUL_4!$A:$A,0),MATCH('2018'!$A$1,GUL_4!$3:$3,0))/B2/C2*10^6</f>
        <v>0.43808883184437836</v>
      </c>
      <c r="AB2" s="73">
        <f>INDEX(GUL_5!$A:$J,MATCH('2018'!$A2,GUL_5!$A:$A,0),MATCH('2018'!$A$1,GUL_5!$3:$3,0))</f>
        <v>3.4361347899000978E-2</v>
      </c>
      <c r="AC2" s="49" t="e">
        <f>INDEX(GUL_6!$A:$J,MATCH('2018'!$A2,GUL_6!$A:$A,0),MATCH('2018'!$A$1,GUL_6!$3:$3,0))</f>
        <v>#N/A</v>
      </c>
      <c r="AD2" s="49" t="e">
        <f>INDEX(GUL_7!$A:$J,MATCH('2018'!$A2,GUL_7!$A:$A,0),MATCH('2018'!$A$1,GUL_7!$3:$3,0))</f>
        <v>#N/A</v>
      </c>
      <c r="AE2" s="103">
        <f>INDEX(GUL_8!$A:$J,MATCH('2018'!$A2,GUL_8!$A:$A,0),MATCH('2018'!$A$1,GUL_8!$3:$3,0))/(B2/1000)</f>
        <v>5.1937295813091016</v>
      </c>
      <c r="AF2" s="41">
        <f>INDEX(DES_1!$A:$J,MATCH('2018'!$A2,DES_1!$A:$A,0),MATCH('2018'!$A$1,DES_1!$3:$3,0))/(B2/1000)</f>
        <v>0.38657178148392563</v>
      </c>
      <c r="AG2" s="100">
        <f>INDEX(DES_2!$A:$J,MATCH('2018'!$A2,DES_2!$A:$A,0),MATCH('2018'!$A$1,DES_2!$3:$3,0))/(B2/1000)</f>
        <v>1.1984745204316956</v>
      </c>
      <c r="AH2" s="57">
        <f>1/INDEX(DES_3!$A:$J,MATCH('2018'!$A2,DES_3!$A:$A,0),MATCH('2018'!$A$1,DES_3!$3:$3,0))</f>
        <v>9.3283582089552231E-3</v>
      </c>
      <c r="AI2" s="73" t="e">
        <f>INDEX(DES_4!$A:$J,MATCH('2018'!$A2,DES_4!$A:$A,0),MATCH('2018'!$A$1,DES_4!$3:$3,0))</f>
        <v>#N/A</v>
      </c>
      <c r="AJ2" s="109" t="e">
        <f>INDEX(DES_5!$A:$J,MATCH('2018'!$A2,DES_5!$A:$A,0),MATCH('2018'!$A$1,DES_5!$3:$3,0))</f>
        <v>#N/A</v>
      </c>
      <c r="AK2" s="57">
        <v>10</v>
      </c>
    </row>
    <row r="3" spans="1:37" x14ac:dyDescent="0.3">
      <c r="A3" s="29" t="s">
        <v>2</v>
      </c>
      <c r="B3" s="33">
        <f>INDEX(Population!$A:$J,MATCH('2018'!$A3,Population!$A:$A,0),MATCH('2018'!$A$1,Population!$3:$3,0))</f>
        <v>469882</v>
      </c>
      <c r="C3" s="14">
        <f>INDEX(Income!$A:$J,MATCH('2018'!$A3,Income!$A:$A,0),MATCH('2018'!$A$1,Income!$3:$3,0))</f>
        <v>18099</v>
      </c>
      <c r="D3" s="34">
        <f>INDEX(Livable_wage!$A:$J,MATCH('2018'!$A3,Livable_wage!$A:$A,0),MATCH('2018'!$A$1,Livable_wage!$3:$3,0))</f>
        <v>9790</v>
      </c>
      <c r="E3" s="41">
        <f>INDEX(AVA_1!$A:$J,MATCH('2018'!$A3,AVA_1!$A:$A,0),MATCH('2018'!$A$1,AVA_1!$3:$3,0))</f>
        <v>0.34799999999999998</v>
      </c>
      <c r="F3" s="15">
        <f>INDEX(AVA_2!$A:$J,MATCH('2018'!$A3,AVA_2!$A:$A,0),MATCH('2018'!$A$1,AVA_2!$3:$3,0))</f>
        <v>7.2245998378612768E-3</v>
      </c>
      <c r="G3" s="15">
        <f>INDEX(AVA_3!$A:$J,MATCH('2018'!$A3,AVA_3!$A:$A,0),MATCH('2018'!$A$1,AVA_3!$3:$3,0))</f>
        <v>2.4264548740658035E-2</v>
      </c>
      <c r="H3" s="87">
        <f>INDEX(AVA_4!$A:$J,MATCH('2018'!$A3,AVA_4!$A:$A,0),MATCH('2018'!$A$1,AVA_4!$3:$3,0))/(B3/1000)</f>
        <v>1.0491995862791084</v>
      </c>
      <c r="I3" s="89">
        <f>INDEX(AVA_5!$A:$J,MATCH('2018'!$A3,AVA_5!$A:$A,0),MATCH('2018'!$A$1,AVA_5!$3:$3,0))/(B3/1000)</f>
        <v>1.7664009261899796</v>
      </c>
      <c r="J3" s="93">
        <f>INDEX(IRA_1!$A:$J,MATCH('2018'!$A3,IRA_1!$A:$A,0),MATCH('2018'!$A$1,IRA_1!$3:$3,0))/(B3/1000)</f>
        <v>6.3845816609276365E-2</v>
      </c>
      <c r="K3" s="88">
        <f>INDEX(IRA_2!$A:$J,MATCH('2018'!$A3,IRA_2!$A:$A,0),MATCH('2018'!$A$1,IRA_2!$3:$3,0))/(B3/1000)</f>
        <v>7.2358592157179893E-2</v>
      </c>
      <c r="L3" s="15">
        <f>INDEX(IRA_3!$A:$J,MATCH('2018'!$A3,IRA_3!$A:$A,0),MATCH('2018'!$A$1,IRA_3!$3:$3,0))</f>
        <v>0.43612334801762109</v>
      </c>
      <c r="M3" s="96">
        <f>INDEX(IRA_4!$A:$J,MATCH('2018'!$A3,IRA_4!$A:$A,0),MATCH('2018'!$A$1,IRA_4!$3:$3,0))/(B3/1000)</f>
        <v>2.6496013892849692</v>
      </c>
      <c r="N3" s="61">
        <f>INDEX(INV_1!$A:$J,MATCH('2018'!$A3,INV_1!$A:$A,0),MATCH('2018'!$A$1,INV_1!$3:$3,0))</f>
        <v>0.11362519550976664</v>
      </c>
      <c r="O3" s="80">
        <f>INDEX(INV_2!$A:$J,MATCH('2018'!$A3,INV_2!$A:$A,0),MATCH('2018'!$A$1,INV_2!$3:$3,0))/B3*10^6/C3</f>
        <v>0.22571359055366885</v>
      </c>
      <c r="P3" s="87">
        <f>INDEX(INV_3!$A:$J,MATCH('2018'!$A3,INV_3!$A:$A,0),MATCH('2018'!$A$1,INV_3!$3:$3,0))/B3*10^6/C3</f>
        <v>3.1758875459048297</v>
      </c>
      <c r="Q3" s="87">
        <f>INDEX(INV_4!$A:$J,MATCH('2018'!$A3,INV_4!$A:$A,0),MATCH('2018'!$A$1,INV_4!$3:$3,0))/B3*10^3/C3</f>
        <v>0.29514714465759795</v>
      </c>
      <c r="R3" s="34">
        <f>INDEX(INV_5!$A:$J,MATCH('2018'!$A3,INV_5!$A:$A,0),MATCH('2018'!$A$1,INV_5!$3:$3,0))</f>
        <v>0.34749999999999998</v>
      </c>
      <c r="S3" s="77">
        <f>INDEX(LUJ_1!$A:$J,MATCH('2018'!$A3,LUJ_1!$A:$A,0),MATCH('2018'!$A$1,LUJ_1!$3:$3,0))</f>
        <v>0.69274269557021673</v>
      </c>
      <c r="T3" s="73">
        <f>INDEX(LUJ_2!$A:$J,MATCH('2018'!$A3,LUJ_2!$A:$A,0),MATCH('2018'!$A$1,LUJ_2!$3:$3,0))</f>
        <v>0.16086434573829533</v>
      </c>
      <c r="U3" s="73">
        <f>INDEX(LUJ_3!$A:$J,MATCH('2018'!$A3,LUJ_3!$A:$A,0),MATCH('2018'!$A$1,LUJ_3!$3:$3,0))</f>
        <v>0.26110444177671066</v>
      </c>
      <c r="V3" s="14">
        <f>INDEX(LUJ_4!$A:$J,MATCH('2018'!$A3,LUJ_4!$A:$A,0),MATCH('2018'!$A$1,LUJ_4!$3:$3,0))</f>
        <v>25</v>
      </c>
      <c r="W3" s="34">
        <f>INDEX(LUJ_5!$A:$J,MATCH('2018'!$A3,LUJ_5!$A:$A,0),MATCH('2018'!$A$1,LUJ_5!$3:$3,0))</f>
        <v>27.3</v>
      </c>
      <c r="X3" s="98">
        <f>1/INDEX(GUL_1!$A:$J,MATCH('2018'!$A3,GUL_1!$A:$A,0),MATCH('2018'!$A$1,GUL_1!$3:$3,0))</f>
        <v>1.3142331449599158E-2</v>
      </c>
      <c r="Y3" s="57" t="e">
        <f>INDEX(GUL_2!$A:$J,MATCH('2018'!$A3,GUL_2!$A:$A,0),MATCH('2018'!$A$1,GUL_2!$3:$3,0))</f>
        <v>#N/A</v>
      </c>
      <c r="Z3" s="57">
        <f>INDEX(GUL_3!$A:$J,MATCH('2018'!$A3,GUL_3!$A:$A,0),MATCH('2018'!$A$1,GUL_3!$3:$3,0))/(B3/1000)</f>
        <v>0.41286961407332051</v>
      </c>
      <c r="AA3" s="101">
        <f>INDEX(GUL_4!$A:$J,MATCH('2018'!$A3,GUL_4!$A:$A,0),MATCH('2018'!$A$1,GUL_4!$3:$3,0))/B3/C3*10^6</f>
        <v>0.10918943375362902</v>
      </c>
      <c r="AB3" s="73">
        <f>INDEX(GUL_5!$A:$J,MATCH('2018'!$A3,GUL_5!$A:$A,0),MATCH('2018'!$A$1,GUL_5!$3:$3,0))</f>
        <v>1.1961581542973837E-2</v>
      </c>
      <c r="AC3" s="49" t="e">
        <f>INDEX(GUL_6!$A:$J,MATCH('2018'!$A3,GUL_6!$A:$A,0),MATCH('2018'!$A$1,GUL_6!$3:$3,0))</f>
        <v>#N/A</v>
      </c>
      <c r="AD3" s="49" t="e">
        <f>INDEX(GUL_7!$A:$J,MATCH('2018'!$A3,GUL_7!$A:$A,0),MATCH('2018'!$A$1,GUL_7!$3:$3,0))</f>
        <v>#N/A</v>
      </c>
      <c r="AE3" s="103">
        <f>INDEX(GUL_8!$A:$J,MATCH('2018'!$A3,GUL_8!$A:$A,0),MATCH('2018'!$A$1,GUL_8!$3:$3,0))/(B3/1000)</f>
        <v>1.2705317505245999</v>
      </c>
      <c r="AF3" s="41">
        <f>INDEX(DES_1!$A:$J,MATCH('2018'!$A3,DES_1!$A:$A,0),MATCH('2018'!$A$1,DES_1!$3:$3,0))/(B3/1000)</f>
        <v>8.0871367705083408E-2</v>
      </c>
      <c r="AG3" s="100">
        <f>INDEX(DES_2!$A:$J,MATCH('2018'!$A3,DES_2!$A:$A,0),MATCH('2018'!$A$1,DES_2!$3:$3,0))/(B3/1000)</f>
        <v>1.0619687496009635</v>
      </c>
      <c r="AH3" s="57">
        <f>1/INDEX(DES_3!$A:$J,MATCH('2018'!$A3,DES_3!$A:$A,0),MATCH('2018'!$A$1,DES_3!$3:$3,0))</f>
        <v>1.0183299389002037E-2</v>
      </c>
      <c r="AI3" s="80" t="e">
        <f>INDEX(DES_4!$A:$J,MATCH('2018'!$A3,DES_4!$A:$A,0),MATCH('2018'!$A$1,DES_4!$3:$3,0))</f>
        <v>#N/A</v>
      </c>
      <c r="AJ3" s="110" t="e">
        <f>INDEX(DES_5!$A:$J,MATCH('2018'!$A3,DES_5!$A:$A,0),MATCH('2018'!$A$1,DES_5!$3:$3,0))</f>
        <v>#N/A</v>
      </c>
      <c r="AK3" s="57">
        <v>13</v>
      </c>
    </row>
    <row r="4" spans="1:37" x14ac:dyDescent="0.3">
      <c r="A4" s="29" t="s">
        <v>3</v>
      </c>
      <c r="B4" s="33">
        <f>INDEX(Population!$A:$J,MATCH('2018'!$A4,Population!$A:$A,0),MATCH('2018'!$A$1,Population!$3:$3,0))</f>
        <v>477282</v>
      </c>
      <c r="C4" s="14">
        <f>INDEX(Income!$A:$J,MATCH('2018'!$A4,Income!$A:$A,0),MATCH('2018'!$A$1,Income!$3:$3,0))</f>
        <v>53784</v>
      </c>
      <c r="D4" s="34">
        <f>INDEX(Livable_wage!$A:$J,MATCH('2018'!$A4,Livable_wage!$A:$A,0),MATCH('2018'!$A$1,Livable_wage!$3:$3,0))</f>
        <v>14790</v>
      </c>
      <c r="E4" s="41">
        <f>INDEX(AVA_1!$A:$J,MATCH('2018'!$A4,AVA_1!$A:$A,0),MATCH('2018'!$A$1,AVA_1!$3:$3,0))</f>
        <v>0.41799999999999998</v>
      </c>
      <c r="F4" s="15">
        <f>INDEX(AVA_2!$A:$J,MATCH('2018'!$A4,AVA_2!$A:$A,0),MATCH('2018'!$A$1,AVA_2!$3:$3,0))</f>
        <v>8.9758464918222036E-3</v>
      </c>
      <c r="G4" s="15">
        <f>INDEX(AVA_3!$A:$J,MATCH('2018'!$A4,AVA_3!$A:$A,0),MATCH('2018'!$A$1,AVA_3!$3:$3,0))</f>
        <v>3.4359223793086639E-2</v>
      </c>
      <c r="H4" s="87">
        <f>INDEX(AVA_4!$A:$J,MATCH('2018'!$A4,AVA_4!$A:$A,0),MATCH('2018'!$A$1,AVA_4!$3:$3,0))/(B4/1000)</f>
        <v>0.63903520350652232</v>
      </c>
      <c r="I4" s="89">
        <f>INDEX(AVA_5!$A:$J,MATCH('2018'!$A4,AVA_5!$A:$A,0),MATCH('2018'!$A$1,AVA_5!$3:$3,0))/(B4/1000)</f>
        <v>7.3164292808025451</v>
      </c>
      <c r="J4" s="93">
        <f>INDEX(IRA_1!$A:$J,MATCH('2018'!$A4,IRA_1!$A:$A,0),MATCH('2018'!$A$1,IRA_1!$3:$3,0))/(B4/1000)</f>
        <v>0.10475986942729874</v>
      </c>
      <c r="K4" s="88">
        <f>INDEX(IRA_2!$A:$J,MATCH('2018'!$A4,IRA_2!$A:$A,0),MATCH('2018'!$A$1,IRA_2!$3:$3,0))/(B4/1000)</f>
        <v>0.34361237172153991</v>
      </c>
      <c r="L4" s="15">
        <f>INDEX(IRA_3!$A:$J,MATCH('2018'!$A4,IRA_3!$A:$A,0),MATCH('2018'!$A$1,IRA_3!$3:$3,0))</f>
        <v>0.42043825517100142</v>
      </c>
      <c r="M4" s="96">
        <f>INDEX(IRA_4!$A:$J,MATCH('2018'!$A4,IRA_4!$A:$A,0),MATCH('2018'!$A$1,IRA_4!$3:$3,0))/(B4/1000)</f>
        <v>8.619642056478142</v>
      </c>
      <c r="N4" s="61">
        <f>INDEX(INV_1!$A:$J,MATCH('2018'!$A4,INV_1!$A:$A,0),MATCH('2018'!$A$1,INV_1!$3:$3,0))</f>
        <v>7.5992076288960542E-2</v>
      </c>
      <c r="O4" s="80">
        <f>INDEX(INV_2!$A:$J,MATCH('2018'!$A4,INV_2!$A:$A,0),MATCH('2018'!$A$1,INV_2!$3:$3,0))/B4*10^6/C4</f>
        <v>0.32156073525529394</v>
      </c>
      <c r="P4" s="87">
        <f>INDEX(INV_3!$A:$J,MATCH('2018'!$A4,INV_3!$A:$A,0),MATCH('2018'!$A$1,INV_3!$3:$3,0))/B4*10^6/C4</f>
        <v>2.6954279657197882</v>
      </c>
      <c r="Q4" s="87">
        <f>INDEX(INV_4!$A:$J,MATCH('2018'!$A4,INV_4!$A:$A,0),MATCH('2018'!$A$1,INV_4!$3:$3,0))/B4*10^3/C4</f>
        <v>0.2469865225977653</v>
      </c>
      <c r="R4" s="34">
        <f>INDEX(INV_5!$A:$J,MATCH('2018'!$A4,INV_5!$A:$A,0),MATCH('2018'!$A$1,INV_5!$3:$3,0))</f>
        <v>0.1416</v>
      </c>
      <c r="S4" s="77">
        <f>INDEX(LUJ_1!$A:$J,MATCH('2018'!$A4,LUJ_1!$A:$A,0),MATCH('2018'!$A$1,LUJ_1!$3:$3,0))</f>
        <v>0.74603608529250953</v>
      </c>
      <c r="T4" s="73">
        <f>INDEX(LUJ_2!$A:$J,MATCH('2018'!$A4,LUJ_2!$A:$A,0),MATCH('2018'!$A$1,LUJ_2!$3:$3,0))</f>
        <v>0.31293881644934807</v>
      </c>
      <c r="U4" s="73">
        <f>INDEX(LUJ_3!$A:$J,MATCH('2018'!$A4,LUJ_3!$A:$A,0),MATCH('2018'!$A$1,LUJ_3!$3:$3,0))</f>
        <v>0.62219993313273148</v>
      </c>
      <c r="V4" s="14">
        <f>INDEX(LUJ_4!$A:$J,MATCH('2018'!$A4,LUJ_4!$A:$A,0),MATCH('2018'!$A$1,LUJ_4!$3:$3,0))</f>
        <v>11</v>
      </c>
      <c r="W4" s="34">
        <f>INDEX(LUJ_5!$A:$J,MATCH('2018'!$A4,LUJ_5!$A:$A,0),MATCH('2018'!$A$1,LUJ_5!$3:$3,0))</f>
        <v>46.9</v>
      </c>
      <c r="X4" s="98">
        <f>1/INDEX(GUL_1!$A:$J,MATCH('2018'!$A4,GUL_1!$A:$A,0),MATCH('2018'!$A$1,GUL_1!$3:$3,0))</f>
        <v>1.4302059496567505E-2</v>
      </c>
      <c r="Y4" s="57" t="e">
        <f>INDEX(GUL_2!$A:$J,MATCH('2018'!$A4,GUL_2!$A:$A,0),MATCH('2018'!$A$1,GUL_2!$3:$3,0))</f>
        <v>#N/A</v>
      </c>
      <c r="Z4" s="57">
        <f>INDEX(GUL_3!$A:$J,MATCH('2018'!$A4,GUL_3!$A:$A,0),MATCH('2018'!$A$1,GUL_3!$3:$3,0))/(B4/1000)</f>
        <v>1.265499222681769</v>
      </c>
      <c r="AA4" s="101">
        <f>INDEX(GUL_4!$A:$J,MATCH('2018'!$A4,GUL_4!$A:$A,0),MATCH('2018'!$A$1,GUL_4!$3:$3,0))/B4/C4*10^6</f>
        <v>0.35237407084111877</v>
      </c>
      <c r="AB4" s="73">
        <f>INDEX(GUL_5!$A:$J,MATCH('2018'!$A4,GUL_5!$A:$A,0),MATCH('2018'!$A$1,GUL_5!$3:$3,0))</f>
        <v>2.3521241281577662E-2</v>
      </c>
      <c r="AC4" s="49" t="e">
        <f>INDEX(GUL_6!$A:$J,MATCH('2018'!$A4,GUL_6!$A:$A,0),MATCH('2018'!$A$1,GUL_6!$3:$3,0))</f>
        <v>#N/A</v>
      </c>
      <c r="AD4" s="49" t="e">
        <f>INDEX(GUL_7!$A:$J,MATCH('2018'!$A4,GUL_7!$A:$A,0),MATCH('2018'!$A$1,GUL_7!$3:$3,0))</f>
        <v>#N/A</v>
      </c>
      <c r="AE4" s="103">
        <f>INDEX(GUL_8!$A:$J,MATCH('2018'!$A4,GUL_8!$A:$A,0),MATCH('2018'!$A$1,GUL_8!$3:$3,0))/(B4/1000)</f>
        <v>4.0248741833968182</v>
      </c>
      <c r="AF4" s="41">
        <f>INDEX(DES_1!$A:$J,MATCH('2018'!$A4,DES_1!$A:$A,0),MATCH('2018'!$A$1,DES_1!$3:$3,0))/(B4/1000)</f>
        <v>2.9332763439643649E-2</v>
      </c>
      <c r="AG4" s="100">
        <f>INDEX(DES_2!$A:$J,MATCH('2018'!$A4,DES_2!$A:$A,0),MATCH('2018'!$A$1,DES_2!$3:$3,0))/(B4/1000)</f>
        <v>0.82760296847566017</v>
      </c>
      <c r="AH4" s="57">
        <f>1/INDEX(DES_3!$A:$J,MATCH('2018'!$A4,DES_3!$A:$A,0),MATCH('2018'!$A$1,DES_3!$3:$3,0))</f>
        <v>8.8731144631765749E-3</v>
      </c>
      <c r="AI4" s="80" t="e">
        <f>INDEX(DES_4!$A:$J,MATCH('2018'!$A4,DES_4!$A:$A,0),MATCH('2018'!$A$1,DES_4!$3:$3,0))</f>
        <v>#N/A</v>
      </c>
      <c r="AJ4" s="110" t="e">
        <f>INDEX(DES_5!$A:$J,MATCH('2018'!$A4,DES_5!$A:$A,0),MATCH('2018'!$A$1,DES_5!$3:$3,0))</f>
        <v>#N/A</v>
      </c>
      <c r="AK4" s="57">
        <v>11</v>
      </c>
    </row>
    <row r="5" spans="1:37" x14ac:dyDescent="0.3">
      <c r="A5" s="29" t="s">
        <v>4</v>
      </c>
      <c r="B5" s="33">
        <f>INDEX(Population!$A:$J,MATCH('2018'!$A5,Population!$A:$A,0),MATCH('2018'!$A$1,Population!$3:$3,0))</f>
        <v>2340861</v>
      </c>
      <c r="C5" s="14">
        <f>INDEX(Income!$A:$J,MATCH('2018'!$A5,Income!$A:$A,0),MATCH('2018'!$A$1,Income!$3:$3,0))</f>
        <v>30289</v>
      </c>
      <c r="D5" s="34">
        <f>INDEX(Livable_wage!$A:$J,MATCH('2018'!$A5,Livable_wage!$A:$A,0),MATCH('2018'!$A$1,Livable_wage!$3:$3,0))</f>
        <v>9296</v>
      </c>
      <c r="E5" s="41">
        <f>INDEX(AVA_1!$A:$J,MATCH('2018'!$A5,AVA_1!$A:$A,0),MATCH('2018'!$A$1,AVA_1!$3:$3,0))</f>
        <v>0.39800000000000002</v>
      </c>
      <c r="F5" s="15">
        <f>INDEX(AVA_2!$A:$J,MATCH('2018'!$A5,AVA_2!$A:$A,0),MATCH('2018'!$A$1,AVA_2!$3:$3,0))</f>
        <v>1.1745968307890674E-2</v>
      </c>
      <c r="G5" s="15">
        <f>INDEX(AVA_3!$A:$J,MATCH('2018'!$A5,AVA_3!$A:$A,0),MATCH('2018'!$A$1,AVA_3!$3:$3,0))</f>
        <v>3.5313370872305065E-2</v>
      </c>
      <c r="H5" s="87">
        <f>INDEX(AVA_4!$A:$J,MATCH('2018'!$A5,AVA_4!$A:$A,0),MATCH('2018'!$A$1,AVA_4!$3:$3,0))/(B5/1000)</f>
        <v>0.67325654961999026</v>
      </c>
      <c r="I5" s="89">
        <f>INDEX(AVA_5!$A:$J,MATCH('2018'!$A5,AVA_5!$A:$A,0),MATCH('2018'!$A$1,AVA_5!$3:$3,0))/(B5/1000)</f>
        <v>5.7282341839177979</v>
      </c>
      <c r="J5" s="93">
        <f>INDEX(IRA_1!$A:$J,MATCH('2018'!$A5,IRA_1!$A:$A,0),MATCH('2018'!$A$1,IRA_1!$3:$3,0))/(B5/1000)</f>
        <v>3.588423234015177E-2</v>
      </c>
      <c r="K5" s="88">
        <f>INDEX(IRA_2!$A:$J,MATCH('2018'!$A5,IRA_2!$A:$A,0),MATCH('2018'!$A$1,IRA_2!$3:$3,0))/(B5/1000)</f>
        <v>9.7400059208983369E-2</v>
      </c>
      <c r="L5" s="15">
        <f>INDEX(IRA_3!$A:$J,MATCH('2018'!$A5,IRA_3!$A:$A,0),MATCH('2018'!$A$1,IRA_3!$3:$3,0))</f>
        <v>0.44624129373148669</v>
      </c>
      <c r="M5" s="96">
        <f>INDEX(IRA_4!$A:$J,MATCH('2018'!$A5,IRA_4!$A:$A,0),MATCH('2018'!$A$1,IRA_4!$3:$3,0))/(B5/1000)</f>
        <v>4.952451256183088</v>
      </c>
      <c r="N5" s="61">
        <f>INDEX(INV_1!$A:$J,MATCH('2018'!$A5,INV_1!$A:$A,0),MATCH('2018'!$A$1,INV_1!$3:$3,0))</f>
        <v>6.4204351088537018E-2</v>
      </c>
      <c r="O5" s="80">
        <f>INDEX(INV_2!$A:$J,MATCH('2018'!$A5,INV_2!$A:$A,0),MATCH('2018'!$A$1,INV_2!$3:$3,0))/B5*10^6/C5</f>
        <v>0.47684488540696074</v>
      </c>
      <c r="P5" s="87">
        <f>INDEX(INV_3!$A:$J,MATCH('2018'!$A5,INV_3!$A:$A,0),MATCH('2018'!$A$1,INV_3!$3:$3,0))/B5*10^6/C5</f>
        <v>2.6137219598206269</v>
      </c>
      <c r="Q5" s="87">
        <f>INDEX(INV_4!$A:$J,MATCH('2018'!$A5,INV_4!$A:$A,0),MATCH('2018'!$A$1,INV_4!$3:$3,0))/B5*10^3/C5</f>
        <v>0.23009693148975768</v>
      </c>
      <c r="R5" s="34">
        <f>INDEX(INV_5!$A:$J,MATCH('2018'!$A5,INV_5!$A:$A,0),MATCH('2018'!$A$1,INV_5!$3:$3,0))</f>
        <v>9.35E-2</v>
      </c>
      <c r="S5" s="77">
        <f>INDEX(LUJ_1!$A:$J,MATCH('2018'!$A5,LUJ_1!$A:$A,0),MATCH('2018'!$A$1,LUJ_1!$3:$3,0))</f>
        <v>0.66450946643717723</v>
      </c>
      <c r="T5" s="73">
        <f>INDEX(LUJ_2!$A:$J,MATCH('2018'!$A5,LUJ_2!$A:$A,0),MATCH('2018'!$A$1,LUJ_2!$3:$3,0))</f>
        <v>0.15617140195621798</v>
      </c>
      <c r="U5" s="73">
        <f>INDEX(LUJ_3!$A:$J,MATCH('2018'!$A5,LUJ_3!$A:$A,0),MATCH('2018'!$A$1,LUJ_3!$3:$3,0))</f>
        <v>0.37000482999759193</v>
      </c>
      <c r="V5" s="14">
        <f>INDEX(LUJ_4!$A:$J,MATCH('2018'!$A5,LUJ_4!$A:$A,0),MATCH('2018'!$A$1,LUJ_4!$3:$3,0))</f>
        <v>31</v>
      </c>
      <c r="W5" s="34">
        <f>INDEX(LUJ_5!$A:$J,MATCH('2018'!$A5,LUJ_5!$A:$A,0),MATCH('2018'!$A$1,LUJ_5!$3:$3,0))</f>
        <v>35.299999999999997</v>
      </c>
      <c r="X5" s="98">
        <f>1/INDEX(GUL_1!$A:$J,MATCH('2018'!$A5,GUL_1!$A:$A,0),MATCH('2018'!$A$1,GUL_1!$3:$3,0))</f>
        <v>1.367053998632946E-2</v>
      </c>
      <c r="Y5" s="57" t="e">
        <f>INDEX(GUL_2!$A:$J,MATCH('2018'!$A5,GUL_2!$A:$A,0),MATCH('2018'!$A$1,GUL_2!$3:$3,0))</f>
        <v>#N/A</v>
      </c>
      <c r="Z5" s="57">
        <f>INDEX(GUL_3!$A:$J,MATCH('2018'!$A5,GUL_3!$A:$A,0),MATCH('2018'!$A$1,GUL_3!$3:$3,0))/(B5/1000)</f>
        <v>0.5357003256494085</v>
      </c>
      <c r="AA5" s="101">
        <f>INDEX(GUL_4!$A:$J,MATCH('2018'!$A5,GUL_4!$A:$A,0),MATCH('2018'!$A$1,GUL_4!$3:$3,0))/B5/C5*10^6</f>
        <v>0.23052695115488514</v>
      </c>
      <c r="AB5" s="73">
        <f>INDEX(GUL_5!$A:$J,MATCH('2018'!$A5,GUL_5!$A:$A,0),MATCH('2018'!$A$1,GUL_5!$3:$3,0))</f>
        <v>3.7885542054483579E-2</v>
      </c>
      <c r="AC5" s="49" t="e">
        <f>INDEX(GUL_6!$A:$J,MATCH('2018'!$A5,GUL_6!$A:$A,0),MATCH('2018'!$A$1,GUL_6!$3:$3,0))</f>
        <v>#N/A</v>
      </c>
      <c r="AD5" s="49" t="e">
        <f>INDEX(GUL_7!$A:$J,MATCH('2018'!$A5,GUL_7!$A:$A,0),MATCH('2018'!$A$1,GUL_7!$3:$3,0))</f>
        <v>#N/A</v>
      </c>
      <c r="AE5" s="103">
        <f>INDEX(GUL_8!$A:$J,MATCH('2018'!$A5,GUL_8!$A:$A,0),MATCH('2018'!$A$1,GUL_8!$3:$3,0))/(B5/1000)</f>
        <v>1.8638441154771686</v>
      </c>
      <c r="AF5" s="41">
        <f>INDEX(DES_1!$A:$J,MATCH('2018'!$A5,DES_1!$A:$A,0),MATCH('2018'!$A$1,DES_1!$3:$3,0))/(B5/1000)</f>
        <v>0.13670183748629244</v>
      </c>
      <c r="AG5" s="100">
        <f>INDEX(DES_2!$A:$J,MATCH('2018'!$A5,DES_2!$A:$A,0),MATCH('2018'!$A$1,DES_2!$3:$3,0))/(B5/1000)</f>
        <v>0.52502049459579192</v>
      </c>
      <c r="AH5" s="57">
        <f>1/INDEX(DES_3!$A:$J,MATCH('2018'!$A5,DES_3!$A:$A,0),MATCH('2018'!$A$1,DES_3!$3:$3,0))</f>
        <v>7.8186082877247844E-3</v>
      </c>
      <c r="AI5" s="80" t="e">
        <f>INDEX(DES_4!$A:$J,MATCH('2018'!$A5,DES_4!$A:$A,0),MATCH('2018'!$A$1,DES_4!$3:$3,0))</f>
        <v>#N/A</v>
      </c>
      <c r="AJ5" s="110" t="e">
        <f>INDEX(DES_5!$A:$J,MATCH('2018'!$A5,DES_5!$A:$A,0),MATCH('2018'!$A$1,DES_5!$3:$3,0))</f>
        <v>#N/A</v>
      </c>
      <c r="AK5" s="57">
        <v>16</v>
      </c>
    </row>
    <row r="6" spans="1:37" x14ac:dyDescent="0.3">
      <c r="A6" s="29" t="s">
        <v>5</v>
      </c>
      <c r="B6" s="33">
        <f>INDEX(Population!$A:$J,MATCH('2018'!$A6,Population!$A:$A,0),MATCH('2018'!$A$1,Population!$3:$3,0))</f>
        <v>1074081</v>
      </c>
      <c r="C6" s="14">
        <f>INDEX(Income!$A:$J,MATCH('2018'!$A6,Income!$A:$A,0),MATCH('2018'!$A$1,Income!$3:$3,0))</f>
        <v>27296</v>
      </c>
      <c r="D6" s="34">
        <f>INDEX(Livable_wage!$A:$J,MATCH('2018'!$A6,Livable_wage!$A:$A,0),MATCH('2018'!$A$1,Livable_wage!$3:$3,0))</f>
        <v>11175</v>
      </c>
      <c r="E6" s="41">
        <f>INDEX(AVA_1!$A:$J,MATCH('2018'!$A6,AVA_1!$A:$A,0),MATCH('2018'!$A$1,AVA_1!$3:$3,0))</f>
        <v>0.36299999999999999</v>
      </c>
      <c r="F6" s="15">
        <f>INDEX(AVA_2!$A:$J,MATCH('2018'!$A6,AVA_2!$A:$A,0),MATCH('2018'!$A$1,AVA_2!$3:$3,0))</f>
        <v>1.1620639596821618E-2</v>
      </c>
      <c r="G6" s="15">
        <f>INDEX(AVA_3!$A:$J,MATCH('2018'!$A6,AVA_3!$A:$A,0),MATCH('2018'!$A$1,AVA_3!$3:$3,0))</f>
        <v>1.8483832600253613E-2</v>
      </c>
      <c r="H6" s="87">
        <f>INDEX(AVA_4!$A:$J,MATCH('2018'!$A6,AVA_4!$A:$A,0),MATCH('2018'!$A$1,AVA_4!$3:$3,0))/(B6/1000)</f>
        <v>0.58375485647730485</v>
      </c>
      <c r="I6" s="89">
        <f>INDEX(AVA_5!$A:$J,MATCH('2018'!$A6,AVA_5!$A:$A,0),MATCH('2018'!$A$1,AVA_5!$3:$3,0))/(B6/1000)</f>
        <v>6.136408706605927</v>
      </c>
      <c r="J6" s="93">
        <f>INDEX(IRA_1!$A:$J,MATCH('2018'!$A6,IRA_1!$A:$A,0),MATCH('2018'!$A$1,IRA_1!$3:$3,0))/(B6/1000)</f>
        <v>5.8654794191499528E-2</v>
      </c>
      <c r="K6" s="88">
        <f>INDEX(IRA_2!$A:$J,MATCH('2018'!$A6,IRA_2!$A:$A,0),MATCH('2018'!$A$1,IRA_2!$3:$3,0))/(B6/1000)</f>
        <v>0.22530889197369661</v>
      </c>
      <c r="L6" s="15">
        <f>INDEX(IRA_3!$A:$J,MATCH('2018'!$A6,IRA_3!$A:$A,0),MATCH('2018'!$A$1,IRA_3!$3:$3,0))</f>
        <v>0.32485997414907364</v>
      </c>
      <c r="M6" s="96">
        <f>INDEX(IRA_4!$A:$J,MATCH('2018'!$A6,IRA_4!$A:$A,0),MATCH('2018'!$A$1,IRA_4!$3:$3,0))/(B6/1000)</f>
        <v>5.6308602423839549</v>
      </c>
      <c r="N6" s="61">
        <f>INDEX(INV_1!$A:$J,MATCH('2018'!$A6,INV_1!$A:$A,0),MATCH('2018'!$A$1,INV_1!$3:$3,0))</f>
        <v>9.4746392607984994E-2</v>
      </c>
      <c r="O6" s="80">
        <f>INDEX(INV_2!$A:$J,MATCH('2018'!$A6,INV_2!$A:$A,0),MATCH('2018'!$A$1,INV_2!$3:$3,0))/B6*10^6/C6</f>
        <v>0.37190002457271215</v>
      </c>
      <c r="P6" s="87">
        <f>INDEX(INV_3!$A:$J,MATCH('2018'!$A6,INV_3!$A:$A,0),MATCH('2018'!$A$1,INV_3!$3:$3,0))/B6*10^6/C6</f>
        <v>3.639183490730574</v>
      </c>
      <c r="Q6" s="87">
        <f>INDEX(INV_4!$A:$J,MATCH('2018'!$A6,INV_4!$A:$A,0),MATCH('2018'!$A$1,INV_4!$3:$3,0))/B6*10^3/C6</f>
        <v>0.30105870064379681</v>
      </c>
      <c r="R6" s="34">
        <f>INDEX(INV_5!$A:$J,MATCH('2018'!$A6,INV_5!$A:$A,0),MATCH('2018'!$A$1,INV_5!$3:$3,0))</f>
        <v>0.1137</v>
      </c>
      <c r="S6" s="77">
        <f>INDEX(LUJ_1!$A:$J,MATCH('2018'!$A6,LUJ_1!$A:$A,0),MATCH('2018'!$A$1,LUJ_1!$3:$3,0))</f>
        <v>0.58180227471566059</v>
      </c>
      <c r="T6" s="73">
        <f>INDEX(LUJ_2!$A:$J,MATCH('2018'!$A6,LUJ_2!$A:$A,0),MATCH('2018'!$A$1,LUJ_2!$3:$3,0))</f>
        <v>0.23368689011455243</v>
      </c>
      <c r="U6" s="73">
        <f>INDEX(LUJ_3!$A:$J,MATCH('2018'!$A6,LUJ_3!$A:$A,0),MATCH('2018'!$A$1,LUJ_3!$3:$3,0))</f>
        <v>0.62392872295290625</v>
      </c>
      <c r="V6" s="14">
        <f>INDEX(LUJ_4!$A:$J,MATCH('2018'!$A6,LUJ_4!$A:$A,0),MATCH('2018'!$A$1,LUJ_4!$3:$3,0))</f>
        <v>20</v>
      </c>
      <c r="W6" s="34">
        <f>INDEX(LUJ_5!$A:$J,MATCH('2018'!$A6,LUJ_5!$A:$A,0),MATCH('2018'!$A$1,LUJ_5!$3:$3,0))</f>
        <v>96.2</v>
      </c>
      <c r="X6" s="98">
        <f>1/INDEX(GUL_1!$A:$J,MATCH('2018'!$A6,GUL_1!$A:$A,0),MATCH('2018'!$A$1,GUL_1!$3:$3,0))</f>
        <v>1.372872048325096E-2</v>
      </c>
      <c r="Y6" s="57" t="e">
        <f>INDEX(GUL_2!$A:$J,MATCH('2018'!$A6,GUL_2!$A:$A,0),MATCH('2018'!$A$1,GUL_2!$3:$3,0))</f>
        <v>#N/A</v>
      </c>
      <c r="Z6" s="57">
        <f>INDEX(GUL_3!$A:$J,MATCH('2018'!$A6,GUL_3!$A:$A,0),MATCH('2018'!$A$1,GUL_3!$3:$3,0))/(B6/1000)</f>
        <v>0.87330471351788186</v>
      </c>
      <c r="AA6" s="101">
        <f>INDEX(GUL_4!$A:$J,MATCH('2018'!$A6,GUL_4!$A:$A,0),MATCH('2018'!$A$1,GUL_4!$3:$3,0))/B6/C6*10^6</f>
        <v>0.31897992103706252</v>
      </c>
      <c r="AB6" s="73">
        <f>INDEX(GUL_5!$A:$J,MATCH('2018'!$A6,GUL_5!$A:$A,0),MATCH('2018'!$A$1,GUL_5!$3:$3,0))</f>
        <v>2.9751121503297354E-2</v>
      </c>
      <c r="AC6" s="49" t="e">
        <f>INDEX(GUL_6!$A:$J,MATCH('2018'!$A6,GUL_6!$A:$A,0),MATCH('2018'!$A$1,GUL_6!$3:$3,0))</f>
        <v>#N/A</v>
      </c>
      <c r="AD6" s="49" t="e">
        <f>INDEX(GUL_7!$A:$J,MATCH('2018'!$A6,GUL_7!$A:$A,0),MATCH('2018'!$A$1,GUL_7!$3:$3,0))</f>
        <v>#N/A</v>
      </c>
      <c r="AE6" s="103">
        <f>INDEX(GUL_8!$A:$J,MATCH('2018'!$A6,GUL_8!$A:$A,0),MATCH('2018'!$A$1,GUL_8!$3:$3,0))/(B6/1000)</f>
        <v>3.0137391872679995</v>
      </c>
      <c r="AF6" s="41">
        <f>INDEX(DES_1!$A:$J,MATCH('2018'!$A6,DES_1!$A:$A,0),MATCH('2018'!$A$1,DES_1!$3:$3,0))/(B6/1000)</f>
        <v>0.13686118644683223</v>
      </c>
      <c r="AG6" s="100">
        <f>INDEX(DES_2!$A:$J,MATCH('2018'!$A6,DES_2!$A:$A,0),MATCH('2018'!$A$1,DES_2!$3:$3,0))/(B6/1000)</f>
        <v>0.57723765712269381</v>
      </c>
      <c r="AH6" s="57">
        <f>1/INDEX(DES_3!$A:$J,MATCH('2018'!$A6,DES_3!$A:$A,0),MATCH('2018'!$A$1,DES_3!$3:$3,0))</f>
        <v>9.0661831368993653E-3</v>
      </c>
      <c r="AI6" s="80" t="e">
        <f>INDEX(DES_4!$A:$J,MATCH('2018'!$A6,DES_4!$A:$A,0),MATCH('2018'!$A$1,DES_4!$3:$3,0))</f>
        <v>#N/A</v>
      </c>
      <c r="AJ6" s="110" t="e">
        <f>INDEX(DES_5!$A:$J,MATCH('2018'!$A6,DES_5!$A:$A,0),MATCH('2018'!$A$1,DES_5!$3:$3,0))</f>
        <v>#N/A</v>
      </c>
      <c r="AK6" s="57">
        <v>18</v>
      </c>
    </row>
    <row r="7" spans="1:37" x14ac:dyDescent="0.3">
      <c r="A7" s="29" t="s">
        <v>6</v>
      </c>
      <c r="B7" s="33">
        <f>INDEX(Population!$A:$J,MATCH('2018'!$A7,Population!$A:$A,0),MATCH('2018'!$A$1,Population!$3:$3,0))</f>
        <v>2802770</v>
      </c>
      <c r="C7" s="14">
        <f>INDEX(Income!$A:$J,MATCH('2018'!$A7,Income!$A:$A,0),MATCH('2018'!$A$1,Income!$3:$3,0))</f>
        <v>28871</v>
      </c>
      <c r="D7" s="34">
        <f>INDEX(Livable_wage!$A:$J,MATCH('2018'!$A7,Livable_wage!$A:$A,0),MATCH('2018'!$A$1,Livable_wage!$3:$3,0))</f>
        <v>11217</v>
      </c>
      <c r="E7" s="41">
        <f>INDEX(AVA_1!$A:$J,MATCH('2018'!$A7,AVA_1!$A:$A,0),MATCH('2018'!$A$1,AVA_1!$3:$3,0))</f>
        <v>0.378</v>
      </c>
      <c r="F7" s="15">
        <f>INDEX(AVA_2!$A:$J,MATCH('2018'!$A7,AVA_2!$A:$A,0),MATCH('2018'!$A$1,AVA_2!$3:$3,0))</f>
        <v>1.9670994648183754E-2</v>
      </c>
      <c r="G7" s="15">
        <f>INDEX(AVA_3!$A:$J,MATCH('2018'!$A7,AVA_3!$A:$A,0),MATCH('2018'!$A$1,AVA_3!$3:$3,0))</f>
        <v>2.4566371660369509E-2</v>
      </c>
      <c r="H7" s="87">
        <f>INDEX(AVA_4!$A:$J,MATCH('2018'!$A7,AVA_4!$A:$A,0),MATCH('2018'!$A$1,AVA_4!$3:$3,0))/(B7/1000)</f>
        <v>0.75853530614356512</v>
      </c>
      <c r="I7" s="89">
        <f>INDEX(AVA_5!$A:$J,MATCH('2018'!$A7,AVA_5!$A:$A,0),MATCH('2018'!$A$1,AVA_5!$3:$3,0))/(B7/1000)</f>
        <v>7.7655319558864981</v>
      </c>
      <c r="J7" s="93">
        <f>INDEX(IRA_1!$A:$J,MATCH('2018'!$A7,IRA_1!$A:$A,0),MATCH('2018'!$A$1,IRA_1!$3:$3,0))/(B7/1000)</f>
        <v>6.3508600420298489E-2</v>
      </c>
      <c r="K7" s="88">
        <f>INDEX(IRA_2!$A:$J,MATCH('2018'!$A7,IRA_2!$A:$A,0),MATCH('2018'!$A$1,IRA_2!$3:$3,0))/(B7/1000)</f>
        <v>0.20622455642096926</v>
      </c>
      <c r="L7" s="15">
        <f>INDEX(IRA_3!$A:$J,MATCH('2018'!$A7,IRA_3!$A:$A,0),MATCH('2018'!$A$1,IRA_3!$3:$3,0))</f>
        <v>0.39753747933648753</v>
      </c>
      <c r="M7" s="96">
        <f>INDEX(IRA_4!$A:$J,MATCH('2018'!$A7,IRA_4!$A:$A,0),MATCH('2018'!$A$1,IRA_4!$3:$3,0))/(B7/1000)</f>
        <v>7.043389218523104</v>
      </c>
      <c r="N7" s="61">
        <f>INDEX(INV_1!$A:$J,MATCH('2018'!$A7,INV_1!$A:$A,0),MATCH('2018'!$A$1,INV_1!$3:$3,0))</f>
        <v>8.6856170474052627E-2</v>
      </c>
      <c r="O7" s="80">
        <f>INDEX(INV_2!$A:$J,MATCH('2018'!$A7,INV_2!$A:$A,0),MATCH('2018'!$A$1,INV_2!$3:$3,0))/B7*10^6/C7</f>
        <v>0.45318773232698367</v>
      </c>
      <c r="P7" s="87">
        <f>INDEX(INV_3!$A:$J,MATCH('2018'!$A7,INV_3!$A:$A,0),MATCH('2018'!$A$1,INV_3!$3:$3,0))/B7*10^6/C7</f>
        <v>4.0116772571904109</v>
      </c>
      <c r="Q7" s="87">
        <f>INDEX(INV_4!$A:$J,MATCH('2018'!$A7,INV_4!$A:$A,0),MATCH('2018'!$A$1,INV_4!$3:$3,0))/B7*10^3/C7</f>
        <v>0.31200453203809081</v>
      </c>
      <c r="R7" s="34">
        <f>INDEX(INV_5!$A:$J,MATCH('2018'!$A7,INV_5!$A:$A,0),MATCH('2018'!$A$1,INV_5!$3:$3,0))</f>
        <v>0.1608</v>
      </c>
      <c r="S7" s="77">
        <f>INDEX(LUJ_1!$A:$J,MATCH('2018'!$A7,LUJ_1!$A:$A,0),MATCH('2018'!$A$1,LUJ_1!$3:$3,0))</f>
        <v>0.71112873980054392</v>
      </c>
      <c r="T7" s="73">
        <f>INDEX(LUJ_2!$A:$J,MATCH('2018'!$A7,LUJ_2!$A:$A,0),MATCH('2018'!$A$1,LUJ_2!$3:$3,0))</f>
        <v>0.20631714259480305</v>
      </c>
      <c r="U7" s="73">
        <f>INDEX(LUJ_3!$A:$J,MATCH('2018'!$A7,LUJ_3!$A:$A,0),MATCH('2018'!$A$1,LUJ_3!$3:$3,0))</f>
        <v>0.63226486701557871</v>
      </c>
      <c r="V7" s="14">
        <f>INDEX(LUJ_4!$A:$J,MATCH('2018'!$A7,LUJ_4!$A:$A,0),MATCH('2018'!$A$1,LUJ_4!$3:$3,0))</f>
        <v>74</v>
      </c>
      <c r="W7" s="34">
        <f>INDEX(LUJ_5!$A:$J,MATCH('2018'!$A7,LUJ_5!$A:$A,0),MATCH('2018'!$A$1,LUJ_5!$3:$3,0))</f>
        <v>135.1</v>
      </c>
      <c r="X7" s="98">
        <f>1/INDEX(GUL_1!$A:$J,MATCH('2018'!$A7,GUL_1!$A:$A,0),MATCH('2018'!$A$1,GUL_1!$3:$3,0))</f>
        <v>1.3921759710427398E-2</v>
      </c>
      <c r="Y7" s="57" t="e">
        <f>INDEX(GUL_2!$A:$J,MATCH('2018'!$A7,GUL_2!$A:$A,0),MATCH('2018'!$A$1,GUL_2!$3:$3,0))</f>
        <v>#N/A</v>
      </c>
      <c r="Z7" s="57">
        <f>INDEX(GUL_3!$A:$J,MATCH('2018'!$A7,GUL_3!$A:$A,0),MATCH('2018'!$A$1,GUL_3!$3:$3,0))/(B7/1000)</f>
        <v>0.54981322049258408</v>
      </c>
      <c r="AA7" s="101">
        <f>INDEX(GUL_4!$A:$J,MATCH('2018'!$A7,GUL_4!$A:$A,0),MATCH('2018'!$A$1,GUL_4!$3:$3,0))/B7/C7*10^6</f>
        <v>0.38650363775963581</v>
      </c>
      <c r="AB7" s="73">
        <f>INDEX(GUL_5!$A:$J,MATCH('2018'!$A7,GUL_5!$A:$A,0),MATCH('2018'!$A$1,GUL_5!$3:$3,0))</f>
        <v>5.1815225478714907E-2</v>
      </c>
      <c r="AC7" s="49" t="e">
        <f>INDEX(GUL_6!$A:$J,MATCH('2018'!$A7,GUL_6!$A:$A,0),MATCH('2018'!$A$1,GUL_6!$3:$3,0))</f>
        <v>#N/A</v>
      </c>
      <c r="AD7" s="49" t="e">
        <f>INDEX(GUL_7!$A:$J,MATCH('2018'!$A7,GUL_7!$A:$A,0),MATCH('2018'!$A$1,GUL_7!$3:$3,0))</f>
        <v>#N/A</v>
      </c>
      <c r="AE7" s="103">
        <f>INDEX(GUL_8!$A:$J,MATCH('2018'!$A7,GUL_8!$A:$A,0),MATCH('2018'!$A$1,GUL_8!$3:$3,0))/(B7/1000)</f>
        <v>2.3441095773110172</v>
      </c>
      <c r="AF7" s="41">
        <f>INDEX(DES_1!$A:$J,MATCH('2018'!$A7,DES_1!$A:$A,0),MATCH('2018'!$A$1,DES_1!$3:$3,0))/(B7/1000)</f>
        <v>0.17625420566082839</v>
      </c>
      <c r="AG7" s="100">
        <f>INDEX(DES_2!$A:$J,MATCH('2018'!$A7,DES_2!$A:$A,0),MATCH('2018'!$A$1,DES_2!$3:$3,0))/(B7/1000)</f>
        <v>0.46168611766216994</v>
      </c>
      <c r="AH7" s="57">
        <f>1/INDEX(DES_3!$A:$J,MATCH('2018'!$A7,DES_3!$A:$A,0),MATCH('2018'!$A$1,DES_3!$3:$3,0))</f>
        <v>8.9206066012488851E-3</v>
      </c>
      <c r="AI7" s="80" t="e">
        <f>INDEX(DES_4!$A:$J,MATCH('2018'!$A7,DES_4!$A:$A,0),MATCH('2018'!$A$1,DES_4!$3:$3,0))</f>
        <v>#N/A</v>
      </c>
      <c r="AJ7" s="110" t="e">
        <f>INDEX(DES_5!$A:$J,MATCH('2018'!$A7,DES_5!$A:$A,0),MATCH('2018'!$A$1,DES_5!$3:$3,0))</f>
        <v>#N/A</v>
      </c>
      <c r="AK7" s="57">
        <v>19</v>
      </c>
    </row>
    <row r="8" spans="1:37" x14ac:dyDescent="0.3">
      <c r="A8" s="29" t="s">
        <v>7</v>
      </c>
      <c r="B8" s="33">
        <f>INDEX(Population!$A:$J,MATCH('2018'!$A8,Population!$A:$A,0),MATCH('2018'!$A$1,Population!$3:$3,0))</f>
        <v>41835</v>
      </c>
      <c r="C8" s="14">
        <f>INDEX(Income!$A:$J,MATCH('2018'!$A8,Income!$A:$A,0),MATCH('2018'!$A$1,Income!$3:$3,0))</f>
        <v>78549</v>
      </c>
      <c r="D8" s="34">
        <f>INDEX(Livable_wage!$A:$J,MATCH('2018'!$A8,Livable_wage!$A:$A,0),MATCH('2018'!$A$1,Livable_wage!$3:$3,0))</f>
        <v>21360</v>
      </c>
      <c r="E8" s="41">
        <f>INDEX(AVA_1!$A:$J,MATCH('2018'!$A8,AVA_1!$A:$A,0),MATCH('2018'!$A$1,AVA_1!$3:$3,0))</f>
        <v>0.42599999999999999</v>
      </c>
      <c r="F8" s="15">
        <f>INDEX(AVA_2!$A:$J,MATCH('2018'!$A8,AVA_2!$A:$A,0),MATCH('2018'!$A$1,AVA_2!$3:$3,0))</f>
        <v>5.3099730458221021E-3</v>
      </c>
      <c r="G8" s="15">
        <f>INDEX(AVA_3!$A:$J,MATCH('2018'!$A8,AVA_3!$A:$A,0),MATCH('2018'!$A$1,AVA_3!$3:$3,0))</f>
        <v>2.5700001782416951E-3</v>
      </c>
      <c r="H8" s="87">
        <f>INDEX(AVA_4!$A:$J,MATCH('2018'!$A8,AVA_4!$A:$A,0),MATCH('2018'!$A$1,AVA_4!$3:$3,0))/(B8/1000)</f>
        <v>1.6493366798135531</v>
      </c>
      <c r="I8" s="89">
        <f>INDEX(AVA_5!$A:$J,MATCH('2018'!$A8,AVA_5!$A:$A,0),MATCH('2018'!$A$1,AVA_5!$3:$3,0))/(B8/1000)</f>
        <v>6.501732998685311</v>
      </c>
      <c r="J8" s="93">
        <f>INDEX(IRA_1!$A:$J,MATCH('2018'!$A8,IRA_1!$A:$A,0),MATCH('2018'!$A$1,IRA_1!$3:$3,0))/(B8/1000)</f>
        <v>2.3903430142225408E-2</v>
      </c>
      <c r="K8" s="88">
        <f>INDEX(IRA_2!$A:$J,MATCH('2018'!$A8,IRA_2!$A:$A,0),MATCH('2018'!$A$1,IRA_2!$3:$3,0))/(B8/1000)</f>
        <v>0.28684116170670493</v>
      </c>
      <c r="L8" s="15">
        <f>INDEX(IRA_3!$A:$J,MATCH('2018'!$A8,IRA_3!$A:$A,0),MATCH('2018'!$A$1,IRA_3!$3:$3,0))</f>
        <v>0.4402277039848197</v>
      </c>
      <c r="M8" s="96">
        <f>INDEX(IRA_4!$A:$J,MATCH('2018'!$A8,IRA_4!$A:$A,0),MATCH('2018'!$A$1,IRA_4!$3:$3,0))/(B8/1000)</f>
        <v>6.3344089876897334</v>
      </c>
      <c r="N8" s="61">
        <f>INDEX(INV_1!$A:$J,MATCH('2018'!$A8,INV_1!$A:$A,0),MATCH('2018'!$A$1,INV_1!$3:$3,0))</f>
        <v>6.0272138518415251E-2</v>
      </c>
      <c r="O8" s="80">
        <f>INDEX(INV_2!$A:$J,MATCH('2018'!$A8,INV_2!$A:$A,0),MATCH('2018'!$A$1,INV_2!$3:$3,0))/B8*10^6/C8</f>
        <v>6.1702644624733377E-2</v>
      </c>
      <c r="P8" s="87">
        <f>INDEX(INV_3!$A:$J,MATCH('2018'!$A8,INV_3!$A:$A,0),MATCH('2018'!$A$1,INV_3!$3:$3,0))/B8*10^6/C8</f>
        <v>2.1131449020052862</v>
      </c>
      <c r="Q8" s="87">
        <f>INDEX(INV_4!$A:$J,MATCH('2018'!$A8,INV_4!$A:$A,0),MATCH('2018'!$A$1,INV_4!$3:$3,0))/B8*10^3/C8</f>
        <v>8.5959654972675242E-2</v>
      </c>
      <c r="R8" s="34">
        <f>INDEX(INV_5!$A:$J,MATCH('2018'!$A8,INV_5!$A:$A,0),MATCH('2018'!$A$1,INV_5!$3:$3,0))</f>
        <v>3.7100000000000001E-2</v>
      </c>
      <c r="S8" s="77">
        <f>INDEX(LUJ_1!$A:$J,MATCH('2018'!$A8,LUJ_1!$A:$A,0),MATCH('2018'!$A$1,LUJ_1!$3:$3,0))</f>
        <v>0.77619047619047621</v>
      </c>
      <c r="T8" s="73">
        <f>INDEX(LUJ_2!$A:$J,MATCH('2018'!$A8,LUJ_2!$A:$A,0),MATCH('2018'!$A$1,LUJ_2!$3:$3,0))</f>
        <v>0.40129449838187703</v>
      </c>
      <c r="U8" s="73">
        <f>INDEX(LUJ_3!$A:$J,MATCH('2018'!$A8,LUJ_3!$A:$A,0),MATCH('2018'!$A$1,LUJ_3!$3:$3,0))</f>
        <v>0.5145631067961165</v>
      </c>
      <c r="V8" s="14">
        <f>INDEX(LUJ_4!$A:$J,MATCH('2018'!$A8,LUJ_4!$A:$A,0),MATCH('2018'!$A$1,LUJ_4!$3:$3,0))</f>
        <v>1</v>
      </c>
      <c r="W8" s="34">
        <f>INDEX(LUJ_5!$A:$J,MATCH('2018'!$A8,LUJ_5!$A:$A,0),MATCH('2018'!$A$1,LUJ_5!$3:$3,0))</f>
        <v>13.7</v>
      </c>
      <c r="X8" s="98">
        <f>1/INDEX(GUL_1!$A:$J,MATCH('2018'!$A8,GUL_1!$A:$A,0),MATCH('2018'!$A$1,GUL_1!$3:$3,0))</f>
        <v>1.3917884481558803E-2</v>
      </c>
      <c r="Y8" s="57" t="e">
        <f>INDEX(GUL_2!$A:$J,MATCH('2018'!$A8,GUL_2!$A:$A,0),MATCH('2018'!$A$1,GUL_2!$3:$3,0))</f>
        <v>#N/A</v>
      </c>
      <c r="Z8" s="57">
        <f>INDEX(GUL_3!$A:$J,MATCH('2018'!$A8,GUL_3!$A:$A,0),MATCH('2018'!$A$1,GUL_3!$3:$3,0))/(B8/1000)</f>
        <v>0.74100633440898767</v>
      </c>
      <c r="AA8" s="101">
        <f>INDEX(GUL_4!$A:$J,MATCH('2018'!$A8,GUL_4!$A:$A,0),MATCH('2018'!$A$1,GUL_4!$3:$3,0))/B8/C8*10^6</f>
        <v>0.40954354970027568</v>
      </c>
      <c r="AB8" s="73">
        <f>INDEX(GUL_5!$A:$J,MATCH('2018'!$A8,GUL_5!$A:$A,0),MATCH('2018'!$A$1,GUL_5!$3:$3,0))</f>
        <v>5.0871848268896416E-2</v>
      </c>
      <c r="AC8" s="49" t="e">
        <f>INDEX(GUL_6!$A:$J,MATCH('2018'!$A8,GUL_6!$A:$A,0),MATCH('2018'!$A$1,GUL_6!$3:$3,0))</f>
        <v>#N/A</v>
      </c>
      <c r="AD8" s="49" t="e">
        <f>INDEX(GUL_7!$A:$J,MATCH('2018'!$A8,GUL_7!$A:$A,0),MATCH('2018'!$A$1,GUL_7!$3:$3,0))</f>
        <v>#N/A</v>
      </c>
      <c r="AE8" s="103">
        <f>INDEX(GUL_8!$A:$J,MATCH('2018'!$A8,GUL_8!$A:$A,0),MATCH('2018'!$A$1,GUL_8!$3:$3,0))/(B8/1000)</f>
        <v>6.0953746862674789</v>
      </c>
      <c r="AF8" s="41">
        <f>INDEX(DES_1!$A:$J,MATCH('2018'!$A8,DES_1!$A:$A,0),MATCH('2018'!$A$1,DES_1!$3:$3,0))/(B8/1000)</f>
        <v>0.28684116170670493</v>
      </c>
      <c r="AG8" s="100">
        <f>INDEX(DES_2!$A:$J,MATCH('2018'!$A8,DES_2!$A:$A,0),MATCH('2018'!$A$1,DES_2!$3:$3,0))/(B8/1000)</f>
        <v>0.38245488227560653</v>
      </c>
      <c r="AH8" s="57">
        <f>1/INDEX(DES_3!$A:$J,MATCH('2018'!$A8,DES_3!$A:$A,0),MATCH('2018'!$A$1,DES_3!$3:$3,0))</f>
        <v>9.3109869646182484E-3</v>
      </c>
      <c r="AI8" s="80" t="e">
        <f>INDEX(DES_4!$A:$J,MATCH('2018'!$A8,DES_4!$A:$A,0),MATCH('2018'!$A$1,DES_4!$3:$3,0))</f>
        <v>#N/A</v>
      </c>
      <c r="AJ8" s="110" t="e">
        <f>INDEX(DES_5!$A:$J,MATCH('2018'!$A8,DES_5!$A:$A,0),MATCH('2018'!$A$1,DES_5!$3:$3,0))</f>
        <v>#N/A</v>
      </c>
      <c r="AK8" s="57">
        <v>3</v>
      </c>
    </row>
    <row r="9" spans="1:37" x14ac:dyDescent="0.3">
      <c r="A9" s="29" t="s">
        <v>8</v>
      </c>
      <c r="B9" s="33">
        <f>INDEX(Population!$A:$J,MATCH('2018'!$A9,Population!$A:$A,0),MATCH('2018'!$A$1,Population!$3:$3,0))</f>
        <v>141407</v>
      </c>
      <c r="C9" s="14">
        <f>INDEX(Income!$A:$J,MATCH('2018'!$A9,Income!$A:$A,0),MATCH('2018'!$A$1,Income!$3:$3,0))</f>
        <v>59783</v>
      </c>
      <c r="D9" s="34">
        <f>INDEX(Livable_wage!$A:$J,MATCH('2018'!$A9,Livable_wage!$A:$A,0),MATCH('2018'!$A$1,Livable_wage!$3:$3,0))</f>
        <v>19881</v>
      </c>
      <c r="E9" s="41">
        <f>INDEX(AVA_1!$A:$J,MATCH('2018'!$A9,AVA_1!$A:$A,0),MATCH('2018'!$A$1,AVA_1!$3:$3,0))</f>
        <v>0.38800000000000001</v>
      </c>
      <c r="F9" s="15">
        <f>INDEX(AVA_2!$A:$J,MATCH('2018'!$A9,AVA_2!$A:$A,0),MATCH('2018'!$A$1,AVA_2!$3:$3,0))</f>
        <v>1.1993474956437919E-2</v>
      </c>
      <c r="G9" s="15">
        <f>INDEX(AVA_3!$A:$J,MATCH('2018'!$A9,AVA_3!$A:$A,0),MATCH('2018'!$A$1,AVA_3!$3:$3,0))</f>
        <v>1.9830158970414891E-3</v>
      </c>
      <c r="H9" s="87">
        <f>INDEX(AVA_4!$A:$J,MATCH('2018'!$A9,AVA_4!$A:$A,0),MATCH('2018'!$A$1,AVA_4!$3:$3,0))/(B9/1000)</f>
        <v>1.5699364246465874</v>
      </c>
      <c r="I9" s="89">
        <f>INDEX(AVA_5!$A:$J,MATCH('2018'!$A9,AVA_5!$A:$A,0),MATCH('2018'!$A$1,AVA_5!$3:$3,0))/(B9/1000)</f>
        <v>5.4806339148698431</v>
      </c>
      <c r="J9" s="93">
        <f>INDEX(IRA_1!$A:$J,MATCH('2018'!$A9,IRA_1!$A:$A,0),MATCH('2018'!$A$1,IRA_1!$3:$3,0))/(B9/1000)</f>
        <v>0.16972285671854997</v>
      </c>
      <c r="K9" s="88">
        <f>INDEX(IRA_2!$A:$J,MATCH('2018'!$A9,IRA_2!$A:$A,0),MATCH('2018'!$A$1,IRA_2!$3:$3,0))/(B9/1000)</f>
        <v>0.2970149992574625</v>
      </c>
      <c r="L9" s="15">
        <f>INDEX(IRA_3!$A:$J,MATCH('2018'!$A9,IRA_3!$A:$A,0),MATCH('2018'!$A$1,IRA_3!$3:$3,0))</f>
        <v>0.38498957609451012</v>
      </c>
      <c r="M9" s="96">
        <f>INDEX(IRA_4!$A:$J,MATCH('2018'!$A9,IRA_4!$A:$A,0),MATCH('2018'!$A$1,IRA_4!$3:$3,0))/(B9/1000)</f>
        <v>6.8454885543148496</v>
      </c>
      <c r="N9" s="61">
        <f>INDEX(INV_1!$A:$J,MATCH('2018'!$A9,INV_1!$A:$A,0),MATCH('2018'!$A$1,INV_1!$3:$3,0))</f>
        <v>7.3537183609506784E-2</v>
      </c>
      <c r="O9" s="80">
        <f>INDEX(INV_2!$A:$J,MATCH('2018'!$A9,INV_2!$A:$A,0),MATCH('2018'!$A$1,INV_2!$3:$3,0))/B9*10^6/C9</f>
        <v>0.23351983087863837</v>
      </c>
      <c r="P9" s="87">
        <f>INDEX(INV_3!$A:$J,MATCH('2018'!$A9,INV_3!$A:$A,0),MATCH('2018'!$A$1,INV_3!$3:$3,0))/B9*10^6/C9</f>
        <v>2.9525412071540744</v>
      </c>
      <c r="Q9" s="87">
        <f>INDEX(INV_4!$A:$J,MATCH('2018'!$A9,INV_4!$A:$A,0),MATCH('2018'!$A$1,INV_4!$3:$3,0))/B9*10^3/C9</f>
        <v>0.26845227294636931</v>
      </c>
      <c r="R9" s="34">
        <f>INDEX(INV_5!$A:$J,MATCH('2018'!$A9,INV_5!$A:$A,0),MATCH('2018'!$A$1,INV_5!$3:$3,0))</f>
        <v>6.7699999999999996E-2</v>
      </c>
      <c r="S9" s="77">
        <f>INDEX(LUJ_1!$A:$J,MATCH('2018'!$A9,LUJ_1!$A:$A,0),MATCH('2018'!$A$1,LUJ_1!$3:$3,0))</f>
        <v>0.72535211267605637</v>
      </c>
      <c r="T9" s="73">
        <f>INDEX(LUJ_2!$A:$J,MATCH('2018'!$A9,LUJ_2!$A:$A,0),MATCH('2018'!$A$1,LUJ_2!$3:$3,0))</f>
        <v>0.32445690259285215</v>
      </c>
      <c r="U9" s="73">
        <f>INDEX(LUJ_3!$A:$J,MATCH('2018'!$A9,LUJ_3!$A:$A,0),MATCH('2018'!$A$1,LUJ_3!$3:$3,0))</f>
        <v>0.78906797477224944</v>
      </c>
      <c r="V9" s="14">
        <f>INDEX(LUJ_4!$A:$J,MATCH('2018'!$A9,LUJ_4!$A:$A,0),MATCH('2018'!$A$1,LUJ_4!$3:$3,0))</f>
        <v>3</v>
      </c>
      <c r="W9" s="34">
        <f>INDEX(LUJ_5!$A:$J,MATCH('2018'!$A9,LUJ_5!$A:$A,0),MATCH('2018'!$A$1,LUJ_5!$3:$3,0))</f>
        <v>40.700000000000003</v>
      </c>
      <c r="X9" s="98">
        <f>1/INDEX(GUL_1!$A:$J,MATCH('2018'!$A9,GUL_1!$A:$A,0),MATCH('2018'!$A$1,GUL_1!$3:$3,0))</f>
        <v>1.4363688595231254E-2</v>
      </c>
      <c r="Y9" s="57" t="e">
        <f>INDEX(GUL_2!$A:$J,MATCH('2018'!$A9,GUL_2!$A:$A,0),MATCH('2018'!$A$1,GUL_2!$3:$3,0))</f>
        <v>#N/A</v>
      </c>
      <c r="Z9" s="57">
        <f>INDEX(GUL_3!$A:$J,MATCH('2018'!$A9,GUL_3!$A:$A,0),MATCH('2018'!$A$1,GUL_3!$3:$3,0))/(B9/1000)</f>
        <v>0.83447071219953739</v>
      </c>
      <c r="AA9" s="101">
        <f>INDEX(GUL_4!$A:$J,MATCH('2018'!$A9,GUL_4!$A:$A,0),MATCH('2018'!$A$1,GUL_4!$3:$3,0))/B9/C9*10^6</f>
        <v>0.31425164146336187</v>
      </c>
      <c r="AB9" s="73">
        <f>INDEX(GUL_5!$A:$J,MATCH('2018'!$A9,GUL_5!$A:$A,0),MATCH('2018'!$A$1,GUL_5!$3:$3,0))</f>
        <v>2.0890298768359173E-2</v>
      </c>
      <c r="AC9" s="49" t="e">
        <f>INDEX(GUL_6!$A:$J,MATCH('2018'!$A9,GUL_6!$A:$A,0),MATCH('2018'!$A$1,GUL_6!$3:$3,0))</f>
        <v>#N/A</v>
      </c>
      <c r="AD9" s="49" t="e">
        <f>INDEX(GUL_7!$A:$J,MATCH('2018'!$A9,GUL_7!$A:$A,0),MATCH('2018'!$A$1,GUL_7!$3:$3,0))</f>
        <v>#N/A</v>
      </c>
      <c r="AE9" s="103">
        <f>INDEX(GUL_8!$A:$J,MATCH('2018'!$A9,GUL_8!$A:$A,0),MATCH('2018'!$A$1,GUL_8!$3:$3,0))/(B9/1000)</f>
        <v>4.5330146315246056</v>
      </c>
      <c r="AF9" s="41">
        <f>INDEX(DES_1!$A:$J,MATCH('2018'!$A9,DES_1!$A:$A,0),MATCH('2018'!$A$1,DES_1!$3:$3,0))/(B9/1000)</f>
        <v>4.950249987624375E-2</v>
      </c>
      <c r="AG9" s="100">
        <f>INDEX(DES_2!$A:$J,MATCH('2018'!$A9,DES_2!$A:$A,0),MATCH('2018'!$A$1,DES_2!$3:$3,0))/(B9/1000)</f>
        <v>0.79911178371650615</v>
      </c>
      <c r="AH9" s="57">
        <f>1/INDEX(DES_3!$A:$J,MATCH('2018'!$A9,DES_3!$A:$A,0),MATCH('2018'!$A$1,DES_3!$3:$3,0))</f>
        <v>7.5642965204236016E-3</v>
      </c>
      <c r="AI9" s="80" t="e">
        <f>INDEX(DES_4!$A:$J,MATCH('2018'!$A9,DES_4!$A:$A,0),MATCH('2018'!$A$1,DES_4!$3:$3,0))</f>
        <v>#N/A</v>
      </c>
      <c r="AJ9" s="110" t="e">
        <f>INDEX(DES_5!$A:$J,MATCH('2018'!$A9,DES_5!$A:$A,0),MATCH('2018'!$A$1,DES_5!$3:$3,0))</f>
        <v>#N/A</v>
      </c>
      <c r="AK9" s="57">
        <v>7</v>
      </c>
    </row>
    <row r="10" spans="1:37" x14ac:dyDescent="0.3">
      <c r="A10" s="29" t="s">
        <v>9</v>
      </c>
      <c r="B10" s="33">
        <f>INDEX(Population!$A:$J,MATCH('2018'!$A10,Population!$A:$A,0),MATCH('2018'!$A$1,Population!$3:$3,0))</f>
        <v>301213</v>
      </c>
      <c r="C10" s="14">
        <f>INDEX(Income!$A:$J,MATCH('2018'!$A10,Income!$A:$A,0),MATCH('2018'!$A$1,Income!$3:$3,0))</f>
        <v>48765</v>
      </c>
      <c r="D10" s="34">
        <f>INDEX(Livable_wage!$A:$J,MATCH('2018'!$A10,Livable_wage!$A:$A,0),MATCH('2018'!$A$1,Livable_wage!$3:$3,0))</f>
        <v>20886</v>
      </c>
      <c r="E10" s="41">
        <f>INDEX(AVA_1!$A:$J,MATCH('2018'!$A10,AVA_1!$A:$A,0),MATCH('2018'!$A$1,AVA_1!$3:$3,0))</f>
        <v>0.372</v>
      </c>
      <c r="F10" s="15">
        <f>INDEX(AVA_2!$A:$J,MATCH('2018'!$A10,AVA_2!$A:$A,0),MATCH('2018'!$A$1,AVA_2!$3:$3,0))</f>
        <v>1.2300370273403896E-2</v>
      </c>
      <c r="G10" s="15">
        <f>INDEX(AVA_3!$A:$J,MATCH('2018'!$A10,AVA_3!$A:$A,0),MATCH('2018'!$A$1,AVA_3!$3:$3,0))</f>
        <v>6.2679045660682456E-2</v>
      </c>
      <c r="H10" s="87">
        <f>INDEX(AVA_4!$A:$J,MATCH('2018'!$A10,AVA_4!$A:$A,0),MATCH('2018'!$A$1,AVA_4!$3:$3,0))/(B10/1000)</f>
        <v>0.98601321988094792</v>
      </c>
      <c r="I10" s="89">
        <f>INDEX(AVA_5!$A:$J,MATCH('2018'!$A10,AVA_5!$A:$A,0),MATCH('2018'!$A$1,AVA_5!$3:$3,0))/(B10/1000)</f>
        <v>6.4539047119480228</v>
      </c>
      <c r="J10" s="93">
        <f>INDEX(IRA_1!$A:$J,MATCH('2018'!$A10,IRA_1!$A:$A,0),MATCH('2018'!$A$1,IRA_1!$3:$3,0))/(B10/1000)</f>
        <v>0.10623711459996746</v>
      </c>
      <c r="K10" s="88">
        <f>INDEX(IRA_2!$A:$J,MATCH('2018'!$A10,IRA_2!$A:$A,0),MATCH('2018'!$A$1,IRA_2!$3:$3,0))/(B10/1000)</f>
        <v>0.31539143396865338</v>
      </c>
      <c r="L10" s="15">
        <f>INDEX(IRA_3!$A:$J,MATCH('2018'!$A10,IRA_3!$A:$A,0),MATCH('2018'!$A$1,IRA_3!$3:$3,0))</f>
        <v>0.47653213751868462</v>
      </c>
      <c r="M10" s="96">
        <f>INDEX(IRA_4!$A:$J,MATCH('2018'!$A10,IRA_4!$A:$A,0),MATCH('2018'!$A$1,IRA_4!$3:$3,0))/(B10/1000)</f>
        <v>4.7441511488547965</v>
      </c>
      <c r="N10" s="61">
        <f>INDEX(INV_1!$A:$J,MATCH('2018'!$A10,INV_1!$A:$A,0),MATCH('2018'!$A$1,INV_1!$3:$3,0))</f>
        <v>7.6097319431355295E-2</v>
      </c>
      <c r="O10" s="80">
        <f>INDEX(INV_2!$A:$J,MATCH('2018'!$A10,INV_2!$A:$A,0),MATCH('2018'!$A$1,INV_2!$3:$3,0))/B10*10^6/C10</f>
        <v>0.17865856423218557</v>
      </c>
      <c r="P10" s="87">
        <f>INDEX(INV_3!$A:$J,MATCH('2018'!$A10,INV_3!$A:$A,0),MATCH('2018'!$A$1,INV_3!$3:$3,0))/B10*10^6/C10</f>
        <v>2.9345783507841161</v>
      </c>
      <c r="Q10" s="87">
        <f>INDEX(INV_4!$A:$J,MATCH('2018'!$A10,INV_4!$A:$A,0),MATCH('2018'!$A$1,INV_4!$3:$3,0))/B10*10^3/C10</f>
        <v>0.35214383997714099</v>
      </c>
      <c r="R10" s="34">
        <f>INDEX(INV_5!$A:$J,MATCH('2018'!$A10,INV_5!$A:$A,0),MATCH('2018'!$A$1,INV_5!$3:$3,0))</f>
        <v>0.1648</v>
      </c>
      <c r="S10" s="77">
        <f>INDEX(LUJ_1!$A:$J,MATCH('2018'!$A10,LUJ_1!$A:$A,0),MATCH('2018'!$A$1,LUJ_1!$3:$3,0))</f>
        <v>0.70257510729613737</v>
      </c>
      <c r="T10" s="73">
        <f>INDEX(LUJ_2!$A:$J,MATCH('2018'!$A10,LUJ_2!$A:$A,0),MATCH('2018'!$A$1,LUJ_2!$3:$3,0))</f>
        <v>0.22622183201638865</v>
      </c>
      <c r="U10" s="73">
        <f>INDEX(LUJ_3!$A:$J,MATCH('2018'!$A10,LUJ_3!$A:$A,0),MATCH('2018'!$A$1,LUJ_3!$3:$3,0))</f>
        <v>0.5993561603745976</v>
      </c>
      <c r="V10" s="14">
        <f>INDEX(LUJ_4!$A:$J,MATCH('2018'!$A10,LUJ_4!$A:$A,0),MATCH('2018'!$A$1,LUJ_4!$3:$3,0))</f>
        <v>9</v>
      </c>
      <c r="W10" s="34">
        <f>INDEX(LUJ_5!$A:$J,MATCH('2018'!$A10,LUJ_5!$A:$A,0),MATCH('2018'!$A$1,LUJ_5!$3:$3,0))</f>
        <v>56.8</v>
      </c>
      <c r="X10" s="98">
        <f>1/INDEX(GUL_1!$A:$J,MATCH('2018'!$A10,GUL_1!$A:$A,0),MATCH('2018'!$A$1,GUL_1!$3:$3,0))</f>
        <v>1.4267370523612497E-2</v>
      </c>
      <c r="Y10" s="57" t="e">
        <f>INDEX(GUL_2!$A:$J,MATCH('2018'!$A10,GUL_2!$A:$A,0),MATCH('2018'!$A$1,GUL_2!$3:$3,0))</f>
        <v>#N/A</v>
      </c>
      <c r="Z10" s="57">
        <f>INDEX(GUL_3!$A:$J,MATCH('2018'!$A10,GUL_3!$A:$A,0),MATCH('2018'!$A$1,GUL_3!$3:$3,0))/(B10/1000)</f>
        <v>0.75029962186227017</v>
      </c>
      <c r="AA10" s="101">
        <f>INDEX(GUL_4!$A:$J,MATCH('2018'!$A10,GUL_4!$A:$A,0),MATCH('2018'!$A$1,GUL_4!$3:$3,0))/B10/C10*10^6</f>
        <v>0.40474102199853035</v>
      </c>
      <c r="AB10" s="73">
        <f>INDEX(GUL_5!$A:$J,MATCH('2018'!$A10,GUL_5!$A:$A,0),MATCH('2018'!$A$1,GUL_5!$3:$3,0))</f>
        <v>4.1706866757870269E-2</v>
      </c>
      <c r="AC10" s="49" t="e">
        <f>INDEX(GUL_6!$A:$J,MATCH('2018'!$A10,GUL_6!$A:$A,0),MATCH('2018'!$A$1,GUL_6!$3:$3,0))</f>
        <v>#N/A</v>
      </c>
      <c r="AD10" s="49" t="e">
        <f>INDEX(GUL_7!$A:$J,MATCH('2018'!$A10,GUL_7!$A:$A,0),MATCH('2018'!$A$1,GUL_7!$3:$3,0))</f>
        <v>#N/A</v>
      </c>
      <c r="AE10" s="103">
        <f>INDEX(GUL_8!$A:$J,MATCH('2018'!$A10,GUL_8!$A:$A,0),MATCH('2018'!$A$1,GUL_8!$3:$3,0))/(B10/1000)</f>
        <v>3.8876144123925593</v>
      </c>
      <c r="AF10" s="41">
        <f>INDEX(DES_1!$A:$J,MATCH('2018'!$A10,DES_1!$A:$A,0),MATCH('2018'!$A$1,DES_1!$3:$3,0))/(B10/1000)</f>
        <v>6.3078286793730676E-2</v>
      </c>
      <c r="AG10" s="100">
        <f>INDEX(DES_2!$A:$J,MATCH('2018'!$A10,DES_2!$A:$A,0),MATCH('2018'!$A$1,DES_2!$3:$3,0))/(B10/1000)</f>
        <v>0.76025935135601708</v>
      </c>
      <c r="AH10" s="57">
        <f>1/INDEX(DES_3!$A:$J,MATCH('2018'!$A10,DES_3!$A:$A,0),MATCH('2018'!$A$1,DES_3!$3:$3,0))</f>
        <v>8.1699346405228763E-3</v>
      </c>
      <c r="AI10" s="80" t="e">
        <f>INDEX(DES_4!$A:$J,MATCH('2018'!$A10,DES_4!$A:$A,0),MATCH('2018'!$A$1,DES_4!$3:$3,0))</f>
        <v>#N/A</v>
      </c>
      <c r="AJ10" s="110" t="e">
        <f>INDEX(DES_5!$A:$J,MATCH('2018'!$A10,DES_5!$A:$A,0),MATCH('2018'!$A$1,DES_5!$3:$3,0))</f>
        <v>#N/A</v>
      </c>
      <c r="AK10" s="57">
        <v>8</v>
      </c>
    </row>
    <row r="11" spans="1:37" x14ac:dyDescent="0.3">
      <c r="A11" s="29" t="s">
        <v>10</v>
      </c>
      <c r="B11" s="33">
        <f>INDEX(Population!$A:$J,MATCH('2018'!$A11,Population!$A:$A,0),MATCH('2018'!$A$1,Population!$3:$3,0))</f>
        <v>1892360</v>
      </c>
      <c r="C11" s="14">
        <f>INDEX(Income!$A:$J,MATCH('2018'!$A11,Income!$A:$A,0),MATCH('2018'!$A$1,Income!$3:$3,0))</f>
        <v>34662</v>
      </c>
      <c r="D11" s="34">
        <f>INDEX(Livable_wage!$A:$J,MATCH('2018'!$A11,Livable_wage!$A:$A,0),MATCH('2018'!$A$1,Livable_wage!$3:$3,0))</f>
        <v>13310</v>
      </c>
      <c r="E11" s="41">
        <f>INDEX(AVA_1!$A:$J,MATCH('2018'!$A11,AVA_1!$A:$A,0),MATCH('2018'!$A$1,AVA_1!$3:$3,0))</f>
        <v>0.38600000000000001</v>
      </c>
      <c r="F11" s="15">
        <f>INDEX(AVA_2!$A:$J,MATCH('2018'!$A11,AVA_2!$A:$A,0),MATCH('2018'!$A$1,AVA_2!$3:$3,0))</f>
        <v>1.1513473424707073E-2</v>
      </c>
      <c r="G11" s="15">
        <f>INDEX(AVA_3!$A:$J,MATCH('2018'!$A11,AVA_3!$A:$A,0),MATCH('2018'!$A$1,AVA_3!$3:$3,0))</f>
        <v>4.1288337298793117E-2</v>
      </c>
      <c r="H11" s="87">
        <f>INDEX(AVA_4!$A:$J,MATCH('2018'!$A11,AVA_4!$A:$A,0),MATCH('2018'!$A$1,AVA_4!$3:$3,0))/(B11/1000)</f>
        <v>0.49937644000084552</v>
      </c>
      <c r="I11" s="89">
        <f>INDEX(AVA_5!$A:$J,MATCH('2018'!$A11,AVA_5!$A:$A,0),MATCH('2018'!$A$1,AVA_5!$3:$3,0))/(B11/1000)</f>
        <v>5.8878860259147308</v>
      </c>
      <c r="J11" s="93">
        <f>INDEX(IRA_1!$A:$J,MATCH('2018'!$A11,IRA_1!$A:$A,0),MATCH('2018'!$A$1,IRA_1!$3:$3,0))/(B11/1000)</f>
        <v>8.4550508359931525E-2</v>
      </c>
      <c r="K11" s="88">
        <f>INDEX(IRA_2!$A:$J,MATCH('2018'!$A11,IRA_2!$A:$A,0),MATCH('2018'!$A$1,IRA_2!$3:$3,0))/(B11/1000)</f>
        <v>0.27161850810628002</v>
      </c>
      <c r="L11" s="15">
        <f>INDEX(IRA_3!$A:$J,MATCH('2018'!$A11,IRA_3!$A:$A,0),MATCH('2018'!$A$1,IRA_3!$3:$3,0))</f>
        <v>0.35900189513581804</v>
      </c>
      <c r="M11" s="96">
        <f>INDEX(IRA_4!$A:$J,MATCH('2018'!$A11,IRA_4!$A:$A,0),MATCH('2018'!$A$1,IRA_4!$3:$3,0))/(B11/1000)</f>
        <v>6.5812001944661693</v>
      </c>
      <c r="N11" s="61">
        <f>INDEX(INV_1!$A:$J,MATCH('2018'!$A11,INV_1!$A:$A,0),MATCH('2018'!$A$1,INV_1!$3:$3,0))</f>
        <v>6.9388533876108022E-2</v>
      </c>
      <c r="O11" s="80">
        <f>INDEX(INV_2!$A:$J,MATCH('2018'!$A11,INV_2!$A:$A,0),MATCH('2018'!$A$1,INV_2!$3:$3,0))/B11*10^6/C11</f>
        <v>0.26642603499477535</v>
      </c>
      <c r="P11" s="87">
        <f>INDEX(INV_3!$A:$J,MATCH('2018'!$A11,INV_3!$A:$A,0),MATCH('2018'!$A$1,INV_3!$3:$3,0))/B11*10^6/C11</f>
        <v>2.8468289349768359</v>
      </c>
      <c r="Q11" s="87">
        <f>INDEX(INV_4!$A:$J,MATCH('2018'!$A11,INV_4!$A:$A,0),MATCH('2018'!$A$1,INV_4!$3:$3,0))/B11*10^3/C11</f>
        <v>0.28353383307484287</v>
      </c>
      <c r="R11" s="34">
        <f>INDEX(INV_5!$A:$J,MATCH('2018'!$A11,INV_5!$A:$A,0),MATCH('2018'!$A$1,INV_5!$3:$3,0))</f>
        <v>0.17549999999999999</v>
      </c>
      <c r="S11" s="77">
        <f>INDEX(LUJ_1!$A:$J,MATCH('2018'!$A11,LUJ_1!$A:$A,0),MATCH('2018'!$A$1,LUJ_1!$3:$3,0))</f>
        <v>0.52198549410698092</v>
      </c>
      <c r="T11" s="73">
        <f>INDEX(LUJ_2!$A:$J,MATCH('2018'!$A11,LUJ_2!$A:$A,0),MATCH('2018'!$A$1,LUJ_2!$3:$3,0))</f>
        <v>0.17469367341835457</v>
      </c>
      <c r="U11" s="73">
        <f>INDEX(LUJ_3!$A:$J,MATCH('2018'!$A11,LUJ_3!$A:$A,0),MATCH('2018'!$A$1,LUJ_3!$3:$3,0))</f>
        <v>0.47971942985746435</v>
      </c>
      <c r="V11" s="14">
        <f>INDEX(LUJ_4!$A:$J,MATCH('2018'!$A11,LUJ_4!$A:$A,0),MATCH('2018'!$A$1,LUJ_4!$3:$3,0))</f>
        <v>52</v>
      </c>
      <c r="W11" s="34">
        <f>INDEX(LUJ_5!$A:$J,MATCH('2018'!$A11,LUJ_5!$A:$A,0),MATCH('2018'!$A$1,LUJ_5!$3:$3,0))</f>
        <v>59.2</v>
      </c>
      <c r="X11" s="98">
        <f>1/INDEX(GUL_1!$A:$J,MATCH('2018'!$A11,GUL_1!$A:$A,0),MATCH('2018'!$A$1,GUL_1!$3:$3,0))</f>
        <v>1.4188422247446084E-2</v>
      </c>
      <c r="Y11" s="57" t="e">
        <f>INDEX(GUL_2!$A:$J,MATCH('2018'!$A11,GUL_2!$A:$A,0),MATCH('2018'!$A$1,GUL_2!$3:$3,0))</f>
        <v>#N/A</v>
      </c>
      <c r="Z11" s="57">
        <f>INDEX(GUL_3!$A:$J,MATCH('2018'!$A11,GUL_3!$A:$A,0),MATCH('2018'!$A$1,GUL_3!$3:$3,0))/(B11/1000)</f>
        <v>0.85554545646705704</v>
      </c>
      <c r="AA11" s="101">
        <f>INDEX(GUL_4!$A:$J,MATCH('2018'!$A11,GUL_4!$A:$A,0),MATCH('2018'!$A$1,GUL_4!$3:$3,0))/B11/C11*10^6</f>
        <v>0.27517410188706298</v>
      </c>
      <c r="AB11" s="73">
        <f>INDEX(GUL_5!$A:$J,MATCH('2018'!$A11,GUL_5!$A:$A,0),MATCH('2018'!$A$1,GUL_5!$3:$3,0))</f>
        <v>2.6255673596300558E-2</v>
      </c>
      <c r="AC11" s="49" t="e">
        <f>INDEX(GUL_6!$A:$J,MATCH('2018'!$A11,GUL_6!$A:$A,0),MATCH('2018'!$A$1,GUL_6!$3:$3,0))</f>
        <v>#N/A</v>
      </c>
      <c r="AD11" s="49" t="e">
        <f>INDEX(GUL_7!$A:$J,MATCH('2018'!$A11,GUL_7!$A:$A,0),MATCH('2018'!$A$1,GUL_7!$3:$3,0))</f>
        <v>#N/A</v>
      </c>
      <c r="AE11" s="103">
        <f>INDEX(GUL_8!$A:$J,MATCH('2018'!$A11,GUL_8!$A:$A,0),MATCH('2018'!$A$1,GUL_8!$3:$3,0))/(B11/1000)</f>
        <v>2.8044346741634785</v>
      </c>
      <c r="AF11" s="41">
        <f>INDEX(DES_1!$A:$J,MATCH('2018'!$A11,DES_1!$A:$A,0),MATCH('2018'!$A$1,DES_1!$3:$3,0))/(B11/1000)</f>
        <v>0.18865332177809721</v>
      </c>
      <c r="AG11" s="100">
        <f>INDEX(DES_2!$A:$J,MATCH('2018'!$A11,DES_2!$A:$A,0),MATCH('2018'!$A$1,DES_2!$3:$3,0))/(B11/1000)</f>
        <v>1.2841108457164598</v>
      </c>
      <c r="AH11" s="57">
        <f>1/INDEX(DES_3!$A:$J,MATCH('2018'!$A11,DES_3!$A:$A,0),MATCH('2018'!$A$1,DES_3!$3:$3,0))</f>
        <v>1.0905125408942203E-2</v>
      </c>
      <c r="AI11" s="80" t="e">
        <f>INDEX(DES_4!$A:$J,MATCH('2018'!$A11,DES_4!$A:$A,0),MATCH('2018'!$A$1,DES_4!$3:$3,0))</f>
        <v>#N/A</v>
      </c>
      <c r="AJ11" s="110" t="e">
        <f>INDEX(DES_5!$A:$J,MATCH('2018'!$A11,DES_5!$A:$A,0),MATCH('2018'!$A$1,DES_5!$3:$3,0))</f>
        <v>#N/A</v>
      </c>
      <c r="AK11" s="57">
        <v>12</v>
      </c>
    </row>
    <row r="12" spans="1:37" x14ac:dyDescent="0.3">
      <c r="A12" s="29" t="s">
        <v>11</v>
      </c>
      <c r="B12" s="33">
        <f>INDEX(Population!$A:$J,MATCH('2018'!$A12,Population!$A:$A,0),MATCH('2018'!$A$1,Population!$3:$3,0))</f>
        <v>2882213</v>
      </c>
      <c r="C12" s="14">
        <f>INDEX(Income!$A:$J,MATCH('2018'!$A12,Income!$A:$A,0),MATCH('2018'!$A$1,Income!$3:$3,0))</f>
        <v>23408</v>
      </c>
      <c r="D12" s="34">
        <f>INDEX(Livable_wage!$A:$J,MATCH('2018'!$A12,Livable_wage!$A:$A,0),MATCH('2018'!$A$1,Livable_wage!$3:$3,0))</f>
        <v>9183</v>
      </c>
      <c r="E12" s="41">
        <f>INDEX(AVA_1!$A:$J,MATCH('2018'!$A12,AVA_1!$A:$A,0),MATCH('2018'!$A$1,AVA_1!$3:$3,0))</f>
        <v>0.378</v>
      </c>
      <c r="F12" s="15">
        <f>INDEX(AVA_2!$A:$J,MATCH('2018'!$A12,AVA_2!$A:$A,0),MATCH('2018'!$A$1,AVA_2!$3:$3,0))</f>
        <v>9.1949452949855338E-3</v>
      </c>
      <c r="G12" s="15">
        <f>INDEX(AVA_3!$A:$J,MATCH('2018'!$A12,AVA_3!$A:$A,0),MATCH('2018'!$A$1,AVA_3!$3:$3,0))</f>
        <v>2.4987264557539121E-2</v>
      </c>
      <c r="H12" s="87">
        <f>INDEX(AVA_4!$A:$J,MATCH('2018'!$A12,AVA_4!$A:$A,0),MATCH('2018'!$A$1,AVA_4!$3:$3,0))/(B12/1000)</f>
        <v>0.76815974391899555</v>
      </c>
      <c r="I12" s="89">
        <f>INDEX(AVA_5!$A:$J,MATCH('2018'!$A12,AVA_5!$A:$A,0),MATCH('2018'!$A$1,AVA_5!$3:$3,0))/(B12/1000)</f>
        <v>4.0552172931008217</v>
      </c>
      <c r="J12" s="93">
        <f>INDEX(IRA_1!$A:$J,MATCH('2018'!$A12,IRA_1!$A:$A,0),MATCH('2018'!$A$1,IRA_1!$3:$3,0))/(B12/1000)</f>
        <v>4.0940763226034994E-2</v>
      </c>
      <c r="K12" s="88">
        <f>INDEX(IRA_2!$A:$J,MATCH('2018'!$A12,IRA_2!$A:$A,0),MATCH('2018'!$A$1,IRA_2!$3:$3,0))/(B12/1000)</f>
        <v>0.10512755302956443</v>
      </c>
      <c r="L12" s="15">
        <f>INDEX(IRA_3!$A:$J,MATCH('2018'!$A12,IRA_3!$A:$A,0),MATCH('2018'!$A$1,IRA_3!$3:$3,0))</f>
        <v>0.46359623113922388</v>
      </c>
      <c r="M12" s="96">
        <f>INDEX(IRA_4!$A:$J,MATCH('2018'!$A12,IRA_4!$A:$A,0),MATCH('2018'!$A$1,IRA_4!$3:$3,0))/(B12/1000)</f>
        <v>4.1704065591266151</v>
      </c>
      <c r="N12" s="61">
        <f>INDEX(INV_1!$A:$J,MATCH('2018'!$A12,INV_1!$A:$A,0),MATCH('2018'!$A$1,INV_1!$3:$3,0))</f>
        <v>8.7884531605078101E-2</v>
      </c>
      <c r="O12" s="80">
        <f>INDEX(INV_2!$A:$J,MATCH('2018'!$A12,INV_2!$A:$A,0),MATCH('2018'!$A$1,INV_2!$3:$3,0))/B12*10^6/C12</f>
        <v>0.42851935001104491</v>
      </c>
      <c r="P12" s="87">
        <f>INDEX(INV_3!$A:$J,MATCH('2018'!$A12,INV_3!$A:$A,0),MATCH('2018'!$A$1,INV_3!$3:$3,0))/B12*10^6/C12</f>
        <v>3.1659848597024083</v>
      </c>
      <c r="Q12" s="87">
        <f>INDEX(INV_4!$A:$J,MATCH('2018'!$A12,INV_4!$A:$A,0),MATCH('2018'!$A$1,INV_4!$3:$3,0))/B12*10^3/C12</f>
        <v>0.26583542202138644</v>
      </c>
      <c r="R12" s="34">
        <f>INDEX(INV_5!$A:$J,MATCH('2018'!$A12,INV_5!$A:$A,0),MATCH('2018'!$A$1,INV_5!$3:$3,0))</f>
        <v>0.1444</v>
      </c>
      <c r="S12" s="77">
        <f>INDEX(LUJ_1!$A:$J,MATCH('2018'!$A12,LUJ_1!$A:$A,0),MATCH('2018'!$A$1,LUJ_1!$3:$3,0))</f>
        <v>0.702263989747971</v>
      </c>
      <c r="T12" s="73">
        <f>INDEX(LUJ_2!$A:$J,MATCH('2018'!$A12,LUJ_2!$A:$A,0),MATCH('2018'!$A$1,LUJ_2!$3:$3,0))</f>
        <v>0.21838930551027061</v>
      </c>
      <c r="U12" s="73">
        <f>INDEX(LUJ_3!$A:$J,MATCH('2018'!$A12,LUJ_3!$A:$A,0),MATCH('2018'!$A$1,LUJ_3!$3:$3,0))</f>
        <v>0.37339431802879619</v>
      </c>
      <c r="V12" s="14">
        <f>INDEX(LUJ_4!$A:$J,MATCH('2018'!$A12,LUJ_4!$A:$A,0),MATCH('2018'!$A$1,LUJ_4!$3:$3,0))</f>
        <v>66</v>
      </c>
      <c r="W12" s="34">
        <f>INDEX(LUJ_5!$A:$J,MATCH('2018'!$A12,LUJ_5!$A:$A,0),MATCH('2018'!$A$1,LUJ_5!$3:$3,0))</f>
        <v>28.4</v>
      </c>
      <c r="X12" s="98">
        <f>1/INDEX(GUL_1!$A:$J,MATCH('2018'!$A12,GUL_1!$A:$A,0),MATCH('2018'!$A$1,GUL_1!$3:$3,0))</f>
        <v>1.3480722566729575E-2</v>
      </c>
      <c r="Y12" s="57" t="e">
        <f>INDEX(GUL_2!$A:$J,MATCH('2018'!$A12,GUL_2!$A:$A,0),MATCH('2018'!$A$1,GUL_2!$3:$3,0))</f>
        <v>#N/A</v>
      </c>
      <c r="Z12" s="57">
        <f>INDEX(GUL_3!$A:$J,MATCH('2018'!$A12,GUL_3!$A:$A,0),MATCH('2018'!$A$1,GUL_3!$3:$3,0))/(B12/1000)</f>
        <v>0.63215314065962502</v>
      </c>
      <c r="AA12" s="101">
        <f>INDEX(GUL_4!$A:$J,MATCH('2018'!$A12,GUL_4!$A:$A,0),MATCH('2018'!$A$1,GUL_4!$3:$3,0))/B12/C12*10^6</f>
        <v>0.54202314748975833</v>
      </c>
      <c r="AB12" s="73">
        <f>INDEX(GUL_5!$A:$J,MATCH('2018'!$A12,GUL_5!$A:$A,0),MATCH('2018'!$A$1,GUL_5!$3:$3,0))</f>
        <v>3.2701066728650932E-2</v>
      </c>
      <c r="AC12" s="49" t="e">
        <f>INDEX(GUL_6!$A:$J,MATCH('2018'!$A12,GUL_6!$A:$A,0),MATCH('2018'!$A$1,GUL_6!$3:$3,0))</f>
        <v>#N/A</v>
      </c>
      <c r="AD12" s="49" t="e">
        <f>INDEX(GUL_7!$A:$J,MATCH('2018'!$A12,GUL_7!$A:$A,0),MATCH('2018'!$A$1,GUL_7!$3:$3,0))</f>
        <v>#N/A</v>
      </c>
      <c r="AE12" s="103">
        <f>INDEX(GUL_8!$A:$J,MATCH('2018'!$A12,GUL_8!$A:$A,0),MATCH('2018'!$A$1,GUL_8!$3:$3,0))/(B12/1000)</f>
        <v>1.0675824444619464</v>
      </c>
      <c r="AF12" s="41">
        <f>INDEX(DES_1!$A:$J,MATCH('2018'!$A12,DES_1!$A:$A,0),MATCH('2018'!$A$1,DES_1!$3:$3,0))/(B12/1000)</f>
        <v>9.1943239448298922E-2</v>
      </c>
      <c r="AG12" s="100">
        <f>INDEX(DES_2!$A:$J,MATCH('2018'!$A12,DES_2!$A:$A,0),MATCH('2018'!$A$1,DES_2!$3:$3,0))/(B12/1000)</f>
        <v>0.72270855762568553</v>
      </c>
      <c r="AH12" s="57">
        <f>1/INDEX(DES_3!$A:$J,MATCH('2018'!$A12,DES_3!$A:$A,0),MATCH('2018'!$A$1,DES_3!$3:$3,0))</f>
        <v>9.1491308325709064E-3</v>
      </c>
      <c r="AI12" s="80" t="e">
        <f>INDEX(DES_4!$A:$J,MATCH('2018'!$A12,DES_4!$A:$A,0),MATCH('2018'!$A$1,DES_4!$3:$3,0))</f>
        <v>#N/A</v>
      </c>
      <c r="AJ12" s="110" t="e">
        <f>INDEX(DES_5!$A:$J,MATCH('2018'!$A12,DES_5!$A:$A,0),MATCH('2018'!$A$1,DES_5!$3:$3,0))</f>
        <v>#N/A</v>
      </c>
      <c r="AK12" s="57">
        <v>15</v>
      </c>
    </row>
    <row r="13" spans="1:37" x14ac:dyDescent="0.3">
      <c r="A13" s="29" t="s">
        <v>12</v>
      </c>
      <c r="B13" s="33">
        <f>INDEX(Population!$A:$J,MATCH('2018'!$A13,Population!$A:$A,0),MATCH('2018'!$A$1,Population!$3:$3,0))</f>
        <v>2263889</v>
      </c>
      <c r="C13" s="14">
        <f>INDEX(Income!$A:$J,MATCH('2018'!$A13,Income!$A:$A,0),MATCH('2018'!$A$1,Income!$3:$3,0))</f>
        <v>22882</v>
      </c>
      <c r="D13" s="34">
        <f>INDEX(Livable_wage!$A:$J,MATCH('2018'!$A13,Livable_wage!$A:$A,0),MATCH('2018'!$A$1,Livable_wage!$3:$3,0))</f>
        <v>9761</v>
      </c>
      <c r="E13" s="41">
        <f>INDEX(AVA_1!$A:$J,MATCH('2018'!$A13,AVA_1!$A:$A,0),MATCH('2018'!$A$1,AVA_1!$3:$3,0))</f>
        <v>0.378</v>
      </c>
      <c r="F13" s="15">
        <f>INDEX(AVA_2!$A:$J,MATCH('2018'!$A13,AVA_2!$A:$A,0),MATCH('2018'!$A$1,AVA_2!$3:$3,0))</f>
        <v>9.3521135987300451E-3</v>
      </c>
      <c r="G13" s="15">
        <f>INDEX(AVA_3!$A:$J,MATCH('2018'!$A13,AVA_3!$A:$A,0),MATCH('2018'!$A$1,AVA_3!$3:$3,0))</f>
        <v>7.4646752558282592E-3</v>
      </c>
      <c r="H13" s="87">
        <f>INDEX(AVA_4!$A:$J,MATCH('2018'!$A13,AVA_4!$A:$A,0),MATCH('2018'!$A$1,AVA_4!$3:$3,0))/(B13/1000)</f>
        <v>0.45541102059332411</v>
      </c>
      <c r="I13" s="89">
        <f>INDEX(AVA_5!$A:$J,MATCH('2018'!$A13,AVA_5!$A:$A,0),MATCH('2018'!$A$1,AVA_5!$3:$3,0))/(B13/1000)</f>
        <v>6.4596806645555498</v>
      </c>
      <c r="J13" s="93">
        <f>INDEX(IRA_1!$A:$J,MATCH('2018'!$A13,IRA_1!$A:$A,0),MATCH('2018'!$A$1,IRA_1!$3:$3,0))/(B13/1000)</f>
        <v>6.5374229920283189E-2</v>
      </c>
      <c r="K13" s="88">
        <f>INDEX(IRA_2!$A:$J,MATCH('2018'!$A13,IRA_2!$A:$A,0),MATCH('2018'!$A$1,IRA_2!$3:$3,0))/(B13/1000)</f>
        <v>0.23587728903669747</v>
      </c>
      <c r="L13" s="15">
        <f>INDEX(IRA_3!$A:$J,MATCH('2018'!$A13,IRA_3!$A:$A,0),MATCH('2018'!$A$1,IRA_3!$3:$3,0))</f>
        <v>0.32853506539102961</v>
      </c>
      <c r="M13" s="96">
        <f>INDEX(IRA_4!$A:$J,MATCH('2018'!$A13,IRA_4!$A:$A,0),MATCH('2018'!$A$1,IRA_4!$3:$3,0))/(B13/1000)</f>
        <v>5.4821592401394232</v>
      </c>
      <c r="N13" s="61">
        <f>INDEX(INV_1!$A:$J,MATCH('2018'!$A13,INV_1!$A:$A,0),MATCH('2018'!$A$1,INV_1!$3:$3,0))</f>
        <v>7.7950414566505768E-2</v>
      </c>
      <c r="O13" s="80">
        <f>INDEX(INV_2!$A:$J,MATCH('2018'!$A13,INV_2!$A:$A,0),MATCH('2018'!$A$1,INV_2!$3:$3,0))/B13*10^6/C13</f>
        <v>0.41000871393257515</v>
      </c>
      <c r="P13" s="87">
        <f>INDEX(INV_3!$A:$J,MATCH('2018'!$A13,INV_3!$A:$A,0),MATCH('2018'!$A$1,INV_3!$3:$3,0))/B13*10^6/C13</f>
        <v>3.5127392326950289</v>
      </c>
      <c r="Q13" s="87">
        <f>INDEX(INV_4!$A:$J,MATCH('2018'!$A13,INV_4!$A:$A,0),MATCH('2018'!$A$1,INV_4!$3:$3,0))/B13*10^3/C13</f>
        <v>0.31035742962620455</v>
      </c>
      <c r="R13" s="34">
        <f>INDEX(INV_5!$A:$J,MATCH('2018'!$A13,INV_5!$A:$A,0),MATCH('2018'!$A$1,INV_5!$3:$3,0))</f>
        <v>8.0399999999999999E-2</v>
      </c>
      <c r="S13" s="77">
        <f>INDEX(LUJ_1!$A:$J,MATCH('2018'!$A13,LUJ_1!$A:$A,0),MATCH('2018'!$A$1,LUJ_1!$3:$3,0))</f>
        <v>0.75939792753952051</v>
      </c>
      <c r="T13" s="73">
        <f>INDEX(LUJ_2!$A:$J,MATCH('2018'!$A13,LUJ_2!$A:$A,0),MATCH('2018'!$A$1,LUJ_2!$3:$3,0))</f>
        <v>0.23637218045112782</v>
      </c>
      <c r="U13" s="73">
        <f>INDEX(LUJ_3!$A:$J,MATCH('2018'!$A13,LUJ_3!$A:$A,0),MATCH('2018'!$A$1,LUJ_3!$3:$3,0))</f>
        <v>0.45266532809295967</v>
      </c>
      <c r="V13" s="14">
        <f>INDEX(LUJ_4!$A:$J,MATCH('2018'!$A13,LUJ_4!$A:$A,0),MATCH('2018'!$A$1,LUJ_4!$3:$3,0))</f>
        <v>46</v>
      </c>
      <c r="W13" s="34">
        <f>INDEX(LUJ_5!$A:$J,MATCH('2018'!$A13,LUJ_5!$A:$A,0),MATCH('2018'!$A$1,LUJ_5!$3:$3,0))</f>
        <v>85.1</v>
      </c>
      <c r="X13" s="98">
        <f>1/INDEX(GUL_1!$A:$J,MATCH('2018'!$A13,GUL_1!$A:$A,0),MATCH('2018'!$A$1,GUL_1!$3:$3,0))</f>
        <v>1.4062719729995782E-2</v>
      </c>
      <c r="Y13" s="57" t="e">
        <f>INDEX(GUL_2!$A:$J,MATCH('2018'!$A13,GUL_2!$A:$A,0),MATCH('2018'!$A$1,GUL_2!$3:$3,0))</f>
        <v>#N/A</v>
      </c>
      <c r="Z13" s="57">
        <f>INDEX(GUL_3!$A:$J,MATCH('2018'!$A13,GUL_3!$A:$A,0),MATCH('2018'!$A$1,GUL_3!$3:$3,0))/(B13/1000)</f>
        <v>0.60957052222966757</v>
      </c>
      <c r="AA13" s="101">
        <f>INDEX(GUL_4!$A:$J,MATCH('2018'!$A13,GUL_4!$A:$A,0),MATCH('2018'!$A$1,GUL_4!$3:$3,0))/B13/C13*10^6</f>
        <v>0.19025194748765459</v>
      </c>
      <c r="AB13" s="73">
        <f>INDEX(GUL_5!$A:$J,MATCH('2018'!$A13,GUL_5!$A:$A,0),MATCH('2018'!$A$1,GUL_5!$3:$3,0))</f>
        <v>3.1941684926548863E-2</v>
      </c>
      <c r="AC13" s="49" t="e">
        <f>INDEX(GUL_6!$A:$J,MATCH('2018'!$A13,GUL_6!$A:$A,0),MATCH('2018'!$A$1,GUL_6!$3:$3,0))</f>
        <v>#N/A</v>
      </c>
      <c r="AD13" s="49" t="e">
        <f>INDEX(GUL_7!$A:$J,MATCH('2018'!$A13,GUL_7!$A:$A,0),MATCH('2018'!$A$1,GUL_7!$3:$3,0))</f>
        <v>#N/A</v>
      </c>
      <c r="AE13" s="103">
        <f>INDEX(GUL_8!$A:$J,MATCH('2018'!$A13,GUL_8!$A:$A,0),MATCH('2018'!$A$1,GUL_8!$3:$3,0))/(B13/1000)</f>
        <v>4.4803433383880567</v>
      </c>
      <c r="AF13" s="41">
        <f>INDEX(DES_1!$A:$J,MATCH('2018'!$A13,DES_1!$A:$A,0),MATCH('2018'!$A$1,DES_1!$3:$3,0))/(B13/1000)</f>
        <v>0.25928833083247455</v>
      </c>
      <c r="AG13" s="100">
        <f>INDEX(DES_2!$A:$J,MATCH('2018'!$A13,DES_2!$A:$A,0),MATCH('2018'!$A$1,DES_2!$3:$3,0))/(B13/1000)</f>
        <v>0.95013492269276445</v>
      </c>
      <c r="AH13" s="57">
        <f>1/INDEX(DES_3!$A:$J,MATCH('2018'!$A13,DES_3!$A:$A,0),MATCH('2018'!$A$1,DES_3!$3:$3,0))</f>
        <v>8.8888888888888889E-3</v>
      </c>
      <c r="AI13" s="80" t="e">
        <f>INDEX(DES_4!$A:$J,MATCH('2018'!$A13,DES_4!$A:$A,0),MATCH('2018'!$A$1,DES_4!$3:$3,0))</f>
        <v>#N/A</v>
      </c>
      <c r="AJ13" s="110" t="e">
        <f>INDEX(DES_5!$A:$J,MATCH('2018'!$A13,DES_5!$A:$A,0),MATCH('2018'!$A$1,DES_5!$3:$3,0))</f>
        <v>#N/A</v>
      </c>
      <c r="AK13" s="57">
        <v>17</v>
      </c>
    </row>
    <row r="14" spans="1:37" x14ac:dyDescent="0.3">
      <c r="A14" s="29" t="s">
        <v>13</v>
      </c>
      <c r="B14" s="33">
        <f>INDEX(Population!$A:$J,MATCH('2018'!$A14,Population!$A:$A,0),MATCH('2018'!$A$1,Population!$3:$3,0))</f>
        <v>12745157</v>
      </c>
      <c r="C14" s="14">
        <f>INDEX(Income!$A:$J,MATCH('2018'!$A14,Income!$A:$A,0),MATCH('2018'!$A$1,Income!$3:$3,0))</f>
        <v>69926</v>
      </c>
      <c r="D14" s="34">
        <f>INDEX(Livable_wage!$A:$J,MATCH('2018'!$A14,Livable_wage!$A:$A,0),MATCH('2018'!$A$1,Livable_wage!$3:$3,0))</f>
        <v>18376</v>
      </c>
      <c r="E14" s="41">
        <f>INDEX(AVA_1!$A:$J,MATCH('2018'!$A14,AVA_1!$A:$A,0),MATCH('2018'!$A$1,AVA_1!$3:$3,0))</f>
        <v>0.41699999999999998</v>
      </c>
      <c r="F14" s="15">
        <f>INDEX(AVA_2!$A:$J,MATCH('2018'!$A14,AVA_2!$A:$A,0),MATCH('2018'!$A$1,AVA_2!$3:$3,0))</f>
        <v>6.0089125057623961E-2</v>
      </c>
      <c r="G14" s="15">
        <f>INDEX(AVA_3!$A:$J,MATCH('2018'!$A14,AVA_3!$A:$A,0),MATCH('2018'!$A$1,AVA_3!$3:$3,0))</f>
        <v>0.15016917792061221</v>
      </c>
      <c r="H14" s="87">
        <f>INDEX(AVA_4!$A:$J,MATCH('2018'!$A14,AVA_4!$A:$A,0),MATCH('2018'!$A$1,AVA_4!$3:$3,0))/(B14/1000)</f>
        <v>1.0197598978184419</v>
      </c>
      <c r="I14" s="89">
        <f>INDEX(AVA_5!$A:$J,MATCH('2018'!$A14,AVA_5!$A:$A,0),MATCH('2018'!$A$1,AVA_5!$3:$3,0))/(B14/1000)</f>
        <v>4.9186526301716018</v>
      </c>
      <c r="J14" s="93">
        <f>INDEX(IRA_1!$A:$J,MATCH('2018'!$A14,IRA_1!$A:$A,0),MATCH('2018'!$A$1,IRA_1!$3:$3,0))/(B14/1000)</f>
        <v>2.659833849045563E-2</v>
      </c>
      <c r="K14" s="88">
        <f>INDEX(IRA_2!$A:$J,MATCH('2018'!$A14,IRA_2!$A:$A,0),MATCH('2018'!$A$1,IRA_2!$3:$3,0))/(B14/1000)</f>
        <v>6.5593542708026281E-2</v>
      </c>
      <c r="L14" s="15">
        <f>INDEX(IRA_3!$A:$J,MATCH('2018'!$A14,IRA_3!$A:$A,0),MATCH('2018'!$A$1,IRA_3!$3:$3,0))</f>
        <v>0.63704903732319773</v>
      </c>
      <c r="M14" s="96">
        <f>INDEX(IRA_4!$A:$J,MATCH('2018'!$A14,IRA_4!$A:$A,0),MATCH('2018'!$A$1,IRA_4!$3:$3,0))/(B14/1000)</f>
        <v>3.4140026678368893</v>
      </c>
      <c r="N14" s="61">
        <f>INDEX(INV_1!$A:$J,MATCH('2018'!$A14,INV_1!$A:$A,0),MATCH('2018'!$A$1,INV_1!$3:$3,0))</f>
        <v>8.5186169032537493E-2</v>
      </c>
      <c r="O14" s="80">
        <f>INDEX(INV_2!$A:$J,MATCH('2018'!$A14,INV_2!$A:$A,0),MATCH('2018'!$A$1,INV_2!$3:$3,0))/B14*10^6/C14</f>
        <v>0.47165246502202995</v>
      </c>
      <c r="P14" s="87">
        <f>INDEX(INV_3!$A:$J,MATCH('2018'!$A14,INV_3!$A:$A,0),MATCH('2018'!$A$1,INV_3!$3:$3,0))/B14*10^6/C14</f>
        <v>1.8935112251888817</v>
      </c>
      <c r="Q14" s="87">
        <f>INDEX(INV_4!$A:$J,MATCH('2018'!$A14,INV_4!$A:$A,0),MATCH('2018'!$A$1,INV_4!$3:$3,0))/B14*10^3/C14</f>
        <v>0.30254903229274899</v>
      </c>
      <c r="R14" s="34">
        <f>INDEX(INV_5!$A:$J,MATCH('2018'!$A14,INV_5!$A:$A,0),MATCH('2018'!$A$1,INV_5!$3:$3,0))</f>
        <v>0.32529999999999998</v>
      </c>
      <c r="S14" s="77">
        <f>INDEX(LUJ_1!$A:$J,MATCH('2018'!$A14,LUJ_1!$A:$A,0),MATCH('2018'!$A$1,LUJ_1!$3:$3,0))</f>
        <v>0.58261515207764314</v>
      </c>
      <c r="T14" s="73">
        <f>INDEX(LUJ_2!$A:$J,MATCH('2018'!$A14,LUJ_2!$A:$A,0),MATCH('2018'!$A$1,LUJ_2!$3:$3,0))</f>
        <v>0.1843530622125393</v>
      </c>
      <c r="U14" s="73">
        <f>INDEX(LUJ_3!$A:$J,MATCH('2018'!$A14,LUJ_3!$A:$A,0),MATCH('2018'!$A$1,LUJ_3!$3:$3,0))</f>
        <v>0.22801674836601307</v>
      </c>
      <c r="V14" s="14">
        <f>INDEX(LUJ_4!$A:$J,MATCH('2018'!$A14,LUJ_4!$A:$A,0),MATCH('2018'!$A$1,LUJ_4!$3:$3,0))</f>
        <v>131</v>
      </c>
      <c r="W14" s="34">
        <f>INDEX(LUJ_5!$A:$J,MATCH('2018'!$A14,LUJ_5!$A:$A,0),MATCH('2018'!$A$1,LUJ_5!$3:$3,0))</f>
        <v>20</v>
      </c>
      <c r="X14" s="98">
        <f>1/INDEX(GUL_1!$A:$J,MATCH('2018'!$A14,GUL_1!$A:$A,0),MATCH('2018'!$A$1,GUL_1!$3:$3,0))</f>
        <v>1.2846865364850977E-2</v>
      </c>
      <c r="Y14" s="57" t="e">
        <f>INDEX(GUL_2!$A:$J,MATCH('2018'!$A14,GUL_2!$A:$A,0),MATCH('2018'!$A$1,GUL_2!$3:$3,0))</f>
        <v>#N/A</v>
      </c>
      <c r="Z14" s="57">
        <f>INDEX(GUL_3!$A:$J,MATCH('2018'!$A14,GUL_3!$A:$A,0),MATCH('2018'!$A$1,GUL_3!$3:$3,0))/(B14/1000)</f>
        <v>0.37802594350151986</v>
      </c>
      <c r="AA14" s="101">
        <f>INDEX(GUL_4!$A:$J,MATCH('2018'!$A14,GUL_4!$A:$A,0),MATCH('2018'!$A$1,GUL_4!$3:$3,0))/B14/C14*10^6</f>
        <v>0.37514137604737019</v>
      </c>
      <c r="AB14" s="73">
        <f>INDEX(GUL_5!$A:$J,MATCH('2018'!$A14,GUL_5!$A:$A,0),MATCH('2018'!$A$1,GUL_5!$3:$3,0))</f>
        <v>3.3608943489849955E-2</v>
      </c>
      <c r="AC14" s="49" t="e">
        <f>INDEX(GUL_6!$A:$J,MATCH('2018'!$A14,GUL_6!$A:$A,0),MATCH('2018'!$A$1,GUL_6!$3:$3,0))</f>
        <v>#N/A</v>
      </c>
      <c r="AD14" s="49" t="e">
        <f>INDEX(GUL_7!$A:$J,MATCH('2018'!$A14,GUL_7!$A:$A,0),MATCH('2018'!$A$1,GUL_7!$3:$3,0))</f>
        <v>#N/A</v>
      </c>
      <c r="AE14" s="103">
        <f>INDEX(GUL_8!$A:$J,MATCH('2018'!$A14,GUL_8!$A:$A,0),MATCH('2018'!$A$1,GUL_8!$3:$3,0))/(B14/1000)</f>
        <v>0.49242233736312546</v>
      </c>
      <c r="AF14" s="41">
        <f>INDEX(DES_1!$A:$J,MATCH('2018'!$A14,DES_1!$A:$A,0),MATCH('2018'!$A$1,DES_1!$3:$3,0))/(B14/1000)</f>
        <v>2.4087580874837401E-2</v>
      </c>
      <c r="AG14" s="100">
        <f>INDEX(DES_2!$A:$J,MATCH('2018'!$A14,DES_2!$A:$A,0),MATCH('2018'!$A$1,DES_2!$3:$3,0))/(B14/1000)</f>
        <v>0.41913959945726836</v>
      </c>
      <c r="AH14" s="57">
        <f>1/INDEX(DES_3!$A:$J,MATCH('2018'!$A14,DES_3!$A:$A,0),MATCH('2018'!$A$1,DES_3!$3:$3,0))</f>
        <v>1.0101010101010102E-2</v>
      </c>
      <c r="AI14" s="80" t="e">
        <f>INDEX(DES_4!$A:$J,MATCH('2018'!$A14,DES_4!$A:$A,0),MATCH('2018'!$A$1,DES_4!$3:$3,0))</f>
        <v>#N/A</v>
      </c>
      <c r="AJ14" s="110" t="e">
        <f>INDEX(DES_5!$A:$J,MATCH('2018'!$A14,DES_5!$A:$A,0),MATCH('2018'!$A$1,DES_5!$3:$3,0))</f>
        <v>#N/A</v>
      </c>
      <c r="AK14" s="57">
        <v>42</v>
      </c>
    </row>
    <row r="15" spans="1:37" x14ac:dyDescent="0.3">
      <c r="A15" s="29" t="s">
        <v>14</v>
      </c>
      <c r="B15" s="33">
        <f>INDEX(Population!$A:$J,MATCH('2018'!$A15,Population!$A:$A,0),MATCH('2018'!$A$1,Population!$3:$3,0))</f>
        <v>325396</v>
      </c>
      <c r="C15" s="14">
        <f>INDEX(Income!$A:$J,MATCH('2018'!$A15,Income!$A:$A,0),MATCH('2018'!$A$1,Income!$3:$3,0))</f>
        <v>15610</v>
      </c>
      <c r="D15" s="34">
        <f>INDEX(Livable_wage!$A:$J,MATCH('2018'!$A15,Livable_wage!$A:$A,0),MATCH('2018'!$A$1,Livable_wage!$3:$3,0))</f>
        <v>10267</v>
      </c>
      <c r="E15" s="41">
        <f>INDEX(AVA_1!$A:$J,MATCH('2018'!$A15,AVA_1!$A:$A,0),MATCH('2018'!$A$1,AVA_1!$3:$3,0))</f>
        <v>0.34599999999999997</v>
      </c>
      <c r="F15" s="15">
        <f>INDEX(AVA_2!$A:$J,MATCH('2018'!$A15,AVA_2!$A:$A,0),MATCH('2018'!$A$1,AVA_2!$3:$3,0))</f>
        <v>9.1716976255641191E-3</v>
      </c>
      <c r="G15" s="15">
        <f>INDEX(AVA_3!$A:$J,MATCH('2018'!$A15,AVA_3!$A:$A,0),MATCH('2018'!$A$1,AVA_3!$3:$3,0))</f>
        <v>0.30259658556197622</v>
      </c>
      <c r="H15" s="87">
        <f>INDEX(AVA_4!$A:$J,MATCH('2018'!$A15,AVA_4!$A:$A,0),MATCH('2018'!$A$1,AVA_4!$3:$3,0))/(B15/1000)</f>
        <v>0.52858670665896323</v>
      </c>
      <c r="I15" s="89">
        <f>INDEX(AVA_5!$A:$J,MATCH('2018'!$A15,AVA_5!$A:$A,0),MATCH('2018'!$A$1,AVA_5!$3:$3,0))/(B15/1000)</f>
        <v>12.123689289358197</v>
      </c>
      <c r="J15" s="93">
        <f>INDEX(IRA_1!$A:$J,MATCH('2018'!$A15,IRA_1!$A:$A,0),MATCH('2018'!$A$1,IRA_1!$3:$3,0))/(B15/1000)</f>
        <v>0.27043971038365561</v>
      </c>
      <c r="K15" s="88">
        <f>INDEX(IRA_2!$A:$J,MATCH('2018'!$A15,IRA_2!$A:$A,0),MATCH('2018'!$A$1,IRA_2!$3:$3,0))/(B15/1000)</f>
        <v>1.1462955906034493</v>
      </c>
      <c r="L15" s="15">
        <f>INDEX(IRA_3!$A:$J,MATCH('2018'!$A15,IRA_3!$A:$A,0),MATCH('2018'!$A$1,IRA_3!$3:$3,0))</f>
        <v>0.45425991362387119</v>
      </c>
      <c r="M15" s="96">
        <f>INDEX(IRA_4!$A:$J,MATCH('2018'!$A15,IRA_4!$A:$A,0),MATCH('2018'!$A$1,IRA_4!$3:$3,0))/(B15/1000)</f>
        <v>10.765344380385745</v>
      </c>
      <c r="N15" s="61">
        <f>INDEX(INV_1!$A:$J,MATCH('2018'!$A15,INV_1!$A:$A,0),MATCH('2018'!$A$1,INV_1!$3:$3,0))</f>
        <v>0.12269792674309865</v>
      </c>
      <c r="O15" s="80">
        <f>INDEX(INV_2!$A:$J,MATCH('2018'!$A15,INV_2!$A:$A,0),MATCH('2018'!$A$1,INV_2!$3:$3,0))/B15*10^6/C15</f>
        <v>0.46224362948203607</v>
      </c>
      <c r="P15" s="87">
        <f>INDEX(INV_3!$A:$J,MATCH('2018'!$A15,INV_3!$A:$A,0),MATCH('2018'!$A$1,INV_3!$3:$3,0))/B15*10^6/C15</f>
        <v>5.9329473473602619</v>
      </c>
      <c r="Q15" s="87">
        <f>INDEX(INV_4!$A:$J,MATCH('2018'!$A15,INV_4!$A:$A,0),MATCH('2018'!$A$1,INV_4!$3:$3,0))/B15*10^3/C15</f>
        <v>0.24839332612250017</v>
      </c>
      <c r="R15" s="34">
        <f>INDEX(INV_5!$A:$J,MATCH('2018'!$A15,INV_5!$A:$A,0),MATCH('2018'!$A$1,INV_5!$3:$3,0))</f>
        <v>4.4900000000000002E-2</v>
      </c>
      <c r="S15" s="77">
        <f>INDEX(LUJ_1!$A:$J,MATCH('2018'!$A15,LUJ_1!$A:$A,0),MATCH('2018'!$A$1,LUJ_1!$3:$3,0))</f>
        <v>0.34802518603319976</v>
      </c>
      <c r="T15" s="73">
        <f>INDEX(LUJ_2!$A:$J,MATCH('2018'!$A15,LUJ_2!$A:$A,0),MATCH('2018'!$A$1,LUJ_2!$3:$3,0))</f>
        <v>0.60394676457090413</v>
      </c>
      <c r="U15" s="73">
        <f>INDEX(LUJ_3!$A:$J,MATCH('2018'!$A15,LUJ_3!$A:$A,0),MATCH('2018'!$A$1,LUJ_3!$3:$3,0))</f>
        <v>0.41303350160624142</v>
      </c>
      <c r="V15" s="14">
        <f>INDEX(LUJ_4!$A:$J,MATCH('2018'!$A15,LUJ_4!$A:$A,0),MATCH('2018'!$A$1,LUJ_4!$3:$3,0))</f>
        <v>53</v>
      </c>
      <c r="W15" s="34">
        <f>INDEX(LUJ_5!$A:$J,MATCH('2018'!$A15,LUJ_5!$A:$A,0),MATCH('2018'!$A$1,LUJ_5!$3:$3,0))</f>
        <v>11.1</v>
      </c>
      <c r="X15" s="98">
        <f>1/INDEX(GUL_1!$A:$J,MATCH('2018'!$A15,GUL_1!$A:$A,0),MATCH('2018'!$A$1,GUL_1!$3:$3,0))</f>
        <v>1.5044380923724988E-2</v>
      </c>
      <c r="Y15" s="57" t="e">
        <f>INDEX(GUL_2!$A:$J,MATCH('2018'!$A15,GUL_2!$A:$A,0),MATCH('2018'!$A$1,GUL_2!$3:$3,0))</f>
        <v>#N/A</v>
      </c>
      <c r="Z15" s="57">
        <f>INDEX(GUL_3!$A:$J,MATCH('2018'!$A15,GUL_3!$A:$A,0),MATCH('2018'!$A$1,GUL_3!$3:$3,0))/(B15/1000)</f>
        <v>0.59005027720070313</v>
      </c>
      <c r="AA15" s="101">
        <f>INDEX(GUL_4!$A:$J,MATCH('2018'!$A15,GUL_4!$A:$A,0),MATCH('2018'!$A$1,GUL_4!$3:$3,0))/B15/C15*10^6</f>
        <v>0.16302808497728827</v>
      </c>
      <c r="AB15" s="73">
        <f>INDEX(GUL_5!$A:$J,MATCH('2018'!$A15,GUL_5!$A:$A,0),MATCH('2018'!$A$1,GUL_5!$3:$3,0))</f>
        <v>2.6251062889927977E-2</v>
      </c>
      <c r="AC15" s="49" t="e">
        <f>INDEX(GUL_6!$A:$J,MATCH('2018'!$A15,GUL_6!$A:$A,0),MATCH('2018'!$A$1,GUL_6!$3:$3,0))</f>
        <v>#N/A</v>
      </c>
      <c r="AD15" s="49" t="e">
        <f>INDEX(GUL_7!$A:$J,MATCH('2018'!$A15,GUL_7!$A:$A,0),MATCH('2018'!$A$1,GUL_7!$3:$3,0))</f>
        <v>#N/A</v>
      </c>
      <c r="AE15" s="103">
        <f>INDEX(GUL_8!$A:$J,MATCH('2018'!$A15,GUL_8!$A:$A,0),MATCH('2018'!$A$1,GUL_8!$3:$3,0))/(B15/1000)</f>
        <v>7.4002138932254846</v>
      </c>
      <c r="AF15" s="41">
        <f>INDEX(DES_1!$A:$J,MATCH('2018'!$A15,DES_1!$A:$A,0),MATCH('2018'!$A$1,DES_1!$3:$3,0))/(B15/1000)</f>
        <v>0.1382930337189148</v>
      </c>
      <c r="AG15" s="100">
        <f>INDEX(DES_2!$A:$J,MATCH('2018'!$A15,DES_2!$A:$A,0),MATCH('2018'!$A$1,DES_2!$3:$3,0))/(B15/1000)</f>
        <v>2.685958032674034</v>
      </c>
      <c r="AH15" s="57">
        <f>1/INDEX(DES_3!$A:$J,MATCH('2018'!$A15,DES_3!$A:$A,0),MATCH('2018'!$A$1,DES_3!$3:$3,0))</f>
        <v>8.7183958151700082E-3</v>
      </c>
      <c r="AI15" s="80" t="e">
        <f>INDEX(DES_4!$A:$J,MATCH('2018'!$A15,DES_4!$A:$A,0),MATCH('2018'!$A$1,DES_4!$3:$3,0))</f>
        <v>#N/A</v>
      </c>
      <c r="AJ15" s="110" t="e">
        <f>INDEX(DES_5!$A:$J,MATCH('2018'!$A15,DES_5!$A:$A,0),MATCH('2018'!$A$1,DES_5!$3:$3,0))</f>
        <v>#N/A</v>
      </c>
      <c r="AK15" s="57">
        <v>76</v>
      </c>
    </row>
    <row r="16" spans="1:37" x14ac:dyDescent="0.3">
      <c r="A16" s="29" t="s">
        <v>15</v>
      </c>
      <c r="B16" s="33">
        <f>INDEX(Population!$A:$J,MATCH('2018'!$A16,Population!$A:$A,0),MATCH('2018'!$A$1,Population!$3:$3,0))</f>
        <v>1024187</v>
      </c>
      <c r="C16" s="14">
        <f>INDEX(Income!$A:$J,MATCH('2018'!$A16,Income!$A:$A,0),MATCH('2018'!$A$1,Income!$3:$3,0))</f>
        <v>26828</v>
      </c>
      <c r="D16" s="34">
        <f>INDEX(Livable_wage!$A:$J,MATCH('2018'!$A16,Livable_wage!$A:$A,0),MATCH('2018'!$A$1,Livable_wage!$3:$3,0))</f>
        <v>9515</v>
      </c>
      <c r="E16" s="41">
        <f>INDEX(AVA_1!$A:$J,MATCH('2018'!$A16,AVA_1!$A:$A,0),MATCH('2018'!$A$1,AVA_1!$3:$3,0))</f>
        <v>0.376</v>
      </c>
      <c r="F16" s="15">
        <f>INDEX(AVA_2!$A:$J,MATCH('2018'!$A16,AVA_2!$A:$A,0),MATCH('2018'!$A$1,AVA_2!$3:$3,0))</f>
        <v>9.154489550983037E-3</v>
      </c>
      <c r="G16" s="15">
        <f>INDEX(AVA_3!$A:$J,MATCH('2018'!$A16,AVA_3!$A:$A,0),MATCH('2018'!$A$1,AVA_3!$3:$3,0))</f>
        <v>9.8147911844801011E-3</v>
      </c>
      <c r="H16" s="87">
        <f>INDEX(AVA_4!$A:$J,MATCH('2018'!$A16,AVA_4!$A:$A,0),MATCH('2018'!$A$1,AVA_4!$3:$3,0))/(B16/1000)</f>
        <v>0.44620757732718735</v>
      </c>
      <c r="I16" s="89">
        <f>INDEX(AVA_5!$A:$J,MATCH('2018'!$A16,AVA_5!$A:$A,0),MATCH('2018'!$A$1,AVA_5!$3:$3,0))/(B16/1000)</f>
        <v>3.7454097738010739</v>
      </c>
      <c r="J16" s="93">
        <f>INDEX(IRA_1!$A:$J,MATCH('2018'!$A16,IRA_1!$A:$A,0),MATCH('2018'!$A$1,IRA_1!$3:$3,0))/(B16/1000)</f>
        <v>5.3701130750536771E-2</v>
      </c>
      <c r="K16" s="88">
        <f>INDEX(IRA_2!$A:$J,MATCH('2018'!$A16,IRA_2!$A:$A,0),MATCH('2018'!$A$1,IRA_2!$3:$3,0))/(B16/1000)</f>
        <v>0.13181186638768116</v>
      </c>
      <c r="L16" s="15">
        <f>INDEX(IRA_3!$A:$J,MATCH('2018'!$A16,IRA_3!$A:$A,0),MATCH('2018'!$A$1,IRA_3!$3:$3,0))</f>
        <v>0.40852281282939318</v>
      </c>
      <c r="M16" s="96">
        <f>INDEX(IRA_4!$A:$J,MATCH('2018'!$A16,IRA_4!$A:$A,0),MATCH('2018'!$A$1,IRA_4!$3:$3,0))/(B16/1000)</f>
        <v>3.1136891993356683</v>
      </c>
      <c r="N16" s="61">
        <f>INDEX(INV_1!$A:$J,MATCH('2018'!$A16,INV_1!$A:$A,0),MATCH('2018'!$A$1,INV_1!$3:$3,0))</f>
        <v>8.5766355716889911E-2</v>
      </c>
      <c r="O16" s="80">
        <f>INDEX(INV_2!$A:$J,MATCH('2018'!$A16,INV_2!$A:$A,0),MATCH('2018'!$A$1,INV_2!$3:$3,0))/B16*10^6/C16</f>
        <v>0.39079654192622149</v>
      </c>
      <c r="P16" s="87">
        <f>INDEX(INV_3!$A:$J,MATCH('2018'!$A16,INV_3!$A:$A,0),MATCH('2018'!$A$1,INV_3!$3:$3,0))/B16*10^6/C16</f>
        <v>2.7654149803323094</v>
      </c>
      <c r="Q16" s="87">
        <f>INDEX(INV_4!$A:$J,MATCH('2018'!$A16,INV_4!$A:$A,0),MATCH('2018'!$A$1,INV_4!$3:$3,0))/B16*10^3/C16</f>
        <v>0.22885107690072104</v>
      </c>
      <c r="R16" s="34">
        <f>INDEX(INV_5!$A:$J,MATCH('2018'!$A16,INV_5!$A:$A,0),MATCH('2018'!$A$1,INV_5!$3:$3,0))</f>
        <v>5.5599999999999997E-2</v>
      </c>
      <c r="S16" s="77">
        <f>INDEX(LUJ_1!$A:$J,MATCH('2018'!$A16,LUJ_1!$A:$A,0),MATCH('2018'!$A$1,LUJ_1!$3:$3,0))</f>
        <v>0.69549741946965649</v>
      </c>
      <c r="T16" s="73">
        <f>INDEX(LUJ_2!$A:$J,MATCH('2018'!$A16,LUJ_2!$A:$A,0),MATCH('2018'!$A$1,LUJ_2!$3:$3,0))</f>
        <v>0.18253106526722163</v>
      </c>
      <c r="U16" s="73">
        <f>INDEX(LUJ_3!$A:$J,MATCH('2018'!$A16,LUJ_3!$A:$A,0),MATCH('2018'!$A$1,LUJ_3!$3:$3,0))</f>
        <v>0.42948485945228615</v>
      </c>
      <c r="V16" s="14">
        <f>INDEX(LUJ_4!$A:$J,MATCH('2018'!$A16,LUJ_4!$A:$A,0),MATCH('2018'!$A$1,LUJ_4!$3:$3,0))</f>
        <v>8</v>
      </c>
      <c r="W16" s="34">
        <f>INDEX(LUJ_5!$A:$J,MATCH('2018'!$A16,LUJ_5!$A:$A,0),MATCH('2018'!$A$1,LUJ_5!$3:$3,0))</f>
        <v>24.8</v>
      </c>
      <c r="X16" s="98">
        <f>1/INDEX(GUL_1!$A:$J,MATCH('2018'!$A16,GUL_1!$A:$A,0),MATCH('2018'!$A$1,GUL_1!$3:$3,0))</f>
        <v>1.3708019191226868E-2</v>
      </c>
      <c r="Y16" s="57" t="e">
        <f>INDEX(GUL_2!$A:$J,MATCH('2018'!$A16,GUL_2!$A:$A,0),MATCH('2018'!$A$1,GUL_2!$3:$3,0))</f>
        <v>#N/A</v>
      </c>
      <c r="Z16" s="57">
        <f>INDEX(GUL_3!$A:$J,MATCH('2018'!$A16,GUL_3!$A:$A,0),MATCH('2018'!$A$1,GUL_3!$3:$3,0))/(B16/1000)</f>
        <v>0.65124825837469136</v>
      </c>
      <c r="AA16" s="101">
        <f>INDEX(GUL_4!$A:$J,MATCH('2018'!$A16,GUL_4!$A:$A,0),MATCH('2018'!$A$1,GUL_4!$3:$3,0))/B16/C16*10^6</f>
        <v>0.21125390267601402</v>
      </c>
      <c r="AB16" s="73">
        <f>INDEX(GUL_5!$A:$J,MATCH('2018'!$A16,GUL_5!$A:$A,0),MATCH('2018'!$A$1,GUL_5!$3:$3,0))</f>
        <v>1.3806094270004326E-2</v>
      </c>
      <c r="AC16" s="49" t="e">
        <f>INDEX(GUL_6!$A:$J,MATCH('2018'!$A16,GUL_6!$A:$A,0),MATCH('2018'!$A$1,GUL_6!$3:$3,0))</f>
        <v>#N/A</v>
      </c>
      <c r="AD16" s="49" t="e">
        <f>INDEX(GUL_7!$A:$J,MATCH('2018'!$A16,GUL_7!$A:$A,0),MATCH('2018'!$A$1,GUL_7!$3:$3,0))</f>
        <v>#N/A</v>
      </c>
      <c r="AE16" s="103">
        <f>INDEX(GUL_8!$A:$J,MATCH('2018'!$A16,GUL_8!$A:$A,0),MATCH('2018'!$A$1,GUL_8!$3:$3,0))/(B16/1000)</f>
        <v>2.2700932544545092</v>
      </c>
      <c r="AF16" s="41">
        <f>INDEX(DES_1!$A:$J,MATCH('2018'!$A16,DES_1!$A:$A,0),MATCH('2018'!$A$1,DES_1!$3:$3,0))/(B16/1000)</f>
        <v>9.1780114373644667E-2</v>
      </c>
      <c r="AG16" s="100">
        <f>INDEX(DES_2!$A:$J,MATCH('2018'!$A16,DES_2!$A:$A,0),MATCH('2018'!$A$1,DES_2!$3:$3,0))/(B16/1000)</f>
        <v>0.50869616583690291</v>
      </c>
      <c r="AH16" s="57">
        <f>1/INDEX(DES_3!$A:$J,MATCH('2018'!$A16,DES_3!$A:$A,0),MATCH('2018'!$A$1,DES_3!$3:$3,0))</f>
        <v>6.7069081153588199E-3</v>
      </c>
      <c r="AI16" s="80" t="e">
        <f>INDEX(DES_4!$A:$J,MATCH('2018'!$A16,DES_4!$A:$A,0),MATCH('2018'!$A$1,DES_4!$3:$3,0))</f>
        <v>#N/A</v>
      </c>
      <c r="AJ16" s="110" t="e">
        <f>INDEX(DES_5!$A:$J,MATCH('2018'!$A16,DES_5!$A:$A,0),MATCH('2018'!$A$1,DES_5!$3:$3,0))</f>
        <v>#N/A</v>
      </c>
      <c r="AK16" s="57">
        <v>73</v>
      </c>
    </row>
    <row r="17" spans="1:37" x14ac:dyDescent="0.3">
      <c r="A17" s="29" t="s">
        <v>16</v>
      </c>
      <c r="B17" s="33">
        <f>INDEX(Population!$A:$J,MATCH('2018'!$A17,Population!$A:$A,0),MATCH('2018'!$A$1,Population!$3:$3,0))</f>
        <v>4319999</v>
      </c>
      <c r="C17" s="14">
        <f>INDEX(Income!$A:$J,MATCH('2018'!$A17,Income!$A:$A,0),MATCH('2018'!$A$1,Income!$3:$3,0))</f>
        <v>36737</v>
      </c>
      <c r="D17" s="34">
        <f>INDEX(Livable_wage!$A:$J,MATCH('2018'!$A17,Livable_wage!$A:$A,0),MATCH('2018'!$A$1,Livable_wage!$3:$3,0))</f>
        <v>10933</v>
      </c>
      <c r="E17" s="41">
        <f>INDEX(AVA_1!$A:$J,MATCH('2018'!$A17,AVA_1!$A:$A,0),MATCH('2018'!$A$1,AVA_1!$3:$3,0))</f>
        <v>0.40300000000000002</v>
      </c>
      <c r="F17" s="15">
        <f>INDEX(AVA_2!$A:$J,MATCH('2018'!$A17,AVA_2!$A:$A,0),MATCH('2018'!$A$1,AVA_2!$3:$3,0))</f>
        <v>1.6746667440380232E-2</v>
      </c>
      <c r="G17" s="15">
        <f>INDEX(AVA_3!$A:$J,MATCH('2018'!$A17,AVA_3!$A:$A,0),MATCH('2018'!$A$1,AVA_3!$3:$3,0))</f>
        <v>1.7495016781710074E-2</v>
      </c>
      <c r="H17" s="87">
        <f>INDEX(AVA_4!$A:$J,MATCH('2018'!$A17,AVA_4!$A:$A,0),MATCH('2018'!$A$1,AVA_4!$3:$3,0))/(B17/1000)</f>
        <v>0.58518532064475015</v>
      </c>
      <c r="I17" s="89">
        <f>INDEX(AVA_5!$A:$J,MATCH('2018'!$A17,AVA_5!$A:$A,0),MATCH('2018'!$A$1,AVA_5!$3:$3,0))/(B17/1000)</f>
        <v>5.0682882102519011</v>
      </c>
      <c r="J17" s="93">
        <f>INDEX(IRA_1!$A:$J,MATCH('2018'!$A17,IRA_1!$A:$A,0),MATCH('2018'!$A$1,IRA_1!$3:$3,0))/(B17/1000)</f>
        <v>6.7592608239029683E-2</v>
      </c>
      <c r="K17" s="88">
        <f>INDEX(IRA_2!$A:$J,MATCH('2018'!$A17,IRA_2!$A:$A,0),MATCH('2018'!$A$1,IRA_2!$3:$3,0))/(B17/1000)</f>
        <v>0.19444448945474294</v>
      </c>
      <c r="L17" s="15">
        <f>INDEX(IRA_3!$A:$J,MATCH('2018'!$A17,IRA_3!$A:$A,0),MATCH('2018'!$A$1,IRA_3!$3:$3,0))</f>
        <v>0.38055668152952304</v>
      </c>
      <c r="M17" s="96">
        <f>INDEX(IRA_4!$A:$J,MATCH('2018'!$A17,IRA_4!$A:$A,0),MATCH('2018'!$A$1,IRA_4!$3:$3,0))/(B17/1000)</f>
        <v>3.5020841440009596</v>
      </c>
      <c r="N17" s="61">
        <f>INDEX(INV_1!$A:$J,MATCH('2018'!$A17,INV_1!$A:$A,0),MATCH('2018'!$A$1,INV_1!$3:$3,0))</f>
        <v>5.5927807195265154E-2</v>
      </c>
      <c r="O17" s="80">
        <f>INDEX(INV_2!$A:$J,MATCH('2018'!$A17,INV_2!$A:$A,0),MATCH('2018'!$A$1,INV_2!$3:$3,0))/B17*10^6/C17</f>
        <v>0.54576723366523983</v>
      </c>
      <c r="P17" s="87">
        <f>INDEX(INV_3!$A:$J,MATCH('2018'!$A17,INV_3!$A:$A,0),MATCH('2018'!$A$1,INV_3!$3:$3,0))/B17*10^6/C17</f>
        <v>2.9926440969592556</v>
      </c>
      <c r="Q17" s="87">
        <f>INDEX(INV_4!$A:$J,MATCH('2018'!$A17,INV_4!$A:$A,0),MATCH('2018'!$A$1,INV_4!$3:$3,0))/B17*10^3/C17</f>
        <v>0.23186034633978322</v>
      </c>
      <c r="R17" s="34">
        <f>INDEX(INV_5!$A:$J,MATCH('2018'!$A17,INV_5!$A:$A,0),MATCH('2018'!$A$1,INV_5!$3:$3,0))</f>
        <v>0.114</v>
      </c>
      <c r="S17" s="77">
        <f>INDEX(LUJ_1!$A:$J,MATCH('2018'!$A17,LUJ_1!$A:$A,0),MATCH('2018'!$A$1,LUJ_1!$3:$3,0))</f>
        <v>0.69026357482356326</v>
      </c>
      <c r="T17" s="73">
        <f>INDEX(LUJ_2!$A:$J,MATCH('2018'!$A17,LUJ_2!$A:$A,0),MATCH('2018'!$A$1,LUJ_2!$3:$3,0))</f>
        <v>0.23005133919687984</v>
      </c>
      <c r="U17" s="73">
        <f>INDEX(LUJ_3!$A:$J,MATCH('2018'!$A17,LUJ_3!$A:$A,0),MATCH('2018'!$A$1,LUJ_3!$3:$3,0))</f>
        <v>0.63107414335177303</v>
      </c>
      <c r="V17" s="14">
        <f>INDEX(LUJ_4!$A:$J,MATCH('2018'!$A17,LUJ_4!$A:$A,0),MATCH('2018'!$A$1,LUJ_4!$3:$3,0))</f>
        <v>245</v>
      </c>
      <c r="W17" s="34">
        <f>INDEX(LUJ_5!$A:$J,MATCH('2018'!$A17,LUJ_5!$A:$A,0),MATCH('2018'!$A$1,LUJ_5!$3:$3,0))</f>
        <v>132</v>
      </c>
      <c r="X17" s="98">
        <f>1/INDEX(GUL_1!$A:$J,MATCH('2018'!$A17,GUL_1!$A:$A,0),MATCH('2018'!$A$1,GUL_1!$3:$3,0))</f>
        <v>1.4027212792818065E-2</v>
      </c>
      <c r="Y17" s="57" t="e">
        <f>INDEX(GUL_2!$A:$J,MATCH('2018'!$A17,GUL_2!$A:$A,0),MATCH('2018'!$A$1,GUL_2!$3:$3,0))</f>
        <v>#N/A</v>
      </c>
      <c r="Z17" s="57">
        <f>INDEX(GUL_3!$A:$J,MATCH('2018'!$A17,GUL_3!$A:$A,0),MATCH('2018'!$A$1,GUL_3!$3:$3,0))/(B17/1000)</f>
        <v>0.77152795637221216</v>
      </c>
      <c r="AA17" s="101">
        <f>INDEX(GUL_4!$A:$J,MATCH('2018'!$A17,GUL_4!$A:$A,0),MATCH('2018'!$A$1,GUL_4!$3:$3,0))/B17/C17*10^6</f>
        <v>0.33089496861631368</v>
      </c>
      <c r="AB17" s="73">
        <f>INDEX(GUL_5!$A:$J,MATCH('2018'!$A17,GUL_5!$A:$A,0),MATCH('2018'!$A$1,GUL_5!$3:$3,0))</f>
        <v>3.4024782022552394E-2</v>
      </c>
      <c r="AC17" s="49" t="e">
        <f>INDEX(GUL_6!$A:$J,MATCH('2018'!$A17,GUL_6!$A:$A,0),MATCH('2018'!$A$1,GUL_6!$3:$3,0))</f>
        <v>#N/A</v>
      </c>
      <c r="AD17" s="49" t="e">
        <f>INDEX(GUL_7!$A:$J,MATCH('2018'!$A17,GUL_7!$A:$A,0),MATCH('2018'!$A$1,GUL_7!$3:$3,0))</f>
        <v>#N/A</v>
      </c>
      <c r="AE17" s="103">
        <f>INDEX(GUL_8!$A:$J,MATCH('2018'!$A17,GUL_8!$A:$A,0),MATCH('2018'!$A$1,GUL_8!$3:$3,0))/(B17/1000)</f>
        <v>2.8284728769613143</v>
      </c>
      <c r="AF17" s="41">
        <f>INDEX(DES_1!$A:$J,MATCH('2018'!$A17,DES_1!$A:$A,0),MATCH('2018'!$A$1,DES_1!$3:$3,0))/(B17/1000)</f>
        <v>0.10370372770919624</v>
      </c>
      <c r="AG17" s="100">
        <f>INDEX(DES_2!$A:$J,MATCH('2018'!$A17,DES_2!$A:$A,0),MATCH('2018'!$A$1,DES_2!$3:$3,0))/(B17/1000)</f>
        <v>0.70393534813318248</v>
      </c>
      <c r="AH17" s="57">
        <f>1/INDEX(DES_3!$A:$J,MATCH('2018'!$A17,DES_3!$A:$A,0),MATCH('2018'!$A$1,DES_3!$3:$3,0))</f>
        <v>8.1366965012205049E-3</v>
      </c>
      <c r="AI17" s="80" t="e">
        <f>INDEX(DES_4!$A:$J,MATCH('2018'!$A17,DES_4!$A:$A,0),MATCH('2018'!$A$1,DES_4!$3:$3,0))</f>
        <v>#N/A</v>
      </c>
      <c r="AJ17" s="110" t="e">
        <f>INDEX(DES_5!$A:$J,MATCH('2018'!$A17,DES_5!$A:$A,0),MATCH('2018'!$A$1,DES_5!$3:$3,0))</f>
        <v>#N/A</v>
      </c>
      <c r="AK17" s="57">
        <v>72</v>
      </c>
    </row>
    <row r="18" spans="1:37" x14ac:dyDescent="0.3">
      <c r="A18" s="29" t="s">
        <v>17</v>
      </c>
      <c r="B18" s="33">
        <f>INDEX(Population!$A:$J,MATCH('2018'!$A18,Population!$A:$A,0),MATCH('2018'!$A$1,Population!$3:$3,0))</f>
        <v>1667352</v>
      </c>
      <c r="C18" s="14">
        <f>INDEX(Income!$A:$J,MATCH('2018'!$A18,Income!$A:$A,0),MATCH('2018'!$A$1,Income!$3:$3,0))</f>
        <v>50831</v>
      </c>
      <c r="D18" s="34">
        <f>INDEX(Livable_wage!$A:$J,MATCH('2018'!$A18,Livable_wage!$A:$A,0),MATCH('2018'!$A$1,Livable_wage!$3:$3,0))</f>
        <v>15615</v>
      </c>
      <c r="E18" s="41">
        <f>INDEX(AVA_1!$A:$J,MATCH('2018'!$A18,AVA_1!$A:$A,0),MATCH('2018'!$A$1,AVA_1!$3:$3,0))</f>
        <v>0.39900000000000002</v>
      </c>
      <c r="F18" s="15">
        <f>INDEX(AVA_2!$A:$J,MATCH('2018'!$A18,AVA_2!$A:$A,0),MATCH('2018'!$A$1,AVA_2!$3:$3,0))</f>
        <v>1.3514311803039074E-2</v>
      </c>
      <c r="G18" s="15">
        <f>INDEX(AVA_3!$A:$J,MATCH('2018'!$A18,AVA_3!$A:$A,0),MATCH('2018'!$A$1,AVA_3!$3:$3,0))</f>
        <v>9.4790717857220264E-2</v>
      </c>
      <c r="H18" s="87">
        <f>INDEX(AVA_4!$A:$J,MATCH('2018'!$A18,AVA_4!$A:$A,0),MATCH('2018'!$A$1,AVA_4!$3:$3,0))/(B18/1000)</f>
        <v>0.79527298374908229</v>
      </c>
      <c r="I18" s="89">
        <f>INDEX(AVA_5!$A:$J,MATCH('2018'!$A18,AVA_5!$A:$A,0),MATCH('2018'!$A$1,AVA_5!$3:$3,0))/(B18/1000)</f>
        <v>3.5643343457170409</v>
      </c>
      <c r="J18" s="93">
        <f>INDEX(IRA_1!$A:$J,MATCH('2018'!$A18,IRA_1!$A:$A,0),MATCH('2018'!$A$1,IRA_1!$3:$3,0))/(B18/1000)</f>
        <v>4.6780763749946018E-2</v>
      </c>
      <c r="K18" s="88">
        <f>INDEX(IRA_2!$A:$J,MATCH('2018'!$A18,IRA_2!$A:$A,0),MATCH('2018'!$A$1,IRA_2!$3:$3,0))/(B18/1000)</f>
        <v>0.1949198489581084</v>
      </c>
      <c r="L18" s="15">
        <f>INDEX(IRA_3!$A:$J,MATCH('2018'!$A18,IRA_3!$A:$A,0),MATCH('2018'!$A$1,IRA_3!$3:$3,0))</f>
        <v>0.46058050598156497</v>
      </c>
      <c r="M18" s="96">
        <f>INDEX(IRA_4!$A:$J,MATCH('2018'!$A18,IRA_4!$A:$A,0),MATCH('2018'!$A$1,IRA_4!$3:$3,0))/(B18/1000)</f>
        <v>3.2458653001885622</v>
      </c>
      <c r="N18" s="61">
        <f>INDEX(INV_1!$A:$J,MATCH('2018'!$A18,INV_1!$A:$A,0),MATCH('2018'!$A$1,INV_1!$3:$3,0))</f>
        <v>7.5694841144222105E-2</v>
      </c>
      <c r="O18" s="80">
        <f>INDEX(INV_2!$A:$J,MATCH('2018'!$A18,INV_2!$A:$A,0),MATCH('2018'!$A$1,INV_2!$3:$3,0))/B18*10^6/C18</f>
        <v>0.392872022872083</v>
      </c>
      <c r="P18" s="87">
        <f>INDEX(INV_3!$A:$J,MATCH('2018'!$A18,INV_3!$A:$A,0),MATCH('2018'!$A$1,INV_3!$3:$3,0))/B18*10^6/C18</f>
        <v>4.3382094394468806</v>
      </c>
      <c r="Q18" s="87">
        <f>INDEX(INV_4!$A:$J,MATCH('2018'!$A18,INV_4!$A:$A,0),MATCH('2018'!$A$1,INV_4!$3:$3,0))/B18*10^3/C18</f>
        <v>0.28355328925601253</v>
      </c>
      <c r="R18" s="34">
        <f>INDEX(INV_5!$A:$J,MATCH('2018'!$A18,INV_5!$A:$A,0),MATCH('2018'!$A$1,INV_5!$3:$3,0))</f>
        <v>9.7699999999999995E-2</v>
      </c>
      <c r="S18" s="77">
        <f>INDEX(LUJ_1!$A:$J,MATCH('2018'!$A18,LUJ_1!$A:$A,0),MATCH('2018'!$A$1,LUJ_1!$3:$3,0))</f>
        <v>0.77994722955145124</v>
      </c>
      <c r="T18" s="73">
        <f>INDEX(LUJ_2!$A:$J,MATCH('2018'!$A18,LUJ_2!$A:$A,0),MATCH('2018'!$A$1,LUJ_2!$3:$3,0))</f>
        <v>0.17068950217410594</v>
      </c>
      <c r="U18" s="73">
        <f>INDEX(LUJ_3!$A:$J,MATCH('2018'!$A18,LUJ_3!$A:$A,0),MATCH('2018'!$A$1,LUJ_3!$3:$3,0))</f>
        <v>0.40305262223799804</v>
      </c>
      <c r="V18" s="14">
        <f>INDEX(LUJ_4!$A:$J,MATCH('2018'!$A18,LUJ_4!$A:$A,0),MATCH('2018'!$A$1,LUJ_4!$3:$3,0))</f>
        <v>27</v>
      </c>
      <c r="W18" s="34">
        <f>INDEX(LUJ_5!$A:$J,MATCH('2018'!$A18,LUJ_5!$A:$A,0),MATCH('2018'!$A$1,LUJ_5!$3:$3,0))</f>
        <v>82.1</v>
      </c>
      <c r="X18" s="98">
        <f>1/INDEX(GUL_1!$A:$J,MATCH('2018'!$A18,GUL_1!$A:$A,0),MATCH('2018'!$A$1,GUL_1!$3:$3,0))</f>
        <v>1.3462574044157242E-2</v>
      </c>
      <c r="Y18" s="57" t="e">
        <f>INDEX(GUL_2!$A:$J,MATCH('2018'!$A18,GUL_2!$A:$A,0),MATCH('2018'!$A$1,GUL_2!$3:$3,0))</f>
        <v>#N/A</v>
      </c>
      <c r="Z18" s="57">
        <f>INDEX(GUL_3!$A:$J,MATCH('2018'!$A18,GUL_3!$A:$A,0),MATCH('2018'!$A$1,GUL_3!$3:$3,0))/(B18/1000)</f>
        <v>0.39043945129762642</v>
      </c>
      <c r="AA18" s="101">
        <f>INDEX(GUL_4!$A:$J,MATCH('2018'!$A18,GUL_4!$A:$A,0),MATCH('2018'!$A$1,GUL_4!$3:$3,0))/B18/C18*10^6</f>
        <v>0.42681341840411335</v>
      </c>
      <c r="AB18" s="73">
        <f>INDEX(GUL_5!$A:$J,MATCH('2018'!$A18,GUL_5!$A:$A,0),MATCH('2018'!$A$1,GUL_5!$3:$3,0))</f>
        <v>2.6093376439409888E-2</v>
      </c>
      <c r="AC18" s="49" t="e">
        <f>INDEX(GUL_6!$A:$J,MATCH('2018'!$A18,GUL_6!$A:$A,0),MATCH('2018'!$A$1,GUL_6!$3:$3,0))</f>
        <v>#N/A</v>
      </c>
      <c r="AD18" s="49" t="e">
        <f>INDEX(GUL_7!$A:$J,MATCH('2018'!$A18,GUL_7!$A:$A,0),MATCH('2018'!$A$1,GUL_7!$3:$3,0))</f>
        <v>#N/A</v>
      </c>
      <c r="AE18" s="103">
        <f>INDEX(GUL_8!$A:$J,MATCH('2018'!$A18,GUL_8!$A:$A,0),MATCH('2018'!$A$1,GUL_8!$3:$3,0))/(B18/1000)</f>
        <v>2.3468349814556255</v>
      </c>
      <c r="AF18" s="41">
        <f>INDEX(DES_1!$A:$J,MATCH('2018'!$A18,DES_1!$A:$A,0),MATCH('2018'!$A$1,DES_1!$3:$3,0))/(B18/1000)</f>
        <v>8.2765966634519877E-2</v>
      </c>
      <c r="AG18" s="100">
        <f>INDEX(DES_2!$A:$J,MATCH('2018'!$A18,DES_2!$A:$A,0),MATCH('2018'!$A$1,DES_2!$3:$3,0))/(B18/1000)</f>
        <v>0.62794179033581388</v>
      </c>
      <c r="AH18" s="57">
        <f>1/INDEX(DES_3!$A:$J,MATCH('2018'!$A18,DES_3!$A:$A,0),MATCH('2018'!$A$1,DES_3!$3:$3,0))</f>
        <v>1.1123470522803113E-2</v>
      </c>
      <c r="AI18" s="80" t="e">
        <f>INDEX(DES_4!$A:$J,MATCH('2018'!$A18,DES_4!$A:$A,0),MATCH('2018'!$A$1,DES_4!$3:$3,0))</f>
        <v>#N/A</v>
      </c>
      <c r="AJ18" s="110" t="e">
        <f>INDEX(DES_5!$A:$J,MATCH('2018'!$A18,DES_5!$A:$A,0),MATCH('2018'!$A$1,DES_5!$3:$3,0))</f>
        <v>#N/A</v>
      </c>
      <c r="AK18" s="57">
        <v>71</v>
      </c>
    </row>
    <row r="19" spans="1:37" x14ac:dyDescent="0.3">
      <c r="A19" s="29" t="s">
        <v>18</v>
      </c>
      <c r="B19" s="33">
        <f>INDEX(Population!$A:$J,MATCH('2018'!$A19,Population!$A:$A,0),MATCH('2018'!$A$1,Population!$3:$3,0))</f>
        <v>48046</v>
      </c>
      <c r="C19" s="14">
        <f>INDEX(Income!$A:$J,MATCH('2018'!$A19,Income!$A:$A,0),MATCH('2018'!$A$1,Income!$3:$3,0))</f>
        <v>78812</v>
      </c>
      <c r="D19" s="34">
        <f>INDEX(Livable_wage!$A:$J,MATCH('2018'!$A19,Livable_wage!$A:$A,0),MATCH('2018'!$A$1,Livable_wage!$3:$3,0))</f>
        <v>22146</v>
      </c>
      <c r="E19" s="41">
        <f>INDEX(AVA_1!$A:$J,MATCH('2018'!$A19,AVA_1!$A:$A,0),MATCH('2018'!$A$1,AVA_1!$3:$3,0))</f>
        <v>0.40500000000000003</v>
      </c>
      <c r="F19" s="15">
        <f>INDEX(AVA_2!$A:$J,MATCH('2018'!$A19,AVA_2!$A:$A,0),MATCH('2018'!$A$1,AVA_2!$3:$3,0))</f>
        <v>1.0900202040358185E-2</v>
      </c>
      <c r="G19" s="15">
        <f>INDEX(AVA_3!$A:$J,MATCH('2018'!$A19,AVA_3!$A:$A,0),MATCH('2018'!$A$1,AVA_3!$3:$3,0))</f>
        <v>7.8407277971935738E-3</v>
      </c>
      <c r="H19" s="87">
        <f>INDEX(AVA_4!$A:$J,MATCH('2018'!$A19,AVA_4!$A:$A,0),MATCH('2018'!$A$1,AVA_4!$3:$3,0))/(B19/1000)</f>
        <v>0.70765516380135707</v>
      </c>
      <c r="I19" s="89">
        <f>INDEX(AVA_5!$A:$J,MATCH('2018'!$A19,AVA_5!$A:$A,0),MATCH('2018'!$A$1,AVA_5!$3:$3,0))/(B19/1000)</f>
        <v>3.9961703367606045</v>
      </c>
      <c r="J19" s="93">
        <f>INDEX(IRA_1!$A:$J,MATCH('2018'!$A19,IRA_1!$A:$A,0),MATCH('2018'!$A$1,IRA_1!$3:$3,0))/(B19/1000)</f>
        <v>0.1665070973650252</v>
      </c>
      <c r="K19" s="88">
        <f>INDEX(IRA_2!$A:$J,MATCH('2018'!$A19,IRA_2!$A:$A,0),MATCH('2018'!$A$1,IRA_2!$3:$3,0))/(B19/1000)</f>
        <v>0.68684177663072887</v>
      </c>
      <c r="L19" s="15">
        <f>INDEX(IRA_3!$A:$J,MATCH('2018'!$A19,IRA_3!$A:$A,0),MATCH('2018'!$A$1,IRA_3!$3:$3,0))</f>
        <v>0.5</v>
      </c>
      <c r="M19" s="96">
        <f>INDEX(IRA_4!$A:$J,MATCH('2018'!$A19,IRA_4!$A:$A,0),MATCH('2018'!$A$1,IRA_4!$3:$3,0))/(B19/1000)</f>
        <v>5.036839695292012</v>
      </c>
      <c r="N19" s="61">
        <f>INDEX(INV_1!$A:$J,MATCH('2018'!$A19,INV_1!$A:$A,0),MATCH('2018'!$A$1,INV_1!$3:$3,0))</f>
        <v>6.705664990844093E-2</v>
      </c>
      <c r="O19" s="80">
        <f>INDEX(INV_2!$A:$J,MATCH('2018'!$A19,INV_2!$A:$A,0),MATCH('2018'!$A$1,INV_2!$3:$3,0))/B19*10^6/C19</f>
        <v>1.8637840226493424E-2</v>
      </c>
      <c r="P19" s="87">
        <f>INDEX(INV_3!$A:$J,MATCH('2018'!$A19,INV_3!$A:$A,0),MATCH('2018'!$A$1,INV_3!$3:$3,0))/B19*10^6/C19</f>
        <v>1.8908776853994</v>
      </c>
      <c r="Q19" s="87">
        <f>INDEX(INV_4!$A:$J,MATCH('2018'!$A19,INV_4!$A:$A,0),MATCH('2018'!$A$1,INV_4!$3:$3,0))/B19*10^3/C19</f>
        <v>0.18196000475098337</v>
      </c>
      <c r="R19" s="34">
        <f>INDEX(INV_5!$A:$J,MATCH('2018'!$A19,INV_5!$A:$A,0),MATCH('2018'!$A$1,INV_5!$3:$3,0))</f>
        <v>5.3800000000000001E-2</v>
      </c>
      <c r="S19" s="77">
        <f>INDEX(LUJ_1!$A:$J,MATCH('2018'!$A19,LUJ_1!$A:$A,0),MATCH('2018'!$A$1,LUJ_1!$3:$3,0))</f>
        <v>0.6713483146067416</v>
      </c>
      <c r="T19" s="73">
        <f>INDEX(LUJ_2!$A:$J,MATCH('2018'!$A19,LUJ_2!$A:$A,0),MATCH('2018'!$A$1,LUJ_2!$3:$3,0))</f>
        <v>0.40479999999999999</v>
      </c>
      <c r="U19" s="73">
        <f>INDEX(LUJ_3!$A:$J,MATCH('2018'!$A19,LUJ_3!$A:$A,0),MATCH('2018'!$A$1,LUJ_3!$3:$3,0))</f>
        <v>0.504</v>
      </c>
      <c r="V19" s="14">
        <f>INDEX(LUJ_4!$A:$J,MATCH('2018'!$A19,LUJ_4!$A:$A,0),MATCH('2018'!$A$1,LUJ_4!$3:$3,0))</f>
        <v>2</v>
      </c>
      <c r="W19" s="34">
        <f>INDEX(LUJ_5!$A:$J,MATCH('2018'!$A19,LUJ_5!$A:$A,0),MATCH('2018'!$A$1,LUJ_5!$3:$3,0))</f>
        <v>62.6</v>
      </c>
      <c r="X19" s="98">
        <f>1/INDEX(GUL_1!$A:$J,MATCH('2018'!$A19,GUL_1!$A:$A,0),MATCH('2018'!$A$1,GUL_1!$3:$3,0))</f>
        <v>1.5728216420257943E-2</v>
      </c>
      <c r="Y19" s="57" t="e">
        <f>INDEX(GUL_2!$A:$J,MATCH('2018'!$A19,GUL_2!$A:$A,0),MATCH('2018'!$A$1,GUL_2!$3:$3,0))</f>
        <v>#N/A</v>
      </c>
      <c r="Z19" s="57">
        <f>INDEX(GUL_3!$A:$J,MATCH('2018'!$A19,GUL_3!$A:$A,0),MATCH('2018'!$A$1,GUL_3!$3:$3,0))/(B19/1000)</f>
        <v>0.81172209965449782</v>
      </c>
      <c r="AA19" s="101">
        <f>INDEX(GUL_4!$A:$J,MATCH('2018'!$A19,GUL_4!$A:$A,0),MATCH('2018'!$A$1,GUL_4!$3:$3,0))/B19/C19*10^6</f>
        <v>0.19098920978782771</v>
      </c>
      <c r="AB19" s="73">
        <f>INDEX(GUL_5!$A:$J,MATCH('2018'!$A19,GUL_5!$A:$A,0),MATCH('2018'!$A$1,GUL_5!$3:$3,0))</f>
        <v>3.79898320884157E-2</v>
      </c>
      <c r="AC19" s="49" t="e">
        <f>INDEX(GUL_6!$A:$J,MATCH('2018'!$A19,GUL_6!$A:$A,0),MATCH('2018'!$A$1,GUL_6!$3:$3,0))</f>
        <v>#N/A</v>
      </c>
      <c r="AD19" s="49" t="e">
        <f>INDEX(GUL_7!$A:$J,MATCH('2018'!$A19,GUL_7!$A:$A,0),MATCH('2018'!$A$1,GUL_7!$3:$3,0))</f>
        <v>#N/A</v>
      </c>
      <c r="AE19" s="103">
        <f>INDEX(GUL_8!$A:$J,MATCH('2018'!$A19,GUL_8!$A:$A,0),MATCH('2018'!$A$1,GUL_8!$3:$3,0))/(B19/1000)</f>
        <v>6.2232027640178167</v>
      </c>
      <c r="AF19" s="41">
        <f>INDEX(DES_1!$A:$J,MATCH('2018'!$A19,DES_1!$A:$A,0),MATCH('2018'!$A$1,DES_1!$3:$3,0))/(B19/1000)</f>
        <v>0.45789451775381929</v>
      </c>
      <c r="AG19" s="100">
        <f>INDEX(DES_2!$A:$J,MATCH('2018'!$A19,DES_2!$A:$A,0),MATCH('2018'!$A$1,DES_2!$3:$3,0))/(B19/1000)</f>
        <v>0.27057403321816592</v>
      </c>
      <c r="AH19" s="57">
        <f>1/INDEX(DES_3!$A:$J,MATCH('2018'!$A19,DES_3!$A:$A,0),MATCH('2018'!$A$1,DES_3!$3:$3,0))</f>
        <v>7.7339520494972922E-3</v>
      </c>
      <c r="AI19" s="80" t="e">
        <f>INDEX(DES_4!$A:$J,MATCH('2018'!$A19,DES_4!$A:$A,0),MATCH('2018'!$A$1,DES_4!$3:$3,0))</f>
        <v>#N/A</v>
      </c>
      <c r="AJ19" s="110" t="e">
        <f>INDEX(DES_5!$A:$J,MATCH('2018'!$A19,DES_5!$A:$A,0),MATCH('2018'!$A$1,DES_5!$3:$3,0))</f>
        <v>#N/A</v>
      </c>
      <c r="AK19" s="57">
        <v>68</v>
      </c>
    </row>
    <row r="20" spans="1:37" x14ac:dyDescent="0.3">
      <c r="A20" s="29" t="s">
        <v>19</v>
      </c>
      <c r="B20" s="33">
        <f>INDEX(Population!$A:$J,MATCH('2018'!$A20,Population!$A:$A,0),MATCH('2018'!$A$1,Population!$3:$3,0))</f>
        <v>3721567</v>
      </c>
      <c r="C20" s="14">
        <f>INDEX(Income!$A:$J,MATCH('2018'!$A20,Income!$A:$A,0),MATCH('2018'!$A$1,Income!$3:$3,0))</f>
        <v>46584</v>
      </c>
      <c r="D20" s="34">
        <f>INDEX(Livable_wage!$A:$J,MATCH('2018'!$A20,Livable_wage!$A:$A,0),MATCH('2018'!$A$1,Livable_wage!$3:$3,0))</f>
        <v>13796.024145205502</v>
      </c>
      <c r="E20" s="41">
        <f>INDEX(AVA_1!$A:$J,MATCH('2018'!$A20,AVA_1!$A:$A,0),MATCH('2018'!$A$1,AVA_1!$3:$3,0))</f>
        <v>0.432</v>
      </c>
      <c r="F20" s="15">
        <f>INDEX(AVA_2!$A:$J,MATCH('2018'!$A20,AVA_2!$A:$A,0),MATCH('2018'!$A$1,AVA_2!$3:$3,0))</f>
        <v>1.3228698024981446E-2</v>
      </c>
      <c r="G20" s="15">
        <f>INDEX(AVA_3!$A:$J,MATCH('2018'!$A20,AVA_3!$A:$A,0),MATCH('2018'!$A$1,AVA_3!$3:$3,0))</f>
        <v>7.8785946842834936E-2</v>
      </c>
      <c r="H20" s="87">
        <f>INDEX(AVA_4!$A:$J,MATCH('2018'!$A20,AVA_4!$A:$A,0),MATCH('2018'!$A$1,AVA_4!$3:$3,0))/(B20/1000)</f>
        <v>0.76956830281437905</v>
      </c>
      <c r="I20" s="89">
        <f>INDEX(AVA_5!$A:$J,MATCH('2018'!$A20,AVA_5!$A:$A,0),MATCH('2018'!$A$1,AVA_5!$3:$3,0))/(B20/1000)</f>
        <v>4.5612506774700012</v>
      </c>
      <c r="J20" s="93">
        <f>INDEX(IRA_1!$A:$J,MATCH('2018'!$A20,IRA_1!$A:$A,0),MATCH('2018'!$A$1,IRA_1!$3:$3,0))/(B20/1000)</f>
        <v>2.579558556919706E-2</v>
      </c>
      <c r="K20" s="88">
        <f>INDEX(IRA_2!$A:$J,MATCH('2018'!$A20,IRA_2!$A:$A,0),MATCH('2018'!$A$1,IRA_2!$3:$3,0))/(B20/1000)</f>
        <v>9.4583813753722559E-2</v>
      </c>
      <c r="L20" s="15">
        <f>INDEX(IRA_3!$A:$J,MATCH('2018'!$A20,IRA_3!$A:$A,0),MATCH('2018'!$A$1,IRA_3!$3:$3,0))</f>
        <v>0.41589101370790316</v>
      </c>
      <c r="M20" s="96">
        <f>INDEX(IRA_4!$A:$J,MATCH('2018'!$A20,IRA_4!$A:$A,0),MATCH('2018'!$A$1,IRA_4!$3:$3,0))/(B20/1000)</f>
        <v>1.9588522791609018</v>
      </c>
      <c r="N20" s="61">
        <f>INDEX(INV_1!$A:$J,MATCH('2018'!$A20,INV_1!$A:$A,0),MATCH('2018'!$A$1,INV_1!$3:$3,0))</f>
        <v>7.6567487501842266E-2</v>
      </c>
      <c r="O20" s="80">
        <f>INDEX(INV_2!$A:$J,MATCH('2018'!$A20,INV_2!$A:$A,0),MATCH('2018'!$A$1,INV_2!$3:$3,0))/B20*10^6/C20</f>
        <v>0.37526920698268856</v>
      </c>
      <c r="P20" s="87">
        <f>INDEX(INV_3!$A:$J,MATCH('2018'!$A20,INV_3!$A:$A,0),MATCH('2018'!$A$1,INV_3!$3:$3,0))/B20*10^6/C20</f>
        <v>4.1377499827740669</v>
      </c>
      <c r="Q20" s="87">
        <f>INDEX(INV_4!$A:$J,MATCH('2018'!$A20,INV_4!$A:$A,0),MATCH('2018'!$A$1,INV_4!$3:$3,0))/B20*10^3/C20</f>
        <v>0.26798587215664516</v>
      </c>
      <c r="R20" s="34">
        <f>INDEX(INV_5!$A:$J,MATCH('2018'!$A20,INV_5!$A:$A,0),MATCH('2018'!$A$1,INV_5!$3:$3,0))</f>
        <v>0.15690000000000001</v>
      </c>
      <c r="S20" s="77">
        <f>INDEX(LUJ_1!$A:$J,MATCH('2018'!$A20,LUJ_1!$A:$A,0),MATCH('2018'!$A$1,LUJ_1!$3:$3,0))</f>
        <v>0.75849317295188556</v>
      </c>
      <c r="T20" s="73">
        <f>INDEX(LUJ_2!$A:$J,MATCH('2018'!$A20,LUJ_2!$A:$A,0),MATCH('2018'!$A$1,LUJ_2!$3:$3,0))</f>
        <v>0.19548633814817015</v>
      </c>
      <c r="U20" s="73">
        <f>INDEX(LUJ_3!$A:$J,MATCH('2018'!$A20,LUJ_3!$A:$A,0),MATCH('2018'!$A$1,LUJ_3!$3:$3,0))</f>
        <v>0.44989993857615568</v>
      </c>
      <c r="V20" s="14">
        <f>INDEX(LUJ_4!$A:$J,MATCH('2018'!$A20,LUJ_4!$A:$A,0),MATCH('2018'!$A$1,LUJ_4!$3:$3,0))</f>
        <v>99</v>
      </c>
      <c r="W20" s="34">
        <f>INDEX(LUJ_5!$A:$J,MATCH('2018'!$A20,LUJ_5!$A:$A,0),MATCH('2018'!$A$1,LUJ_5!$3:$3,0))</f>
        <v>0</v>
      </c>
      <c r="X20" s="98">
        <f>1/INDEX(GUL_1!$A:$J,MATCH('2018'!$A20,GUL_1!$A:$A,0),MATCH('2018'!$A$1,GUL_1!$3:$3,0))</f>
        <v>1.3623978201634876E-2</v>
      </c>
      <c r="Y20" s="57" t="e">
        <f>INDEX(GUL_2!$A:$J,MATCH('2018'!$A20,GUL_2!$A:$A,0),MATCH('2018'!$A$1,GUL_2!$3:$3,0))</f>
        <v>#N/A</v>
      </c>
      <c r="Z20" s="57">
        <f>INDEX(GUL_3!$A:$J,MATCH('2018'!$A20,GUL_3!$A:$A,0),MATCH('2018'!$A$1,GUL_3!$3:$3,0))/(B20/1000)</f>
        <v>0.37967877509661924</v>
      </c>
      <c r="AA20" s="101">
        <f>INDEX(GUL_4!$A:$J,MATCH('2018'!$A20,GUL_4!$A:$A,0),MATCH('2018'!$A$1,GUL_4!$3:$3,0))/B20/C20*10^6</f>
        <v>0.45228087678672063</v>
      </c>
      <c r="AB20" s="73">
        <f>INDEX(GUL_5!$A:$J,MATCH('2018'!$A20,GUL_5!$A:$A,0),MATCH('2018'!$A$1,GUL_5!$3:$3,0))</f>
        <v>3.0589588321054871E-2</v>
      </c>
      <c r="AC20" s="49" t="e">
        <f>INDEX(GUL_6!$A:$J,MATCH('2018'!$A20,GUL_6!$A:$A,0),MATCH('2018'!$A$1,GUL_6!$3:$3,0))</f>
        <v>#N/A</v>
      </c>
      <c r="AD20" s="49" t="e">
        <f>INDEX(GUL_7!$A:$J,MATCH('2018'!$A20,GUL_7!$A:$A,0),MATCH('2018'!$A$1,GUL_7!$3:$3,0))</f>
        <v>#N/A</v>
      </c>
      <c r="AE20" s="103">
        <f>INDEX(GUL_8!$A:$J,MATCH('2018'!$A20,GUL_8!$A:$A,0),MATCH('2018'!$A$1,GUL_8!$3:$3,0))/(B20/1000)</f>
        <v>1.3373398893530601</v>
      </c>
      <c r="AF20" s="41">
        <f>INDEX(DES_1!$A:$J,MATCH('2018'!$A20,DES_1!$A:$A,0),MATCH('2018'!$A$1,DES_1!$3:$3,0))/(B20/1000)</f>
        <v>0.12414125555176085</v>
      </c>
      <c r="AG20" s="100">
        <f>INDEX(DES_2!$A:$J,MATCH('2018'!$A20,DES_2!$A:$A,0),MATCH('2018'!$A$1,DES_2!$3:$3,0))/(B20/1000)</f>
        <v>0.29476830593134556</v>
      </c>
      <c r="AH20" s="57">
        <f>1/INDEX(DES_3!$A:$J,MATCH('2018'!$A20,DES_3!$A:$A,0),MATCH('2018'!$A$1,DES_3!$3:$3,0))</f>
        <v>9.1324200913242004E-3</v>
      </c>
      <c r="AI20" s="80" t="e">
        <f>INDEX(DES_4!$A:$J,MATCH('2018'!$A20,DES_4!$A:$A,0),MATCH('2018'!$A$1,DES_4!$3:$3,0))</f>
        <v>#N/A</v>
      </c>
      <c r="AJ20" s="110" t="e">
        <f>INDEX(DES_5!$A:$J,MATCH('2018'!$A20,DES_5!$A:$A,0),MATCH('2018'!$A$1,DES_5!$3:$3,0))</f>
        <v>#N/A</v>
      </c>
      <c r="AK20" s="57">
        <v>20</v>
      </c>
    </row>
    <row r="21" spans="1:37" x14ac:dyDescent="0.3">
      <c r="A21" s="29" t="s">
        <v>20</v>
      </c>
      <c r="B21" s="33">
        <f>INDEX(Population!$A:$J,MATCH('2018'!$A21,Population!$A:$A,0),MATCH('2018'!$A$1,Population!$3:$3,0))</f>
        <v>1384819</v>
      </c>
      <c r="C21" s="14">
        <f>INDEX(Income!$A:$J,MATCH('2018'!$A21,Income!$A:$A,0),MATCH('2018'!$A$1,Income!$3:$3,0))</f>
        <v>23560</v>
      </c>
      <c r="D21" s="34">
        <f>INDEX(Livable_wage!$A:$J,MATCH('2018'!$A21,Livable_wage!$A:$A,0),MATCH('2018'!$A$1,Livable_wage!$3:$3,0))</f>
        <v>10385</v>
      </c>
      <c r="E21" s="41">
        <f>INDEX(AVA_1!$A:$J,MATCH('2018'!$A21,AVA_1!$A:$A,0),MATCH('2018'!$A$1,AVA_1!$3:$3,0))</f>
        <v>0.34399999999999997</v>
      </c>
      <c r="F21" s="15">
        <f>INDEX(AVA_2!$A:$J,MATCH('2018'!$A21,AVA_2!$A:$A,0),MATCH('2018'!$A$1,AVA_2!$3:$3,0))</f>
        <v>1.0091774486891171E-2</v>
      </c>
      <c r="G21" s="15">
        <f>INDEX(AVA_3!$A:$J,MATCH('2018'!$A21,AVA_3!$A:$A,0),MATCH('2018'!$A$1,AVA_3!$3:$3,0))</f>
        <v>2.2339156369338625E-2</v>
      </c>
      <c r="H21" s="87">
        <f>INDEX(AVA_4!$A:$J,MATCH('2018'!$A21,AVA_4!$A:$A,0),MATCH('2018'!$A$1,AVA_4!$3:$3,0))/(B21/1000)</f>
        <v>0.70550736233399458</v>
      </c>
      <c r="I21" s="89">
        <f>INDEX(AVA_5!$A:$J,MATCH('2018'!$A21,AVA_5!$A:$A,0),MATCH('2018'!$A$1,AVA_5!$3:$3,0))/(B21/1000)</f>
        <v>4.7435802079549747</v>
      </c>
      <c r="J21" s="93">
        <f>INDEX(IRA_1!$A:$J,MATCH('2018'!$A21,IRA_1!$A:$A,0),MATCH('2018'!$A$1,IRA_1!$3:$3,0))/(B21/1000)</f>
        <v>5.4880818359655671E-2</v>
      </c>
      <c r="K21" s="88">
        <f>INDEX(IRA_2!$A:$J,MATCH('2018'!$A21,IRA_2!$A:$A,0),MATCH('2018'!$A$1,IRA_2!$3:$3,0))/(B21/1000)</f>
        <v>0.13142511765075438</v>
      </c>
      <c r="L21" s="15">
        <f>INDEX(IRA_3!$A:$J,MATCH('2018'!$A21,IRA_3!$A:$A,0),MATCH('2018'!$A$1,IRA_3!$3:$3,0))</f>
        <v>0.41712640921084188</v>
      </c>
      <c r="M21" s="96">
        <f>INDEX(IRA_4!$A:$J,MATCH('2018'!$A21,IRA_4!$A:$A,0),MATCH('2018'!$A$1,IRA_4!$3:$3,0))/(B21/1000)</f>
        <v>4.341361578661183</v>
      </c>
      <c r="N21" s="61">
        <f>INDEX(INV_1!$A:$J,MATCH('2018'!$A21,INV_1!$A:$A,0),MATCH('2018'!$A$1,INV_1!$3:$3,0))</f>
        <v>8.6983676959846157E-2</v>
      </c>
      <c r="O21" s="80">
        <f>INDEX(INV_2!$A:$J,MATCH('2018'!$A21,INV_2!$A:$A,0),MATCH('2018'!$A$1,INV_2!$3:$3,0))/B21*10^6/C21</f>
        <v>0.40773498660053625</v>
      </c>
      <c r="P21" s="87">
        <f>INDEX(INV_3!$A:$J,MATCH('2018'!$A21,INV_3!$A:$A,0),MATCH('2018'!$A$1,INV_3!$3:$3,0))/B21*10^6/C21</f>
        <v>3.2758812138548818</v>
      </c>
      <c r="Q21" s="87">
        <f>INDEX(INV_4!$A:$J,MATCH('2018'!$A21,INV_4!$A:$A,0),MATCH('2018'!$A$1,INV_4!$3:$3,0))/B21*10^3/C21</f>
        <v>0.30703586852452308</v>
      </c>
      <c r="R21" s="34">
        <f>INDEX(INV_5!$A:$J,MATCH('2018'!$A21,INV_5!$A:$A,0),MATCH('2018'!$A$1,INV_5!$3:$3,0))</f>
        <v>8.0600000000000005E-2</v>
      </c>
      <c r="S21" s="77">
        <f>INDEX(LUJ_1!$A:$J,MATCH('2018'!$A21,LUJ_1!$A:$A,0),MATCH('2018'!$A$1,LUJ_1!$3:$3,0))</f>
        <v>0.67824159586257848</v>
      </c>
      <c r="T21" s="73">
        <f>INDEX(LUJ_2!$A:$J,MATCH('2018'!$A21,LUJ_2!$A:$A,0),MATCH('2018'!$A$1,LUJ_2!$3:$3,0))</f>
        <v>0.19585598361301504</v>
      </c>
      <c r="U21" s="73">
        <f>INDEX(LUJ_3!$A:$J,MATCH('2018'!$A21,LUJ_3!$A:$A,0),MATCH('2018'!$A$1,LUJ_3!$3:$3,0))</f>
        <v>0.49696722364076551</v>
      </c>
      <c r="V21" s="14">
        <f>INDEX(LUJ_4!$A:$J,MATCH('2018'!$A21,LUJ_4!$A:$A,0),MATCH('2018'!$A$1,LUJ_4!$3:$3,0))</f>
        <v>27</v>
      </c>
      <c r="W21" s="34">
        <f>INDEX(LUJ_5!$A:$J,MATCH('2018'!$A21,LUJ_5!$A:$A,0),MATCH('2018'!$A$1,LUJ_5!$3:$3,0))</f>
        <v>43.3</v>
      </c>
      <c r="X21" s="98">
        <f>1/INDEX(GUL_1!$A:$J,MATCH('2018'!$A21,GUL_1!$A:$A,0),MATCH('2018'!$A$1,GUL_1!$3:$3,0))</f>
        <v>1.4039028499227852E-2</v>
      </c>
      <c r="Y21" s="57" t="e">
        <f>INDEX(GUL_2!$A:$J,MATCH('2018'!$A21,GUL_2!$A:$A,0),MATCH('2018'!$A$1,GUL_2!$3:$3,0))</f>
        <v>#N/A</v>
      </c>
      <c r="Z21" s="57">
        <f>INDEX(GUL_3!$A:$J,MATCH('2018'!$A21,GUL_3!$A:$A,0),MATCH('2018'!$A$1,GUL_3!$3:$3,0))/(B21/1000)</f>
        <v>1.1640510420495387</v>
      </c>
      <c r="AA21" s="101">
        <f>INDEX(GUL_4!$A:$J,MATCH('2018'!$A21,GUL_4!$A:$A,0),MATCH('2018'!$A$1,GUL_4!$3:$3,0))/B21/C21*10^6</f>
        <v>0.33215467772953988</v>
      </c>
      <c r="AB21" s="73">
        <f>INDEX(GUL_5!$A:$J,MATCH('2018'!$A21,GUL_5!$A:$A,0),MATCH('2018'!$A$1,GUL_5!$3:$3,0))</f>
        <v>2.8331846246208343E-2</v>
      </c>
      <c r="AC21" s="49" t="e">
        <f>INDEX(GUL_6!$A:$J,MATCH('2018'!$A21,GUL_6!$A:$A,0),MATCH('2018'!$A$1,GUL_6!$3:$3,0))</f>
        <v>#N/A</v>
      </c>
      <c r="AD21" s="49" t="e">
        <f>INDEX(GUL_7!$A:$J,MATCH('2018'!$A21,GUL_7!$A:$A,0),MATCH('2018'!$A$1,GUL_7!$3:$3,0))</f>
        <v>#N/A</v>
      </c>
      <c r="AE21" s="103">
        <f>INDEX(GUL_8!$A:$J,MATCH('2018'!$A21,GUL_8!$A:$A,0),MATCH('2018'!$A$1,GUL_8!$3:$3,0))/(B21/1000)</f>
        <v>2.5064647437679581</v>
      </c>
      <c r="AF21" s="41">
        <f>INDEX(DES_1!$A:$J,MATCH('2018'!$A21,DES_1!$A:$A,0),MATCH('2018'!$A$1,DES_1!$3:$3,0))/(B21/1000)</f>
        <v>0.14225685811647587</v>
      </c>
      <c r="AG21" s="100">
        <f>INDEX(DES_2!$A:$J,MATCH('2018'!$A21,DES_2!$A:$A,0),MATCH('2018'!$A$1,DES_2!$3:$3,0))/(B21/1000)</f>
        <v>0.40727344151112888</v>
      </c>
      <c r="AH21" s="57">
        <f>1/INDEX(DES_3!$A:$J,MATCH('2018'!$A21,DES_3!$A:$A,0),MATCH('2018'!$A$1,DES_3!$3:$3,0))</f>
        <v>9.1324200913242004E-3</v>
      </c>
      <c r="AI21" s="80" t="e">
        <f>INDEX(DES_4!$A:$J,MATCH('2018'!$A21,DES_4!$A:$A,0),MATCH('2018'!$A$1,DES_4!$3:$3,0))</f>
        <v>#N/A</v>
      </c>
      <c r="AJ21" s="110" t="e">
        <f>INDEX(DES_5!$A:$J,MATCH('2018'!$A21,DES_5!$A:$A,0),MATCH('2018'!$A$1,DES_5!$3:$3,0))</f>
        <v>#N/A</v>
      </c>
      <c r="AK21" s="57">
        <v>22</v>
      </c>
    </row>
    <row r="22" spans="1:37" x14ac:dyDescent="0.3">
      <c r="A22" s="29" t="s">
        <v>21</v>
      </c>
      <c r="B22" s="33">
        <f>INDEX(Population!$A:$J,MATCH('2018'!$A22,Population!$A:$A,0),MATCH('2018'!$A$1,Population!$3:$3,0))</f>
        <v>8160757</v>
      </c>
      <c r="C22" s="14">
        <f>INDEX(Income!$A:$J,MATCH('2018'!$A22,Income!$A:$A,0),MATCH('2018'!$A$1,Income!$3:$3,0))</f>
        <v>44742</v>
      </c>
      <c r="D22" s="34">
        <f>INDEX(Livable_wage!$A:$J,MATCH('2018'!$A22,Livable_wage!$A:$A,0),MATCH('2018'!$A$1,Livable_wage!$3:$3,0))</f>
        <v>13038</v>
      </c>
      <c r="E22" s="41">
        <f>INDEX(AVA_1!$A:$J,MATCH('2018'!$A22,AVA_1!$A:$A,0),MATCH('2018'!$A$1,AVA_1!$3:$3,0))</f>
        <v>0.39400000000000002</v>
      </c>
      <c r="F22" s="15">
        <f>INDEX(AVA_2!$A:$J,MATCH('2018'!$A22,AVA_2!$A:$A,0),MATCH('2018'!$A$1,AVA_2!$3:$3,0))</f>
        <v>7.3379748667432385E-3</v>
      </c>
      <c r="G22" s="15">
        <f>INDEX(AVA_3!$A:$J,MATCH('2018'!$A22,AVA_3!$A:$A,0),MATCH('2018'!$A$1,AVA_3!$3:$3,0))</f>
        <v>8.9672756063445186E-2</v>
      </c>
      <c r="H22" s="87">
        <f>INDEX(AVA_4!$A:$J,MATCH('2018'!$A22,AVA_4!$A:$A,0),MATCH('2018'!$A$1,AVA_4!$3:$3,0))/(B22/1000)</f>
        <v>0.45191885997830838</v>
      </c>
      <c r="I22" s="89">
        <f>INDEX(AVA_5!$A:$J,MATCH('2018'!$A22,AVA_5!$A:$A,0),MATCH('2018'!$A$1,AVA_5!$3:$3,0))/(B22/1000)</f>
        <v>3.8301593834983692</v>
      </c>
      <c r="J22" s="93">
        <f>INDEX(IRA_1!$A:$J,MATCH('2018'!$A22,IRA_1!$A:$A,0),MATCH('2018'!$A$1,IRA_1!$3:$3,0))/(B22/1000)</f>
        <v>4.5093855876360493E-2</v>
      </c>
      <c r="K22" s="88">
        <f>INDEX(IRA_2!$A:$J,MATCH('2018'!$A22,IRA_2!$A:$A,0),MATCH('2018'!$A$1,IRA_2!$3:$3,0))/(B22/1000)</f>
        <v>0.12327287774896374</v>
      </c>
      <c r="L22" s="15">
        <f>INDEX(IRA_3!$A:$J,MATCH('2018'!$A22,IRA_3!$A:$A,0),MATCH('2018'!$A$1,IRA_3!$3:$3,0))</f>
        <v>0.6071473670918045</v>
      </c>
      <c r="M22" s="96">
        <f>INDEX(IRA_4!$A:$J,MATCH('2018'!$A22,IRA_4!$A:$A,0),MATCH('2018'!$A$1,IRA_4!$3:$3,0))/(B22/1000)</f>
        <v>3.1113535178170362</v>
      </c>
      <c r="N22" s="61">
        <f>INDEX(INV_1!$A:$J,MATCH('2018'!$A22,INV_1!$A:$A,0),MATCH('2018'!$A$1,INV_1!$3:$3,0))</f>
        <v>5.7930490635251165E-2</v>
      </c>
      <c r="O22" s="80">
        <f>INDEX(INV_2!$A:$J,MATCH('2018'!$A22,INV_2!$A:$A,0),MATCH('2018'!$A$1,INV_2!$3:$3,0))/B22*10^6/C22</f>
        <v>0.4119626977993166</v>
      </c>
      <c r="P22" s="87">
        <f>INDEX(INV_3!$A:$J,MATCH('2018'!$A22,INV_3!$A:$A,0),MATCH('2018'!$A$1,INV_3!$3:$3,0))/B22*10^6/C22</f>
        <v>3.1772066957896268</v>
      </c>
      <c r="Q22" s="87">
        <f>INDEX(INV_4!$A:$J,MATCH('2018'!$A22,INV_4!$A:$A,0),MATCH('2018'!$A$1,INV_4!$3:$3,0))/B22*10^3/C22</f>
        <v>8.9180663769137553E-2</v>
      </c>
      <c r="R22" s="34">
        <f>INDEX(INV_5!$A:$J,MATCH('2018'!$A22,INV_5!$A:$A,0),MATCH('2018'!$A$1,INV_5!$3:$3,0))</f>
        <v>0.28670000000000001</v>
      </c>
      <c r="S22" s="77">
        <f>INDEX(LUJ_1!$A:$J,MATCH('2018'!$A22,LUJ_1!$A:$A,0),MATCH('2018'!$A$1,LUJ_1!$3:$3,0))</f>
        <v>0.59618151969030586</v>
      </c>
      <c r="T22" s="73">
        <f>INDEX(LUJ_2!$A:$J,MATCH('2018'!$A22,LUJ_2!$A:$A,0),MATCH('2018'!$A$1,LUJ_2!$3:$3,0))</f>
        <v>0.19309647602541882</v>
      </c>
      <c r="U22" s="73">
        <f>INDEX(LUJ_3!$A:$J,MATCH('2018'!$A22,LUJ_3!$A:$A,0),MATCH('2018'!$A$1,LUJ_3!$3:$3,0))</f>
        <v>0.26480346139033317</v>
      </c>
      <c r="V22" s="14">
        <f>INDEX(LUJ_4!$A:$J,MATCH('2018'!$A22,LUJ_4!$A:$A,0),MATCH('2018'!$A$1,LUJ_4!$3:$3,0))</f>
        <v>110</v>
      </c>
      <c r="W22" s="34">
        <f>INDEX(LUJ_5!$A:$J,MATCH('2018'!$A22,LUJ_5!$A:$A,0),MATCH('2018'!$A$1,LUJ_5!$3:$3,0))</f>
        <v>35.4</v>
      </c>
      <c r="X22" s="98">
        <f>1/INDEX(GUL_1!$A:$J,MATCH('2018'!$A22,GUL_1!$A:$A,0),MATCH('2018'!$A$1,GUL_1!$3:$3,0))</f>
        <v>1.3601741022850925E-2</v>
      </c>
      <c r="Y22" s="57" t="e">
        <f>INDEX(GUL_2!$A:$J,MATCH('2018'!$A22,GUL_2!$A:$A,0),MATCH('2018'!$A$1,GUL_2!$3:$3,0))</f>
        <v>#N/A</v>
      </c>
      <c r="Z22" s="57">
        <f>INDEX(GUL_3!$A:$J,MATCH('2018'!$A22,GUL_3!$A:$A,0),MATCH('2018'!$A$1,GUL_3!$3:$3,0))/(B22/1000)</f>
        <v>0.62518709967715003</v>
      </c>
      <c r="AA22" s="101">
        <f>INDEX(GUL_4!$A:$J,MATCH('2018'!$A22,GUL_4!$A:$A,0),MATCH('2018'!$A$1,GUL_4!$3:$3,0))/B22/C22*10^6</f>
        <v>0.31049935063976447</v>
      </c>
      <c r="AB22" s="73">
        <f>INDEX(GUL_5!$A:$J,MATCH('2018'!$A22,GUL_5!$A:$A,0),MATCH('2018'!$A$1,GUL_5!$3:$3,0))</f>
        <v>2.1302406810097561E-2</v>
      </c>
      <c r="AC22" s="49" t="e">
        <f>INDEX(GUL_6!$A:$J,MATCH('2018'!$A22,GUL_6!$A:$A,0),MATCH('2018'!$A$1,GUL_6!$3:$3,0))</f>
        <v>#N/A</v>
      </c>
      <c r="AD22" s="49" t="e">
        <f>INDEX(GUL_7!$A:$J,MATCH('2018'!$A22,GUL_7!$A:$A,0),MATCH('2018'!$A$1,GUL_7!$3:$3,0))</f>
        <v>#N/A</v>
      </c>
      <c r="AE22" s="103">
        <f>INDEX(GUL_8!$A:$J,MATCH('2018'!$A22,GUL_8!$A:$A,0),MATCH('2018'!$A$1,GUL_8!$3:$3,0))/(B22/1000)</f>
        <v>1.0858061329359519</v>
      </c>
      <c r="AF22" s="41">
        <f>INDEX(DES_1!$A:$J,MATCH('2018'!$A22,DES_1!$A:$A,0),MATCH('2018'!$A$1,DES_1!$3:$3,0))/(B22/1000)</f>
        <v>0.10611760649165268</v>
      </c>
      <c r="AG22" s="100">
        <f>INDEX(DES_2!$A:$J,MATCH('2018'!$A22,DES_2!$A:$A,0),MATCH('2018'!$A$1,DES_2!$3:$3,0))/(B22/1000)</f>
        <v>0.51073693286051769</v>
      </c>
      <c r="AH22" s="57">
        <f>1/INDEX(DES_3!$A:$J,MATCH('2018'!$A22,DES_3!$A:$A,0),MATCH('2018'!$A$1,DES_3!$3:$3,0))</f>
        <v>8.5984522785898538E-3</v>
      </c>
      <c r="AI22" s="80" t="e">
        <f>INDEX(DES_4!$A:$J,MATCH('2018'!$A22,DES_4!$A:$A,0),MATCH('2018'!$A$1,DES_4!$3:$3,0))</f>
        <v>#N/A</v>
      </c>
      <c r="AJ22" s="110" t="e">
        <f>INDEX(DES_5!$A:$J,MATCH('2018'!$A22,DES_5!$A:$A,0),MATCH('2018'!$A$1,DES_5!$3:$3,0))</f>
        <v>#N/A</v>
      </c>
      <c r="AK22" s="57">
        <v>23</v>
      </c>
    </row>
    <row r="23" spans="1:37" x14ac:dyDescent="0.3">
      <c r="A23" s="29" t="s">
        <v>22</v>
      </c>
      <c r="B23" s="33">
        <f>INDEX(Population!$A:$J,MATCH('2018'!$A23,Population!$A:$A,0),MATCH('2018'!$A$1,Population!$3:$3,0))</f>
        <v>2543595</v>
      </c>
      <c r="C23" s="14">
        <f>INDEX(Income!$A:$J,MATCH('2018'!$A23,Income!$A:$A,0),MATCH('2018'!$A$1,Income!$3:$3,0))</f>
        <v>22813</v>
      </c>
      <c r="D23" s="34">
        <f>INDEX(Livable_wage!$A:$J,MATCH('2018'!$A23,Livable_wage!$A:$A,0),MATCH('2018'!$A$1,Livable_wage!$3:$3,0))</f>
        <v>9865</v>
      </c>
      <c r="E23" s="41">
        <f>INDEX(AVA_1!$A:$J,MATCH('2018'!$A23,AVA_1!$A:$A,0),MATCH('2018'!$A$1,AVA_1!$3:$3,0))</f>
        <v>0.35099999999999998</v>
      </c>
      <c r="F23" s="15">
        <f>INDEX(AVA_2!$A:$J,MATCH('2018'!$A23,AVA_2!$A:$A,0),MATCH('2018'!$A$1,AVA_2!$3:$3,0))</f>
        <v>9.8292154416461212E-3</v>
      </c>
      <c r="G23" s="15">
        <f>INDEX(AVA_3!$A:$J,MATCH('2018'!$A23,AVA_3!$A:$A,0),MATCH('2018'!$A$1,AVA_3!$3:$3,0))</f>
        <v>1.6229766744833236E-2</v>
      </c>
      <c r="H23" s="87">
        <f>INDEX(AVA_4!$A:$J,MATCH('2018'!$A23,AVA_4!$A:$A,0),MATCH('2018'!$A$1,AVA_4!$3:$3,0))/(B23/1000)</f>
        <v>0.58303306933690313</v>
      </c>
      <c r="I23" s="89">
        <f>INDEX(AVA_5!$A:$J,MATCH('2018'!$A23,AVA_5!$A:$A,0),MATCH('2018'!$A$1,AVA_5!$3:$3,0))/(B23/1000)</f>
        <v>6.6543612485478238</v>
      </c>
      <c r="J23" s="93">
        <f>INDEX(IRA_1!$A:$J,MATCH('2018'!$A23,IRA_1!$A:$A,0),MATCH('2018'!$A$1,IRA_1!$3:$3,0))/(B23/1000)</f>
        <v>4.7963610559070925E-2</v>
      </c>
      <c r="K23" s="88">
        <f>INDEX(IRA_2!$A:$J,MATCH('2018'!$A23,IRA_2!$A:$A,0),MATCH('2018'!$A$1,IRA_2!$3:$3,0))/(B23/1000)</f>
        <v>0.120695315095367</v>
      </c>
      <c r="L23" s="15">
        <f>INDEX(IRA_3!$A:$J,MATCH('2018'!$A23,IRA_3!$A:$A,0),MATCH('2018'!$A$1,IRA_3!$3:$3,0))</f>
        <v>0.43351666127466837</v>
      </c>
      <c r="M23" s="96">
        <f>INDEX(IRA_4!$A:$J,MATCH('2018'!$A23,IRA_4!$A:$A,0),MATCH('2018'!$A$1,IRA_4!$3:$3,0))/(B23/1000)</f>
        <v>6.2675072092844974</v>
      </c>
      <c r="N23" s="61">
        <f>INDEX(INV_1!$A:$J,MATCH('2018'!$A23,INV_1!$A:$A,0),MATCH('2018'!$A$1,INV_1!$3:$3,0))</f>
        <v>8.9636630007044527E-2</v>
      </c>
      <c r="O23" s="80">
        <f>INDEX(INV_2!$A:$J,MATCH('2018'!$A23,INV_2!$A:$A,0),MATCH('2018'!$A$1,INV_2!$3:$3,0))/B23*10^6/C23</f>
        <v>0.34985655983327618</v>
      </c>
      <c r="P23" s="87">
        <f>INDEX(INV_3!$A:$J,MATCH('2018'!$A23,INV_3!$A:$A,0),MATCH('2018'!$A$1,INV_3!$3:$3,0))/B23*10^6/C23</f>
        <v>3.3221412661296577</v>
      </c>
      <c r="Q23" s="87">
        <f>INDEX(INV_4!$A:$J,MATCH('2018'!$A23,INV_4!$A:$A,0),MATCH('2018'!$A$1,INV_4!$3:$3,0))/B23*10^3/C23</f>
        <v>0.36021390746372789</v>
      </c>
      <c r="R23" s="34">
        <f>INDEX(INV_5!$A:$J,MATCH('2018'!$A23,INV_5!$A:$A,0),MATCH('2018'!$A$1,INV_5!$3:$3,0))</f>
        <v>8.5400000000000004E-2</v>
      </c>
      <c r="S23" s="77">
        <f>INDEX(LUJ_1!$A:$J,MATCH('2018'!$A23,LUJ_1!$A:$A,0),MATCH('2018'!$A$1,LUJ_1!$3:$3,0))</f>
        <v>0.75419463087248317</v>
      </c>
      <c r="T23" s="73">
        <f>INDEX(LUJ_2!$A:$J,MATCH('2018'!$A23,LUJ_2!$A:$A,0),MATCH('2018'!$A$1,LUJ_2!$3:$3,0))</f>
        <v>0.22603233883631116</v>
      </c>
      <c r="U23" s="73">
        <f>INDEX(LUJ_3!$A:$J,MATCH('2018'!$A23,LUJ_3!$A:$A,0),MATCH('2018'!$A$1,LUJ_3!$3:$3,0))</f>
        <v>0.39396511479862495</v>
      </c>
      <c r="V23" s="14">
        <f>INDEX(LUJ_4!$A:$J,MATCH('2018'!$A23,LUJ_4!$A:$A,0),MATCH('2018'!$A$1,LUJ_4!$3:$3,0))</f>
        <v>32</v>
      </c>
      <c r="W23" s="34">
        <f>INDEX(LUJ_5!$A:$J,MATCH('2018'!$A23,LUJ_5!$A:$A,0),MATCH('2018'!$A$1,LUJ_5!$3:$3,0))</f>
        <v>49.3</v>
      </c>
      <c r="X23" s="98">
        <f>1/INDEX(GUL_1!$A:$J,MATCH('2018'!$A23,GUL_1!$A:$A,0),MATCH('2018'!$A$1,GUL_1!$3:$3,0))</f>
        <v>1.3610997686130393E-2</v>
      </c>
      <c r="Y23" s="57" t="e">
        <f>INDEX(GUL_2!$A:$J,MATCH('2018'!$A23,GUL_2!$A:$A,0),MATCH('2018'!$A$1,GUL_2!$3:$3,0))</f>
        <v>#N/A</v>
      </c>
      <c r="Z23" s="57">
        <f>INDEX(GUL_3!$A:$J,MATCH('2018'!$A23,GUL_3!$A:$A,0),MATCH('2018'!$A$1,GUL_3!$3:$3,0))/(B23/1000)</f>
        <v>0.75758916022401368</v>
      </c>
      <c r="AA23" s="101">
        <f>INDEX(GUL_4!$A:$J,MATCH('2018'!$A23,GUL_4!$A:$A,0),MATCH('2018'!$A$1,GUL_4!$3:$3,0))/B23/C23*10^6</f>
        <v>0.2357675268780052</v>
      </c>
      <c r="AB23" s="73">
        <f>INDEX(GUL_5!$A:$J,MATCH('2018'!$A23,GUL_5!$A:$A,0),MATCH('2018'!$A$1,GUL_5!$3:$3,0))</f>
        <v>3.022580796920802E-2</v>
      </c>
      <c r="AC23" s="49" t="e">
        <f>INDEX(GUL_6!$A:$J,MATCH('2018'!$A23,GUL_6!$A:$A,0),MATCH('2018'!$A$1,GUL_6!$3:$3,0))</f>
        <v>#N/A</v>
      </c>
      <c r="AD23" s="49" t="e">
        <f>INDEX(GUL_7!$A:$J,MATCH('2018'!$A23,GUL_7!$A:$A,0),MATCH('2018'!$A$1,GUL_7!$3:$3,0))</f>
        <v>#N/A</v>
      </c>
      <c r="AE23" s="103">
        <f>INDEX(GUL_8!$A:$J,MATCH('2018'!$A23,GUL_8!$A:$A,0),MATCH('2018'!$A$1,GUL_8!$3:$3,0))/(B23/1000)</f>
        <v>2.2208724266245219</v>
      </c>
      <c r="AF23" s="41">
        <f>INDEX(DES_1!$A:$J,MATCH('2018'!$A23,DES_1!$A:$A,0),MATCH('2018'!$A$1,DES_1!$3:$3,0))/(B23/1000)</f>
        <v>4.6784177512536392E-2</v>
      </c>
      <c r="AG23" s="100">
        <f>INDEX(DES_2!$A:$J,MATCH('2018'!$A23,DES_2!$A:$A,0),MATCH('2018'!$A$1,DES_2!$3:$3,0))/(B23/1000)</f>
        <v>0.4190918758686033</v>
      </c>
      <c r="AH23" s="57">
        <f>1/INDEX(DES_3!$A:$J,MATCH('2018'!$A23,DES_3!$A:$A,0),MATCH('2018'!$A$1,DES_3!$3:$3,0))</f>
        <v>9.2421441774491672E-3</v>
      </c>
      <c r="AI23" s="80" t="e">
        <f>INDEX(DES_4!$A:$J,MATCH('2018'!$A23,DES_4!$A:$A,0),MATCH('2018'!$A$1,DES_4!$3:$3,0))</f>
        <v>#N/A</v>
      </c>
      <c r="AJ23" s="110" t="e">
        <f>INDEX(DES_5!$A:$J,MATCH('2018'!$A23,DES_5!$A:$A,0),MATCH('2018'!$A$1,DES_5!$3:$3,0))</f>
        <v>#N/A</v>
      </c>
      <c r="AK23" s="57">
        <v>29</v>
      </c>
    </row>
    <row r="24" spans="1:37" x14ac:dyDescent="0.3">
      <c r="A24" s="29" t="s">
        <v>23</v>
      </c>
      <c r="B24" s="33">
        <f>INDEX(Population!$A:$J,MATCH('2018'!$A24,Population!$A:$A,0),MATCH('2018'!$A$1,Population!$3:$3,0))</f>
        <v>1920172</v>
      </c>
      <c r="C24" s="14">
        <f>INDEX(Income!$A:$J,MATCH('2018'!$A24,Income!$A:$A,0),MATCH('2018'!$A$1,Income!$3:$3,0))</f>
        <v>23387</v>
      </c>
      <c r="D24" s="34">
        <f>INDEX(Livable_wage!$A:$J,MATCH('2018'!$A24,Livable_wage!$A:$A,0),MATCH('2018'!$A$1,Livable_wage!$3:$3,0))</f>
        <v>9217</v>
      </c>
      <c r="E24" s="41">
        <f>INDEX(AVA_1!$A:$J,MATCH('2018'!$A24,AVA_1!$A:$A,0),MATCH('2018'!$A$1,AVA_1!$3:$3,0))</f>
        <v>0.38</v>
      </c>
      <c r="F24" s="15">
        <f>INDEX(AVA_2!$A:$J,MATCH('2018'!$A24,AVA_2!$A:$A,0),MATCH('2018'!$A$1,AVA_2!$3:$3,0))</f>
        <v>9.4929070964249011E-3</v>
      </c>
      <c r="G24" s="15">
        <f>INDEX(AVA_3!$A:$J,MATCH('2018'!$A24,AVA_3!$A:$A,0),MATCH('2018'!$A$1,AVA_3!$3:$3,0))</f>
        <v>9.4509178500098955E-3</v>
      </c>
      <c r="H24" s="87">
        <f>INDEX(AVA_4!$A:$J,MATCH('2018'!$A24,AVA_4!$A:$A,0),MATCH('2018'!$A$1,AVA_4!$3:$3,0))/(B24/1000)</f>
        <v>0.67650189670508687</v>
      </c>
      <c r="I24" s="89">
        <f>INDEX(AVA_5!$A:$J,MATCH('2018'!$A24,AVA_5!$A:$A,0),MATCH('2018'!$A$1,AVA_5!$3:$3,0))/(B24/1000)</f>
        <v>4.7402003570513473</v>
      </c>
      <c r="J24" s="93">
        <f>INDEX(IRA_1!$A:$J,MATCH('2018'!$A24,IRA_1!$A:$A,0),MATCH('2018'!$A$1,IRA_1!$3:$3,0))/(B24/1000)</f>
        <v>6.3015188222721716E-2</v>
      </c>
      <c r="K24" s="88">
        <f>INDEX(IRA_2!$A:$J,MATCH('2018'!$A24,IRA_2!$A:$A,0),MATCH('2018'!$A$1,IRA_2!$3:$3,0))/(B24/1000)</f>
        <v>0.18331691119337226</v>
      </c>
      <c r="L24" s="15">
        <f>INDEX(IRA_3!$A:$J,MATCH('2018'!$A24,IRA_3!$A:$A,0),MATCH('2018'!$A$1,IRA_3!$3:$3,0))</f>
        <v>0.42703847511471937</v>
      </c>
      <c r="M24" s="96">
        <f>INDEX(IRA_4!$A:$J,MATCH('2018'!$A24,IRA_4!$A:$A,0),MATCH('2018'!$A$1,IRA_4!$3:$3,0))/(B24/1000)</f>
        <v>4.1178602750170299</v>
      </c>
      <c r="N24" s="61">
        <f>INDEX(INV_1!$A:$J,MATCH('2018'!$A24,INV_1!$A:$A,0),MATCH('2018'!$A$1,INV_1!$3:$3,0))</f>
        <v>8.3833276863711698E-2</v>
      </c>
      <c r="O24" s="80">
        <f>INDEX(INV_2!$A:$J,MATCH('2018'!$A24,INV_2!$A:$A,0),MATCH('2018'!$A$1,INV_2!$3:$3,0))/B24*10^6/C24</f>
        <v>0.41924602850984194</v>
      </c>
      <c r="P24" s="87">
        <f>INDEX(INV_3!$A:$J,MATCH('2018'!$A24,INV_3!$A:$A,0),MATCH('2018'!$A$1,INV_3!$3:$3,0))/B24*10^6/C24</f>
        <v>4.3095671137293312</v>
      </c>
      <c r="Q24" s="87">
        <f>INDEX(INV_4!$A:$J,MATCH('2018'!$A24,INV_4!$A:$A,0),MATCH('2018'!$A$1,INV_4!$3:$3,0))/B24*10^3/C24</f>
        <v>0.31237314776507857</v>
      </c>
      <c r="R24" s="34">
        <f>INDEX(INV_5!$A:$J,MATCH('2018'!$A24,INV_5!$A:$A,0),MATCH('2018'!$A$1,INV_5!$3:$3,0))</f>
        <v>7.7200000000000005E-2</v>
      </c>
      <c r="S24" s="77">
        <f>INDEX(LUJ_1!$A:$J,MATCH('2018'!$A24,LUJ_1!$A:$A,0),MATCH('2018'!$A$1,LUJ_1!$3:$3,0))</f>
        <v>0.65575936577024718</v>
      </c>
      <c r="T24" s="73">
        <f>INDEX(LUJ_2!$A:$J,MATCH('2018'!$A24,LUJ_2!$A:$A,0),MATCH('2018'!$A$1,LUJ_2!$3:$3,0))</f>
        <v>0.19091368459736324</v>
      </c>
      <c r="U24" s="73">
        <f>INDEX(LUJ_3!$A:$J,MATCH('2018'!$A24,LUJ_3!$A:$A,0),MATCH('2018'!$A$1,LUJ_3!$3:$3,0))</f>
        <v>0.69879172161868786</v>
      </c>
      <c r="V24" s="14">
        <f>INDEX(LUJ_4!$A:$J,MATCH('2018'!$A24,LUJ_4!$A:$A,0),MATCH('2018'!$A$1,LUJ_4!$3:$3,0))</f>
        <v>59</v>
      </c>
      <c r="W24" s="34">
        <f>INDEX(LUJ_5!$A:$J,MATCH('2018'!$A24,LUJ_5!$A:$A,0),MATCH('2018'!$A$1,LUJ_5!$3:$3,0))</f>
        <v>90.8</v>
      </c>
      <c r="X24" s="98">
        <f>1/INDEX(GUL_1!$A:$J,MATCH('2018'!$A24,GUL_1!$A:$A,0),MATCH('2018'!$A$1,GUL_1!$3:$3,0))</f>
        <v>1.3995801259622112E-2</v>
      </c>
      <c r="Y24" s="57" t="e">
        <f>INDEX(GUL_2!$A:$J,MATCH('2018'!$A24,GUL_2!$A:$A,0),MATCH('2018'!$A$1,GUL_2!$3:$3,0))</f>
        <v>#N/A</v>
      </c>
      <c r="Z24" s="57">
        <f>INDEX(GUL_3!$A:$J,MATCH('2018'!$A24,GUL_3!$A:$A,0),MATCH('2018'!$A$1,GUL_3!$3:$3,0))/(B24/1000)</f>
        <v>0.78170080596946523</v>
      </c>
      <c r="AA24" s="101">
        <f>INDEX(GUL_4!$A:$J,MATCH('2018'!$A24,GUL_4!$A:$A,0),MATCH('2018'!$A$1,GUL_4!$3:$3,0))/B24/C24*10^6</f>
        <v>0.36238820957855256</v>
      </c>
      <c r="AB24" s="73">
        <f>INDEX(GUL_5!$A:$J,MATCH('2018'!$A24,GUL_5!$A:$A,0),MATCH('2018'!$A$1,GUL_5!$3:$3,0))</f>
        <v>2.743700876591712E-2</v>
      </c>
      <c r="AC24" s="49" t="e">
        <f>INDEX(GUL_6!$A:$J,MATCH('2018'!$A24,GUL_6!$A:$A,0),MATCH('2018'!$A$1,GUL_6!$3:$3,0))</f>
        <v>#N/A</v>
      </c>
      <c r="AD24" s="49" t="e">
        <f>INDEX(GUL_7!$A:$J,MATCH('2018'!$A24,GUL_7!$A:$A,0),MATCH('2018'!$A$1,GUL_7!$3:$3,0))</f>
        <v>#N/A</v>
      </c>
      <c r="AE24" s="103">
        <f>INDEX(GUL_8!$A:$J,MATCH('2018'!$A24,GUL_8!$A:$A,0),MATCH('2018'!$A$1,GUL_8!$3:$3,0))/(B24/1000)</f>
        <v>2.828913243188631</v>
      </c>
      <c r="AF24" s="41">
        <f>INDEX(DES_1!$A:$J,MATCH('2018'!$A24,DES_1!$A:$A,0),MATCH('2018'!$A$1,DES_1!$3:$3,0))/(B24/1000)</f>
        <v>0.25101917953183361</v>
      </c>
      <c r="AG24" s="100">
        <f>INDEX(DES_2!$A:$J,MATCH('2018'!$A24,DES_2!$A:$A,0),MATCH('2018'!$A$1,DES_2!$3:$3,0))/(B24/1000)</f>
        <v>0.48276925192118203</v>
      </c>
      <c r="AH24" s="57">
        <f>1/INDEX(DES_3!$A:$J,MATCH('2018'!$A24,DES_3!$A:$A,0),MATCH('2018'!$A$1,DES_3!$3:$3,0))</f>
        <v>8.9605734767025103E-3</v>
      </c>
      <c r="AI24" s="80" t="e">
        <f>INDEX(DES_4!$A:$J,MATCH('2018'!$A24,DES_4!$A:$A,0),MATCH('2018'!$A$1,DES_4!$3:$3,0))</f>
        <v>#N/A</v>
      </c>
      <c r="AJ24" s="110" t="e">
        <f>INDEX(DES_5!$A:$J,MATCH('2018'!$A24,DES_5!$A:$A,0),MATCH('2018'!$A$1,DES_5!$3:$3,0))</f>
        <v>#N/A</v>
      </c>
      <c r="AK24" s="57">
        <v>30</v>
      </c>
    </row>
    <row r="25" spans="1:37" x14ac:dyDescent="0.3">
      <c r="A25" s="29" t="s">
        <v>24</v>
      </c>
      <c r="B25" s="33">
        <f>INDEX(Population!$A:$J,MATCH('2018'!$A25,Population!$A:$A,0),MATCH('2018'!$A$1,Population!$3:$3,0))</f>
        <v>3210539</v>
      </c>
      <c r="C25" s="14">
        <f>INDEX(Income!$A:$J,MATCH('2018'!$A25,Income!$A:$A,0),MATCH('2018'!$A$1,Income!$3:$3,0))</f>
        <v>28182</v>
      </c>
      <c r="D25" s="34">
        <f>INDEX(Livable_wage!$A:$J,MATCH('2018'!$A25,Livable_wage!$A:$A,0),MATCH('2018'!$A$1,Livable_wage!$3:$3,0))</f>
        <v>10876</v>
      </c>
      <c r="E25" s="41">
        <f>INDEX(AVA_1!$A:$J,MATCH('2018'!$A25,AVA_1!$A:$A,0),MATCH('2018'!$A$1,AVA_1!$3:$3,0))</f>
        <v>0.38</v>
      </c>
      <c r="F25" s="15">
        <f>INDEX(AVA_2!$A:$J,MATCH('2018'!$A25,AVA_2!$A:$A,0),MATCH('2018'!$A$1,AVA_2!$3:$3,0))</f>
        <v>1.836694436026599E-2</v>
      </c>
      <c r="G25" s="15">
        <f>INDEX(AVA_3!$A:$J,MATCH('2018'!$A25,AVA_3!$A:$A,0),MATCH('2018'!$A$1,AVA_3!$3:$3,0))</f>
        <v>8.2566336393282522E-2</v>
      </c>
      <c r="H25" s="87">
        <f>INDEX(AVA_4!$A:$J,MATCH('2018'!$A25,AVA_4!$A:$A,0),MATCH('2018'!$A$1,AVA_4!$3:$3,0))/(B25/1000)</f>
        <v>0.69957100661290827</v>
      </c>
      <c r="I25" s="89">
        <f>INDEX(AVA_5!$A:$J,MATCH('2018'!$A25,AVA_5!$A:$A,0),MATCH('2018'!$A$1,AVA_5!$3:$3,0))/(B25/1000)</f>
        <v>5.166422211348312</v>
      </c>
      <c r="J25" s="93">
        <f>INDEX(IRA_1!$A:$J,MATCH('2018'!$A25,IRA_1!$A:$A,0),MATCH('2018'!$A$1,IRA_1!$3:$3,0))/(B25/1000)</f>
        <v>4.0180169124249848E-2</v>
      </c>
      <c r="K25" s="88">
        <f>INDEX(IRA_2!$A:$J,MATCH('2018'!$A25,IRA_2!$A:$A,0),MATCH('2018'!$A$1,IRA_2!$3:$3,0))/(B25/1000)</f>
        <v>0.13081915528825533</v>
      </c>
      <c r="L25" s="15">
        <f>INDEX(IRA_3!$A:$J,MATCH('2018'!$A25,IRA_3!$A:$A,0),MATCH('2018'!$A$1,IRA_3!$3:$3,0))</f>
        <v>0.40456545654565457</v>
      </c>
      <c r="M25" s="96">
        <f>INDEX(IRA_4!$A:$J,MATCH('2018'!$A25,IRA_4!$A:$A,0),MATCH('2018'!$A$1,IRA_4!$3:$3,0))/(B25/1000)</f>
        <v>4.1522622836850758</v>
      </c>
      <c r="N25" s="61">
        <f>INDEX(INV_1!$A:$J,MATCH('2018'!$A25,INV_1!$A:$A,0),MATCH('2018'!$A$1,INV_1!$3:$3,0))</f>
        <v>8.016008404790799E-2</v>
      </c>
      <c r="O25" s="80">
        <f>INDEX(INV_2!$A:$J,MATCH('2018'!$A25,INV_2!$A:$A,0),MATCH('2018'!$A$1,INV_2!$3:$3,0))/B25*10^6/C25</f>
        <v>0.40435970331120358</v>
      </c>
      <c r="P25" s="87">
        <f>INDEX(INV_3!$A:$J,MATCH('2018'!$A25,INV_3!$A:$A,0),MATCH('2018'!$A$1,INV_3!$3:$3,0))/B25*10^6/C25</f>
        <v>3.3028729926103457</v>
      </c>
      <c r="Q25" s="87">
        <f>INDEX(INV_4!$A:$J,MATCH('2018'!$A25,INV_4!$A:$A,0),MATCH('2018'!$A$1,INV_4!$3:$3,0))/B25*10^3/C25</f>
        <v>0.28207470818340524</v>
      </c>
      <c r="R25" s="34">
        <f>INDEX(INV_5!$A:$J,MATCH('2018'!$A25,INV_5!$A:$A,0),MATCH('2018'!$A$1,INV_5!$3:$3,0))</f>
        <v>0.1232</v>
      </c>
      <c r="S25" s="77">
        <f>INDEX(LUJ_1!$A:$J,MATCH('2018'!$A25,LUJ_1!$A:$A,0),MATCH('2018'!$A$1,LUJ_1!$3:$3,0))</f>
        <v>0.72037228541882115</v>
      </c>
      <c r="T25" s="73">
        <f>INDEX(LUJ_2!$A:$J,MATCH('2018'!$A25,LUJ_2!$A:$A,0),MATCH('2018'!$A$1,LUJ_2!$3:$3,0))</f>
        <v>0.1782115297321834</v>
      </c>
      <c r="U25" s="73">
        <f>INDEX(LUJ_3!$A:$J,MATCH('2018'!$A25,LUJ_3!$A:$A,0),MATCH('2018'!$A$1,LUJ_3!$3:$3,0))</f>
        <v>0.38647280571124398</v>
      </c>
      <c r="V25" s="14">
        <f>INDEX(LUJ_4!$A:$J,MATCH('2018'!$A25,LUJ_4!$A:$A,0),MATCH('2018'!$A$1,LUJ_4!$3:$3,0))</f>
        <v>40</v>
      </c>
      <c r="W25" s="34">
        <f>INDEX(LUJ_5!$A:$J,MATCH('2018'!$A25,LUJ_5!$A:$A,0),MATCH('2018'!$A$1,LUJ_5!$3:$3,0))</f>
        <v>99.3</v>
      </c>
      <c r="X25" s="98">
        <f>1/INDEX(GUL_1!$A:$J,MATCH('2018'!$A25,GUL_1!$A:$A,0),MATCH('2018'!$A$1,GUL_1!$3:$3,0))</f>
        <v>1.3829345871940256E-2</v>
      </c>
      <c r="Y25" s="57" t="e">
        <f>INDEX(GUL_2!$A:$J,MATCH('2018'!$A25,GUL_2!$A:$A,0),MATCH('2018'!$A$1,GUL_2!$3:$3,0))</f>
        <v>#N/A</v>
      </c>
      <c r="Z25" s="57">
        <f>INDEX(GUL_3!$A:$J,MATCH('2018'!$A25,GUL_3!$A:$A,0),MATCH('2018'!$A$1,GUL_3!$3:$3,0))/(B25/1000)</f>
        <v>0.64630892195983292</v>
      </c>
      <c r="AA25" s="101">
        <f>INDEX(GUL_4!$A:$J,MATCH('2018'!$A25,GUL_4!$A:$A,0),MATCH('2018'!$A$1,GUL_4!$3:$3,0))/B25/C25*10^6</f>
        <v>0.29278594954705134</v>
      </c>
      <c r="AB25" s="73">
        <f>INDEX(GUL_5!$A:$J,MATCH('2018'!$A25,GUL_5!$A:$A,0),MATCH('2018'!$A$1,GUL_5!$3:$3,0))</f>
        <v>2.63179079958628E-2</v>
      </c>
      <c r="AC25" s="49" t="e">
        <f>INDEX(GUL_6!$A:$J,MATCH('2018'!$A25,GUL_6!$A:$A,0),MATCH('2018'!$A$1,GUL_6!$3:$3,0))</f>
        <v>#N/A</v>
      </c>
      <c r="AD25" s="49" t="e">
        <f>INDEX(GUL_7!$A:$J,MATCH('2018'!$A25,GUL_7!$A:$A,0),MATCH('2018'!$A$1,GUL_7!$3:$3,0))</f>
        <v>#N/A</v>
      </c>
      <c r="AE25" s="103">
        <f>INDEX(GUL_8!$A:$J,MATCH('2018'!$A25,GUL_8!$A:$A,0),MATCH('2018'!$A$1,GUL_8!$3:$3,0))/(B25/1000)</f>
        <v>1.8847302586886501</v>
      </c>
      <c r="AF25" s="41">
        <f>INDEX(DES_1!$A:$J,MATCH('2018'!$A25,DES_1!$A:$A,0),MATCH('2018'!$A$1,DES_1!$3:$3,0))/(B25/1000)</f>
        <v>3.9245746586476601E-2</v>
      </c>
      <c r="AG25" s="100">
        <f>INDEX(DES_2!$A:$J,MATCH('2018'!$A25,DES_2!$A:$A,0),MATCH('2018'!$A$1,DES_2!$3:$3,0))/(B25/1000)</f>
        <v>0.53012905309669178</v>
      </c>
      <c r="AH25" s="57">
        <f>1/INDEX(DES_3!$A:$J,MATCH('2018'!$A25,DES_3!$A:$A,0),MATCH('2018'!$A$1,DES_3!$3:$3,0))</f>
        <v>8.8573959255978732E-3</v>
      </c>
      <c r="AI25" s="80" t="e">
        <f>INDEX(DES_4!$A:$J,MATCH('2018'!$A25,DES_4!$A:$A,0),MATCH('2018'!$A$1,DES_4!$3:$3,0))</f>
        <v>#N/A</v>
      </c>
      <c r="AJ25" s="110" t="e">
        <f>INDEX(DES_5!$A:$J,MATCH('2018'!$A25,DES_5!$A:$A,0),MATCH('2018'!$A$1,DES_5!$3:$3,0))</f>
        <v>#N/A</v>
      </c>
      <c r="AK25" s="57">
        <v>31</v>
      </c>
    </row>
    <row r="26" spans="1:37" x14ac:dyDescent="0.3">
      <c r="A26" s="29" t="s">
        <v>25</v>
      </c>
      <c r="B26" s="33">
        <f>INDEX(Population!$A:$J,MATCH('2018'!$A26,Population!$A:$A,0),MATCH('2018'!$A$1,Population!$3:$3,0))</f>
        <v>994240</v>
      </c>
      <c r="C26" s="14">
        <f>INDEX(Income!$A:$J,MATCH('2018'!$A26,Income!$A:$A,0),MATCH('2018'!$A$1,Income!$3:$3,0))</f>
        <v>23770</v>
      </c>
      <c r="D26" s="34">
        <f>INDEX(Livable_wage!$A:$J,MATCH('2018'!$A26,Livable_wage!$A:$A,0),MATCH('2018'!$A$1,Livable_wage!$3:$3,0))</f>
        <v>10047</v>
      </c>
      <c r="E26" s="41">
        <f>INDEX(AVA_1!$A:$J,MATCH('2018'!$A26,AVA_1!$A:$A,0),MATCH('2018'!$A$1,AVA_1!$3:$3,0))</f>
        <v>0.36499999999999999</v>
      </c>
      <c r="F26" s="15">
        <f>INDEX(AVA_2!$A:$J,MATCH('2018'!$A26,AVA_2!$A:$A,0),MATCH('2018'!$A$1,AVA_2!$3:$3,0))</f>
        <v>1.2885494118366861E-2</v>
      </c>
      <c r="G26" s="15">
        <f>INDEX(AVA_3!$A:$J,MATCH('2018'!$A26,AVA_3!$A:$A,0),MATCH('2018'!$A$1,AVA_3!$3:$3,0))</f>
        <v>4.333857284880417E-3</v>
      </c>
      <c r="H26" s="87">
        <f>INDEX(AVA_4!$A:$J,MATCH('2018'!$A26,AVA_4!$A:$A,0),MATCH('2018'!$A$1,AVA_4!$3:$3,0))/(B26/1000)</f>
        <v>0.91024299967814615</v>
      </c>
      <c r="I26" s="89">
        <f>INDEX(AVA_5!$A:$J,MATCH('2018'!$A26,AVA_5!$A:$A,0),MATCH('2018'!$A$1,AVA_5!$3:$3,0))/(B26/1000)</f>
        <v>3.4780334728033471</v>
      </c>
      <c r="J26" s="93">
        <f>INDEX(IRA_1!$A:$J,MATCH('2018'!$A26,IRA_1!$A:$A,0),MATCH('2018'!$A$1,IRA_1!$3:$3,0))/(B26/1000)</f>
        <v>4.9283875120695202E-2</v>
      </c>
      <c r="K26" s="88">
        <f>INDEX(IRA_2!$A:$J,MATCH('2018'!$A26,IRA_2!$A:$A,0),MATCH('2018'!$A$1,IRA_2!$3:$3,0))/(B26/1000)</f>
        <v>0.14885741873189573</v>
      </c>
      <c r="L26" s="15">
        <f>INDEX(IRA_3!$A:$J,MATCH('2018'!$A26,IRA_3!$A:$A,0),MATCH('2018'!$A$1,IRA_3!$3:$3,0))</f>
        <v>0.4186574295269947</v>
      </c>
      <c r="M26" s="96">
        <f>INDEX(IRA_4!$A:$J,MATCH('2018'!$A26,IRA_4!$A:$A,0),MATCH('2018'!$A$1,IRA_4!$3:$3,0))/(B26/1000)</f>
        <v>4.1730366913421308</v>
      </c>
      <c r="N26" s="61">
        <f>INDEX(INV_1!$A:$J,MATCH('2018'!$A26,INV_1!$A:$A,0),MATCH('2018'!$A$1,INV_1!$3:$3,0))</f>
        <v>8.5574114910697288E-2</v>
      </c>
      <c r="O26" s="80">
        <f>INDEX(INV_2!$A:$J,MATCH('2018'!$A26,INV_2!$A:$A,0),MATCH('2018'!$A$1,INV_2!$3:$3,0))/B26*10^6/C26</f>
        <v>0.60507744845903477</v>
      </c>
      <c r="P26" s="87">
        <f>INDEX(INV_3!$A:$J,MATCH('2018'!$A26,INV_3!$A:$A,0),MATCH('2018'!$A$1,INV_3!$3:$3,0))/B26*10^6/C26</f>
        <v>3.7379800710569953</v>
      </c>
      <c r="Q26" s="87">
        <f>INDEX(INV_4!$A:$J,MATCH('2018'!$A26,INV_4!$A:$A,0),MATCH('2018'!$A$1,INV_4!$3:$3,0))/B26*10^3/C26</f>
        <v>0.28576112501403117</v>
      </c>
      <c r="R26" s="34">
        <f>INDEX(INV_5!$A:$J,MATCH('2018'!$A26,INV_5!$A:$A,0),MATCH('2018'!$A$1,INV_5!$3:$3,0))</f>
        <v>9.0700000000000003E-2</v>
      </c>
      <c r="S26" s="77">
        <f>INDEX(LUJ_1!$A:$J,MATCH('2018'!$A26,LUJ_1!$A:$A,0),MATCH('2018'!$A$1,LUJ_1!$3:$3,0))</f>
        <v>0.72933262524340592</v>
      </c>
      <c r="T26" s="73">
        <f>INDEX(LUJ_2!$A:$J,MATCH('2018'!$A26,LUJ_2!$A:$A,0),MATCH('2018'!$A$1,LUJ_2!$3:$3,0))</f>
        <v>0.2127153891859774</v>
      </c>
      <c r="U26" s="73">
        <f>INDEX(LUJ_3!$A:$J,MATCH('2018'!$A26,LUJ_3!$A:$A,0),MATCH('2018'!$A$1,LUJ_3!$3:$3,0))</f>
        <v>0.34793311263899501</v>
      </c>
      <c r="V26" s="14">
        <f>INDEX(LUJ_4!$A:$J,MATCH('2018'!$A26,LUJ_4!$A:$A,0),MATCH('2018'!$A$1,LUJ_4!$3:$3,0))</f>
        <v>39</v>
      </c>
      <c r="W26" s="34">
        <f>INDEX(LUJ_5!$A:$J,MATCH('2018'!$A26,LUJ_5!$A:$A,0),MATCH('2018'!$A$1,LUJ_5!$3:$3,0))</f>
        <v>23</v>
      </c>
      <c r="X26" s="98">
        <f>1/INDEX(GUL_1!$A:$J,MATCH('2018'!$A26,GUL_1!$A:$A,0),MATCH('2018'!$A$1,GUL_1!$3:$3,0))</f>
        <v>1.3609145345672291E-2</v>
      </c>
      <c r="Y26" s="57" t="e">
        <f>INDEX(GUL_2!$A:$J,MATCH('2018'!$A26,GUL_2!$A:$A,0),MATCH('2018'!$A$1,GUL_2!$3:$3,0))</f>
        <v>#N/A</v>
      </c>
      <c r="Z26" s="57">
        <f>INDEX(GUL_3!$A:$J,MATCH('2018'!$A26,GUL_3!$A:$A,0),MATCH('2018'!$A$1,GUL_3!$3:$3,0))/(B26/1000)</f>
        <v>0.62660926939169614</v>
      </c>
      <c r="AA26" s="101">
        <f>INDEX(GUL_4!$A:$J,MATCH('2018'!$A26,GUL_4!$A:$A,0),MATCH('2018'!$A$1,GUL_4!$3:$3,0))/B26/C26*10^6</f>
        <v>0.40566392754618302</v>
      </c>
      <c r="AB26" s="73">
        <f>INDEX(GUL_5!$A:$J,MATCH('2018'!$A26,GUL_5!$A:$A,0),MATCH('2018'!$A$1,GUL_5!$3:$3,0))</f>
        <v>3.2663429573305092E-2</v>
      </c>
      <c r="AC26" s="49" t="e">
        <f>INDEX(GUL_6!$A:$J,MATCH('2018'!$A26,GUL_6!$A:$A,0),MATCH('2018'!$A$1,GUL_6!$3:$3,0))</f>
        <v>#N/A</v>
      </c>
      <c r="AD26" s="49" t="e">
        <f>INDEX(GUL_7!$A:$J,MATCH('2018'!$A26,GUL_7!$A:$A,0),MATCH('2018'!$A$1,GUL_7!$3:$3,0))</f>
        <v>#N/A</v>
      </c>
      <c r="AE26" s="103">
        <f>INDEX(GUL_8!$A:$J,MATCH('2018'!$A26,GUL_8!$A:$A,0),MATCH('2018'!$A$1,GUL_8!$3:$3,0))/(B26/1000)</f>
        <v>2.5024139040875442</v>
      </c>
      <c r="AF26" s="41">
        <f>INDEX(DES_1!$A:$J,MATCH('2018'!$A26,DES_1!$A:$A,0),MATCH('2018'!$A$1,DES_1!$3:$3,0))/(B26/1000)</f>
        <v>1.1063727067911169E-2</v>
      </c>
      <c r="AG26" s="100">
        <f>INDEX(DES_2!$A:$J,MATCH('2018'!$A26,DES_2!$A:$A,0),MATCH('2018'!$A$1,DES_2!$3:$3,0))/(B26/1000)</f>
        <v>1.0148455101383971</v>
      </c>
      <c r="AH26" s="57">
        <f>1/INDEX(DES_3!$A:$J,MATCH('2018'!$A26,DES_3!$A:$A,0),MATCH('2018'!$A$1,DES_3!$3:$3,0))</f>
        <v>6.313131313131313E-3</v>
      </c>
      <c r="AI26" s="80" t="e">
        <f>INDEX(DES_4!$A:$J,MATCH('2018'!$A26,DES_4!$A:$A,0),MATCH('2018'!$A$1,DES_4!$3:$3,0))</f>
        <v>#N/A</v>
      </c>
      <c r="AJ26" s="110" t="e">
        <f>INDEX(DES_5!$A:$J,MATCH('2018'!$A26,DES_5!$A:$A,0),MATCH('2018'!$A$1,DES_5!$3:$3,0))</f>
        <v>#N/A</v>
      </c>
      <c r="AK26" s="57">
        <v>33</v>
      </c>
    </row>
    <row r="27" spans="1:37" x14ac:dyDescent="0.3">
      <c r="A27" s="29" t="s">
        <v>26</v>
      </c>
      <c r="B27" s="33">
        <f>INDEX(Population!$A:$J,MATCH('2018'!$A27,Population!$A:$A,0),MATCH('2018'!$A$1,Population!$3:$3,0))</f>
        <v>474576</v>
      </c>
      <c r="C27" s="14">
        <f>INDEX(Income!$A:$J,MATCH('2018'!$A27,Income!$A:$A,0),MATCH('2018'!$A$1,Income!$3:$3,0))</f>
        <v>27590</v>
      </c>
      <c r="D27" s="34">
        <f>INDEX(Livable_wage!$A:$J,MATCH('2018'!$A27,Livable_wage!$A:$A,0),MATCH('2018'!$A$1,Livable_wage!$3:$3,0))</f>
        <v>9634</v>
      </c>
      <c r="E27" s="41">
        <f>INDEX(AVA_1!$A:$J,MATCH('2018'!$A27,AVA_1!$A:$A,0),MATCH('2018'!$A$1,AVA_1!$3:$3,0))</f>
        <v>0.40300000000000002</v>
      </c>
      <c r="F27" s="15">
        <f>INDEX(AVA_2!$A:$J,MATCH('2018'!$A27,AVA_2!$A:$A,0),MATCH('2018'!$A$1,AVA_2!$3:$3,0))</f>
        <v>8.0079670404627438E-3</v>
      </c>
      <c r="G27" s="15">
        <f>INDEX(AVA_3!$A:$J,MATCH('2018'!$A27,AVA_3!$A:$A,0),MATCH('2018'!$A$1,AVA_3!$3:$3,0))</f>
        <v>2.0696092354052387E-2</v>
      </c>
      <c r="H27" s="87">
        <f>INDEX(AVA_4!$A:$J,MATCH('2018'!$A27,AVA_4!$A:$A,0),MATCH('2018'!$A$1,AVA_4!$3:$3,0))/(B27/1000)</f>
        <v>0.6426789386736792</v>
      </c>
      <c r="I27" s="89">
        <f>INDEX(AVA_5!$A:$J,MATCH('2018'!$A27,AVA_5!$A:$A,0),MATCH('2018'!$A$1,AVA_5!$3:$3,0))/(B27/1000)</f>
        <v>2.7835373048784597</v>
      </c>
      <c r="J27" s="93">
        <f>INDEX(IRA_1!$A:$J,MATCH('2018'!$A27,IRA_1!$A:$A,0),MATCH('2018'!$A$1,IRA_1!$3:$3,0))/(B27/1000)</f>
        <v>3.3714304979602844E-2</v>
      </c>
      <c r="K27" s="88">
        <f>INDEX(IRA_2!$A:$J,MATCH('2018'!$A27,IRA_2!$A:$A,0),MATCH('2018'!$A$1,IRA_2!$3:$3,0))/(B27/1000)</f>
        <v>8.6392906510232292E-2</v>
      </c>
      <c r="L27" s="15">
        <f>INDEX(IRA_3!$A:$J,MATCH('2018'!$A27,IRA_3!$A:$A,0),MATCH('2018'!$A$1,IRA_3!$3:$3,0))</f>
        <v>0.48585999072786279</v>
      </c>
      <c r="M27" s="96">
        <f>INDEX(IRA_4!$A:$J,MATCH('2018'!$A27,IRA_4!$A:$A,0),MATCH('2018'!$A$1,IRA_4!$3:$3,0))/(B27/1000)</f>
        <v>3.329287616735781</v>
      </c>
      <c r="N27" s="61">
        <f>INDEX(INV_1!$A:$J,MATCH('2018'!$A27,INV_1!$A:$A,0),MATCH('2018'!$A$1,INV_1!$3:$3,0))</f>
        <v>7.2707966523760478E-2</v>
      </c>
      <c r="O27" s="80">
        <f>INDEX(INV_2!$A:$J,MATCH('2018'!$A27,INV_2!$A:$A,0),MATCH('2018'!$A$1,INV_2!$3:$3,0))/B27*10^6/C27</f>
        <v>0.40038047460772103</v>
      </c>
      <c r="P27" s="87">
        <f>INDEX(INV_3!$A:$J,MATCH('2018'!$A27,INV_3!$A:$A,0),MATCH('2018'!$A$1,INV_3!$3:$3,0))/B27*10^6/C27</f>
        <v>2.749674071630666</v>
      </c>
      <c r="Q27" s="87">
        <f>INDEX(INV_4!$A:$J,MATCH('2018'!$A27,INV_4!$A:$A,0),MATCH('2018'!$A$1,INV_4!$3:$3,0))/B27*10^3/C27</f>
        <v>0.19373295580888003</v>
      </c>
      <c r="R27" s="34">
        <f>INDEX(INV_5!$A:$J,MATCH('2018'!$A27,INV_5!$A:$A,0),MATCH('2018'!$A$1,INV_5!$3:$3,0))</f>
        <v>0.20230000000000001</v>
      </c>
      <c r="S27" s="77">
        <f>INDEX(LUJ_1!$A:$J,MATCH('2018'!$A27,LUJ_1!$A:$A,0),MATCH('2018'!$A$1,LUJ_1!$3:$3,0))</f>
        <v>0.7987236131566029</v>
      </c>
      <c r="T27" s="73">
        <f>INDEX(LUJ_2!$A:$J,MATCH('2018'!$A27,LUJ_2!$A:$A,0),MATCH('2018'!$A$1,LUJ_2!$3:$3,0))</f>
        <v>0.17543859649122806</v>
      </c>
      <c r="U27" s="73">
        <f>INDEX(LUJ_3!$A:$J,MATCH('2018'!$A27,LUJ_3!$A:$A,0),MATCH('2018'!$A$1,LUJ_3!$3:$3,0))</f>
        <v>0.3268939082698385</v>
      </c>
      <c r="V27" s="14">
        <f>INDEX(LUJ_4!$A:$J,MATCH('2018'!$A27,LUJ_4!$A:$A,0),MATCH('2018'!$A$1,LUJ_4!$3:$3,0))</f>
        <v>6</v>
      </c>
      <c r="W27" s="34">
        <f>INDEX(LUJ_5!$A:$J,MATCH('2018'!$A27,LUJ_5!$A:$A,0),MATCH('2018'!$A$1,LUJ_5!$3:$3,0))</f>
        <v>21.4</v>
      </c>
      <c r="X27" s="98">
        <f>1/INDEX(GUL_1!$A:$J,MATCH('2018'!$A27,GUL_1!$A:$A,0),MATCH('2018'!$A$1,GUL_1!$3:$3,0))</f>
        <v>1.3594344752582924E-2</v>
      </c>
      <c r="Y27" s="57" t="e">
        <f>INDEX(GUL_2!$A:$J,MATCH('2018'!$A27,GUL_2!$A:$A,0),MATCH('2018'!$A$1,GUL_2!$3:$3,0))</f>
        <v>#N/A</v>
      </c>
      <c r="Z27" s="57">
        <f>INDEX(GUL_3!$A:$J,MATCH('2018'!$A27,GUL_3!$A:$A,0),MATCH('2018'!$A$1,GUL_3!$3:$3,0))/(B27/1000)</f>
        <v>0.55417888810222171</v>
      </c>
      <c r="AA27" s="101">
        <f>INDEX(GUL_4!$A:$J,MATCH('2018'!$A27,GUL_4!$A:$A,0),MATCH('2018'!$A$1,GUL_4!$3:$3,0))/B27/C27*10^6</f>
        <v>0.24612038348182844</v>
      </c>
      <c r="AB27" s="73">
        <f>INDEX(GUL_5!$A:$J,MATCH('2018'!$A27,GUL_5!$A:$A,0),MATCH('2018'!$A$1,GUL_5!$3:$3,0))</f>
        <v>1.8392451542323891E-2</v>
      </c>
      <c r="AC27" s="49" t="e">
        <f>INDEX(GUL_6!$A:$J,MATCH('2018'!$A27,GUL_6!$A:$A,0),MATCH('2018'!$A$1,GUL_6!$3:$3,0))</f>
        <v>#N/A</v>
      </c>
      <c r="AD27" s="49" t="e">
        <f>INDEX(GUL_7!$A:$J,MATCH('2018'!$A27,GUL_7!$A:$A,0),MATCH('2018'!$A$1,GUL_7!$3:$3,0))</f>
        <v>#N/A</v>
      </c>
      <c r="AE27" s="103">
        <f>INDEX(GUL_8!$A:$J,MATCH('2018'!$A27,GUL_8!$A:$A,0),MATCH('2018'!$A$1,GUL_8!$3:$3,0))/(B27/1000)</f>
        <v>1.3485721991841138</v>
      </c>
      <c r="AF27" s="41">
        <f>INDEX(DES_1!$A:$J,MATCH('2018'!$A27,DES_1!$A:$A,0),MATCH('2018'!$A$1,DES_1!$3:$3,0))/(B27/1000)</f>
        <v>0.16014294865311351</v>
      </c>
      <c r="AG27" s="100">
        <f>INDEX(DES_2!$A:$J,MATCH('2018'!$A27,DES_2!$A:$A,0),MATCH('2018'!$A$1,DES_2!$3:$3,0))/(B27/1000)</f>
        <v>0.45725026128586355</v>
      </c>
      <c r="AH27" s="57">
        <f>1/INDEX(DES_3!$A:$J,MATCH('2018'!$A27,DES_3!$A:$A,0),MATCH('2018'!$A$1,DES_3!$3:$3,0))</f>
        <v>7.9365079365079361E-3</v>
      </c>
      <c r="AI27" s="80" t="e">
        <f>INDEX(DES_4!$A:$J,MATCH('2018'!$A27,DES_4!$A:$A,0),MATCH('2018'!$A$1,DES_4!$3:$3,0))</f>
        <v>#N/A</v>
      </c>
      <c r="AJ27" s="110" t="e">
        <f>INDEX(DES_5!$A:$J,MATCH('2018'!$A27,DES_5!$A:$A,0),MATCH('2018'!$A$1,DES_5!$3:$3,0))</f>
        <v>#N/A</v>
      </c>
      <c r="AK27" s="57">
        <v>37</v>
      </c>
    </row>
    <row r="28" spans="1:37" x14ac:dyDescent="0.3">
      <c r="A28" s="29" t="s">
        <v>27</v>
      </c>
      <c r="B28" s="33">
        <f>INDEX(Population!$A:$J,MATCH('2018'!$A28,Population!$A:$A,0),MATCH('2018'!$A$1,Population!$3:$3,0))</f>
        <v>273108</v>
      </c>
      <c r="C28" s="14">
        <f>INDEX(Income!$A:$J,MATCH('2018'!$A28,Income!$A:$A,0),MATCH('2018'!$A$1,Income!$3:$3,0))</f>
        <v>17082</v>
      </c>
      <c r="D28" s="34">
        <f>INDEX(Livable_wage!$A:$J,MATCH('2018'!$A28,Livable_wage!$A:$A,0),MATCH('2018'!$A$1,Livable_wage!$3:$3,0))</f>
        <v>9548</v>
      </c>
      <c r="E28" s="41">
        <f>INDEX(AVA_1!$A:$J,MATCH('2018'!$A28,AVA_1!$A:$A,0),MATCH('2018'!$A$1,AVA_1!$3:$3,0))</f>
        <v>0.34</v>
      </c>
      <c r="F28" s="15">
        <f>INDEX(AVA_2!$A:$J,MATCH('2018'!$A28,AVA_2!$A:$A,0),MATCH('2018'!$A$1,AVA_2!$3:$3,0))</f>
        <v>8.5407683936467704E-3</v>
      </c>
      <c r="G28" s="15">
        <f>INDEX(AVA_3!$A:$J,MATCH('2018'!$A28,AVA_3!$A:$A,0),MATCH('2018'!$A$1,AVA_3!$3:$3,0))</f>
        <v>1.1927456292847931E-2</v>
      </c>
      <c r="H28" s="87">
        <f>INDEX(AVA_4!$A:$J,MATCH('2018'!$A28,AVA_4!$A:$A,0),MATCH('2018'!$A$1,AVA_4!$3:$3,0))/(B28/1000)</f>
        <v>0.71400325146096044</v>
      </c>
      <c r="I28" s="89">
        <f>INDEX(AVA_5!$A:$J,MATCH('2018'!$A28,AVA_5!$A:$A,0),MATCH('2018'!$A$1,AVA_5!$3:$3,0))/(B28/1000)</f>
        <v>2.0468093208547535</v>
      </c>
      <c r="J28" s="93">
        <f>INDEX(IRA_1!$A:$J,MATCH('2018'!$A28,IRA_1!$A:$A,0),MATCH('2018'!$A$1,IRA_1!$3:$3,0))/(B28/1000)</f>
        <v>6.9569547578247432E-2</v>
      </c>
      <c r="K28" s="88">
        <f>INDEX(IRA_2!$A:$J,MATCH('2018'!$A28,IRA_2!$A:$A,0),MATCH('2018'!$A$1,IRA_2!$3:$3,0))/(B28/1000)</f>
        <v>0.1537853156992838</v>
      </c>
      <c r="L28" s="15">
        <f>INDEX(IRA_3!$A:$J,MATCH('2018'!$A28,IRA_3!$A:$A,0),MATCH('2018'!$A$1,IRA_3!$3:$3,0))</f>
        <v>0.41179540709812112</v>
      </c>
      <c r="M28" s="96">
        <f>INDEX(IRA_4!$A:$J,MATCH('2018'!$A28,IRA_4!$A:$A,0),MATCH('2018'!$A$1,IRA_4!$3:$3,0))/(B28/1000)</f>
        <v>2.1969330814183401</v>
      </c>
      <c r="N28" s="61">
        <f>INDEX(INV_1!$A:$J,MATCH('2018'!$A28,INV_1!$A:$A,0),MATCH('2018'!$A$1,INV_1!$3:$3,0))</f>
        <v>0.12485632036512773</v>
      </c>
      <c r="O28" s="80">
        <f>INDEX(INV_2!$A:$J,MATCH('2018'!$A28,INV_2!$A:$A,0),MATCH('2018'!$A$1,INV_2!$3:$3,0))/B28*10^6/C28</f>
        <v>0.21648341725706874</v>
      </c>
      <c r="P28" s="87">
        <f>INDEX(INV_3!$A:$J,MATCH('2018'!$A28,INV_3!$A:$A,0),MATCH('2018'!$A$1,INV_3!$3:$3,0))/B28*10^6/C28</f>
        <v>6.1441761157724795</v>
      </c>
      <c r="Q28" s="87">
        <f>INDEX(INV_4!$A:$J,MATCH('2018'!$A28,INV_4!$A:$A,0),MATCH('2018'!$A$1,INV_4!$3:$3,0))/B28*10^3/C28</f>
        <v>0.32787387102885956</v>
      </c>
      <c r="R28" s="34">
        <f>INDEX(INV_5!$A:$J,MATCH('2018'!$A28,INV_5!$A:$A,0),MATCH('2018'!$A$1,INV_5!$3:$3,0))</f>
        <v>6.7500000000000004E-2</v>
      </c>
      <c r="S28" s="77">
        <f>INDEX(LUJ_1!$A:$J,MATCH('2018'!$A28,LUJ_1!$A:$A,0),MATCH('2018'!$A$1,LUJ_1!$3:$3,0))</f>
        <v>0.77871362940275646</v>
      </c>
      <c r="T28" s="73">
        <f>INDEX(LUJ_2!$A:$J,MATCH('2018'!$A28,LUJ_2!$A:$A,0),MATCH('2018'!$A$1,LUJ_2!$3:$3,0))</f>
        <v>0.19449901768172889</v>
      </c>
      <c r="U28" s="73">
        <f>INDEX(LUJ_3!$A:$J,MATCH('2018'!$A28,LUJ_3!$A:$A,0),MATCH('2018'!$A$1,LUJ_3!$3:$3,0))</f>
        <v>0.23542894564505568</v>
      </c>
      <c r="V28" s="14">
        <f>INDEX(LUJ_4!$A:$J,MATCH('2018'!$A28,LUJ_4!$A:$A,0),MATCH('2018'!$A$1,LUJ_4!$3:$3,0))</f>
        <v>9</v>
      </c>
      <c r="W28" s="34">
        <f>INDEX(LUJ_5!$A:$J,MATCH('2018'!$A28,LUJ_5!$A:$A,0),MATCH('2018'!$A$1,LUJ_5!$3:$3,0))</f>
        <v>8.4</v>
      </c>
      <c r="X28" s="98">
        <f>1/INDEX(GUL_1!$A:$J,MATCH('2018'!$A28,GUL_1!$A:$A,0),MATCH('2018'!$A$1,GUL_1!$3:$3,0))</f>
        <v>1.3542795232936078E-2</v>
      </c>
      <c r="Y28" s="57" t="e">
        <f>INDEX(GUL_2!$A:$J,MATCH('2018'!$A28,GUL_2!$A:$A,0),MATCH('2018'!$A$1,GUL_2!$3:$3,0))</f>
        <v>#N/A</v>
      </c>
      <c r="Z28" s="57">
        <f>INDEX(GUL_3!$A:$J,MATCH('2018'!$A28,GUL_3!$A:$A,0),MATCH('2018'!$A$1,GUL_3!$3:$3,0))/(B28/1000)</f>
        <v>0.4430481714193652</v>
      </c>
      <c r="AA28" s="101">
        <f>INDEX(GUL_4!$A:$J,MATCH('2018'!$A28,GUL_4!$A:$A,0),MATCH('2018'!$A$1,GUL_4!$3:$3,0))/B28/C28*10^6</f>
        <v>0.12856598494554758</v>
      </c>
      <c r="AB28" s="73">
        <f>INDEX(GUL_5!$A:$J,MATCH('2018'!$A28,GUL_5!$A:$A,0),MATCH('2018'!$A$1,GUL_5!$3:$3,0))</f>
        <v>2.5171921050137231E-2</v>
      </c>
      <c r="AC28" s="49" t="e">
        <f>INDEX(GUL_6!$A:$J,MATCH('2018'!$A28,GUL_6!$A:$A,0),MATCH('2018'!$A$1,GUL_6!$3:$3,0))</f>
        <v>#N/A</v>
      </c>
      <c r="AD28" s="49" t="e">
        <f>INDEX(GUL_7!$A:$J,MATCH('2018'!$A28,GUL_7!$A:$A,0),MATCH('2018'!$A$1,GUL_7!$3:$3,0))</f>
        <v>#N/A</v>
      </c>
      <c r="AE28" s="103">
        <f>INDEX(GUL_8!$A:$J,MATCH('2018'!$A28,GUL_8!$A:$A,0),MATCH('2018'!$A$1,GUL_8!$3:$3,0))/(B28/1000)</f>
        <v>2.3104412906249543</v>
      </c>
      <c r="AF28" s="41">
        <f>INDEX(DES_1!$A:$J,MATCH('2018'!$A28,DES_1!$A:$A,0),MATCH('2018'!$A$1,DES_1!$3:$3,0))/(B28/1000)</f>
        <v>0.19040086705625614</v>
      </c>
      <c r="AG28" s="100">
        <f>INDEX(DES_2!$A:$J,MATCH('2018'!$A28,DES_2!$A:$A,0),MATCH('2018'!$A$1,DES_2!$3:$3,0))/(B28/1000)</f>
        <v>1.3144982937153067</v>
      </c>
      <c r="AH28" s="57">
        <f>1/INDEX(DES_3!$A:$J,MATCH('2018'!$A28,DES_3!$A:$A,0),MATCH('2018'!$A$1,DES_3!$3:$3,0))</f>
        <v>9.2081031307550652E-3</v>
      </c>
      <c r="AI28" s="80" t="e">
        <f>INDEX(DES_4!$A:$J,MATCH('2018'!$A28,DES_4!$A:$A,0),MATCH('2018'!$A$1,DES_4!$3:$3,0))</f>
        <v>#N/A</v>
      </c>
      <c r="AJ28" s="110" t="e">
        <f>INDEX(DES_5!$A:$J,MATCH('2018'!$A28,DES_5!$A:$A,0),MATCH('2018'!$A$1,DES_5!$3:$3,0))</f>
        <v>#N/A</v>
      </c>
      <c r="AK28" s="57">
        <v>38</v>
      </c>
    </row>
    <row r="29" spans="1:37" x14ac:dyDescent="0.3">
      <c r="A29" s="29" t="s">
        <v>28</v>
      </c>
      <c r="B29" s="33">
        <f>INDEX(Population!$A:$J,MATCH('2018'!$A29,Population!$A:$A,0),MATCH('2018'!$A$1,Population!$3:$3,0))</f>
        <v>5724891</v>
      </c>
      <c r="C29" s="14">
        <f>INDEX(Income!$A:$J,MATCH('2018'!$A29,Income!$A:$A,0),MATCH('2018'!$A$1,Income!$3:$3,0))</f>
        <v>34861</v>
      </c>
      <c r="D29" s="34">
        <f>INDEX(Livable_wage!$A:$J,MATCH('2018'!$A29,Livable_wage!$A:$A,0),MATCH('2018'!$A$1,Livable_wage!$3:$3,0))</f>
        <v>11075</v>
      </c>
      <c r="E29" s="41">
        <f>INDEX(AVA_1!$A:$J,MATCH('2018'!$A29,AVA_1!$A:$A,0),MATCH('2018'!$A$1,AVA_1!$3:$3,0))</f>
        <v>0.40500000000000003</v>
      </c>
      <c r="F29" s="15">
        <f>INDEX(AVA_2!$A:$J,MATCH('2018'!$A29,AVA_2!$A:$A,0),MATCH('2018'!$A$1,AVA_2!$3:$3,0))</f>
        <v>1.2949721738532708E-2</v>
      </c>
      <c r="G29" s="15">
        <f>INDEX(AVA_3!$A:$J,MATCH('2018'!$A29,AVA_3!$A:$A,0),MATCH('2018'!$A$1,AVA_3!$3:$3,0))</f>
        <v>2.0520680667722131E-2</v>
      </c>
      <c r="H29" s="87">
        <f>INDEX(AVA_4!$A:$J,MATCH('2018'!$A29,AVA_4!$A:$A,0),MATCH('2018'!$A$1,AVA_4!$3:$3,0))/(B29/1000)</f>
        <v>0.70708769826360018</v>
      </c>
      <c r="I29" s="89">
        <f>INDEX(AVA_5!$A:$J,MATCH('2018'!$A29,AVA_5!$A:$A,0),MATCH('2018'!$A$1,AVA_5!$3:$3,0))/(B29/1000)</f>
        <v>4.8959884127051509</v>
      </c>
      <c r="J29" s="93">
        <f>INDEX(IRA_1!$A:$J,MATCH('2018'!$A29,IRA_1!$A:$A,0),MATCH('2018'!$A$1,IRA_1!$3:$3,0))/(B29/1000)</f>
        <v>4.3144926252744381E-2</v>
      </c>
      <c r="K29" s="88">
        <f>INDEX(IRA_2!$A:$J,MATCH('2018'!$A29,IRA_2!$A:$A,0),MATCH('2018'!$A$1,IRA_2!$3:$3,0))/(B29/1000)</f>
        <v>0.11947825731529213</v>
      </c>
      <c r="L29" s="15">
        <f>INDEX(IRA_3!$A:$J,MATCH('2018'!$A29,IRA_3!$A:$A,0),MATCH('2018'!$A$1,IRA_3!$3:$3,0))</f>
        <v>0.48580581399311595</v>
      </c>
      <c r="M29" s="96">
        <f>INDEX(IRA_4!$A:$J,MATCH('2018'!$A29,IRA_4!$A:$A,0),MATCH('2018'!$A$1,IRA_4!$3:$3,0))/(B29/1000)</f>
        <v>5.1045513355625465</v>
      </c>
      <c r="N29" s="61">
        <f>INDEX(INV_1!$A:$J,MATCH('2018'!$A29,INV_1!$A:$A,0),MATCH('2018'!$A$1,INV_1!$3:$3,0))</f>
        <v>8.2368864317235863E-2</v>
      </c>
      <c r="O29" s="80">
        <f>INDEX(INV_2!$A:$J,MATCH('2018'!$A29,INV_2!$A:$A,0),MATCH('2018'!$A$1,INV_2!$3:$3,0))/B29*10^6/C29</f>
        <v>0.43936315632877221</v>
      </c>
      <c r="P29" s="87">
        <f>INDEX(INV_3!$A:$J,MATCH('2018'!$A29,INV_3!$A:$A,0),MATCH('2018'!$A$1,INV_3!$3:$3,0))/B29*10^6/C29</f>
        <v>2.4760964413635067</v>
      </c>
      <c r="Q29" s="87">
        <f>INDEX(INV_4!$A:$J,MATCH('2018'!$A29,INV_4!$A:$A,0),MATCH('2018'!$A$1,INV_4!$3:$3,0))/B29*10^3/C29</f>
        <v>0.319443417704179</v>
      </c>
      <c r="R29" s="34">
        <f>INDEX(INV_5!$A:$J,MATCH('2018'!$A29,INV_5!$A:$A,0),MATCH('2018'!$A$1,INV_5!$3:$3,0))</f>
        <v>0.33</v>
      </c>
      <c r="S29" s="77">
        <f>INDEX(LUJ_1!$A:$J,MATCH('2018'!$A29,LUJ_1!$A:$A,0),MATCH('2018'!$A$1,LUJ_1!$3:$3,0))</f>
        <v>0.55300718829187567</v>
      </c>
      <c r="T29" s="73">
        <f>INDEX(LUJ_2!$A:$J,MATCH('2018'!$A29,LUJ_2!$A:$A,0),MATCH('2018'!$A$1,LUJ_2!$3:$3,0))</f>
        <v>0.18039647235698011</v>
      </c>
      <c r="U29" s="73">
        <f>INDEX(LUJ_3!$A:$J,MATCH('2018'!$A29,LUJ_3!$A:$A,0),MATCH('2018'!$A$1,LUJ_3!$3:$3,0))</f>
        <v>0.26804507199429628</v>
      </c>
      <c r="V29" s="14">
        <f>INDEX(LUJ_4!$A:$J,MATCH('2018'!$A29,LUJ_4!$A:$A,0),MATCH('2018'!$A$1,LUJ_4!$3:$3,0))</f>
        <v>91</v>
      </c>
      <c r="W29" s="34">
        <f>INDEX(LUJ_5!$A:$J,MATCH('2018'!$A29,LUJ_5!$A:$A,0),MATCH('2018'!$A$1,LUJ_5!$3:$3,0))</f>
        <v>41.8</v>
      </c>
      <c r="X29" s="98">
        <f>1/INDEX(GUL_1!$A:$J,MATCH('2018'!$A29,GUL_1!$A:$A,0),MATCH('2018'!$A$1,GUL_1!$3:$3,0))</f>
        <v>1.3458950201884253E-2</v>
      </c>
      <c r="Y29" s="57" t="e">
        <f>INDEX(GUL_2!$A:$J,MATCH('2018'!$A29,GUL_2!$A:$A,0),MATCH('2018'!$A$1,GUL_2!$3:$3,0))</f>
        <v>#N/A</v>
      </c>
      <c r="Z29" s="57">
        <f>INDEX(GUL_3!$A:$J,MATCH('2018'!$A29,GUL_3!$A:$A,0),MATCH('2018'!$A$1,GUL_3!$3:$3,0))/(B29/1000)</f>
        <v>0.54114567421458337</v>
      </c>
      <c r="AA29" s="101">
        <f>INDEX(GUL_4!$A:$J,MATCH('2018'!$A29,GUL_4!$A:$A,0),MATCH('2018'!$A$1,GUL_4!$3:$3,0))/B29/C29*10^6</f>
        <v>0.38426319243452073</v>
      </c>
      <c r="AB29" s="73">
        <f>INDEX(GUL_5!$A:$J,MATCH('2018'!$A29,GUL_5!$A:$A,0),MATCH('2018'!$A$1,GUL_5!$3:$3,0))</f>
        <v>3.2005697354939966E-2</v>
      </c>
      <c r="AC29" s="49" t="e">
        <f>INDEX(GUL_6!$A:$J,MATCH('2018'!$A29,GUL_6!$A:$A,0),MATCH('2018'!$A$1,GUL_6!$3:$3,0))</f>
        <v>#N/A</v>
      </c>
      <c r="AD29" s="49" t="e">
        <f>INDEX(GUL_7!$A:$J,MATCH('2018'!$A29,GUL_7!$A:$A,0),MATCH('2018'!$A$1,GUL_7!$3:$3,0))</f>
        <v>#N/A</v>
      </c>
      <c r="AE29" s="103">
        <f>INDEX(GUL_8!$A:$J,MATCH('2018'!$A29,GUL_8!$A:$A,0),MATCH('2018'!$A$1,GUL_8!$3:$3,0))/(B29/1000)</f>
        <v>1.1011563364263182</v>
      </c>
      <c r="AF29" s="41">
        <f>INDEX(DES_1!$A:$J,MATCH('2018'!$A29,DES_1!$A:$A,0),MATCH('2018'!$A$1,DES_1!$3:$3,0))/(B29/1000)</f>
        <v>7.5459951988605556E-2</v>
      </c>
      <c r="AG29" s="100">
        <f>INDEX(DES_2!$A:$J,MATCH('2018'!$A29,DES_2!$A:$A,0),MATCH('2018'!$A$1,DES_2!$3:$3,0))/(B29/1000)</f>
        <v>0.82883674117114203</v>
      </c>
      <c r="AH29" s="57">
        <f>1/INDEX(DES_3!$A:$J,MATCH('2018'!$A29,DES_3!$A:$A,0),MATCH('2018'!$A$1,DES_3!$3:$3,0))</f>
        <v>9.2336103416435829E-3</v>
      </c>
      <c r="AI29" s="80" t="e">
        <f>INDEX(DES_4!$A:$J,MATCH('2018'!$A29,DES_4!$A:$A,0),MATCH('2018'!$A$1,DES_4!$3:$3,0))</f>
        <v>#N/A</v>
      </c>
      <c r="AJ29" s="110" t="e">
        <f>INDEX(DES_5!$A:$J,MATCH('2018'!$A29,DES_5!$A:$A,0),MATCH('2018'!$A$1,DES_5!$3:$3,0))</f>
        <v>#N/A</v>
      </c>
      <c r="AK29" s="57">
        <v>39</v>
      </c>
    </row>
    <row r="30" spans="1:37" x14ac:dyDescent="0.3">
      <c r="A30" s="29" t="s">
        <v>29</v>
      </c>
      <c r="B30" s="33">
        <f>INDEX(Population!$A:$J,MATCH('2018'!$A30,Population!$A:$A,0),MATCH('2018'!$A$1,Population!$3:$3,0))</f>
        <v>4237904</v>
      </c>
      <c r="C30" s="14">
        <f>INDEX(Income!$A:$J,MATCH('2018'!$A30,Income!$A:$A,0),MATCH('2018'!$A$1,Income!$3:$3,0))</f>
        <v>29097</v>
      </c>
      <c r="D30" s="34">
        <f>INDEX(Livable_wage!$A:$J,MATCH('2018'!$A30,Livable_wage!$A:$A,0),MATCH('2018'!$A$1,Livable_wage!$3:$3,0))</f>
        <v>10292</v>
      </c>
      <c r="E30" s="41">
        <f>INDEX(AVA_1!$A:$J,MATCH('2018'!$A30,AVA_1!$A:$A,0),MATCH('2018'!$A$1,AVA_1!$3:$3,0))</f>
        <v>0.40100000000000002</v>
      </c>
      <c r="F30" s="15">
        <f>INDEX(AVA_2!$A:$J,MATCH('2018'!$A30,AVA_2!$A:$A,0),MATCH('2018'!$A$1,AVA_2!$3:$3,0))</f>
        <v>1.1768481141724619E-2</v>
      </c>
      <c r="G30" s="15">
        <f>INDEX(AVA_3!$A:$J,MATCH('2018'!$A30,AVA_3!$A:$A,0),MATCH('2018'!$A$1,AVA_3!$3:$3,0))</f>
        <v>1.6776304581116289E-2</v>
      </c>
      <c r="H30" s="87">
        <f>INDEX(AVA_4!$A:$J,MATCH('2018'!$A30,AVA_4!$A:$A,0),MATCH('2018'!$A$1,AVA_4!$3:$3,0))/(B30/1000)</f>
        <v>0.51393330287802641</v>
      </c>
      <c r="I30" s="89">
        <f>INDEX(AVA_5!$A:$J,MATCH('2018'!$A30,AVA_5!$A:$A,0),MATCH('2018'!$A$1,AVA_5!$3:$3,0))/(B30/1000)</f>
        <v>5.8215098784682233</v>
      </c>
      <c r="J30" s="93">
        <f>INDEX(IRA_1!$A:$J,MATCH('2018'!$A30,IRA_1!$A:$A,0),MATCH('2018'!$A$1,IRA_1!$3:$3,0))/(B30/1000)</f>
        <v>4.0586101053728445E-2</v>
      </c>
      <c r="K30" s="88">
        <f>INDEX(IRA_2!$A:$J,MATCH('2018'!$A30,IRA_2!$A:$A,0),MATCH('2018'!$A$1,IRA_2!$3:$3,0))/(B30/1000)</f>
        <v>0.10429684107993006</v>
      </c>
      <c r="L30" s="15">
        <f>INDEX(IRA_3!$A:$J,MATCH('2018'!$A30,IRA_3!$A:$A,0),MATCH('2018'!$A$1,IRA_3!$3:$3,0))</f>
        <v>0.42805580339038041</v>
      </c>
      <c r="M30" s="96">
        <f>INDEX(IRA_4!$A:$J,MATCH('2018'!$A30,IRA_4!$A:$A,0),MATCH('2018'!$A$1,IRA_4!$3:$3,0))/(B30/1000)</f>
        <v>5.6058372251943407</v>
      </c>
      <c r="N30" s="61">
        <f>INDEX(INV_1!$A:$J,MATCH('2018'!$A30,INV_1!$A:$A,0),MATCH('2018'!$A$1,INV_1!$3:$3,0))</f>
        <v>7.4267188882278498E-2</v>
      </c>
      <c r="O30" s="80">
        <f>INDEX(INV_2!$A:$J,MATCH('2018'!$A30,INV_2!$A:$A,0),MATCH('2018'!$A$1,INV_2!$3:$3,0))/B30*10^6/C30</f>
        <v>0.48254757819409971</v>
      </c>
      <c r="P30" s="87">
        <f>INDEX(INV_3!$A:$J,MATCH('2018'!$A30,INV_3!$A:$A,0),MATCH('2018'!$A$1,INV_3!$3:$3,0))/B30*10^6/C30</f>
        <v>2.9439797123709828</v>
      </c>
      <c r="Q30" s="87">
        <f>INDEX(INV_4!$A:$J,MATCH('2018'!$A30,INV_4!$A:$A,0),MATCH('2018'!$A$1,INV_4!$3:$3,0))/B30*10^3/C30</f>
        <v>0.25548009499669094</v>
      </c>
      <c r="R30" s="34">
        <f>INDEX(INV_5!$A:$J,MATCH('2018'!$A30,INV_5!$A:$A,0),MATCH('2018'!$A$1,INV_5!$3:$3,0))</f>
        <v>0.1439</v>
      </c>
      <c r="S30" s="77">
        <f>INDEX(LUJ_1!$A:$J,MATCH('2018'!$A30,LUJ_1!$A:$A,0),MATCH('2018'!$A$1,LUJ_1!$3:$3,0))</f>
        <v>0.70010826416456151</v>
      </c>
      <c r="T30" s="73">
        <f>INDEX(LUJ_2!$A:$J,MATCH('2018'!$A30,LUJ_2!$A:$A,0),MATCH('2018'!$A$1,LUJ_2!$3:$3,0))</f>
        <v>0.19721329046087888</v>
      </c>
      <c r="U30" s="73">
        <f>INDEX(LUJ_3!$A:$J,MATCH('2018'!$A30,LUJ_3!$A:$A,0),MATCH('2018'!$A$1,LUJ_3!$3:$3,0))</f>
        <v>0.28515029718405921</v>
      </c>
      <c r="V30" s="14">
        <f>INDEX(LUJ_4!$A:$J,MATCH('2018'!$A30,LUJ_4!$A:$A,0),MATCH('2018'!$A$1,LUJ_4!$3:$3,0))</f>
        <v>85</v>
      </c>
      <c r="W30" s="34">
        <f>INDEX(LUJ_5!$A:$J,MATCH('2018'!$A30,LUJ_5!$A:$A,0),MATCH('2018'!$A$1,LUJ_5!$3:$3,0))</f>
        <v>39.9</v>
      </c>
      <c r="X30" s="98">
        <f>1/INDEX(GUL_1!$A:$J,MATCH('2018'!$A30,GUL_1!$A:$A,0),MATCH('2018'!$A$1,GUL_1!$3:$3,0))</f>
        <v>1.3659336156262808E-2</v>
      </c>
      <c r="Y30" s="57" t="e">
        <f>INDEX(GUL_2!$A:$J,MATCH('2018'!$A30,GUL_2!$A:$A,0),MATCH('2018'!$A$1,GUL_2!$3:$3,0))</f>
        <v>#N/A</v>
      </c>
      <c r="Z30" s="57">
        <f>INDEX(GUL_3!$A:$J,MATCH('2018'!$A30,GUL_3!$A:$A,0),MATCH('2018'!$A$1,GUL_3!$3:$3,0))/(B30/1000)</f>
        <v>0.65386096523186932</v>
      </c>
      <c r="AA30" s="101">
        <f>INDEX(GUL_4!$A:$J,MATCH('2018'!$A30,GUL_4!$A:$A,0),MATCH('2018'!$A$1,GUL_4!$3:$3,0))/B30/C30*10^6</f>
        <v>0.32154087980571711</v>
      </c>
      <c r="AB30" s="73">
        <f>INDEX(GUL_5!$A:$J,MATCH('2018'!$A30,GUL_5!$A:$A,0),MATCH('2018'!$A$1,GUL_5!$3:$3,0))</f>
        <v>4.0327557857441597E-2</v>
      </c>
      <c r="AC30" s="49" t="e">
        <f>INDEX(GUL_6!$A:$J,MATCH('2018'!$A30,GUL_6!$A:$A,0),MATCH('2018'!$A$1,GUL_6!$3:$3,0))</f>
        <v>#N/A</v>
      </c>
      <c r="AD30" s="49" t="e">
        <f>INDEX(GUL_7!$A:$J,MATCH('2018'!$A30,GUL_7!$A:$A,0),MATCH('2018'!$A$1,GUL_7!$3:$3,0))</f>
        <v>#N/A</v>
      </c>
      <c r="AE30" s="103">
        <f>INDEX(GUL_8!$A:$J,MATCH('2018'!$A30,GUL_8!$A:$A,0),MATCH('2018'!$A$1,GUL_8!$3:$3,0))/(B30/1000)</f>
        <v>1.4214573996956985</v>
      </c>
      <c r="AF30" s="41">
        <f>INDEX(DES_1!$A:$J,MATCH('2018'!$A30,DES_1!$A:$A,0),MATCH('2018'!$A$1,DES_1!$3:$3,0))/(B30/1000)</f>
        <v>3.7046615496717242E-2</v>
      </c>
      <c r="AG30" s="100">
        <f>INDEX(DES_2!$A:$J,MATCH('2018'!$A30,DES_2!$A:$A,0),MATCH('2018'!$A$1,DES_2!$3:$3,0))/(B30/1000)</f>
        <v>0.77774295972726126</v>
      </c>
      <c r="AH30" s="57">
        <f>1/INDEX(DES_3!$A:$J,MATCH('2018'!$A30,DES_3!$A:$A,0),MATCH('2018'!$A$1,DES_3!$3:$3,0))</f>
        <v>7.9365079365079361E-3</v>
      </c>
      <c r="AI30" s="80" t="e">
        <f>INDEX(DES_4!$A:$J,MATCH('2018'!$A30,DES_4!$A:$A,0),MATCH('2018'!$A$1,DES_4!$3:$3,0))</f>
        <v>#N/A</v>
      </c>
      <c r="AJ30" s="110" t="e">
        <f>INDEX(DES_5!$A:$J,MATCH('2018'!$A30,DES_5!$A:$A,0),MATCH('2018'!$A$1,DES_5!$3:$3,0))</f>
        <v>#N/A</v>
      </c>
      <c r="AK30" s="57">
        <v>40</v>
      </c>
    </row>
    <row r="31" spans="1:37" x14ac:dyDescent="0.3">
      <c r="A31" s="29" t="s">
        <v>30</v>
      </c>
      <c r="B31" s="33">
        <f>INDEX(Population!$A:$J,MATCH('2018'!$A31,Population!$A:$A,0),MATCH('2018'!$A$1,Population!$3:$3,0))</f>
        <v>709332</v>
      </c>
      <c r="C31" s="14">
        <f>INDEX(Income!$A:$J,MATCH('2018'!$A31,Income!$A:$A,0),MATCH('2018'!$A$1,Income!$3:$3,0))</f>
        <v>41588</v>
      </c>
      <c r="D31" s="34">
        <f>INDEX(Livable_wage!$A:$J,MATCH('2018'!$A31,Livable_wage!$A:$A,0),MATCH('2018'!$A$1,Livable_wage!$3:$3,0))</f>
        <v>15307</v>
      </c>
      <c r="E31" s="41">
        <f>INDEX(AVA_1!$A:$J,MATCH('2018'!$A31,AVA_1!$A:$A,0),MATCH('2018'!$A$1,AVA_1!$3:$3,0))</f>
        <v>0.35599999999999998</v>
      </c>
      <c r="F31" s="15">
        <f>INDEX(AVA_2!$A:$J,MATCH('2018'!$A31,AVA_2!$A:$A,0),MATCH('2018'!$A$1,AVA_2!$3:$3,0))</f>
        <v>1.098192133813407E-2</v>
      </c>
      <c r="G31" s="15">
        <f>INDEX(AVA_3!$A:$J,MATCH('2018'!$A31,AVA_3!$A:$A,0),MATCH('2018'!$A$1,AVA_3!$3:$3,0))</f>
        <v>2.8021200890339385E-2</v>
      </c>
      <c r="H31" s="87">
        <f>INDEX(AVA_4!$A:$J,MATCH('2018'!$A31,AVA_4!$A:$A,0),MATCH('2018'!$A$1,AVA_4!$3:$3,0))/(B31/1000)</f>
        <v>0.65272679083983243</v>
      </c>
      <c r="I31" s="89">
        <f>INDEX(AVA_5!$A:$J,MATCH('2018'!$A31,AVA_5!$A:$A,0),MATCH('2018'!$A$1,AVA_5!$3:$3,0))/(B31/1000)</f>
        <v>5.2725663018163571</v>
      </c>
      <c r="J31" s="93">
        <f>INDEX(IRA_1!$A:$J,MATCH('2018'!$A31,IRA_1!$A:$A,0),MATCH('2018'!$A$1,IRA_1!$3:$3,0))/(B31/1000)</f>
        <v>4.6522643839556087E-2</v>
      </c>
      <c r="K31" s="88">
        <f>INDEX(IRA_2!$A:$J,MATCH('2018'!$A31,IRA_2!$A:$A,0),MATCH('2018'!$A$1,IRA_2!$3:$3,0))/(B31/1000)</f>
        <v>0.21005678582102599</v>
      </c>
      <c r="L31" s="15">
        <f>INDEX(IRA_3!$A:$J,MATCH('2018'!$A31,IRA_3!$A:$A,0),MATCH('2018'!$A$1,IRA_3!$3:$3,0))</f>
        <v>0.37691900476442564</v>
      </c>
      <c r="M31" s="96">
        <f>INDEX(IRA_4!$A:$J,MATCH('2018'!$A31,IRA_4!$A:$A,0),MATCH('2018'!$A$1,IRA_4!$3:$3,0))/(B31/1000)</f>
        <v>3.7923003614668449</v>
      </c>
      <c r="N31" s="61">
        <f>INDEX(INV_1!$A:$J,MATCH('2018'!$A31,INV_1!$A:$A,0),MATCH('2018'!$A$1,INV_1!$3:$3,0))</f>
        <v>7.187294773157149E-2</v>
      </c>
      <c r="O31" s="80">
        <f>INDEX(INV_2!$A:$J,MATCH('2018'!$A31,INV_2!$A:$A,0),MATCH('2018'!$A$1,INV_2!$3:$3,0))/B31*10^6/C31</f>
        <v>0.25054667859092117</v>
      </c>
      <c r="P31" s="87">
        <f>INDEX(INV_3!$A:$J,MATCH('2018'!$A31,INV_3!$A:$A,0),MATCH('2018'!$A$1,INV_3!$3:$3,0))/B31*10^6/C31</f>
        <v>3.465221772314087</v>
      </c>
      <c r="Q31" s="87">
        <f>INDEX(INV_4!$A:$J,MATCH('2018'!$A31,INV_4!$A:$A,0),MATCH('2018'!$A$1,INV_4!$3:$3,0))/B31*10^3/C31</f>
        <v>0.27215659831695826</v>
      </c>
      <c r="R31" s="34">
        <f>INDEX(INV_5!$A:$J,MATCH('2018'!$A31,INV_5!$A:$A,0),MATCH('2018'!$A$1,INV_5!$3:$3,0))</f>
        <v>6.88E-2</v>
      </c>
      <c r="S31" s="77">
        <f>INDEX(LUJ_1!$A:$J,MATCH('2018'!$A31,LUJ_1!$A:$A,0),MATCH('2018'!$A$1,LUJ_1!$3:$3,0))</f>
        <v>0.77172400079538672</v>
      </c>
      <c r="T31" s="73">
        <f>INDEX(LUJ_2!$A:$J,MATCH('2018'!$A31,LUJ_2!$A:$A,0),MATCH('2018'!$A$1,LUJ_2!$3:$3,0))</f>
        <v>0.19486692015209126</v>
      </c>
      <c r="U31" s="73">
        <f>INDEX(LUJ_3!$A:$J,MATCH('2018'!$A31,LUJ_3!$A:$A,0),MATCH('2018'!$A$1,LUJ_3!$3:$3,0))</f>
        <v>0.50258011950027159</v>
      </c>
      <c r="V31" s="14">
        <f>INDEX(LUJ_4!$A:$J,MATCH('2018'!$A31,LUJ_4!$A:$A,0),MATCH('2018'!$A$1,LUJ_4!$3:$3,0))</f>
        <v>3</v>
      </c>
      <c r="W31" s="34">
        <f>INDEX(LUJ_5!$A:$J,MATCH('2018'!$A31,LUJ_5!$A:$A,0),MATCH('2018'!$A$1,LUJ_5!$3:$3,0))</f>
        <v>50.1</v>
      </c>
      <c r="X31" s="98">
        <f>1/INDEX(GUL_1!$A:$J,MATCH('2018'!$A31,GUL_1!$A:$A,0),MATCH('2018'!$A$1,GUL_1!$3:$3,0))</f>
        <v>1.3950892857142856E-2</v>
      </c>
      <c r="Y31" s="57" t="e">
        <f>INDEX(GUL_2!$A:$J,MATCH('2018'!$A31,GUL_2!$A:$A,0),MATCH('2018'!$A$1,GUL_2!$3:$3,0))</f>
        <v>#N/A</v>
      </c>
      <c r="Z31" s="57">
        <f>INDEX(GUL_3!$A:$J,MATCH('2018'!$A31,GUL_3!$A:$A,0),MATCH('2018'!$A$1,GUL_3!$3:$3,0))/(B31/1000)</f>
        <v>0.67387344713053976</v>
      </c>
      <c r="AA31" s="101">
        <f>INDEX(GUL_4!$A:$J,MATCH('2018'!$A31,GUL_4!$A:$A,0),MATCH('2018'!$A$1,GUL_4!$3:$3,0))/B31/C31*10^6</f>
        <v>0.47840792872713334</v>
      </c>
      <c r="AB31" s="73">
        <f>INDEX(GUL_5!$A:$J,MATCH('2018'!$A31,GUL_5!$A:$A,0),MATCH('2018'!$A$1,GUL_5!$3:$3,0))</f>
        <v>4.2445734937184537E-2</v>
      </c>
      <c r="AC31" s="49" t="e">
        <f>INDEX(GUL_6!$A:$J,MATCH('2018'!$A31,GUL_6!$A:$A,0),MATCH('2018'!$A$1,GUL_6!$3:$3,0))</f>
        <v>#N/A</v>
      </c>
      <c r="AD31" s="49" t="e">
        <f>INDEX(GUL_7!$A:$J,MATCH('2018'!$A31,GUL_7!$A:$A,0),MATCH('2018'!$A$1,GUL_7!$3:$3,0))</f>
        <v>#N/A</v>
      </c>
      <c r="AE31" s="103">
        <f>INDEX(GUL_8!$A:$J,MATCH('2018'!$A31,GUL_8!$A:$A,0),MATCH('2018'!$A$1,GUL_8!$3:$3,0))/(B31/1000)</f>
        <v>2.5432378632290664</v>
      </c>
      <c r="AF31" s="41">
        <f>INDEX(DES_1!$A:$J,MATCH('2018'!$A31,DES_1!$A:$A,0),MATCH('2018'!$A$1,DES_1!$3:$3,0))/(B31/1000)</f>
        <v>4.93421980116504E-2</v>
      </c>
      <c r="AG31" s="100">
        <f>INDEX(DES_2!$A:$J,MATCH('2018'!$A31,DES_2!$A:$A,0),MATCH('2018'!$A$1,DES_2!$3:$3,0))/(B31/1000)</f>
        <v>0.69502010342124709</v>
      </c>
      <c r="AH31" s="57">
        <f>1/INDEX(DES_3!$A:$J,MATCH('2018'!$A31,DES_3!$A:$A,0),MATCH('2018'!$A$1,DES_3!$3:$3,0))</f>
        <v>8.3263946711074101E-3</v>
      </c>
      <c r="AI31" s="80" t="e">
        <f>INDEX(DES_4!$A:$J,MATCH('2018'!$A31,DES_4!$A:$A,0),MATCH('2018'!$A$1,DES_4!$3:$3,0))</f>
        <v>#N/A</v>
      </c>
      <c r="AJ31" s="110" t="e">
        <f>INDEX(DES_5!$A:$J,MATCH('2018'!$A31,DES_5!$A:$A,0),MATCH('2018'!$A$1,DES_5!$3:$3,0))</f>
        <v>#N/A</v>
      </c>
      <c r="AK31" s="57">
        <v>43</v>
      </c>
    </row>
    <row r="32" spans="1:37" x14ac:dyDescent="0.3">
      <c r="A32" s="29" t="s">
        <v>31</v>
      </c>
      <c r="B32" s="33">
        <f>INDEX(Population!$A:$J,MATCH('2018'!$A32,Population!$A:$A,0),MATCH('2018'!$A$1,Population!$3:$3,0))</f>
        <v>621621</v>
      </c>
      <c r="C32" s="14">
        <f>INDEX(Income!$A:$J,MATCH('2018'!$A32,Income!$A:$A,0),MATCH('2018'!$A$1,Income!$3:$3,0))</f>
        <v>23880</v>
      </c>
      <c r="D32" s="34">
        <f>INDEX(Livable_wage!$A:$J,MATCH('2018'!$A32,Livable_wage!$A:$A,0),MATCH('2018'!$A$1,Livable_wage!$3:$3,0))</f>
        <v>11536</v>
      </c>
      <c r="E32" s="41">
        <f>INDEX(AVA_1!$A:$J,MATCH('2018'!$A32,AVA_1!$A:$A,0),MATCH('2018'!$A$1,AVA_1!$3:$3,0))</f>
        <v>0.35099999999999998</v>
      </c>
      <c r="F32" s="15">
        <f>INDEX(AVA_2!$A:$J,MATCH('2018'!$A32,AVA_2!$A:$A,0),MATCH('2018'!$A$1,AVA_2!$3:$3,0))</f>
        <v>8.2377778697685974E-3</v>
      </c>
      <c r="G32" s="15">
        <f>INDEX(AVA_3!$A:$J,MATCH('2018'!$A32,AVA_3!$A:$A,0),MATCH('2018'!$A$1,AVA_3!$3:$3,0))</f>
        <v>8.0793937361068636E-3</v>
      </c>
      <c r="H32" s="87">
        <f>INDEX(AVA_4!$A:$J,MATCH('2018'!$A32,AVA_4!$A:$A,0),MATCH('2018'!$A$1,AVA_4!$3:$3,0))/(B32/1000)</f>
        <v>0.94913138391399265</v>
      </c>
      <c r="I32" s="89">
        <f>INDEX(AVA_5!$A:$J,MATCH('2018'!$A32,AVA_5!$A:$A,0),MATCH('2018'!$A$1,AVA_5!$3:$3,0))/(B32/1000)</f>
        <v>4.7987439291787117</v>
      </c>
      <c r="J32" s="93">
        <f>INDEX(IRA_1!$A:$J,MATCH('2018'!$A32,IRA_1!$A:$A,0),MATCH('2018'!$A$1,IRA_1!$3:$3,0))/(B32/1000)</f>
        <v>7.0782679478331653E-2</v>
      </c>
      <c r="K32" s="88">
        <f>INDEX(IRA_2!$A:$J,MATCH('2018'!$A32,IRA_2!$A:$A,0),MATCH('2018'!$A$1,IRA_2!$3:$3,0))/(B32/1000)</f>
        <v>0.16891321239147328</v>
      </c>
      <c r="L32" s="15">
        <f>INDEX(IRA_3!$A:$J,MATCH('2018'!$A32,IRA_3!$A:$A,0),MATCH('2018'!$A$1,IRA_3!$3:$3,0))</f>
        <v>0.43637653736991489</v>
      </c>
      <c r="M32" s="96">
        <f>INDEX(IRA_4!$A:$J,MATCH('2018'!$A32,IRA_4!$A:$A,0),MATCH('2018'!$A$1,IRA_4!$3:$3,0))/(B32/1000)</f>
        <v>3.4844382670469627</v>
      </c>
      <c r="N32" s="61">
        <f>INDEX(INV_1!$A:$J,MATCH('2018'!$A32,INV_1!$A:$A,0),MATCH('2018'!$A$1,INV_1!$3:$3,0))</f>
        <v>6.4756158642285636E-2</v>
      </c>
      <c r="O32" s="80">
        <f>INDEX(INV_2!$A:$J,MATCH('2018'!$A32,INV_2!$A:$A,0),MATCH('2018'!$A$1,INV_2!$3:$3,0))/B32*10^6/C32</f>
        <v>0.30130566376469814</v>
      </c>
      <c r="P32" s="87">
        <f>INDEX(INV_3!$A:$J,MATCH('2018'!$A32,INV_3!$A:$A,0),MATCH('2018'!$A$1,INV_3!$3:$3,0))/B32*10^6/C32</f>
        <v>3.3409435492313655</v>
      </c>
      <c r="Q32" s="87">
        <f>INDEX(INV_4!$A:$J,MATCH('2018'!$A32,INV_4!$A:$A,0),MATCH('2018'!$A$1,INV_4!$3:$3,0))/B32*10^3/C32</f>
        <v>0.25705238126037777</v>
      </c>
      <c r="R32" s="34">
        <f>INDEX(INV_5!$A:$J,MATCH('2018'!$A32,INV_5!$A:$A,0),MATCH('2018'!$A$1,INV_5!$3:$3,0))</f>
        <v>6.3899999999999998E-2</v>
      </c>
      <c r="S32" s="77">
        <f>INDEX(LUJ_1!$A:$J,MATCH('2018'!$A32,LUJ_1!$A:$A,0),MATCH('2018'!$A$1,LUJ_1!$3:$3,0))</f>
        <v>0.74230769230769234</v>
      </c>
      <c r="T32" s="73">
        <f>INDEX(LUJ_2!$A:$J,MATCH('2018'!$A32,LUJ_2!$A:$A,0),MATCH('2018'!$A$1,LUJ_2!$3:$3,0))</f>
        <v>0.23318538750426768</v>
      </c>
      <c r="U32" s="73">
        <f>INDEX(LUJ_3!$A:$J,MATCH('2018'!$A32,LUJ_3!$A:$A,0),MATCH('2018'!$A$1,LUJ_3!$3:$3,0))</f>
        <v>0.68504726023772666</v>
      </c>
      <c r="V32" s="14">
        <f>INDEX(LUJ_4!$A:$J,MATCH('2018'!$A32,LUJ_4!$A:$A,0),MATCH('2018'!$A$1,LUJ_4!$3:$3,0))</f>
        <v>4</v>
      </c>
      <c r="W32" s="34">
        <f>INDEX(LUJ_5!$A:$J,MATCH('2018'!$A32,LUJ_5!$A:$A,0),MATCH('2018'!$A$1,LUJ_5!$3:$3,0))</f>
        <v>20.2</v>
      </c>
      <c r="X32" s="98">
        <f>1/INDEX(GUL_1!$A:$J,MATCH('2018'!$A32,GUL_1!$A:$A,0),MATCH('2018'!$A$1,GUL_1!$3:$3,0))</f>
        <v>1.4253135689851768E-2</v>
      </c>
      <c r="Y32" s="57" t="e">
        <f>INDEX(GUL_2!$A:$J,MATCH('2018'!$A32,GUL_2!$A:$A,0),MATCH('2018'!$A$1,GUL_2!$3:$3,0))</f>
        <v>#N/A</v>
      </c>
      <c r="Z32" s="57">
        <f>INDEX(GUL_3!$A:$J,MATCH('2018'!$A32,GUL_3!$A:$A,0),MATCH('2018'!$A$1,GUL_3!$3:$3,0))/(B32/1000)</f>
        <v>0.91213134691395559</v>
      </c>
      <c r="AA32" s="101">
        <f>INDEX(GUL_4!$A:$J,MATCH('2018'!$A32,GUL_4!$A:$A,0),MATCH('2018'!$A$1,GUL_4!$3:$3,0))/B32/C32*10^6</f>
        <v>0.35315822585504331</v>
      </c>
      <c r="AB32" s="73">
        <f>INDEX(GUL_5!$A:$J,MATCH('2018'!$A32,GUL_5!$A:$A,0),MATCH('2018'!$A$1,GUL_5!$3:$3,0))</f>
        <v>3.3117371262936866E-2</v>
      </c>
      <c r="AC32" s="49" t="e">
        <f>INDEX(GUL_6!$A:$J,MATCH('2018'!$A32,GUL_6!$A:$A,0),MATCH('2018'!$A$1,GUL_6!$3:$3,0))</f>
        <v>#N/A</v>
      </c>
      <c r="AD32" s="49" t="e">
        <f>INDEX(GUL_7!$A:$J,MATCH('2018'!$A32,GUL_7!$A:$A,0),MATCH('2018'!$A$1,GUL_7!$3:$3,0))</f>
        <v>#N/A</v>
      </c>
      <c r="AE32" s="103">
        <f>INDEX(GUL_8!$A:$J,MATCH('2018'!$A32,GUL_8!$A:$A,0),MATCH('2018'!$A$1,GUL_8!$3:$3,0))/(B32/1000)</f>
        <v>2.683307031133118</v>
      </c>
      <c r="AF32" s="41">
        <f>INDEX(DES_1!$A:$J,MATCH('2018'!$A32,DES_1!$A:$A,0),MATCH('2018'!$A$1,DES_1!$3:$3,0))/(B32/1000)</f>
        <v>0.18660888226105618</v>
      </c>
      <c r="AG32" s="100">
        <f>INDEX(DES_2!$A:$J,MATCH('2018'!$A32,DES_2!$A:$A,0),MATCH('2018'!$A$1,DES_2!$3:$3,0))/(B32/1000)</f>
        <v>0.35069600286991592</v>
      </c>
      <c r="AH32" s="57">
        <f>1/INDEX(DES_3!$A:$J,MATCH('2018'!$A32,DES_3!$A:$A,0),MATCH('2018'!$A$1,DES_3!$3:$3,0))</f>
        <v>9.3196644920782862E-3</v>
      </c>
      <c r="AI32" s="80" t="e">
        <f>INDEX(DES_4!$A:$J,MATCH('2018'!$A32,DES_4!$A:$A,0),MATCH('2018'!$A$1,DES_4!$3:$3,0))</f>
        <v>#N/A</v>
      </c>
      <c r="AJ32" s="110" t="e">
        <f>INDEX(DES_5!$A:$J,MATCH('2018'!$A32,DES_5!$A:$A,0),MATCH('2018'!$A$1,DES_5!$3:$3,0))</f>
        <v>#N/A</v>
      </c>
      <c r="AK32" s="57">
        <v>44</v>
      </c>
    </row>
    <row r="33" spans="1:37" x14ac:dyDescent="0.3">
      <c r="A33" s="29" t="s">
        <v>32</v>
      </c>
      <c r="B33" s="33">
        <f>INDEX(Population!$A:$J,MATCH('2018'!$A33,Population!$A:$A,0),MATCH('2018'!$A$1,Population!$3:$3,0))</f>
        <v>5520589</v>
      </c>
      <c r="C33" s="14">
        <f>INDEX(Income!$A:$J,MATCH('2018'!$A33,Income!$A:$A,0),MATCH('2018'!$A$1,Income!$3:$3,0))</f>
        <v>45137</v>
      </c>
      <c r="D33" s="34">
        <f>INDEX(Livable_wage!$A:$J,MATCH('2018'!$A33,Livable_wage!$A:$A,0),MATCH('2018'!$A$1,Livable_wage!$3:$3,0))</f>
        <v>12118</v>
      </c>
      <c r="E33" s="41">
        <f>INDEX(AVA_1!$A:$J,MATCH('2018'!$A33,AVA_1!$A:$A,0),MATCH('2018'!$A$1,AVA_1!$3:$3,0))</f>
        <v>0.40500000000000003</v>
      </c>
      <c r="F33" s="15">
        <f>INDEX(AVA_2!$A:$J,MATCH('2018'!$A33,AVA_2!$A:$A,0),MATCH('2018'!$A$1,AVA_2!$3:$3,0))</f>
        <v>2.3028239387097967E-2</v>
      </c>
      <c r="G33" s="15">
        <f>INDEX(AVA_3!$A:$J,MATCH('2018'!$A33,AVA_3!$A:$A,0),MATCH('2018'!$A$1,AVA_3!$3:$3,0))</f>
        <v>9.1930599485304576E-2</v>
      </c>
      <c r="H33" s="87">
        <f>INDEX(AVA_4!$A:$J,MATCH('2018'!$A33,AVA_4!$A:$A,0),MATCH('2018'!$A$1,AVA_4!$3:$3,0))/(B33/1000)</f>
        <v>0.57892373440587586</v>
      </c>
      <c r="I33" s="89">
        <f>INDEX(AVA_5!$A:$J,MATCH('2018'!$A33,AVA_5!$A:$A,0),MATCH('2018'!$A$1,AVA_5!$3:$3,0))/(B33/1000)</f>
        <v>3.4731801262510213</v>
      </c>
      <c r="J33" s="93">
        <f>INDEX(IRA_1!$A:$J,MATCH('2018'!$A33,IRA_1!$A:$A,0),MATCH('2018'!$A$1,IRA_1!$3:$3,0))/(B33/1000)</f>
        <v>3.4416617502226667E-2</v>
      </c>
      <c r="K33" s="88">
        <f>INDEX(IRA_2!$A:$J,MATCH('2018'!$A33,IRA_2!$A:$A,0),MATCH('2018'!$A$1,IRA_2!$3:$3,0))/(B33/1000)</f>
        <v>7.5535418412781677E-2</v>
      </c>
      <c r="L33" s="15">
        <f>INDEX(IRA_3!$A:$J,MATCH('2018'!$A33,IRA_3!$A:$A,0),MATCH('2018'!$A$1,IRA_3!$3:$3,0))</f>
        <v>0.58710760763095293</v>
      </c>
      <c r="M33" s="96">
        <f>INDEX(IRA_4!$A:$J,MATCH('2018'!$A33,IRA_4!$A:$A,0),MATCH('2018'!$A$1,IRA_4!$3:$3,0))/(B33/1000)</f>
        <v>2.6223651135775548</v>
      </c>
      <c r="N33" s="61">
        <f>INDEX(INV_1!$A:$J,MATCH('2018'!$A33,INV_1!$A:$A,0),MATCH('2018'!$A$1,INV_1!$3:$3,0))</f>
        <v>7.5881497359319039E-2</v>
      </c>
      <c r="O33" s="80">
        <f>INDEX(INV_2!$A:$J,MATCH('2018'!$A33,INV_2!$A:$A,0),MATCH('2018'!$A$1,INV_2!$3:$3,0))/B33*10^6/C33</f>
        <v>0.51817470253780495</v>
      </c>
      <c r="P33" s="87">
        <f>INDEX(INV_3!$A:$J,MATCH('2018'!$A33,INV_3!$A:$A,0),MATCH('2018'!$A$1,INV_3!$3:$3,0))/B33*10^6/C33</f>
        <v>3.1222978463152407</v>
      </c>
      <c r="Q33" s="87">
        <f>INDEX(INV_4!$A:$J,MATCH('2018'!$A33,INV_4!$A:$A,0),MATCH('2018'!$A$1,INV_4!$3:$3,0))/B33*10^3/C33</f>
        <v>0.39784911991542982</v>
      </c>
      <c r="R33" s="34">
        <f>INDEX(INV_5!$A:$J,MATCH('2018'!$A33,INV_5!$A:$A,0),MATCH('2018'!$A$1,INV_5!$3:$3,0))</f>
        <v>0.3256</v>
      </c>
      <c r="S33" s="77">
        <f>INDEX(LUJ_1!$A:$J,MATCH('2018'!$A33,LUJ_1!$A:$A,0),MATCH('2018'!$A$1,LUJ_1!$3:$3,0))</f>
        <v>0.58947368421052626</v>
      </c>
      <c r="T33" s="73">
        <f>INDEX(LUJ_2!$A:$J,MATCH('2018'!$A33,LUJ_2!$A:$A,0),MATCH('2018'!$A$1,LUJ_2!$3:$3,0))</f>
        <v>0.17706136857066995</v>
      </c>
      <c r="U33" s="73">
        <f>INDEX(LUJ_3!$A:$J,MATCH('2018'!$A33,LUJ_3!$A:$A,0),MATCH('2018'!$A$1,LUJ_3!$3:$3,0))</f>
        <v>0.29156713861692496</v>
      </c>
      <c r="V33" s="14">
        <f>INDEX(LUJ_4!$A:$J,MATCH('2018'!$A33,LUJ_4!$A:$A,0),MATCH('2018'!$A$1,LUJ_4!$3:$3,0))</f>
        <v>68</v>
      </c>
      <c r="W33" s="34">
        <f>INDEX(LUJ_5!$A:$J,MATCH('2018'!$A33,LUJ_5!$A:$A,0),MATCH('2018'!$A$1,LUJ_5!$3:$3,0))</f>
        <v>52.9</v>
      </c>
      <c r="X33" s="98">
        <f>1/INDEX(GUL_1!$A:$J,MATCH('2018'!$A33,GUL_1!$A:$A,0),MATCH('2018'!$A$1,GUL_1!$3:$3,0))</f>
        <v>1.3170025023047543E-2</v>
      </c>
      <c r="Y33" s="57" t="e">
        <f>INDEX(GUL_2!$A:$J,MATCH('2018'!$A33,GUL_2!$A:$A,0),MATCH('2018'!$A$1,GUL_2!$3:$3,0))</f>
        <v>#N/A</v>
      </c>
      <c r="Z33" s="57">
        <f>INDEX(GUL_3!$A:$J,MATCH('2018'!$A33,GUL_3!$A:$A,0),MATCH('2018'!$A$1,GUL_3!$3:$3,0))/(B33/1000)</f>
        <v>0.44071384412061831</v>
      </c>
      <c r="AA33" s="101">
        <f>INDEX(GUL_4!$A:$J,MATCH('2018'!$A33,GUL_4!$A:$A,0),MATCH('2018'!$A$1,GUL_4!$3:$3,0))/B33/C33*10^6</f>
        <v>0.31381572860218476</v>
      </c>
      <c r="AB33" s="73">
        <f>INDEX(GUL_5!$A:$J,MATCH('2018'!$A33,GUL_5!$A:$A,0),MATCH('2018'!$A$1,GUL_5!$3:$3,0))</f>
        <v>2.6744074433268494E-2</v>
      </c>
      <c r="AC33" s="49" t="e">
        <f>INDEX(GUL_6!$A:$J,MATCH('2018'!$A33,GUL_6!$A:$A,0),MATCH('2018'!$A$1,GUL_6!$3:$3,0))</f>
        <v>#N/A</v>
      </c>
      <c r="AD33" s="49" t="e">
        <f>INDEX(GUL_7!$A:$J,MATCH('2018'!$A33,GUL_7!$A:$A,0),MATCH('2018'!$A$1,GUL_7!$3:$3,0))</f>
        <v>#N/A</v>
      </c>
      <c r="AE33" s="103">
        <f>INDEX(GUL_8!$A:$J,MATCH('2018'!$A33,GUL_8!$A:$A,0),MATCH('2018'!$A$1,GUL_8!$3:$3,0))/(B33/1000)</f>
        <v>0.57511979247141931</v>
      </c>
      <c r="AF33" s="41">
        <f>INDEX(DES_1!$A:$J,MATCH('2018'!$A33,DES_1!$A:$A,0),MATCH('2018'!$A$1,DES_1!$3:$3,0))/(B33/1000)</f>
        <v>5.9051670030136276E-2</v>
      </c>
      <c r="AG33" s="100">
        <f>INDEX(DES_2!$A:$J,MATCH('2018'!$A33,DES_2!$A:$A,0),MATCH('2018'!$A$1,DES_2!$3:$3,0))/(B33/1000)</f>
        <v>0.92145964859908969</v>
      </c>
      <c r="AH33" s="57">
        <f>1/INDEX(DES_3!$A:$J,MATCH('2018'!$A33,DES_3!$A:$A,0),MATCH('2018'!$A$1,DES_3!$3:$3,0))</f>
        <v>8.9445438282647581E-3</v>
      </c>
      <c r="AI33" s="80" t="e">
        <f>INDEX(DES_4!$A:$J,MATCH('2018'!$A33,DES_4!$A:$A,0),MATCH('2018'!$A$1,DES_4!$3:$3,0))</f>
        <v>#N/A</v>
      </c>
      <c r="AJ33" s="110" t="e">
        <f>INDEX(DES_5!$A:$J,MATCH('2018'!$A33,DES_5!$A:$A,0),MATCH('2018'!$A$1,DES_5!$3:$3,0))</f>
        <v>#N/A</v>
      </c>
      <c r="AK33" s="57">
        <v>45</v>
      </c>
    </row>
    <row r="34" spans="1:37" x14ac:dyDescent="0.3">
      <c r="A34" s="29" t="s">
        <v>33</v>
      </c>
      <c r="B34" s="33">
        <f>INDEX(Population!$A:$J,MATCH('2018'!$A34,Population!$A:$A,0),MATCH('2018'!$A$1,Population!$3:$3,0))</f>
        <v>1892426</v>
      </c>
      <c r="C34" s="14">
        <f>INDEX(Income!$A:$J,MATCH('2018'!$A34,Income!$A:$A,0),MATCH('2018'!$A$1,Income!$3:$3,0))</f>
        <v>31341</v>
      </c>
      <c r="D34" s="34">
        <f>INDEX(Livable_wage!$A:$J,MATCH('2018'!$A34,Livable_wage!$A:$A,0),MATCH('2018'!$A$1,Livable_wage!$3:$3,0))</f>
        <v>11088</v>
      </c>
      <c r="E34" s="41">
        <f>INDEX(AVA_1!$A:$J,MATCH('2018'!$A34,AVA_1!$A:$A,0),MATCH('2018'!$A$1,AVA_1!$3:$3,0))</f>
        <v>0.36599999999999999</v>
      </c>
      <c r="F34" s="15">
        <f>INDEX(AVA_2!$A:$J,MATCH('2018'!$A34,AVA_2!$A:$A,0),MATCH('2018'!$A$1,AVA_2!$3:$3,0))</f>
        <v>5.7537950043268227E-3</v>
      </c>
      <c r="G34" s="15">
        <f>INDEX(AVA_3!$A:$J,MATCH('2018'!$A34,AVA_3!$A:$A,0),MATCH('2018'!$A$1,AVA_3!$3:$3,0))</f>
        <v>3.2616067460051482E-2</v>
      </c>
      <c r="H34" s="87">
        <f>INDEX(AVA_4!$A:$J,MATCH('2018'!$A34,AVA_4!$A:$A,0),MATCH('2018'!$A$1,AVA_4!$3:$3,0))/(B34/1000)</f>
        <v>0.64784567533948489</v>
      </c>
      <c r="I34" s="89">
        <f>INDEX(AVA_5!$A:$J,MATCH('2018'!$A34,AVA_5!$A:$A,0),MATCH('2018'!$A$1,AVA_5!$3:$3,0))/(B34/1000)</f>
        <v>4.8107561405307262</v>
      </c>
      <c r="J34" s="93">
        <f>INDEX(IRA_1!$A:$J,MATCH('2018'!$A34,IRA_1!$A:$A,0),MATCH('2018'!$A$1,IRA_1!$3:$3,0))/(B34/1000)</f>
        <v>8.0320181608158001E-2</v>
      </c>
      <c r="K34" s="88">
        <f>INDEX(IRA_2!$A:$J,MATCH('2018'!$A34,IRA_2!$A:$A,0),MATCH('2018'!$A$1,IRA_2!$3:$3,0))/(B34/1000)</f>
        <v>0.13210556185552302</v>
      </c>
      <c r="L34" s="15">
        <f>INDEX(IRA_3!$A:$J,MATCH('2018'!$A34,IRA_3!$A:$A,0),MATCH('2018'!$A$1,IRA_3!$3:$3,0))</f>
        <v>0.54506963788300833</v>
      </c>
      <c r="M34" s="96">
        <f>INDEX(IRA_4!$A:$J,MATCH('2018'!$A34,IRA_4!$A:$A,0),MATCH('2018'!$A$1,IRA_4!$3:$3,0))/(B34/1000)</f>
        <v>3.8960572302430849</v>
      </c>
      <c r="N34" s="61">
        <f>INDEX(INV_1!$A:$J,MATCH('2018'!$A34,INV_1!$A:$A,0),MATCH('2018'!$A$1,INV_1!$3:$3,0))</f>
        <v>8.5298491510309007E-2</v>
      </c>
      <c r="O34" s="80">
        <f>INDEX(INV_2!$A:$J,MATCH('2018'!$A34,INV_2!$A:$A,0),MATCH('2018'!$A$1,INV_2!$3:$3,0))/B34*10^6/C34</f>
        <v>0.34939821264196363</v>
      </c>
      <c r="P34" s="87">
        <f>INDEX(INV_3!$A:$J,MATCH('2018'!$A34,INV_3!$A:$A,0),MATCH('2018'!$A$1,INV_3!$3:$3,0))/B34*10^6/C34</f>
        <v>3.8210419925584342</v>
      </c>
      <c r="Q34" s="87">
        <f>INDEX(INV_4!$A:$J,MATCH('2018'!$A34,INV_4!$A:$A,0),MATCH('2018'!$A$1,INV_4!$3:$3,0))/B34*10^3/C34</f>
        <v>4.6847912427588199E-2</v>
      </c>
      <c r="R34" s="34">
        <f>INDEX(INV_5!$A:$J,MATCH('2018'!$A34,INV_5!$A:$A,0),MATCH('2018'!$A$1,INV_5!$3:$3,0))</f>
        <v>0.1258</v>
      </c>
      <c r="S34" s="77">
        <f>INDEX(LUJ_1!$A:$J,MATCH('2018'!$A34,LUJ_1!$A:$A,0),MATCH('2018'!$A$1,LUJ_1!$3:$3,0))</f>
        <v>1.0049136786188579</v>
      </c>
      <c r="T34" s="73">
        <f>INDEX(LUJ_2!$A:$J,MATCH('2018'!$A34,LUJ_2!$A:$A,0),MATCH('2018'!$A$1,LUJ_2!$3:$3,0))</f>
        <v>0.21347670250896059</v>
      </c>
      <c r="U34" s="73">
        <f>INDEX(LUJ_3!$A:$J,MATCH('2018'!$A34,LUJ_3!$A:$A,0),MATCH('2018'!$A$1,LUJ_3!$3:$3,0))</f>
        <v>0.50874588440565194</v>
      </c>
      <c r="V34" s="14">
        <f>INDEX(LUJ_4!$A:$J,MATCH('2018'!$A34,LUJ_4!$A:$A,0),MATCH('2018'!$A$1,LUJ_4!$3:$3,0))</f>
        <v>35</v>
      </c>
      <c r="W34" s="34">
        <f>INDEX(LUJ_5!$A:$J,MATCH('2018'!$A34,LUJ_5!$A:$A,0),MATCH('2018'!$A$1,LUJ_5!$3:$3,0))</f>
        <v>45.1</v>
      </c>
      <c r="X34" s="98">
        <f>1/INDEX(GUL_1!$A:$J,MATCH('2018'!$A34,GUL_1!$A:$A,0),MATCH('2018'!$A$1,GUL_1!$3:$3,0))</f>
        <v>1.368550704803613E-2</v>
      </c>
      <c r="Y34" s="57" t="e">
        <f>INDEX(GUL_2!$A:$J,MATCH('2018'!$A34,GUL_2!$A:$A,0),MATCH('2018'!$A$1,GUL_2!$3:$3,0))</f>
        <v>#N/A</v>
      </c>
      <c r="Z34" s="57">
        <f>INDEX(GUL_3!$A:$J,MATCH('2018'!$A34,GUL_3!$A:$A,0),MATCH('2018'!$A$1,GUL_3!$3:$3,0))/(B34/1000)</f>
        <v>0.74718905785483825</v>
      </c>
      <c r="AA34" s="101">
        <f>INDEX(GUL_4!$A:$J,MATCH('2018'!$A34,GUL_4!$A:$A,0),MATCH('2018'!$A$1,GUL_4!$3:$3,0))/B34/C34*10^6</f>
        <v>0.28300020090401062</v>
      </c>
      <c r="AB34" s="73">
        <f>INDEX(GUL_5!$A:$J,MATCH('2018'!$A34,GUL_5!$A:$A,0),MATCH('2018'!$A$1,GUL_5!$3:$3,0))</f>
        <v>3.4755728248701698E-2</v>
      </c>
      <c r="AC34" s="49" t="e">
        <f>INDEX(GUL_6!$A:$J,MATCH('2018'!$A34,GUL_6!$A:$A,0),MATCH('2018'!$A$1,GUL_6!$3:$3,0))</f>
        <v>#N/A</v>
      </c>
      <c r="AD34" s="49" t="e">
        <f>INDEX(GUL_7!$A:$J,MATCH('2018'!$A34,GUL_7!$A:$A,0),MATCH('2018'!$A$1,GUL_7!$3:$3,0))</f>
        <v>#N/A</v>
      </c>
      <c r="AE34" s="103">
        <f>INDEX(GUL_8!$A:$J,MATCH('2018'!$A34,GUL_8!$A:$A,0),MATCH('2018'!$A$1,GUL_8!$3:$3,0))/(B34/1000)</f>
        <v>1.4658433143488834</v>
      </c>
      <c r="AF34" s="41">
        <f>INDEX(DES_1!$A:$J,MATCH('2018'!$A34,DES_1!$A:$A,0),MATCH('2018'!$A$1,DES_1!$3:$3,0))/(B34/1000)</f>
        <v>0.12893502837099047</v>
      </c>
      <c r="AG34" s="100">
        <f>INDEX(DES_2!$A:$J,MATCH('2018'!$A34,DES_2!$A:$A,0),MATCH('2018'!$A$1,DES_2!$3:$3,0))/(B34/1000)</f>
        <v>0.4063567082675888</v>
      </c>
      <c r="AH34" s="57">
        <f>1/INDEX(DES_3!$A:$J,MATCH('2018'!$A34,DES_3!$A:$A,0),MATCH('2018'!$A$1,DES_3!$3:$3,0))</f>
        <v>7.9051383399209481E-3</v>
      </c>
      <c r="AI34" s="80" t="e">
        <f>INDEX(DES_4!$A:$J,MATCH('2018'!$A34,DES_4!$A:$A,0),MATCH('2018'!$A$1,DES_4!$3:$3,0))</f>
        <v>#N/A</v>
      </c>
      <c r="AJ34" s="110" t="e">
        <f>INDEX(DES_5!$A:$J,MATCH('2018'!$A34,DES_5!$A:$A,0),MATCH('2018'!$A$1,DES_5!$3:$3,0))</f>
        <v>#N/A</v>
      </c>
      <c r="AK34" s="57">
        <v>46</v>
      </c>
    </row>
    <row r="35" spans="1:37" x14ac:dyDescent="0.3">
      <c r="A35" s="29" t="s">
        <v>34</v>
      </c>
      <c r="B35" s="33">
        <f>INDEX(Population!$A:$J,MATCH('2018'!$A35,Population!$A:$A,0),MATCH('2018'!$A$1,Population!$3:$3,0))</f>
        <v>807577</v>
      </c>
      <c r="C35" s="14">
        <f>INDEX(Income!$A:$J,MATCH('2018'!$A35,Income!$A:$A,0),MATCH('2018'!$A$1,Income!$3:$3,0))</f>
        <v>18651</v>
      </c>
      <c r="D35" s="34">
        <f>INDEX(Livable_wage!$A:$J,MATCH('2018'!$A35,Livable_wage!$A:$A,0),MATCH('2018'!$A$1,Livable_wage!$3:$3,0))</f>
        <v>9132</v>
      </c>
      <c r="E35" s="41">
        <f>INDEX(AVA_1!$A:$J,MATCH('2018'!$A35,AVA_1!$A:$A,0),MATCH('2018'!$A$1,AVA_1!$3:$3,0))</f>
        <v>0.35099999999999998</v>
      </c>
      <c r="F35" s="15">
        <f>INDEX(AVA_2!$A:$J,MATCH('2018'!$A35,AVA_2!$A:$A,0),MATCH('2018'!$A$1,AVA_2!$3:$3,0))</f>
        <v>1.0707585541362774E-2</v>
      </c>
      <c r="G35" s="15">
        <f>INDEX(AVA_3!$A:$J,MATCH('2018'!$A35,AVA_3!$A:$A,0),MATCH('2018'!$A$1,AVA_3!$3:$3,0))</f>
        <v>6.645864813975054E-2</v>
      </c>
      <c r="H35" s="87">
        <f>INDEX(AVA_4!$A:$J,MATCH('2018'!$A35,AVA_4!$A:$A,0),MATCH('2018'!$A$1,AVA_4!$3:$3,0))/(B35/1000)</f>
        <v>0.97699662075566784</v>
      </c>
      <c r="I35" s="89">
        <f>INDEX(AVA_5!$A:$J,MATCH('2018'!$A35,AVA_5!$A:$A,0),MATCH('2018'!$A$1,AVA_5!$3:$3,0))/(B35/1000)</f>
        <v>2.2524167974075535</v>
      </c>
      <c r="J35" s="93">
        <f>INDEX(IRA_1!$A:$J,MATCH('2018'!$A35,IRA_1!$A:$A,0),MATCH('2018'!$A$1,IRA_1!$3:$3,0))/(B35/1000)</f>
        <v>4.0862976533507019E-2</v>
      </c>
      <c r="K35" s="88">
        <f>INDEX(IRA_2!$A:$J,MATCH('2018'!$A35,IRA_2!$A:$A,0),MATCH('2018'!$A$1,IRA_2!$3:$3,0))/(B35/1000)</f>
        <v>0.12258892960052106</v>
      </c>
      <c r="L35" s="15">
        <f>INDEX(IRA_3!$A:$J,MATCH('2018'!$A35,IRA_3!$A:$A,0),MATCH('2018'!$A$1,IRA_3!$3:$3,0))</f>
        <v>0.39328676755917735</v>
      </c>
      <c r="M35" s="96">
        <f>INDEX(IRA_4!$A:$J,MATCH('2018'!$A35,IRA_4!$A:$A,0),MATCH('2018'!$A$1,IRA_4!$3:$3,0))/(B35/1000)</f>
        <v>2.2400340772458849</v>
      </c>
      <c r="N35" s="61">
        <f>INDEX(INV_1!$A:$J,MATCH('2018'!$A35,INV_1!$A:$A,0),MATCH('2018'!$A$1,INV_1!$3:$3,0))</f>
        <v>9.9189208760162767E-2</v>
      </c>
      <c r="O35" s="80">
        <f>INDEX(INV_2!$A:$J,MATCH('2018'!$A35,INV_2!$A:$A,0),MATCH('2018'!$A$1,INV_2!$3:$3,0))/B35*10^6/C35</f>
        <v>0.31333147340507927</v>
      </c>
      <c r="P35" s="87">
        <f>INDEX(INV_3!$A:$J,MATCH('2018'!$A35,INV_3!$A:$A,0),MATCH('2018'!$A$1,INV_3!$3:$3,0))/B35*10^6/C35</f>
        <v>4.1944962434931696</v>
      </c>
      <c r="Q35" s="87">
        <f>INDEX(INV_4!$A:$J,MATCH('2018'!$A35,INV_4!$A:$A,0),MATCH('2018'!$A$1,INV_4!$3:$3,0))/B35*10^3/C35</f>
        <v>0.30869643342638375</v>
      </c>
      <c r="R35" s="34">
        <f>INDEX(INV_5!$A:$J,MATCH('2018'!$A35,INV_5!$A:$A,0),MATCH('2018'!$A$1,INV_5!$3:$3,0))</f>
        <v>4.2799999999999998E-2</v>
      </c>
      <c r="S35" s="77">
        <f>INDEX(LUJ_1!$A:$J,MATCH('2018'!$A35,LUJ_1!$A:$A,0),MATCH('2018'!$A$1,LUJ_1!$3:$3,0))</f>
        <v>0.68608923884514439</v>
      </c>
      <c r="T35" s="73">
        <f>INDEX(LUJ_2!$A:$J,MATCH('2018'!$A35,LUJ_2!$A:$A,0),MATCH('2018'!$A$1,LUJ_2!$3:$3,0))</f>
        <v>0.22564642212868311</v>
      </c>
      <c r="U35" s="73">
        <f>INDEX(LUJ_3!$A:$J,MATCH('2018'!$A35,LUJ_3!$A:$A,0),MATCH('2018'!$A$1,LUJ_3!$3:$3,0))</f>
        <v>0.40003066751453326</v>
      </c>
      <c r="V35" s="14">
        <f>INDEX(LUJ_4!$A:$J,MATCH('2018'!$A35,LUJ_4!$A:$A,0),MATCH('2018'!$A$1,LUJ_4!$3:$3,0))</f>
        <v>11</v>
      </c>
      <c r="W35" s="34">
        <f>INDEX(LUJ_5!$A:$J,MATCH('2018'!$A35,LUJ_5!$A:$A,0),MATCH('2018'!$A$1,LUJ_5!$3:$3,0))</f>
        <v>24.4</v>
      </c>
      <c r="X35" s="98">
        <f>1/INDEX(GUL_1!$A:$J,MATCH('2018'!$A35,GUL_1!$A:$A,0),MATCH('2018'!$A$1,GUL_1!$3:$3,0))</f>
        <v>1.3575889220743959E-2</v>
      </c>
      <c r="Y35" s="57" t="e">
        <f>INDEX(GUL_2!$A:$J,MATCH('2018'!$A35,GUL_2!$A:$A,0),MATCH('2018'!$A$1,GUL_2!$3:$3,0))</f>
        <v>#N/A</v>
      </c>
      <c r="Z35" s="57">
        <f>INDEX(GUL_3!$A:$J,MATCH('2018'!$A35,GUL_3!$A:$A,0),MATCH('2018'!$A$1,GUL_3!$3:$3,0))/(B35/1000)</f>
        <v>0.5535075912265951</v>
      </c>
      <c r="AA35" s="101">
        <f>INDEX(GUL_4!$A:$J,MATCH('2018'!$A35,GUL_4!$A:$A,0),MATCH('2018'!$A$1,GUL_4!$3:$3,0))/B35/C35*10^6</f>
        <v>0.33303415835592198</v>
      </c>
      <c r="AB35" s="73">
        <f>INDEX(GUL_5!$A:$J,MATCH('2018'!$A35,GUL_5!$A:$A,0),MATCH('2018'!$A$1,GUL_5!$3:$3,0))</f>
        <v>3.1256956439720533E-2</v>
      </c>
      <c r="AC35" s="49" t="e">
        <f>INDEX(GUL_6!$A:$J,MATCH('2018'!$A35,GUL_6!$A:$A,0),MATCH('2018'!$A$1,GUL_6!$3:$3,0))</f>
        <v>#N/A</v>
      </c>
      <c r="AD35" s="49" t="e">
        <f>INDEX(GUL_7!$A:$J,MATCH('2018'!$A35,GUL_7!$A:$A,0),MATCH('2018'!$A$1,GUL_7!$3:$3,0))</f>
        <v>#N/A</v>
      </c>
      <c r="AE35" s="103">
        <f>INDEX(GUL_8!$A:$J,MATCH('2018'!$A35,GUL_8!$A:$A,0),MATCH('2018'!$A$1,GUL_8!$3:$3,0))/(B35/1000)</f>
        <v>2.2140303649063804</v>
      </c>
      <c r="AF35" s="41">
        <f>INDEX(DES_1!$A:$J,MATCH('2018'!$A35,DES_1!$A:$A,0),MATCH('2018'!$A$1,DES_1!$3:$3,0))/(B35/1000)</f>
        <v>0.12258892960052106</v>
      </c>
      <c r="AG35" s="100">
        <f>INDEX(DES_2!$A:$J,MATCH('2018'!$A35,DES_2!$A:$A,0),MATCH('2018'!$A$1,DES_2!$3:$3,0))/(B35/1000)</f>
        <v>0.53864832703259258</v>
      </c>
      <c r="AH35" s="57">
        <f>1/INDEX(DES_3!$A:$J,MATCH('2018'!$A35,DES_3!$A:$A,0),MATCH('2018'!$A$1,DES_3!$3:$3,0))</f>
        <v>7.7279752704791345E-3</v>
      </c>
      <c r="AI35" s="80" t="e">
        <f>INDEX(DES_4!$A:$J,MATCH('2018'!$A35,DES_4!$A:$A,0),MATCH('2018'!$A$1,DES_4!$3:$3,0))</f>
        <v>#N/A</v>
      </c>
      <c r="AJ35" s="110" t="e">
        <f>INDEX(DES_5!$A:$J,MATCH('2018'!$A35,DES_5!$A:$A,0),MATCH('2018'!$A$1,DES_5!$3:$3,0))</f>
        <v>#N/A</v>
      </c>
      <c r="AK35" s="57">
        <v>48</v>
      </c>
    </row>
    <row r="36" spans="1:37" x14ac:dyDescent="0.3">
      <c r="A36" s="29" t="s">
        <v>35</v>
      </c>
      <c r="B36" s="33">
        <f>INDEX(Population!$A:$J,MATCH('2018'!$A36,Population!$A:$A,0),MATCH('2018'!$A$1,Population!$3:$3,0))</f>
        <v>3974375</v>
      </c>
      <c r="C36" s="14">
        <f>INDEX(Income!$A:$J,MATCH('2018'!$A36,Income!$A:$A,0),MATCH('2018'!$A$1,Income!$3:$3,0))</f>
        <v>33731</v>
      </c>
      <c r="D36" s="34">
        <f>INDEX(Livable_wage!$A:$J,MATCH('2018'!$A36,Livable_wage!$A:$A,0),MATCH('2018'!$A$1,Livable_wage!$3:$3,0))</f>
        <v>9276</v>
      </c>
      <c r="E36" s="41">
        <f>INDEX(AVA_1!$A:$J,MATCH('2018'!$A36,AVA_1!$A:$A,0),MATCH('2018'!$A$1,AVA_1!$3:$3,0))</f>
        <v>0.39800000000000002</v>
      </c>
      <c r="F36" s="15">
        <f>INDEX(AVA_2!$A:$J,MATCH('2018'!$A36,AVA_2!$A:$A,0),MATCH('2018'!$A$1,AVA_2!$3:$3,0))</f>
        <v>1.6329264576322836E-2</v>
      </c>
      <c r="G36" s="15">
        <f>INDEX(AVA_3!$A:$J,MATCH('2018'!$A36,AVA_3!$A:$A,0),MATCH('2018'!$A$1,AVA_3!$3:$3,0))</f>
        <v>0.11493073693922984</v>
      </c>
      <c r="H36" s="87">
        <f>INDEX(AVA_4!$A:$J,MATCH('2018'!$A36,AVA_4!$A:$A,0),MATCH('2018'!$A$1,AVA_4!$3:$3,0))/(B36/1000)</f>
        <v>0.55455260261047334</v>
      </c>
      <c r="I36" s="89">
        <f>INDEX(AVA_5!$A:$J,MATCH('2018'!$A36,AVA_5!$A:$A,0),MATCH('2018'!$A$1,AVA_5!$3:$3,0))/(B36/1000)</f>
        <v>4.1206479006133039</v>
      </c>
      <c r="J36" s="93">
        <f>INDEX(IRA_1!$A:$J,MATCH('2018'!$A36,IRA_1!$A:$A,0),MATCH('2018'!$A$1,IRA_1!$3:$3,0))/(B36/1000)</f>
        <v>6.1644912722126119E-2</v>
      </c>
      <c r="K36" s="88">
        <f>INDEX(IRA_2!$A:$J,MATCH('2018'!$A36,IRA_2!$A:$A,0),MATCH('2018'!$A$1,IRA_2!$3:$3,0))/(B36/1000)</f>
        <v>0.10945117156785658</v>
      </c>
      <c r="L36" s="15">
        <f>INDEX(IRA_3!$A:$J,MATCH('2018'!$A36,IRA_3!$A:$A,0),MATCH('2018'!$A$1,IRA_3!$3:$3,0))</f>
        <v>0.43848018601889871</v>
      </c>
      <c r="M36" s="96">
        <f>INDEX(IRA_4!$A:$J,MATCH('2018'!$A36,IRA_4!$A:$A,0),MATCH('2018'!$A$1,IRA_4!$3:$3,0))/(B36/1000)</f>
        <v>3.8544425224091836</v>
      </c>
      <c r="N36" s="61">
        <f>INDEX(INV_1!$A:$J,MATCH('2018'!$A36,INV_1!$A:$A,0),MATCH('2018'!$A$1,INV_1!$3:$3,0))</f>
        <v>6.8231650547270595E-2</v>
      </c>
      <c r="O36" s="80">
        <f>INDEX(INV_2!$A:$J,MATCH('2018'!$A36,INV_2!$A:$A,0),MATCH('2018'!$A$1,INV_2!$3:$3,0))/B36*10^6/C36</f>
        <v>0.3201249301326603</v>
      </c>
      <c r="P36" s="87">
        <f>INDEX(INV_3!$A:$J,MATCH('2018'!$A36,INV_3!$A:$A,0),MATCH('2018'!$A$1,INV_3!$3:$3,0))/B36*10^6/C36</f>
        <v>2.9198943908496995</v>
      </c>
      <c r="Q36" s="87">
        <f>INDEX(INV_4!$A:$J,MATCH('2018'!$A36,INV_4!$A:$A,0),MATCH('2018'!$A$1,INV_4!$3:$3,0))/B36*10^3/C36</f>
        <v>0.21072906537322994</v>
      </c>
      <c r="R36" s="34">
        <f>INDEX(INV_5!$A:$J,MATCH('2018'!$A36,INV_5!$A:$A,0),MATCH('2018'!$A$1,INV_5!$3:$3,0))</f>
        <v>0.15790000000000001</v>
      </c>
      <c r="S36" s="77">
        <f>INDEX(LUJ_1!$A:$J,MATCH('2018'!$A36,LUJ_1!$A:$A,0),MATCH('2018'!$A$1,LUJ_1!$3:$3,0))</f>
        <v>0.54116227629197666</v>
      </c>
      <c r="T36" s="73">
        <f>INDEX(LUJ_2!$A:$J,MATCH('2018'!$A36,LUJ_2!$A:$A,0),MATCH('2018'!$A$1,LUJ_2!$3:$3,0))</f>
        <v>0.15685383533484798</v>
      </c>
      <c r="U36" s="73">
        <f>INDEX(LUJ_3!$A:$J,MATCH('2018'!$A36,LUJ_3!$A:$A,0),MATCH('2018'!$A$1,LUJ_3!$3:$3,0))</f>
        <v>0.40413285729741427</v>
      </c>
      <c r="V36" s="14">
        <f>INDEX(LUJ_4!$A:$J,MATCH('2018'!$A36,LUJ_4!$A:$A,0),MATCH('2018'!$A$1,LUJ_4!$3:$3,0))</f>
        <v>230</v>
      </c>
      <c r="W36" s="34">
        <f>INDEX(LUJ_5!$A:$J,MATCH('2018'!$A36,LUJ_5!$A:$A,0),MATCH('2018'!$A$1,LUJ_5!$3:$3,0))</f>
        <v>30</v>
      </c>
      <c r="X36" s="98">
        <f>1/INDEX(GUL_1!$A:$J,MATCH('2018'!$A36,GUL_1!$A:$A,0),MATCH('2018'!$A$1,GUL_1!$3:$3,0))</f>
        <v>1.3449899125756557E-2</v>
      </c>
      <c r="Y36" s="57" t="e">
        <f>INDEX(GUL_2!$A:$J,MATCH('2018'!$A36,GUL_2!$A:$A,0),MATCH('2018'!$A$1,GUL_2!$3:$3,0))</f>
        <v>#N/A</v>
      </c>
      <c r="Z36" s="57">
        <f>INDEX(GUL_3!$A:$J,MATCH('2018'!$A36,GUL_3!$A:$A,0),MATCH('2018'!$A$1,GUL_3!$3:$3,0))/(B36/1000)</f>
        <v>0.53316559207422554</v>
      </c>
      <c r="AA36" s="101">
        <f>INDEX(GUL_4!$A:$J,MATCH('2018'!$A36,GUL_4!$A:$A,0),MATCH('2018'!$A$1,GUL_4!$3:$3,0))/B36/C36*10^6</f>
        <v>0.32871331724276515</v>
      </c>
      <c r="AB36" s="73">
        <f>INDEX(GUL_5!$A:$J,MATCH('2018'!$A36,GUL_5!$A:$A,0),MATCH('2018'!$A$1,GUL_5!$3:$3,0))</f>
        <v>2.0416255325151681E-2</v>
      </c>
      <c r="AC36" s="49" t="e">
        <f>INDEX(GUL_6!$A:$J,MATCH('2018'!$A36,GUL_6!$A:$A,0),MATCH('2018'!$A$1,GUL_6!$3:$3,0))</f>
        <v>#N/A</v>
      </c>
      <c r="AD36" s="49" t="e">
        <f>INDEX(GUL_7!$A:$J,MATCH('2018'!$A36,GUL_7!$A:$A,0),MATCH('2018'!$A$1,GUL_7!$3:$3,0))</f>
        <v>#N/A</v>
      </c>
      <c r="AE36" s="103">
        <f>INDEX(GUL_8!$A:$J,MATCH('2018'!$A36,GUL_8!$A:$A,0),MATCH('2018'!$A$1,GUL_8!$3:$3,0))/(B36/1000)</f>
        <v>1.9452115112439063</v>
      </c>
      <c r="AF36" s="41">
        <f>INDEX(DES_1!$A:$J,MATCH('2018'!$A36,DES_1!$A:$A,0),MATCH('2018'!$A$1,DES_1!$3:$3,0))/(B36/1000)</f>
        <v>9.4102846359490483E-2</v>
      </c>
      <c r="AG36" s="100">
        <f>INDEX(DES_2!$A:$J,MATCH('2018'!$A36,DES_2!$A:$A,0),MATCH('2018'!$A$1,DES_2!$3:$3,0))/(B36/1000)</f>
        <v>0.40660481207737065</v>
      </c>
      <c r="AH36" s="57">
        <f>1/INDEX(DES_3!$A:$J,MATCH('2018'!$A36,DES_3!$A:$A,0),MATCH('2018'!$A$1,DES_3!$3:$3,0))</f>
        <v>8.6058519793459545E-3</v>
      </c>
      <c r="AI36" s="80" t="e">
        <f>INDEX(DES_4!$A:$J,MATCH('2018'!$A36,DES_4!$A:$A,0),MATCH('2018'!$A$1,DES_4!$3:$3,0))</f>
        <v>#N/A</v>
      </c>
      <c r="AJ36" s="110" t="e">
        <f>INDEX(DES_5!$A:$J,MATCH('2018'!$A36,DES_5!$A:$A,0),MATCH('2018'!$A$1,DES_5!$3:$3,0))</f>
        <v>#N/A</v>
      </c>
      <c r="AK36" s="57">
        <v>50</v>
      </c>
    </row>
    <row r="37" spans="1:37" x14ac:dyDescent="0.3">
      <c r="A37" s="29" t="s">
        <v>36</v>
      </c>
      <c r="B37" s="33">
        <f>INDEX(Population!$A:$J,MATCH('2018'!$A37,Population!$A:$A,0),MATCH('2018'!$A$1,Population!$3:$3,0))</f>
        <v>1218763</v>
      </c>
      <c r="C37" s="14">
        <f>INDEX(Income!$A:$J,MATCH('2018'!$A37,Income!$A:$A,0),MATCH('2018'!$A$1,Income!$3:$3,0))</f>
        <v>22310</v>
      </c>
      <c r="D37" s="34">
        <f>INDEX(Livable_wage!$A:$J,MATCH('2018'!$A37,Livable_wage!$A:$A,0),MATCH('2018'!$A$1,Livable_wage!$3:$3,0))</f>
        <v>10572</v>
      </c>
      <c r="E37" s="41">
        <f>INDEX(AVA_1!$A:$J,MATCH('2018'!$A37,AVA_1!$A:$A,0),MATCH('2018'!$A$1,AVA_1!$3:$3,0))</f>
        <v>0.34</v>
      </c>
      <c r="F37" s="15">
        <f>INDEX(AVA_2!$A:$J,MATCH('2018'!$A37,AVA_2!$A:$A,0),MATCH('2018'!$A$1,AVA_2!$3:$3,0))</f>
        <v>9.9881484220574381E-3</v>
      </c>
      <c r="G37" s="15">
        <f>INDEX(AVA_3!$A:$J,MATCH('2018'!$A37,AVA_3!$A:$A,0),MATCH('2018'!$A$1,AVA_3!$3:$3,0))</f>
        <v>7.2101234994787645E-3</v>
      </c>
      <c r="H37" s="87">
        <f>INDEX(AVA_4!$A:$J,MATCH('2018'!$A37,AVA_4!$A:$A,0),MATCH('2018'!$A$1,AVA_4!$3:$3,0))/(B37/1000)</f>
        <v>0.64491619781696696</v>
      </c>
      <c r="I37" s="89">
        <f>INDEX(AVA_5!$A:$J,MATCH('2018'!$A37,AVA_5!$A:$A,0),MATCH('2018'!$A$1,AVA_5!$3:$3,0))/(B37/1000)</f>
        <v>5.5933762347560601</v>
      </c>
      <c r="J37" s="93">
        <f>INDEX(IRA_1!$A:$J,MATCH('2018'!$A37,IRA_1!$A:$A,0),MATCH('2018'!$A$1,IRA_1!$3:$3,0))/(B37/1000)</f>
        <v>5.4973772587451376E-2</v>
      </c>
      <c r="K37" s="88">
        <f>INDEX(IRA_2!$A:$J,MATCH('2018'!$A37,IRA_2!$A:$A,0),MATCH('2018'!$A$1,IRA_2!$3:$3,0))/(B37/1000)</f>
        <v>0.13292165909204662</v>
      </c>
      <c r="L37" s="15">
        <f>INDEX(IRA_3!$A:$J,MATCH('2018'!$A37,IRA_3!$A:$A,0),MATCH('2018'!$A$1,IRA_3!$3:$3,0))</f>
        <v>0.3458842379331063</v>
      </c>
      <c r="M37" s="96">
        <f>INDEX(IRA_4!$A:$J,MATCH('2018'!$A37,IRA_4!$A:$A,0),MATCH('2018'!$A$1,IRA_4!$3:$3,0))/(B37/1000)</f>
        <v>5.4391214698838084</v>
      </c>
      <c r="N37" s="61">
        <f>INDEX(INV_1!$A:$J,MATCH('2018'!$A37,INV_1!$A:$A,0),MATCH('2018'!$A$1,INV_1!$3:$3,0))</f>
        <v>7.7222143386635855E-2</v>
      </c>
      <c r="O37" s="80">
        <f>INDEX(INV_2!$A:$J,MATCH('2018'!$A37,INV_2!$A:$A,0),MATCH('2018'!$A$1,INV_2!$3:$3,0))/B37*10^6/C37</f>
        <v>0.34957636953843552</v>
      </c>
      <c r="P37" s="87">
        <f>INDEX(INV_3!$A:$J,MATCH('2018'!$A37,INV_3!$A:$A,0),MATCH('2018'!$A$1,INV_3!$3:$3,0))/B37*10^6/C37</f>
        <v>4.0859705068109795</v>
      </c>
      <c r="Q37" s="87">
        <f>INDEX(INV_4!$A:$J,MATCH('2018'!$A37,INV_4!$A:$A,0),MATCH('2018'!$A$1,INV_4!$3:$3,0))/B37*10^3/C37</f>
        <v>0.30328281217385733</v>
      </c>
      <c r="R37" s="34">
        <f>INDEX(INV_5!$A:$J,MATCH('2018'!$A37,INV_5!$A:$A,0),MATCH('2018'!$A$1,INV_5!$3:$3,0))</f>
        <v>4.3700000000000003E-2</v>
      </c>
      <c r="S37" s="77">
        <f>INDEX(LUJ_1!$A:$J,MATCH('2018'!$A37,LUJ_1!$A:$A,0),MATCH('2018'!$A$1,LUJ_1!$3:$3,0))</f>
        <v>0.76660572821450335</v>
      </c>
      <c r="T37" s="73">
        <f>INDEX(LUJ_2!$A:$J,MATCH('2018'!$A37,LUJ_2!$A:$A,0),MATCH('2018'!$A$1,LUJ_2!$3:$3,0))</f>
        <v>0.23531277253627214</v>
      </c>
      <c r="U37" s="73">
        <f>INDEX(LUJ_3!$A:$J,MATCH('2018'!$A37,LUJ_3!$A:$A,0),MATCH('2018'!$A$1,LUJ_3!$3:$3,0))</f>
        <v>0.64568302544993261</v>
      </c>
      <c r="V37" s="14">
        <f>INDEX(LUJ_4!$A:$J,MATCH('2018'!$A37,LUJ_4!$A:$A,0),MATCH('2018'!$A$1,LUJ_4!$3:$3,0))</f>
        <v>22</v>
      </c>
      <c r="W37" s="34">
        <f>INDEX(LUJ_5!$A:$J,MATCH('2018'!$A37,LUJ_5!$A:$A,0),MATCH('2018'!$A$1,LUJ_5!$3:$3,0))</f>
        <v>18.5</v>
      </c>
      <c r="X37" s="98">
        <f>1/INDEX(GUL_1!$A:$J,MATCH('2018'!$A37,GUL_1!$A:$A,0),MATCH('2018'!$A$1,GUL_1!$3:$3,0))</f>
        <v>1.3798813302056023E-2</v>
      </c>
      <c r="Y37" s="57" t="e">
        <f>INDEX(GUL_2!$A:$J,MATCH('2018'!$A37,GUL_2!$A:$A,0),MATCH('2018'!$A$1,GUL_2!$3:$3,0))</f>
        <v>#N/A</v>
      </c>
      <c r="Z37" s="57">
        <f>INDEX(GUL_3!$A:$J,MATCH('2018'!$A37,GUL_3!$A:$A,0),MATCH('2018'!$A$1,GUL_3!$3:$3,0))/(B37/1000)</f>
        <v>0.69168492971972406</v>
      </c>
      <c r="AA37" s="101">
        <f>INDEX(GUL_4!$A:$J,MATCH('2018'!$A37,GUL_4!$A:$A,0),MATCH('2018'!$A$1,GUL_4!$3:$3,0))/B37/C37*10^6</f>
        <v>0.4161323746877631</v>
      </c>
      <c r="AB37" s="73">
        <f>INDEX(GUL_5!$A:$J,MATCH('2018'!$A37,GUL_5!$A:$A,0),MATCH('2018'!$A$1,GUL_5!$3:$3,0))</f>
        <v>3.9254456204487455E-2</v>
      </c>
      <c r="AC37" s="49" t="e">
        <f>INDEX(GUL_6!$A:$J,MATCH('2018'!$A37,GUL_6!$A:$A,0),MATCH('2018'!$A$1,GUL_6!$3:$3,0))</f>
        <v>#N/A</v>
      </c>
      <c r="AD37" s="49" t="e">
        <f>INDEX(GUL_7!$A:$J,MATCH('2018'!$A37,GUL_7!$A:$A,0),MATCH('2018'!$A$1,GUL_7!$3:$3,0))</f>
        <v>#N/A</v>
      </c>
      <c r="AE37" s="103">
        <f>INDEX(GUL_8!$A:$J,MATCH('2018'!$A37,GUL_8!$A:$A,0),MATCH('2018'!$A$1,GUL_8!$3:$3,0))/(B37/1000)</f>
        <v>3.8727792031756794</v>
      </c>
      <c r="AF37" s="41">
        <f>INDEX(DES_1!$A:$J,MATCH('2018'!$A37,DES_1!$A:$A,0),MATCH('2018'!$A$1,DES_1!$3:$3,0))/(B37/1000)</f>
        <v>0.28963793616970651</v>
      </c>
      <c r="AG37" s="100">
        <f>INDEX(DES_2!$A:$J,MATCH('2018'!$A37,DES_2!$A:$A,0),MATCH('2018'!$A$1,DES_2!$3:$3,0))/(B37/1000)</f>
        <v>0.33066313959317767</v>
      </c>
      <c r="AH37" s="57">
        <f>1/INDEX(DES_3!$A:$J,MATCH('2018'!$A37,DES_3!$A:$A,0),MATCH('2018'!$A$1,DES_3!$3:$3,0))</f>
        <v>8.7183958151700082E-3</v>
      </c>
      <c r="AI37" s="80" t="e">
        <f>INDEX(DES_4!$A:$J,MATCH('2018'!$A37,DES_4!$A:$A,0),MATCH('2018'!$A$1,DES_4!$3:$3,0))</f>
        <v>#N/A</v>
      </c>
      <c r="AJ37" s="110" t="e">
        <f>INDEX(DES_5!$A:$J,MATCH('2018'!$A37,DES_5!$A:$A,0),MATCH('2018'!$A$1,DES_5!$3:$3,0))</f>
        <v>#N/A</v>
      </c>
      <c r="AK37" s="57">
        <v>52</v>
      </c>
    </row>
    <row r="38" spans="1:37" x14ac:dyDescent="0.3">
      <c r="A38" s="29" t="s">
        <v>37</v>
      </c>
      <c r="B38" s="33">
        <f>INDEX(Population!$A:$J,MATCH('2018'!$A38,Population!$A:$A,0),MATCH('2018'!$A$1,Population!$3:$3,0))</f>
        <v>610690</v>
      </c>
      <c r="C38" s="14">
        <f>INDEX(Income!$A:$J,MATCH('2018'!$A38,Income!$A:$A,0),MATCH('2018'!$A$1,Income!$3:$3,0))</f>
        <v>23716</v>
      </c>
      <c r="D38" s="34">
        <f>INDEX(Livable_wage!$A:$J,MATCH('2018'!$A38,Livable_wage!$A:$A,0),MATCH('2018'!$A$1,Livable_wage!$3:$3,0))</f>
        <v>10534</v>
      </c>
      <c r="E38" s="41">
        <f>INDEX(AVA_1!$A:$J,MATCH('2018'!$A38,AVA_1!$A:$A,0),MATCH('2018'!$A$1,AVA_1!$3:$3,0))</f>
        <v>0.33800000000000002</v>
      </c>
      <c r="F38" s="15">
        <f>INDEX(AVA_2!$A:$J,MATCH('2018'!$A38,AVA_2!$A:$A,0),MATCH('2018'!$A$1,AVA_2!$3:$3,0))</f>
        <v>1.2925387133111907E-2</v>
      </c>
      <c r="G38" s="15">
        <f>INDEX(AVA_3!$A:$J,MATCH('2018'!$A38,AVA_3!$A:$A,0),MATCH('2018'!$A$1,AVA_3!$3:$3,0))</f>
        <v>1.1715998118981146E-2</v>
      </c>
      <c r="H38" s="87">
        <f>INDEX(AVA_4!$A:$J,MATCH('2018'!$A38,AVA_4!$A:$A,0),MATCH('2018'!$A$1,AVA_4!$3:$3,0))/(B38/1000)</f>
        <v>0.70739655144181168</v>
      </c>
      <c r="I38" s="89">
        <f>INDEX(AVA_5!$A:$J,MATCH('2018'!$A38,AVA_5!$A:$A,0),MATCH('2018'!$A$1,AVA_5!$3:$3,0))/(B38/1000)</f>
        <v>4.6521148209402474</v>
      </c>
      <c r="J38" s="93">
        <f>INDEX(IRA_1!$A:$J,MATCH('2018'!$A38,IRA_1!$A:$A,0),MATCH('2018'!$A$1,IRA_1!$3:$3,0))/(B38/1000)</f>
        <v>3.6024824378981149E-2</v>
      </c>
      <c r="K38" s="88">
        <f>INDEX(IRA_2!$A:$J,MATCH('2018'!$A38,IRA_2!$A:$A,0),MATCH('2018'!$A$1,IRA_2!$3:$3,0))/(B38/1000)</f>
        <v>0.12117440927475477</v>
      </c>
      <c r="L38" s="15">
        <f>INDEX(IRA_3!$A:$J,MATCH('2018'!$A38,IRA_3!$A:$A,0),MATCH('2018'!$A$1,IRA_3!$3:$3,0))</f>
        <v>0.37561742254153574</v>
      </c>
      <c r="M38" s="96">
        <f>INDEX(IRA_4!$A:$J,MATCH('2018'!$A38,IRA_4!$A:$A,0),MATCH('2018'!$A$1,IRA_4!$3:$3,0))/(B38/1000)</f>
        <v>2.9196482667146997</v>
      </c>
      <c r="N38" s="61">
        <f>INDEX(INV_1!$A:$J,MATCH('2018'!$A38,INV_1!$A:$A,0),MATCH('2018'!$A$1,INV_1!$3:$3,0))</f>
        <v>6.8234325283441588E-2</v>
      </c>
      <c r="O38" s="80">
        <f>INDEX(INV_2!$A:$J,MATCH('2018'!$A38,INV_2!$A:$A,0),MATCH('2018'!$A$1,INV_2!$3:$3,0))/B38*10^6/C38</f>
        <v>0.40046783076505366</v>
      </c>
      <c r="P38" s="87">
        <f>INDEX(INV_3!$A:$J,MATCH('2018'!$A38,INV_3!$A:$A,0),MATCH('2018'!$A$1,INV_3!$3:$3,0))/B38*10^6/C38</f>
        <v>3.244465756850619</v>
      </c>
      <c r="Q38" s="87">
        <f>INDEX(INV_4!$A:$J,MATCH('2018'!$A38,INV_4!$A:$A,0),MATCH('2018'!$A$1,INV_4!$3:$3,0))/B38*10^3/C38</f>
        <v>0.32514712827109093</v>
      </c>
      <c r="R38" s="34">
        <f>INDEX(INV_5!$A:$J,MATCH('2018'!$A38,INV_5!$A:$A,0),MATCH('2018'!$A$1,INV_5!$3:$3,0))</f>
        <v>0.1429</v>
      </c>
      <c r="S38" s="77">
        <f>INDEX(LUJ_1!$A:$J,MATCH('2018'!$A38,LUJ_1!$A:$A,0),MATCH('2018'!$A$1,LUJ_1!$3:$3,0))</f>
        <v>0.71602884082085416</v>
      </c>
      <c r="T38" s="73">
        <f>INDEX(LUJ_2!$A:$J,MATCH('2018'!$A38,LUJ_2!$A:$A,0),MATCH('2018'!$A$1,LUJ_2!$3:$3,0))</f>
        <v>0.17784911717495988</v>
      </c>
      <c r="U38" s="73">
        <f>INDEX(LUJ_3!$A:$J,MATCH('2018'!$A38,LUJ_3!$A:$A,0),MATCH('2018'!$A$1,LUJ_3!$3:$3,0))</f>
        <v>0.53354735152487964</v>
      </c>
      <c r="V38" s="14">
        <f>INDEX(LUJ_4!$A:$J,MATCH('2018'!$A38,LUJ_4!$A:$A,0),MATCH('2018'!$A$1,LUJ_4!$3:$3,0))</f>
        <v>8</v>
      </c>
      <c r="W38" s="34">
        <f>INDEX(LUJ_5!$A:$J,MATCH('2018'!$A38,LUJ_5!$A:$A,0),MATCH('2018'!$A$1,LUJ_5!$3:$3,0))</f>
        <v>31.9</v>
      </c>
      <c r="X38" s="98">
        <f>1/INDEX(GUL_1!$A:$J,MATCH('2018'!$A38,GUL_1!$A:$A,0),MATCH('2018'!$A$1,GUL_1!$3:$3,0))</f>
        <v>1.3914011409489354E-2</v>
      </c>
      <c r="Y38" s="57" t="e">
        <f>INDEX(GUL_2!$A:$J,MATCH('2018'!$A38,GUL_2!$A:$A,0),MATCH('2018'!$A$1,GUL_2!$3:$3,0))</f>
        <v>#N/A</v>
      </c>
      <c r="Z38" s="57">
        <f>INDEX(GUL_3!$A:$J,MATCH('2018'!$A38,GUL_3!$A:$A,0),MATCH('2018'!$A$1,GUL_3!$3:$3,0))/(B38/1000)</f>
        <v>0.75488381994137776</v>
      </c>
      <c r="AA38" s="101">
        <f>INDEX(GUL_4!$A:$J,MATCH('2018'!$A38,GUL_4!$A:$A,0),MATCH('2018'!$A$1,GUL_4!$3:$3,0))/B38/C38*10^6</f>
        <v>0.30681916330532233</v>
      </c>
      <c r="AB38" s="73">
        <f>INDEX(GUL_5!$A:$J,MATCH('2018'!$A38,GUL_5!$A:$A,0),MATCH('2018'!$A$1,GUL_5!$3:$3,0))</f>
        <v>4.298442727238589E-2</v>
      </c>
      <c r="AC38" s="49" t="e">
        <f>INDEX(GUL_6!$A:$J,MATCH('2018'!$A38,GUL_6!$A:$A,0),MATCH('2018'!$A$1,GUL_6!$3:$3,0))</f>
        <v>#N/A</v>
      </c>
      <c r="AD38" s="49" t="e">
        <f>INDEX(GUL_7!$A:$J,MATCH('2018'!$A38,GUL_7!$A:$A,0),MATCH('2018'!$A$1,GUL_7!$3:$3,0))</f>
        <v>#N/A</v>
      </c>
      <c r="AE38" s="103">
        <f>INDEX(GUL_8!$A:$J,MATCH('2018'!$A38,GUL_8!$A:$A,0),MATCH('2018'!$A$1,GUL_8!$3:$3,0))/(B38/1000)</f>
        <v>2.9343856948697371</v>
      </c>
      <c r="AF38" s="41">
        <f>INDEX(DES_1!$A:$J,MATCH('2018'!$A38,DES_1!$A:$A,0),MATCH('2018'!$A$1,DES_1!$3:$3,0))/(B38/1000)</f>
        <v>0.18994907399826425</v>
      </c>
      <c r="AG38" s="100">
        <f>INDEX(DES_2!$A:$J,MATCH('2018'!$A38,DES_2!$A:$A,0),MATCH('2018'!$A$1,DES_2!$3:$3,0))/(B38/1000)</f>
        <v>0.45522278078894363</v>
      </c>
      <c r="AH38" s="57">
        <f>1/INDEX(DES_3!$A:$J,MATCH('2018'!$A38,DES_3!$A:$A,0),MATCH('2018'!$A$1,DES_3!$3:$3,0))</f>
        <v>8.3542188805346695E-3</v>
      </c>
      <c r="AI38" s="80" t="e">
        <f>INDEX(DES_4!$A:$J,MATCH('2018'!$A38,DES_4!$A:$A,0),MATCH('2018'!$A$1,DES_4!$3:$3,0))</f>
        <v>#N/A</v>
      </c>
      <c r="AJ38" s="110" t="e">
        <f>INDEX(DES_5!$A:$J,MATCH('2018'!$A38,DES_5!$A:$A,0),MATCH('2018'!$A$1,DES_5!$3:$3,0))</f>
        <v>#N/A</v>
      </c>
      <c r="AK38" s="57">
        <v>53</v>
      </c>
    </row>
    <row r="39" spans="1:37" x14ac:dyDescent="0.3">
      <c r="A39" s="29" t="s">
        <v>38</v>
      </c>
      <c r="B39" s="33">
        <f>INDEX(Population!$A:$J,MATCH('2018'!$A39,Population!$A:$A,0),MATCH('2018'!$A$1,Population!$3:$3,0))</f>
        <v>1273914</v>
      </c>
      <c r="C39" s="14">
        <f>INDEX(Income!$A:$J,MATCH('2018'!$A39,Income!$A:$A,0),MATCH('2018'!$A$1,Income!$3:$3,0))</f>
        <v>25125</v>
      </c>
      <c r="D39" s="34">
        <f>INDEX(Livable_wage!$A:$J,MATCH('2018'!$A39,Livable_wage!$A:$A,0),MATCH('2018'!$A$1,Livable_wage!$3:$3,0))</f>
        <v>10984</v>
      </c>
      <c r="E39" s="41">
        <f>INDEX(AVA_1!$A:$J,MATCH('2018'!$A39,AVA_1!$A:$A,0),MATCH('2018'!$A$1,AVA_1!$3:$3,0))</f>
        <v>0.33800000000000002</v>
      </c>
      <c r="F39" s="15">
        <f>INDEX(AVA_2!$A:$J,MATCH('2018'!$A39,AVA_2!$A:$A,0),MATCH('2018'!$A$1,AVA_2!$3:$3,0))</f>
        <v>1.0505082530087959E-2</v>
      </c>
      <c r="G39" s="15">
        <f>INDEX(AVA_3!$A:$J,MATCH('2018'!$A39,AVA_3!$A:$A,0),MATCH('2018'!$A$1,AVA_3!$3:$3,0))</f>
        <v>2.1119161977443818E-2</v>
      </c>
      <c r="H39" s="87">
        <f>INDEX(AVA_4!$A:$J,MATCH('2018'!$A39,AVA_4!$A:$A,0),MATCH('2018'!$A$1,AVA_4!$3:$3,0))/(B39/1000)</f>
        <v>0.78576732809279115</v>
      </c>
      <c r="I39" s="89">
        <f>INDEX(AVA_5!$A:$J,MATCH('2018'!$A39,AVA_5!$A:$A,0),MATCH('2018'!$A$1,AVA_5!$3:$3,0))/(B39/1000)</f>
        <v>6.1354220143588973</v>
      </c>
      <c r="J39" s="93">
        <f>INDEX(IRA_1!$A:$J,MATCH('2018'!$A39,IRA_1!$A:$A,0),MATCH('2018'!$A$1,IRA_1!$3:$3,0))/(B39/1000)</f>
        <v>8.7918022723668943E-2</v>
      </c>
      <c r="K39" s="88">
        <f>INDEX(IRA_2!$A:$J,MATCH('2018'!$A39,IRA_2!$A:$A,0),MATCH('2018'!$A$1,IRA_2!$3:$3,0))/(B39/1000)</f>
        <v>0.14365176927170908</v>
      </c>
      <c r="L39" s="15">
        <f>INDEX(IRA_3!$A:$J,MATCH('2018'!$A39,IRA_3!$A:$A,0),MATCH('2018'!$A$1,IRA_3!$3:$3,0))</f>
        <v>0.48381877022653719</v>
      </c>
      <c r="M39" s="96">
        <f>INDEX(IRA_4!$A:$J,MATCH('2018'!$A39,IRA_4!$A:$A,0),MATCH('2018'!$A$1,IRA_4!$3:$3,0))/(B39/1000)</f>
        <v>5.5349105198624082</v>
      </c>
      <c r="N39" s="61">
        <f>INDEX(INV_1!$A:$J,MATCH('2018'!$A39,INV_1!$A:$A,0),MATCH('2018'!$A$1,INV_1!$3:$3,0))</f>
        <v>7.2275862303641164E-2</v>
      </c>
      <c r="O39" s="80">
        <f>INDEX(INV_2!$A:$J,MATCH('2018'!$A39,INV_2!$A:$A,0),MATCH('2018'!$A$1,INV_2!$3:$3,0))/B39*10^6/C39</f>
        <v>0.26060500656116364</v>
      </c>
      <c r="P39" s="87">
        <f>INDEX(INV_3!$A:$J,MATCH('2018'!$A39,INV_3!$A:$A,0),MATCH('2018'!$A$1,INV_3!$3:$3,0))/B39*10^6/C39</f>
        <v>3.618479615418325</v>
      </c>
      <c r="Q39" s="87">
        <f>INDEX(INV_4!$A:$J,MATCH('2018'!$A39,INV_4!$A:$A,0),MATCH('2018'!$A$1,INV_4!$3:$3,0))/B39*10^3/C39</f>
        <v>0.2780761355861186</v>
      </c>
      <c r="R39" s="34">
        <f>INDEX(INV_5!$A:$J,MATCH('2018'!$A39,INV_5!$A:$A,0),MATCH('2018'!$A$1,INV_5!$3:$3,0))</f>
        <v>6.2600000000000003E-2</v>
      </c>
      <c r="S39" s="77">
        <f>INDEX(LUJ_1!$A:$J,MATCH('2018'!$A39,LUJ_1!$A:$A,0),MATCH('2018'!$A$1,LUJ_1!$3:$3,0))</f>
        <v>0.72366148531951646</v>
      </c>
      <c r="T39" s="73">
        <f>INDEX(LUJ_2!$A:$J,MATCH('2018'!$A39,LUJ_2!$A:$A,0),MATCH('2018'!$A$1,LUJ_2!$3:$3,0))</f>
        <v>0.21102972856527358</v>
      </c>
      <c r="U39" s="73">
        <f>INDEX(LUJ_3!$A:$J,MATCH('2018'!$A39,LUJ_3!$A:$A,0),MATCH('2018'!$A$1,LUJ_3!$3:$3,0))</f>
        <v>0.43136579060749675</v>
      </c>
      <c r="V39" s="14">
        <f>INDEX(LUJ_4!$A:$J,MATCH('2018'!$A39,LUJ_4!$A:$A,0),MATCH('2018'!$A$1,LUJ_4!$3:$3,0))</f>
        <v>30</v>
      </c>
      <c r="W39" s="34">
        <f>INDEX(LUJ_5!$A:$J,MATCH('2018'!$A39,LUJ_5!$A:$A,0),MATCH('2018'!$A$1,LUJ_5!$3:$3,0))</f>
        <v>43.2</v>
      </c>
      <c r="X39" s="98">
        <f>1/INDEX(GUL_1!$A:$J,MATCH('2018'!$A39,GUL_1!$A:$A,0),MATCH('2018'!$A$1,GUL_1!$3:$3,0))</f>
        <v>1.4190435646374344E-2</v>
      </c>
      <c r="Y39" s="57" t="e">
        <f>INDEX(GUL_2!$A:$J,MATCH('2018'!$A39,GUL_2!$A:$A,0),MATCH('2018'!$A$1,GUL_2!$3:$3,0))</f>
        <v>#N/A</v>
      </c>
      <c r="Z39" s="57">
        <f>INDEX(GUL_3!$A:$J,MATCH('2018'!$A39,GUL_3!$A:$A,0),MATCH('2018'!$A$1,GUL_3!$3:$3,0))/(B39/1000)</f>
        <v>0.96317333823162321</v>
      </c>
      <c r="AA39" s="101">
        <f>INDEX(GUL_4!$A:$J,MATCH('2018'!$A39,GUL_4!$A:$A,0),MATCH('2018'!$A$1,GUL_4!$3:$3,0))/B39/C39*10^6</f>
        <v>0.27128333764370649</v>
      </c>
      <c r="AB39" s="73">
        <f>INDEX(GUL_5!$A:$J,MATCH('2018'!$A39,GUL_5!$A:$A,0),MATCH('2018'!$A$1,GUL_5!$3:$3,0))</f>
        <v>3.4889228070104104E-2</v>
      </c>
      <c r="AC39" s="49" t="e">
        <f>INDEX(GUL_6!$A:$J,MATCH('2018'!$A39,GUL_6!$A:$A,0),MATCH('2018'!$A$1,GUL_6!$3:$3,0))</f>
        <v>#N/A</v>
      </c>
      <c r="AD39" s="49" t="e">
        <f>INDEX(GUL_7!$A:$J,MATCH('2018'!$A39,GUL_7!$A:$A,0),MATCH('2018'!$A$1,GUL_7!$3:$3,0))</f>
        <v>#N/A</v>
      </c>
      <c r="AE39" s="103">
        <f>INDEX(GUL_8!$A:$J,MATCH('2018'!$A39,GUL_8!$A:$A,0),MATCH('2018'!$A$1,GUL_8!$3:$3,0))/(B39/1000)</f>
        <v>2.4208855542838843</v>
      </c>
      <c r="AF39" s="41">
        <f>INDEX(DES_1!$A:$J,MATCH('2018'!$A39,DES_1!$A:$A,0),MATCH('2018'!$A$1,DES_1!$3:$3,0))/(B39/1000)</f>
        <v>0.19546060409101398</v>
      </c>
      <c r="AG39" s="100">
        <f>INDEX(DES_2!$A:$J,MATCH('2018'!$A39,DES_2!$A:$A,0),MATCH('2018'!$A$1,DES_2!$3:$3,0))/(B39/1000)</f>
        <v>0.2629690858252598</v>
      </c>
      <c r="AH39" s="57">
        <f>1/INDEX(DES_3!$A:$J,MATCH('2018'!$A39,DES_3!$A:$A,0),MATCH('2018'!$A$1,DES_3!$3:$3,0))</f>
        <v>8.7873462214411256E-3</v>
      </c>
      <c r="AI39" s="80" t="e">
        <f>INDEX(DES_4!$A:$J,MATCH('2018'!$A39,DES_4!$A:$A,0),MATCH('2018'!$A$1,DES_4!$3:$3,0))</f>
        <v>#N/A</v>
      </c>
      <c r="AJ39" s="110" t="e">
        <f>INDEX(DES_5!$A:$J,MATCH('2018'!$A39,DES_5!$A:$A,0),MATCH('2018'!$A$1,DES_5!$3:$3,0))</f>
        <v>#N/A</v>
      </c>
      <c r="AK39" s="57">
        <v>54</v>
      </c>
    </row>
    <row r="40" spans="1:37" x14ac:dyDescent="0.3">
      <c r="A40" s="29" t="s">
        <v>39</v>
      </c>
      <c r="B40" s="33">
        <f>INDEX(Population!$A:$J,MATCH('2018'!$A40,Population!$A:$A,0),MATCH('2018'!$A$1,Population!$3:$3,0))</f>
        <v>1529328</v>
      </c>
      <c r="C40" s="14">
        <f>INDEX(Income!$A:$J,MATCH('2018'!$A40,Income!$A:$A,0),MATCH('2018'!$A$1,Income!$3:$3,0))</f>
        <v>27212</v>
      </c>
      <c r="D40" s="34">
        <f>INDEX(Livable_wage!$A:$J,MATCH('2018'!$A40,Livable_wage!$A:$A,0),MATCH('2018'!$A$1,Livable_wage!$3:$3,0))</f>
        <v>10529</v>
      </c>
      <c r="E40" s="41">
        <f>INDEX(AVA_1!$A:$J,MATCH('2018'!$A40,AVA_1!$A:$A,0),MATCH('2018'!$A$1,AVA_1!$3:$3,0))</f>
        <v>0.35299999999999998</v>
      </c>
      <c r="F40" s="15">
        <f>INDEX(AVA_2!$A:$J,MATCH('2018'!$A40,AVA_2!$A:$A,0),MATCH('2018'!$A$1,AVA_2!$3:$3,0))</f>
        <v>1.0862474527794718E-2</v>
      </c>
      <c r="G40" s="15">
        <f>INDEX(AVA_3!$A:$J,MATCH('2018'!$A40,AVA_3!$A:$A,0),MATCH('2018'!$A$1,AVA_3!$3:$3,0))</f>
        <v>9.918041115549071E-3</v>
      </c>
      <c r="H40" s="87">
        <f>INDEX(AVA_4!$A:$J,MATCH('2018'!$A40,AVA_4!$A:$A,0),MATCH('2018'!$A$1,AVA_4!$3:$3,0))/(B40/1000)</f>
        <v>0.59960976324241755</v>
      </c>
      <c r="I40" s="89">
        <f>INDEX(AVA_5!$A:$J,MATCH('2018'!$A40,AVA_5!$A:$A,0),MATCH('2018'!$A$1,AVA_5!$3:$3,0))/(B40/1000)</f>
        <v>3.30079616668236</v>
      </c>
      <c r="J40" s="93">
        <f>INDEX(IRA_1!$A:$J,MATCH('2018'!$A40,IRA_1!$A:$A,0),MATCH('2018'!$A$1,IRA_1!$3:$3,0))/(B40/1000)</f>
        <v>5.0348911417302238E-2</v>
      </c>
      <c r="K40" s="88">
        <f>INDEX(IRA_2!$A:$J,MATCH('2018'!$A40,IRA_2!$A:$A,0),MATCH('2018'!$A$1,IRA_2!$3:$3,0))/(B40/1000)</f>
        <v>0.12881474739231871</v>
      </c>
      <c r="L40" s="15">
        <f>INDEX(IRA_3!$A:$J,MATCH('2018'!$A40,IRA_3!$A:$A,0),MATCH('2018'!$A$1,IRA_3!$3:$3,0))</f>
        <v>0.43538857748825932</v>
      </c>
      <c r="M40" s="96">
        <f>INDEX(IRA_4!$A:$J,MATCH('2018'!$A40,IRA_4!$A:$A,0),MATCH('2018'!$A$1,IRA_4!$3:$3,0))/(B40/1000)</f>
        <v>2.5998346986388792</v>
      </c>
      <c r="N40" s="61">
        <f>INDEX(INV_1!$A:$J,MATCH('2018'!$A40,INV_1!$A:$A,0),MATCH('2018'!$A$1,INV_1!$3:$3,0))</f>
        <v>8.4028866096270971E-2</v>
      </c>
      <c r="O40" s="80">
        <f>INDEX(INV_2!$A:$J,MATCH('2018'!$A40,INV_2!$A:$A,0),MATCH('2018'!$A$1,INV_2!$3:$3,0))/B40*10^6/C40</f>
        <v>0.37903556853711157</v>
      </c>
      <c r="P40" s="87">
        <f>INDEX(INV_3!$A:$J,MATCH('2018'!$A40,INV_3!$A:$A,0),MATCH('2018'!$A$1,INV_3!$3:$3,0))/B40*10^6/C40</f>
        <v>3.4033484652866028</v>
      </c>
      <c r="Q40" s="87">
        <f>INDEX(INV_4!$A:$J,MATCH('2018'!$A40,INV_4!$A:$A,0),MATCH('2018'!$A$1,INV_4!$3:$3,0))/B40*10^3/C40</f>
        <v>0.27333687523787831</v>
      </c>
      <c r="R40" s="34">
        <f>INDEX(INV_5!$A:$J,MATCH('2018'!$A40,INV_5!$A:$A,0),MATCH('2018'!$A$1,INV_5!$3:$3,0))</f>
        <v>6.9500000000000006E-2</v>
      </c>
      <c r="S40" s="77">
        <f>INDEX(LUJ_1!$A:$J,MATCH('2018'!$A40,LUJ_1!$A:$A,0),MATCH('2018'!$A$1,LUJ_1!$3:$3,0))</f>
        <v>0.71477581923577427</v>
      </c>
      <c r="T40" s="73">
        <f>INDEX(LUJ_2!$A:$J,MATCH('2018'!$A40,LUJ_2!$A:$A,0),MATCH('2018'!$A$1,LUJ_2!$3:$3,0))</f>
        <v>0.21077834591348105</v>
      </c>
      <c r="U40" s="73">
        <f>INDEX(LUJ_3!$A:$J,MATCH('2018'!$A40,LUJ_3!$A:$A,0),MATCH('2018'!$A$1,LUJ_3!$3:$3,0))</f>
        <v>0.37927147088018093</v>
      </c>
      <c r="V40" s="14">
        <f>INDEX(LUJ_4!$A:$J,MATCH('2018'!$A40,LUJ_4!$A:$A,0),MATCH('2018'!$A$1,LUJ_4!$3:$3,0))</f>
        <v>19</v>
      </c>
      <c r="W40" s="34">
        <f>INDEX(LUJ_5!$A:$J,MATCH('2018'!$A40,LUJ_5!$A:$A,0),MATCH('2018'!$A$1,LUJ_5!$3:$3,0))</f>
        <v>53.7</v>
      </c>
      <c r="X40" s="98">
        <f>1/INDEX(GUL_1!$A:$J,MATCH('2018'!$A40,GUL_1!$A:$A,0),MATCH('2018'!$A$1,GUL_1!$3:$3,0))</f>
        <v>1.3933398355858995E-2</v>
      </c>
      <c r="Y40" s="57" t="e">
        <f>INDEX(GUL_2!$A:$J,MATCH('2018'!$A40,GUL_2!$A:$A,0),MATCH('2018'!$A$1,GUL_2!$3:$3,0))</f>
        <v>#N/A</v>
      </c>
      <c r="Z40" s="57">
        <f>INDEX(GUL_3!$A:$J,MATCH('2018'!$A40,GUL_3!$A:$A,0),MATCH('2018'!$A$1,GUL_3!$3:$3,0))/(B40/1000)</f>
        <v>1.1325235659060713</v>
      </c>
      <c r="AA40" s="101">
        <f>INDEX(GUL_4!$A:$J,MATCH('2018'!$A40,GUL_4!$A:$A,0),MATCH('2018'!$A$1,GUL_4!$3:$3,0))/B40/C40*10^6</f>
        <v>0.20384431492946123</v>
      </c>
      <c r="AB40" s="73">
        <f>INDEX(GUL_5!$A:$J,MATCH('2018'!$A40,GUL_5!$A:$A,0),MATCH('2018'!$A$1,GUL_5!$3:$3,0))</f>
        <v>3.5800919799591373E-2</v>
      </c>
      <c r="AC40" s="49" t="e">
        <f>INDEX(GUL_6!$A:$J,MATCH('2018'!$A40,GUL_6!$A:$A,0),MATCH('2018'!$A$1,GUL_6!$3:$3,0))</f>
        <v>#N/A</v>
      </c>
      <c r="AD40" s="49" t="e">
        <f>INDEX(GUL_7!$A:$J,MATCH('2018'!$A40,GUL_7!$A:$A,0),MATCH('2018'!$A$1,GUL_7!$3:$3,0))</f>
        <v>#N/A</v>
      </c>
      <c r="AE40" s="103">
        <f>INDEX(GUL_8!$A:$J,MATCH('2018'!$A40,GUL_8!$A:$A,0),MATCH('2018'!$A$1,GUL_8!$3:$3,0))/(B40/1000)</f>
        <v>1.5582007260705355</v>
      </c>
      <c r="AF40" s="41">
        <f>INDEX(DES_1!$A:$J,MATCH('2018'!$A40,DES_1!$A:$A,0),MATCH('2018'!$A$1,DES_1!$3:$3,0))/(B40/1000)</f>
        <v>0.11769875396252472</v>
      </c>
      <c r="AG40" s="100">
        <f>INDEX(DES_2!$A:$J,MATCH('2018'!$A40,DES_2!$A:$A,0),MATCH('2018'!$A$1,DES_2!$3:$3,0))/(B40/1000)</f>
        <v>0.18504859650774719</v>
      </c>
      <c r="AH40" s="57">
        <f>1/INDEX(DES_3!$A:$J,MATCH('2018'!$A40,DES_3!$A:$A,0),MATCH('2018'!$A$1,DES_3!$3:$3,0))</f>
        <v>7.0621468926553672E-3</v>
      </c>
      <c r="AI40" s="80" t="e">
        <f>INDEX(DES_4!$A:$J,MATCH('2018'!$A40,DES_4!$A:$A,0),MATCH('2018'!$A$1,DES_4!$3:$3,0))</f>
        <v>#N/A</v>
      </c>
      <c r="AJ40" s="110" t="e">
        <f>INDEX(DES_5!$A:$J,MATCH('2018'!$A40,DES_5!$A:$A,0),MATCH('2018'!$A$1,DES_5!$3:$3,0))</f>
        <v>#N/A</v>
      </c>
      <c r="AK40" s="57">
        <v>65</v>
      </c>
    </row>
    <row r="41" spans="1:37" x14ac:dyDescent="0.3">
      <c r="A41" s="29" t="s">
        <v>40</v>
      </c>
      <c r="B41" s="33">
        <f>INDEX(Population!$A:$J,MATCH('2018'!$A41,Population!$A:$A,0),MATCH('2018'!$A$1,Population!$3:$3,0))</f>
        <v>1051953</v>
      </c>
      <c r="C41" s="14">
        <f>INDEX(Income!$A:$J,MATCH('2018'!$A41,Income!$A:$A,0),MATCH('2018'!$A$1,Income!$3:$3,0))</f>
        <v>29178</v>
      </c>
      <c r="D41" s="34">
        <f>INDEX(Livable_wage!$A:$J,MATCH('2018'!$A41,Livable_wage!$A:$A,0),MATCH('2018'!$A$1,Livable_wage!$3:$3,0))</f>
        <v>11039</v>
      </c>
      <c r="E41" s="41">
        <f>INDEX(AVA_1!$A:$J,MATCH('2018'!$A41,AVA_1!$A:$A,0),MATCH('2018'!$A$1,AVA_1!$3:$3,0))</f>
        <v>0.35899999999999999</v>
      </c>
      <c r="F41" s="15">
        <f>INDEX(AVA_2!$A:$J,MATCH('2018'!$A41,AVA_2!$A:$A,0),MATCH('2018'!$A$1,AVA_2!$3:$3,0))</f>
        <v>1.1027809063573564E-2</v>
      </c>
      <c r="G41" s="15">
        <f>INDEX(AVA_3!$A:$J,MATCH('2018'!$A41,AVA_3!$A:$A,0),MATCH('2018'!$A$1,AVA_3!$3:$3,0))</f>
        <v>2.5610588411264183E-2</v>
      </c>
      <c r="H41" s="87">
        <f>INDEX(AVA_4!$A:$J,MATCH('2018'!$A41,AVA_4!$A:$A,0),MATCH('2018'!$A$1,AVA_4!$3:$3,0))/(B41/1000)</f>
        <v>0.7823543447283291</v>
      </c>
      <c r="I41" s="89">
        <f>INDEX(AVA_5!$A:$J,MATCH('2018'!$A41,AVA_5!$A:$A,0),MATCH('2018'!$A$1,AVA_5!$3:$3,0))/(B41/1000)</f>
        <v>5.653294396232531</v>
      </c>
      <c r="J41" s="93">
        <f>INDEX(IRA_1!$A:$J,MATCH('2018'!$A41,IRA_1!$A:$A,0),MATCH('2018'!$A$1,IRA_1!$3:$3,0))/(B41/1000)</f>
        <v>6.083922000317505E-2</v>
      </c>
      <c r="K41" s="88">
        <f>INDEX(IRA_2!$A:$J,MATCH('2018'!$A41,IRA_2!$A:$A,0),MATCH('2018'!$A$1,IRA_2!$3:$3,0))/(B41/1000)</f>
        <v>0.14354253469499112</v>
      </c>
      <c r="L41" s="15">
        <f>INDEX(IRA_3!$A:$J,MATCH('2018'!$A41,IRA_3!$A:$A,0),MATCH('2018'!$A$1,IRA_3!$3:$3,0))</f>
        <v>0.4862281270252754</v>
      </c>
      <c r="M41" s="96">
        <f>INDEX(IRA_4!$A:$J,MATCH('2018'!$A41,IRA_4!$A:$A,0),MATCH('2018'!$A$1,IRA_4!$3:$3,0))/(B41/1000)</f>
        <v>4.6931754555574248</v>
      </c>
      <c r="N41" s="61">
        <f>INDEX(INV_1!$A:$J,MATCH('2018'!$A41,INV_1!$A:$A,0),MATCH('2018'!$A$1,INV_1!$3:$3,0))</f>
        <v>7.6980822516808961E-2</v>
      </c>
      <c r="O41" s="80">
        <f>INDEX(INV_2!$A:$J,MATCH('2018'!$A41,INV_2!$A:$A,0),MATCH('2018'!$A$1,INV_2!$3:$3,0))/B41*10^6/C41</f>
        <v>0.3902199962572519</v>
      </c>
      <c r="P41" s="87">
        <f>INDEX(INV_3!$A:$J,MATCH('2018'!$A41,INV_3!$A:$A,0),MATCH('2018'!$A$1,INV_3!$3:$3,0))/B41*10^6/C41</f>
        <v>3.6717411739783761</v>
      </c>
      <c r="Q41" s="87">
        <f>INDEX(INV_4!$A:$J,MATCH('2018'!$A41,INV_4!$A:$A,0),MATCH('2018'!$A$1,INV_4!$3:$3,0))/B41*10^3/C41</f>
        <v>0.26317393175616766</v>
      </c>
      <c r="R41" s="34">
        <f>INDEX(INV_5!$A:$J,MATCH('2018'!$A41,INV_5!$A:$A,0),MATCH('2018'!$A$1,INV_5!$3:$3,0))</f>
        <v>8.5099999999999995E-2</v>
      </c>
      <c r="S41" s="77">
        <f>INDEX(LUJ_1!$A:$J,MATCH('2018'!$A41,LUJ_1!$A:$A,0),MATCH('2018'!$A$1,LUJ_1!$3:$3,0))</f>
        <v>0.68088997256933859</v>
      </c>
      <c r="T41" s="73">
        <f>INDEX(LUJ_2!$A:$J,MATCH('2018'!$A41,LUJ_2!$A:$A,0),MATCH('2018'!$A$1,LUJ_2!$3:$3,0))</f>
        <v>0.19777885079671656</v>
      </c>
      <c r="U41" s="73">
        <f>INDEX(LUJ_3!$A:$J,MATCH('2018'!$A41,LUJ_3!$A:$A,0),MATCH('2018'!$A$1,LUJ_3!$3:$3,0))</f>
        <v>0.38358281023660068</v>
      </c>
      <c r="V41" s="14">
        <f>INDEX(LUJ_4!$A:$J,MATCH('2018'!$A41,LUJ_4!$A:$A,0),MATCH('2018'!$A$1,LUJ_4!$3:$3,0))</f>
        <v>30</v>
      </c>
      <c r="W41" s="34">
        <f>INDEX(LUJ_5!$A:$J,MATCH('2018'!$A41,LUJ_5!$A:$A,0),MATCH('2018'!$A$1,LUJ_5!$3:$3,0))</f>
        <v>29.9</v>
      </c>
      <c r="X41" s="98">
        <f>1/INDEX(GUL_1!$A:$J,MATCH('2018'!$A41,GUL_1!$A:$A,0),MATCH('2018'!$A$1,GUL_1!$3:$3,0))</f>
        <v>1.3910140492418973E-2</v>
      </c>
      <c r="Y41" s="57" t="e">
        <f>INDEX(GUL_2!$A:$J,MATCH('2018'!$A41,GUL_2!$A:$A,0),MATCH('2018'!$A$1,GUL_2!$3:$3,0))</f>
        <v>#N/A</v>
      </c>
      <c r="Z41" s="57">
        <f>INDEX(GUL_3!$A:$J,MATCH('2018'!$A41,GUL_3!$A:$A,0),MATCH('2018'!$A$1,GUL_3!$3:$3,0))/(B41/1000)</f>
        <v>0.8422429519189546</v>
      </c>
      <c r="AA41" s="101">
        <f>INDEX(GUL_4!$A:$J,MATCH('2018'!$A41,GUL_4!$A:$A,0),MATCH('2018'!$A$1,GUL_4!$3:$3,0))/B41/C41*10^6</f>
        <v>0.28718391644164021</v>
      </c>
      <c r="AB41" s="73">
        <f>INDEX(GUL_5!$A:$J,MATCH('2018'!$A41,GUL_5!$A:$A,0),MATCH('2018'!$A$1,GUL_5!$3:$3,0))</f>
        <v>3.1254052434798799E-2</v>
      </c>
      <c r="AC41" s="49" t="e">
        <f>INDEX(GUL_6!$A:$J,MATCH('2018'!$A41,GUL_6!$A:$A,0),MATCH('2018'!$A$1,GUL_6!$3:$3,0))</f>
        <v>#N/A</v>
      </c>
      <c r="AD41" s="49" t="e">
        <f>INDEX(GUL_7!$A:$J,MATCH('2018'!$A41,GUL_7!$A:$A,0),MATCH('2018'!$A$1,GUL_7!$3:$3,0))</f>
        <v>#N/A</v>
      </c>
      <c r="AE41" s="103">
        <f>INDEX(GUL_8!$A:$J,MATCH('2018'!$A41,GUL_8!$A:$A,0),MATCH('2018'!$A$1,GUL_8!$3:$3,0))/(B41/1000)</f>
        <v>2.187360081676653</v>
      </c>
      <c r="AF41" s="41">
        <f>INDEX(DES_1!$A:$J,MATCH('2018'!$A41,DES_1!$A:$A,0),MATCH('2018'!$A$1,DES_1!$3:$3,0))/(B41/1000)</f>
        <v>0.112172311880854</v>
      </c>
      <c r="AG41" s="100">
        <f>INDEX(DES_2!$A:$J,MATCH('2018'!$A41,DES_2!$A:$A,0),MATCH('2018'!$A$1,DES_2!$3:$3,0))/(B41/1000)</f>
        <v>0.34126999970531002</v>
      </c>
      <c r="AH41" s="57">
        <f>1/INDEX(DES_3!$A:$J,MATCH('2018'!$A41,DES_3!$A:$A,0),MATCH('2018'!$A$1,DES_3!$3:$3,0))</f>
        <v>8.1433224755700327E-3</v>
      </c>
      <c r="AI41" s="80" t="e">
        <f>INDEX(DES_4!$A:$J,MATCH('2018'!$A41,DES_4!$A:$A,0),MATCH('2018'!$A$1,DES_4!$3:$3,0))</f>
        <v>#N/A</v>
      </c>
      <c r="AJ41" s="110" t="e">
        <f>INDEX(DES_5!$A:$J,MATCH('2018'!$A41,DES_5!$A:$A,0),MATCH('2018'!$A$1,DES_5!$3:$3,0))</f>
        <v>#N/A</v>
      </c>
      <c r="AK41" s="57">
        <v>64</v>
      </c>
    </row>
    <row r="42" spans="1:37" x14ac:dyDescent="0.3">
      <c r="A42" s="29" t="s">
        <v>41</v>
      </c>
      <c r="B42" s="33">
        <f>INDEX(Population!$A:$J,MATCH('2018'!$A42,Population!$A:$A,0),MATCH('2018'!$A$1,Population!$3:$3,0))</f>
        <v>1234009</v>
      </c>
      <c r="C42" s="14">
        <f>INDEX(Income!$A:$J,MATCH('2018'!$A42,Income!$A:$A,0),MATCH('2018'!$A$1,Income!$3:$3,0))</f>
        <v>22797</v>
      </c>
      <c r="D42" s="34">
        <f>INDEX(Livable_wage!$A:$J,MATCH('2018'!$A42,Livable_wage!$A:$A,0),MATCH('2018'!$A$1,Livable_wage!$3:$3,0))</f>
        <v>10051</v>
      </c>
      <c r="E42" s="41">
        <f>INDEX(AVA_1!$A:$J,MATCH('2018'!$A42,AVA_1!$A:$A,0),MATCH('2018'!$A$1,AVA_1!$3:$3,0))</f>
        <v>0.35599999999999998</v>
      </c>
      <c r="F42" s="15">
        <f>INDEX(AVA_2!$A:$J,MATCH('2018'!$A42,AVA_2!$A:$A,0),MATCH('2018'!$A$1,AVA_2!$3:$3,0))</f>
        <v>1.3487830822078226E-2</v>
      </c>
      <c r="G42" s="15">
        <f>INDEX(AVA_3!$A:$J,MATCH('2018'!$A42,AVA_3!$A:$A,0),MATCH('2018'!$A$1,AVA_3!$3:$3,0))</f>
        <v>0.12785190815631622</v>
      </c>
      <c r="H42" s="87">
        <f>INDEX(AVA_4!$A:$J,MATCH('2018'!$A42,AVA_4!$A:$A,0),MATCH('2018'!$A$1,AVA_4!$3:$3,0))/(B42/1000)</f>
        <v>0.66936302733610531</v>
      </c>
      <c r="I42" s="89">
        <f>INDEX(AVA_5!$A:$J,MATCH('2018'!$A42,AVA_5!$A:$A,0),MATCH('2018'!$A$1,AVA_5!$3:$3,0))/(B42/1000)</f>
        <v>4.0680416431322621</v>
      </c>
      <c r="J42" s="93">
        <f>INDEX(IRA_1!$A:$J,MATCH('2018'!$A42,IRA_1!$A:$A,0),MATCH('2018'!$A$1,IRA_1!$3:$3,0))/(B42/1000)</f>
        <v>5.3484212837993886E-2</v>
      </c>
      <c r="K42" s="88">
        <f>INDEX(IRA_2!$A:$J,MATCH('2018'!$A42,IRA_2!$A:$A,0),MATCH('2018'!$A$1,IRA_2!$3:$3,0))/(B42/1000)</f>
        <v>0.14424530129034716</v>
      </c>
      <c r="L42" s="15">
        <f>INDEX(IRA_3!$A:$J,MATCH('2018'!$A42,IRA_3!$A:$A,0),MATCH('2018'!$A$1,IRA_3!$3:$3,0))</f>
        <v>0.39231784195865704</v>
      </c>
      <c r="M42" s="96">
        <f>INDEX(IRA_4!$A:$J,MATCH('2018'!$A42,IRA_4!$A:$A,0),MATCH('2018'!$A$1,IRA_4!$3:$3,0))/(B42/1000)</f>
        <v>2.4100310451544518</v>
      </c>
      <c r="N42" s="61">
        <f>INDEX(INV_1!$A:$J,MATCH('2018'!$A42,INV_1!$A:$A,0),MATCH('2018'!$A$1,INV_1!$3:$3,0))</f>
        <v>8.0438520529245119E-2</v>
      </c>
      <c r="O42" s="80">
        <f>INDEX(INV_2!$A:$J,MATCH('2018'!$A42,INV_2!$A:$A,0),MATCH('2018'!$A$1,INV_2!$3:$3,0))/B42*10^6/C42</f>
        <v>0.35706363607734626</v>
      </c>
      <c r="P42" s="87">
        <f>INDEX(INV_3!$A:$J,MATCH('2018'!$A42,INV_3!$A:$A,0),MATCH('2018'!$A$1,INV_3!$3:$3,0))/B42*10^6/C42</f>
        <v>3.9216608863513405</v>
      </c>
      <c r="Q42" s="87">
        <f>INDEX(INV_4!$A:$J,MATCH('2018'!$A42,INV_4!$A:$A,0),MATCH('2018'!$A$1,INV_4!$3:$3,0))/B42*10^3/C42</f>
        <v>0.29971830493691526</v>
      </c>
      <c r="R42" s="34">
        <f>INDEX(INV_5!$A:$J,MATCH('2018'!$A42,INV_5!$A:$A,0),MATCH('2018'!$A$1,INV_5!$3:$3,0))</f>
        <v>7.0400000000000004E-2</v>
      </c>
      <c r="S42" s="77">
        <f>INDEX(LUJ_1!$A:$J,MATCH('2018'!$A42,LUJ_1!$A:$A,0),MATCH('2018'!$A$1,LUJ_1!$3:$3,0))</f>
        <v>0.64795419634129314</v>
      </c>
      <c r="T42" s="73">
        <f>INDEX(LUJ_2!$A:$J,MATCH('2018'!$A42,LUJ_2!$A:$A,0),MATCH('2018'!$A$1,LUJ_2!$3:$3,0))</f>
        <v>0.16552644752210913</v>
      </c>
      <c r="U42" s="73">
        <f>INDEX(LUJ_3!$A:$J,MATCH('2018'!$A42,LUJ_3!$A:$A,0),MATCH('2018'!$A$1,LUJ_3!$3:$3,0))</f>
        <v>0.44885699983313865</v>
      </c>
      <c r="V42" s="14">
        <f>INDEX(LUJ_4!$A:$J,MATCH('2018'!$A42,LUJ_4!$A:$A,0),MATCH('2018'!$A$1,LUJ_4!$3:$3,0))</f>
        <v>13</v>
      </c>
      <c r="W42" s="34">
        <f>INDEX(LUJ_5!$A:$J,MATCH('2018'!$A42,LUJ_5!$A:$A,0),MATCH('2018'!$A$1,LUJ_5!$3:$3,0))</f>
        <v>106.6</v>
      </c>
      <c r="X42" s="98">
        <f>1/INDEX(GUL_1!$A:$J,MATCH('2018'!$A42,GUL_1!$A:$A,0),MATCH('2018'!$A$1,GUL_1!$3:$3,0))</f>
        <v>1.3856172925038103E-2</v>
      </c>
      <c r="Y42" s="57" t="e">
        <f>INDEX(GUL_2!$A:$J,MATCH('2018'!$A42,GUL_2!$A:$A,0),MATCH('2018'!$A$1,GUL_2!$3:$3,0))</f>
        <v>#N/A</v>
      </c>
      <c r="Z42" s="57">
        <f>INDEX(GUL_3!$A:$J,MATCH('2018'!$A42,GUL_3!$A:$A,0),MATCH('2018'!$A$1,GUL_3!$3:$3,0))/(B42/1000)</f>
        <v>0.67422522850319566</v>
      </c>
      <c r="AA42" s="101">
        <f>INDEX(GUL_4!$A:$J,MATCH('2018'!$A42,GUL_4!$A:$A,0),MATCH('2018'!$A$1,GUL_4!$3:$3,0))/B42/C42*10^6</f>
        <v>0.21836537810109785</v>
      </c>
      <c r="AB42" s="73">
        <f>INDEX(GUL_5!$A:$J,MATCH('2018'!$A42,GUL_5!$A:$A,0),MATCH('2018'!$A$1,GUL_5!$3:$3,0))</f>
        <v>1.6143041080174305E-2</v>
      </c>
      <c r="AC42" s="49" t="e">
        <f>INDEX(GUL_6!$A:$J,MATCH('2018'!$A42,GUL_6!$A:$A,0),MATCH('2018'!$A$1,GUL_6!$3:$3,0))</f>
        <v>#N/A</v>
      </c>
      <c r="AD42" s="49" t="e">
        <f>INDEX(GUL_7!$A:$J,MATCH('2018'!$A42,GUL_7!$A:$A,0),MATCH('2018'!$A$1,GUL_7!$3:$3,0))</f>
        <v>#N/A</v>
      </c>
      <c r="AE42" s="103">
        <f>INDEX(GUL_8!$A:$J,MATCH('2018'!$A42,GUL_8!$A:$A,0),MATCH('2018'!$A$1,GUL_8!$3:$3,0))/(B42/1000)</f>
        <v>2.093987969293579</v>
      </c>
      <c r="AF42" s="41">
        <f>INDEX(DES_1!$A:$J,MATCH('2018'!$A42,DES_1!$A:$A,0),MATCH('2018'!$A$1,DES_1!$3:$3,0))/(B42/1000)</f>
        <v>8.5898887285262904E-2</v>
      </c>
      <c r="AG42" s="100">
        <f>INDEX(DES_2!$A:$J,MATCH('2018'!$A42,DES_2!$A:$A,0),MATCH('2018'!$A$1,DES_2!$3:$3,0))/(B42/1000)</f>
        <v>0.51458295685039579</v>
      </c>
      <c r="AH42" s="57">
        <f>1/INDEX(DES_3!$A:$J,MATCH('2018'!$A42,DES_3!$A:$A,0),MATCH('2018'!$A$1,DES_3!$3:$3,0))</f>
        <v>8.8495575221238937E-3</v>
      </c>
      <c r="AI42" s="80" t="e">
        <f>INDEX(DES_4!$A:$J,MATCH('2018'!$A42,DES_4!$A:$A,0),MATCH('2018'!$A$1,DES_4!$3:$3,0))</f>
        <v>#N/A</v>
      </c>
      <c r="AJ42" s="110" t="e">
        <f>INDEX(DES_5!$A:$J,MATCH('2018'!$A42,DES_5!$A:$A,0),MATCH('2018'!$A$1,DES_5!$3:$3,0))</f>
        <v>#N/A</v>
      </c>
      <c r="AK42" s="57">
        <v>63</v>
      </c>
    </row>
    <row r="43" spans="1:37" x14ac:dyDescent="0.3">
      <c r="A43" s="29" t="s">
        <v>42</v>
      </c>
      <c r="B43" s="33">
        <f>INDEX(Population!$A:$J,MATCH('2018'!$A43,Population!$A:$A,0),MATCH('2018'!$A$1,Population!$3:$3,0))</f>
        <v>684692</v>
      </c>
      <c r="C43" s="14">
        <f>INDEX(Income!$A:$J,MATCH('2018'!$A43,Income!$A:$A,0),MATCH('2018'!$A$1,Income!$3:$3,0))</f>
        <v>19811</v>
      </c>
      <c r="D43" s="34">
        <f>INDEX(Livable_wage!$A:$J,MATCH('2018'!$A43,Livable_wage!$A:$A,0),MATCH('2018'!$A$1,Livable_wage!$3:$3,0))</f>
        <v>9447</v>
      </c>
      <c r="E43" s="41">
        <f>INDEX(AVA_1!$A:$J,MATCH('2018'!$A43,AVA_1!$A:$A,0),MATCH('2018'!$A$1,AVA_1!$3:$3,0))</f>
        <v>0.371</v>
      </c>
      <c r="F43" s="15">
        <f>INDEX(AVA_2!$A:$J,MATCH('2018'!$A43,AVA_2!$A:$A,0),MATCH('2018'!$A$1,AVA_2!$3:$3,0))</f>
        <v>1.0410763154586932E-2</v>
      </c>
      <c r="G43" s="15">
        <f>INDEX(AVA_3!$A:$J,MATCH('2018'!$A43,AVA_3!$A:$A,0),MATCH('2018'!$A$1,AVA_3!$3:$3,0))</f>
        <v>8.162083504109097E-3</v>
      </c>
      <c r="H43" s="87">
        <f>INDEX(AVA_4!$A:$J,MATCH('2018'!$A43,AVA_4!$A:$A,0),MATCH('2018'!$A$1,AVA_4!$3:$3,0))/(B43/1000)</f>
        <v>0.79159680557097201</v>
      </c>
      <c r="I43" s="89">
        <f>INDEX(AVA_5!$A:$J,MATCH('2018'!$A43,AVA_5!$A:$A,0),MATCH('2018'!$A$1,AVA_5!$3:$3,0))/(B43/1000)</f>
        <v>3.5315149001302775</v>
      </c>
      <c r="J43" s="93">
        <f>INDEX(IRA_1!$A:$J,MATCH('2018'!$A43,IRA_1!$A:$A,0),MATCH('2018'!$A$1,IRA_1!$3:$3,0))/(B43/1000)</f>
        <v>6.7183492723735638E-2</v>
      </c>
      <c r="K43" s="88">
        <f>INDEX(IRA_2!$A:$J,MATCH('2018'!$A43,IRA_2!$A:$A,0),MATCH('2018'!$A$1,IRA_2!$3:$3,0))/(B43/1000)</f>
        <v>0.15773515682964018</v>
      </c>
      <c r="L43" s="15">
        <f>INDEX(IRA_3!$A:$J,MATCH('2018'!$A43,IRA_3!$A:$A,0),MATCH('2018'!$A$1,IRA_3!$3:$3,0))</f>
        <v>0.44561219127693119</v>
      </c>
      <c r="M43" s="96">
        <f>INDEX(IRA_4!$A:$J,MATCH('2018'!$A43,IRA_4!$A:$A,0),MATCH('2018'!$A$1,IRA_4!$3:$3,0))/(B43/1000)</f>
        <v>3.7724991675088946</v>
      </c>
      <c r="N43" s="61">
        <f>INDEX(INV_1!$A:$J,MATCH('2018'!$A43,INV_1!$A:$A,0),MATCH('2018'!$A$1,INV_1!$3:$3,0))</f>
        <v>9.3020889281647298E-2</v>
      </c>
      <c r="O43" s="80">
        <f>INDEX(INV_2!$A:$J,MATCH('2018'!$A43,INV_2!$A:$A,0),MATCH('2018'!$A$1,INV_2!$3:$3,0))/B43*10^6/C43</f>
        <v>0.3825282618819385</v>
      </c>
      <c r="P43" s="87">
        <f>INDEX(INV_3!$A:$J,MATCH('2018'!$A43,INV_3!$A:$A,0),MATCH('2018'!$A$1,INV_3!$3:$3,0))/B43*10^6/C43</f>
        <v>4.0847265148523331</v>
      </c>
      <c r="Q43" s="87">
        <f>INDEX(INV_4!$A:$J,MATCH('2018'!$A43,INV_4!$A:$A,0),MATCH('2018'!$A$1,INV_4!$3:$3,0))/B43*10^3/C43</f>
        <v>0.3129944195710343</v>
      </c>
      <c r="R43" s="34">
        <f>INDEX(INV_5!$A:$J,MATCH('2018'!$A43,INV_5!$A:$A,0),MATCH('2018'!$A$1,INV_5!$3:$3,0))</f>
        <v>7.2800000000000004E-2</v>
      </c>
      <c r="S43" s="77">
        <f>INDEX(LUJ_1!$A:$J,MATCH('2018'!$A43,LUJ_1!$A:$A,0),MATCH('2018'!$A$1,LUJ_1!$3:$3,0))</f>
        <v>0.7277620396600567</v>
      </c>
      <c r="T43" s="73">
        <f>INDEX(LUJ_2!$A:$J,MATCH('2018'!$A43,LUJ_2!$A:$A,0),MATCH('2018'!$A$1,LUJ_2!$3:$3,0))</f>
        <v>0.229978354978355</v>
      </c>
      <c r="U43" s="73">
        <f>INDEX(LUJ_3!$A:$J,MATCH('2018'!$A43,LUJ_3!$A:$A,0),MATCH('2018'!$A$1,LUJ_3!$3:$3,0))</f>
        <v>0.63379329004328999</v>
      </c>
      <c r="V43" s="14">
        <f>INDEX(LUJ_4!$A:$J,MATCH('2018'!$A43,LUJ_4!$A:$A,0),MATCH('2018'!$A$1,LUJ_4!$3:$3,0))</f>
        <v>1</v>
      </c>
      <c r="W43" s="34">
        <f>INDEX(LUJ_5!$A:$J,MATCH('2018'!$A43,LUJ_5!$A:$A,0),MATCH('2018'!$A$1,LUJ_5!$3:$3,0))</f>
        <v>42</v>
      </c>
      <c r="X43" s="98">
        <f>1/INDEX(GUL_1!$A:$J,MATCH('2018'!$A43,GUL_1!$A:$A,0),MATCH('2018'!$A$1,GUL_1!$3:$3,0))</f>
        <v>1.3890818169190166E-2</v>
      </c>
      <c r="Y43" s="57" t="e">
        <f>INDEX(GUL_2!$A:$J,MATCH('2018'!$A43,GUL_2!$A:$A,0),MATCH('2018'!$A$1,GUL_2!$3:$3,0))</f>
        <v>#N/A</v>
      </c>
      <c r="Z43" s="57">
        <f>INDEX(GUL_3!$A:$J,MATCH('2018'!$A43,GUL_3!$A:$A,0),MATCH('2018'!$A$1,GUL_3!$3:$3,0))/(B43/1000)</f>
        <v>0.64262471300964519</v>
      </c>
      <c r="AA43" s="101">
        <f>INDEX(GUL_4!$A:$J,MATCH('2018'!$A43,GUL_4!$A:$A,0),MATCH('2018'!$A$1,GUL_4!$3:$3,0))/B43/C43*10^6</f>
        <v>0.37285745161292189</v>
      </c>
      <c r="AB43" s="73">
        <f>INDEX(GUL_5!$A:$J,MATCH('2018'!$A43,GUL_5!$A:$A,0),MATCH('2018'!$A$1,GUL_5!$3:$3,0))</f>
        <v>2.9238164731159949E-2</v>
      </c>
      <c r="AC43" s="49" t="e">
        <f>INDEX(GUL_6!$A:$J,MATCH('2018'!$A43,GUL_6!$A:$A,0),MATCH('2018'!$A$1,GUL_6!$3:$3,0))</f>
        <v>#N/A</v>
      </c>
      <c r="AD43" s="49" t="e">
        <f>INDEX(GUL_7!$A:$J,MATCH('2018'!$A43,GUL_7!$A:$A,0),MATCH('2018'!$A$1,GUL_7!$3:$3,0))</f>
        <v>#N/A</v>
      </c>
      <c r="AE43" s="103">
        <f>INDEX(GUL_8!$A:$J,MATCH('2018'!$A43,GUL_8!$A:$A,0),MATCH('2018'!$A$1,GUL_8!$3:$3,0))/(B43/1000)</f>
        <v>2.5018548486034597</v>
      </c>
      <c r="AF43" s="41">
        <f>INDEX(DES_1!$A:$J,MATCH('2018'!$A43,DES_1!$A:$A,0),MATCH('2018'!$A$1,DES_1!$3:$3,0))/(B43/1000)</f>
        <v>0.1372880068702424</v>
      </c>
      <c r="AG43" s="100">
        <f>INDEX(DES_2!$A:$J,MATCH('2018'!$A43,DES_2!$A:$A,0),MATCH('2018'!$A$1,DES_2!$3:$3,0))/(B43/1000)</f>
        <v>0.2497473316469303</v>
      </c>
      <c r="AH43" s="57">
        <f>1/INDEX(DES_3!$A:$J,MATCH('2018'!$A43,DES_3!$A:$A,0),MATCH('2018'!$A$1,DES_3!$3:$3,0))</f>
        <v>7.9051383399209481E-3</v>
      </c>
      <c r="AI43" s="80" t="e">
        <f>INDEX(DES_4!$A:$J,MATCH('2018'!$A43,DES_4!$A:$A,0),MATCH('2018'!$A$1,DES_4!$3:$3,0))</f>
        <v>#N/A</v>
      </c>
      <c r="AJ43" s="110" t="e">
        <f>INDEX(DES_5!$A:$J,MATCH('2018'!$A43,DES_5!$A:$A,0),MATCH('2018'!$A$1,DES_5!$3:$3,0))</f>
        <v>#N/A</v>
      </c>
      <c r="AK43" s="57">
        <v>60</v>
      </c>
    </row>
    <row r="44" spans="1:37" x14ac:dyDescent="0.3">
      <c r="A44" s="29" t="s">
        <v>43</v>
      </c>
      <c r="B44" s="33">
        <f>INDEX(Population!$A:$J,MATCH('2018'!$A44,Population!$A:$A,0),MATCH('2018'!$A$1,Population!$3:$3,0))</f>
        <v>930243</v>
      </c>
      <c r="C44" s="14">
        <f>INDEX(Income!$A:$J,MATCH('2018'!$A44,Income!$A:$A,0),MATCH('2018'!$A$1,Income!$3:$3,0))</f>
        <v>25985</v>
      </c>
      <c r="D44" s="34">
        <f>INDEX(Livable_wage!$A:$J,MATCH('2018'!$A44,Livable_wage!$A:$A,0),MATCH('2018'!$A$1,Livable_wage!$3:$3,0))</f>
        <v>10909</v>
      </c>
      <c r="E44" s="41">
        <f>INDEX(AVA_1!$A:$J,MATCH('2018'!$A44,AVA_1!$A:$A,0),MATCH('2018'!$A$1,AVA_1!$3:$3,0))</f>
        <v>0.38200000000000001</v>
      </c>
      <c r="F44" s="15">
        <f>INDEX(AVA_2!$A:$J,MATCH('2018'!$A44,AVA_2!$A:$A,0),MATCH('2018'!$A$1,AVA_2!$3:$3,0))</f>
        <v>8.4070980476210286E-3</v>
      </c>
      <c r="G44" s="15">
        <f>INDEX(AVA_3!$A:$J,MATCH('2018'!$A44,AVA_3!$A:$A,0),MATCH('2018'!$A$1,AVA_3!$3:$3,0))</f>
        <v>9.0844963537720508E-3</v>
      </c>
      <c r="H44" s="87">
        <f>INDEX(AVA_4!$A:$J,MATCH('2018'!$A44,AVA_4!$A:$A,0),MATCH('2018'!$A$1,AVA_4!$3:$3,0))/(B44/1000)</f>
        <v>0.70949203595189636</v>
      </c>
      <c r="I44" s="89">
        <f>INDEX(AVA_5!$A:$J,MATCH('2018'!$A44,AVA_5!$A:$A,0),MATCH('2018'!$A$1,AVA_5!$3:$3,0))/(B44/1000)</f>
        <v>4.6600726906840464</v>
      </c>
      <c r="J44" s="93">
        <f>INDEX(IRA_1!$A:$J,MATCH('2018'!$A44,IRA_1!$A:$A,0),MATCH('2018'!$A$1,IRA_1!$3:$3,0))/(B44/1000)</f>
        <v>5.5899372529543349E-2</v>
      </c>
      <c r="K44" s="88">
        <f>INDEX(IRA_2!$A:$J,MATCH('2018'!$A44,IRA_2!$A:$A,0),MATCH('2018'!$A$1,IRA_2!$3:$3,0))/(B44/1000)</f>
        <v>0.16339816585558825</v>
      </c>
      <c r="L44" s="15">
        <f>INDEX(IRA_3!$A:$J,MATCH('2018'!$A44,IRA_3!$A:$A,0),MATCH('2018'!$A$1,IRA_3!$3:$3,0))</f>
        <v>0.43453215008562973</v>
      </c>
      <c r="M44" s="96">
        <f>INDEX(IRA_4!$A:$J,MATCH('2018'!$A44,IRA_4!$A:$A,0),MATCH('2018'!$A$1,IRA_4!$3:$3,0))/(B44/1000)</f>
        <v>4.2419023846457318</v>
      </c>
      <c r="N44" s="61">
        <f>INDEX(INV_1!$A:$J,MATCH('2018'!$A44,INV_1!$A:$A,0),MATCH('2018'!$A$1,INV_1!$3:$3,0))</f>
        <v>8.5413253160857738E-2</v>
      </c>
      <c r="O44" s="80">
        <f>INDEX(INV_2!$A:$J,MATCH('2018'!$A44,INV_2!$A:$A,0),MATCH('2018'!$A$1,INV_2!$3:$3,0))/B44*10^6/C44</f>
        <v>0.31034580696481479</v>
      </c>
      <c r="P44" s="87">
        <f>INDEX(INV_3!$A:$J,MATCH('2018'!$A44,INV_3!$A:$A,0),MATCH('2018'!$A$1,INV_3!$3:$3,0))/B44*10^6/C44</f>
        <v>3.3583806204380702</v>
      </c>
      <c r="Q44" s="87">
        <f>INDEX(INV_4!$A:$J,MATCH('2018'!$A44,INV_4!$A:$A,0),MATCH('2018'!$A$1,INV_4!$3:$3,0))/B44*10^3/C44</f>
        <v>0.26677366373000794</v>
      </c>
      <c r="R44" s="34">
        <f>INDEX(INV_5!$A:$J,MATCH('2018'!$A44,INV_5!$A:$A,0),MATCH('2018'!$A$1,INV_5!$3:$3,0))</f>
        <v>5.3499999999999999E-2</v>
      </c>
      <c r="S44" s="77">
        <f>INDEX(LUJ_1!$A:$J,MATCH('2018'!$A44,LUJ_1!$A:$A,0),MATCH('2018'!$A$1,LUJ_1!$3:$3,0))</f>
        <v>0.79339316402520532</v>
      </c>
      <c r="T44" s="73">
        <f>INDEX(LUJ_2!$A:$J,MATCH('2018'!$A44,LUJ_2!$A:$A,0),MATCH('2018'!$A$1,LUJ_2!$3:$3,0))</f>
        <v>0.22190939339646787</v>
      </c>
      <c r="U44" s="73">
        <f>INDEX(LUJ_3!$A:$J,MATCH('2018'!$A44,LUJ_3!$A:$A,0),MATCH('2018'!$A$1,LUJ_3!$3:$3,0))</f>
        <v>0.52815459431789091</v>
      </c>
      <c r="V44" s="14">
        <f>INDEX(LUJ_4!$A:$J,MATCH('2018'!$A44,LUJ_4!$A:$A,0),MATCH('2018'!$A$1,LUJ_4!$3:$3,0))</f>
        <v>18</v>
      </c>
      <c r="W44" s="34">
        <f>INDEX(LUJ_5!$A:$J,MATCH('2018'!$A44,LUJ_5!$A:$A,0),MATCH('2018'!$A$1,LUJ_5!$3:$3,0))</f>
        <v>27.1</v>
      </c>
      <c r="X44" s="98">
        <f>1/INDEX(GUL_1!$A:$J,MATCH('2018'!$A44,GUL_1!$A:$A,0),MATCH('2018'!$A$1,GUL_1!$3:$3,0))</f>
        <v>1.4052838673412029E-2</v>
      </c>
      <c r="Y44" s="57" t="e">
        <f>INDEX(GUL_2!$A:$J,MATCH('2018'!$A44,GUL_2!$A:$A,0),MATCH('2018'!$A$1,GUL_2!$3:$3,0))</f>
        <v>#N/A</v>
      </c>
      <c r="Z44" s="57">
        <f>INDEX(GUL_3!$A:$J,MATCH('2018'!$A44,GUL_3!$A:$A,0),MATCH('2018'!$A$1,GUL_3!$3:$3,0))/(B44/1000)</f>
        <v>0.78366620334686743</v>
      </c>
      <c r="AA44" s="101">
        <f>INDEX(GUL_4!$A:$J,MATCH('2018'!$A44,GUL_4!$A:$A,0),MATCH('2018'!$A$1,GUL_4!$3:$3,0))/B44/C44*10^6</f>
        <v>0.28788660876529304</v>
      </c>
      <c r="AB44" s="73">
        <f>INDEX(GUL_5!$A:$J,MATCH('2018'!$A44,GUL_5!$A:$A,0),MATCH('2018'!$A$1,GUL_5!$3:$3,0))</f>
        <v>1.7648131489461802E-2</v>
      </c>
      <c r="AC44" s="49" t="e">
        <f>INDEX(GUL_6!$A:$J,MATCH('2018'!$A44,GUL_6!$A:$A,0),MATCH('2018'!$A$1,GUL_6!$3:$3,0))</f>
        <v>#N/A</v>
      </c>
      <c r="AD44" s="49" t="e">
        <f>INDEX(GUL_7!$A:$J,MATCH('2018'!$A44,GUL_7!$A:$A,0),MATCH('2018'!$A$1,GUL_7!$3:$3,0))</f>
        <v>#N/A</v>
      </c>
      <c r="AE44" s="103">
        <f>INDEX(GUL_8!$A:$J,MATCH('2018'!$A44,GUL_8!$A:$A,0),MATCH('2018'!$A$1,GUL_8!$3:$3,0))/(B44/1000)</f>
        <v>2.6358704123546213</v>
      </c>
      <c r="AF44" s="41">
        <f>INDEX(DES_1!$A:$J,MATCH('2018'!$A44,DES_1!$A:$A,0),MATCH('2018'!$A$1,DES_1!$3:$3,0))/(B44/1000)</f>
        <v>0.11287373299234715</v>
      </c>
      <c r="AG44" s="100">
        <f>INDEX(DES_2!$A:$J,MATCH('2018'!$A44,DES_2!$A:$A,0),MATCH('2018'!$A$1,DES_2!$3:$3,0))/(B44/1000)</f>
        <v>0.45901984750221175</v>
      </c>
      <c r="AH44" s="57">
        <f>1/INDEX(DES_3!$A:$J,MATCH('2018'!$A44,DES_3!$A:$A,0),MATCH('2018'!$A$1,DES_3!$3:$3,0))</f>
        <v>7.9176563737133818E-3</v>
      </c>
      <c r="AI44" s="80" t="e">
        <f>INDEX(DES_4!$A:$J,MATCH('2018'!$A44,DES_4!$A:$A,0),MATCH('2018'!$A$1,DES_4!$3:$3,0))</f>
        <v>#N/A</v>
      </c>
      <c r="AJ44" s="110" t="e">
        <f>INDEX(DES_5!$A:$J,MATCH('2018'!$A44,DES_5!$A:$A,0),MATCH('2018'!$A$1,DES_5!$3:$3,0))</f>
        <v>#N/A</v>
      </c>
      <c r="AK44" s="57">
        <v>58</v>
      </c>
    </row>
    <row r="45" spans="1:37" x14ac:dyDescent="0.3">
      <c r="A45" s="29" t="s">
        <v>44</v>
      </c>
      <c r="B45" s="33">
        <f>INDEX(Population!$A:$J,MATCH('2018'!$A45,Population!$A:$A,0),MATCH('2018'!$A$1,Population!$3:$3,0))</f>
        <v>2596807</v>
      </c>
      <c r="C45" s="14">
        <f>INDEX(Income!$A:$J,MATCH('2018'!$A45,Income!$A:$A,0),MATCH('2018'!$A$1,Income!$3:$3,0))</f>
        <v>28737</v>
      </c>
      <c r="D45" s="34">
        <f>INDEX(Livable_wage!$A:$J,MATCH('2018'!$A45,Livable_wage!$A:$A,0),MATCH('2018'!$A$1,Livable_wage!$3:$3,0))</f>
        <v>10804</v>
      </c>
      <c r="E45" s="41">
        <f>INDEX(AVA_1!$A:$J,MATCH('2018'!$A45,AVA_1!$A:$A,0),MATCH('2018'!$A$1,AVA_1!$3:$3,0))</f>
        <v>0.40100000000000002</v>
      </c>
      <c r="F45" s="15">
        <f>INDEX(AVA_2!$A:$J,MATCH('2018'!$A45,AVA_2!$A:$A,0),MATCH('2018'!$A$1,AVA_2!$3:$3,0))</f>
        <v>1.260163837719165E-2</v>
      </c>
      <c r="G45" s="15">
        <f>INDEX(AVA_3!$A:$J,MATCH('2018'!$A45,AVA_3!$A:$A,0),MATCH('2018'!$A$1,AVA_3!$3:$3,0))</f>
        <v>2.312843426275038E-2</v>
      </c>
      <c r="H45" s="87">
        <f>INDEX(AVA_4!$A:$J,MATCH('2018'!$A45,AVA_4!$A:$A,0),MATCH('2018'!$A$1,AVA_4!$3:$3,0))/(B45/1000)</f>
        <v>0.79520734502024992</v>
      </c>
      <c r="I45" s="89">
        <f>INDEX(AVA_5!$A:$J,MATCH('2018'!$A45,AVA_5!$A:$A,0),MATCH('2018'!$A$1,AVA_5!$3:$3,0))/(B45/1000)</f>
        <v>6.0493521466939981</v>
      </c>
      <c r="J45" s="93">
        <f>INDEX(IRA_1!$A:$J,MATCH('2018'!$A45,IRA_1!$A:$A,0),MATCH('2018'!$A$1,IRA_1!$3:$3,0))/(B45/1000)</f>
        <v>7.7787837139995389E-2</v>
      </c>
      <c r="K45" s="88">
        <f>INDEX(IRA_2!$A:$J,MATCH('2018'!$A45,IRA_2!$A:$A,0),MATCH('2018'!$A$1,IRA_2!$3:$3,0))/(B45/1000)</f>
        <v>0.24530124880285675</v>
      </c>
      <c r="L45" s="15">
        <f>INDEX(IRA_3!$A:$J,MATCH('2018'!$A45,IRA_3!$A:$A,0),MATCH('2018'!$A$1,IRA_3!$3:$3,0))</f>
        <v>0.3839517670702417</v>
      </c>
      <c r="M45" s="96">
        <f>INDEX(IRA_4!$A:$J,MATCH('2018'!$A45,IRA_4!$A:$A,0),MATCH('2018'!$A$1,IRA_4!$3:$3,0))/(B45/1000)</f>
        <v>4.2529152147233127</v>
      </c>
      <c r="N45" s="61">
        <f>INDEX(INV_1!$A:$J,MATCH('2018'!$A45,INV_1!$A:$A,0),MATCH('2018'!$A$1,INV_1!$3:$3,0))</f>
        <v>8.0217124555743494E-2</v>
      </c>
      <c r="O45" s="80">
        <f>INDEX(INV_2!$A:$J,MATCH('2018'!$A45,INV_2!$A:$A,0),MATCH('2018'!$A$1,INV_2!$3:$3,0))/B45*10^6/C45</f>
        <v>0.43802443681306791</v>
      </c>
      <c r="P45" s="87">
        <f>INDEX(INV_3!$A:$J,MATCH('2018'!$A45,INV_3!$A:$A,0),MATCH('2018'!$A$1,INV_3!$3:$3,0))/B45*10^6/C45</f>
        <v>3.6895149875915743</v>
      </c>
      <c r="Q45" s="87">
        <f>INDEX(INV_4!$A:$J,MATCH('2018'!$A45,INV_4!$A:$A,0),MATCH('2018'!$A$1,INV_4!$3:$3,0))/B45*10^3/C45</f>
        <v>0.25754487121690561</v>
      </c>
      <c r="R45" s="34">
        <f>INDEX(INV_5!$A:$J,MATCH('2018'!$A45,INV_5!$A:$A,0),MATCH('2018'!$A$1,INV_5!$3:$3,0))</f>
        <v>6.9500000000000006E-2</v>
      </c>
      <c r="S45" s="77">
        <f>INDEX(LUJ_1!$A:$J,MATCH('2018'!$A45,LUJ_1!$A:$A,0),MATCH('2018'!$A$1,LUJ_1!$3:$3,0))</f>
        <v>0.6514073803878655</v>
      </c>
      <c r="T45" s="73">
        <f>INDEX(LUJ_2!$A:$J,MATCH('2018'!$A45,LUJ_2!$A:$A,0),MATCH('2018'!$A$1,LUJ_2!$3:$3,0))</f>
        <v>0.27839869945133106</v>
      </c>
      <c r="U45" s="73">
        <f>INDEX(LUJ_3!$A:$J,MATCH('2018'!$A45,LUJ_3!$A:$A,0),MATCH('2018'!$A$1,LUJ_3!$3:$3,0))</f>
        <v>0.62900515782874677</v>
      </c>
      <c r="V45" s="14">
        <f>INDEX(LUJ_4!$A:$J,MATCH('2018'!$A45,LUJ_4!$A:$A,0),MATCH('2018'!$A$1,LUJ_4!$3:$3,0))</f>
        <v>118</v>
      </c>
      <c r="W45" s="34">
        <f>INDEX(LUJ_5!$A:$J,MATCH('2018'!$A45,LUJ_5!$A:$A,0),MATCH('2018'!$A$1,LUJ_5!$3:$3,0))</f>
        <v>152.5</v>
      </c>
      <c r="X45" s="98">
        <f>1/INDEX(GUL_1!$A:$J,MATCH('2018'!$A45,GUL_1!$A:$A,0),MATCH('2018'!$A$1,GUL_1!$3:$3,0))</f>
        <v>1.414027149321267E-2</v>
      </c>
      <c r="Y45" s="57" t="e">
        <f>INDEX(GUL_2!$A:$J,MATCH('2018'!$A45,GUL_2!$A:$A,0),MATCH('2018'!$A$1,GUL_2!$3:$3,0))</f>
        <v>#N/A</v>
      </c>
      <c r="Z45" s="57">
        <f>INDEX(GUL_3!$A:$J,MATCH('2018'!$A45,GUL_3!$A:$A,0),MATCH('2018'!$A$1,GUL_3!$3:$3,0))/(B45/1000)</f>
        <v>0.87954168330569049</v>
      </c>
      <c r="AA45" s="101">
        <f>INDEX(GUL_4!$A:$J,MATCH('2018'!$A45,GUL_4!$A:$A,0),MATCH('2018'!$A$1,GUL_4!$3:$3,0))/B45/C45*10^6</f>
        <v>0.30498170785007517</v>
      </c>
      <c r="AB45" s="73">
        <f>INDEX(GUL_5!$A:$J,MATCH('2018'!$A45,GUL_5!$A:$A,0),MATCH('2018'!$A$1,GUL_5!$3:$3,0))</f>
        <v>3.3365324399923048E-2</v>
      </c>
      <c r="AC45" s="49" t="e">
        <f>INDEX(GUL_6!$A:$J,MATCH('2018'!$A45,GUL_6!$A:$A,0),MATCH('2018'!$A$1,GUL_6!$3:$3,0))</f>
        <v>#N/A</v>
      </c>
      <c r="AD45" s="49" t="e">
        <f>INDEX(GUL_7!$A:$J,MATCH('2018'!$A45,GUL_7!$A:$A,0),MATCH('2018'!$A$1,GUL_7!$3:$3,0))</f>
        <v>#N/A</v>
      </c>
      <c r="AE45" s="103">
        <f>INDEX(GUL_8!$A:$J,MATCH('2018'!$A45,GUL_8!$A:$A,0),MATCH('2018'!$A$1,GUL_8!$3:$3,0))/(B45/1000)</f>
        <v>3.4191990394357381</v>
      </c>
      <c r="AF45" s="41">
        <f>INDEX(DES_1!$A:$J,MATCH('2018'!$A45,DES_1!$A:$A,0),MATCH('2018'!$A$1,DES_1!$3:$3,0))/(B45/1000)</f>
        <v>0.25223283825097514</v>
      </c>
      <c r="AG45" s="100">
        <f>INDEX(DES_2!$A:$J,MATCH('2018'!$A45,DES_2!$A:$A,0),MATCH('2018'!$A$1,DES_2!$3:$3,0))/(B45/1000)</f>
        <v>0.54297450676927472</v>
      </c>
      <c r="AH45" s="57">
        <f>1/INDEX(DES_3!$A:$J,MATCH('2018'!$A45,DES_3!$A:$A,0),MATCH('2018'!$A$1,DES_3!$3:$3,0))</f>
        <v>8.8888888888888889E-3</v>
      </c>
      <c r="AI45" s="80" t="e">
        <f>INDEX(DES_4!$A:$J,MATCH('2018'!$A45,DES_4!$A:$A,0),MATCH('2018'!$A$1,DES_4!$3:$3,0))</f>
        <v>#N/A</v>
      </c>
      <c r="AJ45" s="110" t="e">
        <f>INDEX(DES_5!$A:$J,MATCH('2018'!$A45,DES_5!$A:$A,0),MATCH('2018'!$A$1,DES_5!$3:$3,0))</f>
        <v>#N/A</v>
      </c>
      <c r="AK45" s="57">
        <v>56</v>
      </c>
    </row>
    <row r="46" spans="1:37" x14ac:dyDescent="0.3">
      <c r="A46" s="29" t="s">
        <v>45</v>
      </c>
      <c r="B46" s="33">
        <f>INDEX(Population!$A:$J,MATCH('2018'!$A46,Population!$A:$A,0),MATCH('2018'!$A$1,Population!$3:$3,0))</f>
        <v>972935</v>
      </c>
      <c r="C46" s="14">
        <f>INDEX(Income!$A:$J,MATCH('2018'!$A46,Income!$A:$A,0),MATCH('2018'!$A$1,Income!$3:$3,0))</f>
        <v>24503</v>
      </c>
      <c r="D46" s="34">
        <f>INDEX(Livable_wage!$A:$J,MATCH('2018'!$A46,Livable_wage!$A:$A,0),MATCH('2018'!$A$1,Livable_wage!$3:$3,0))</f>
        <v>10769</v>
      </c>
      <c r="E46" s="41">
        <f>INDEX(AVA_1!$A:$J,MATCH('2018'!$A46,AVA_1!$A:$A,0),MATCH('2018'!$A$1,AVA_1!$3:$3,0))</f>
        <v>0.35799999999999998</v>
      </c>
      <c r="F46" s="15">
        <f>INDEX(AVA_2!$A:$J,MATCH('2018'!$A46,AVA_2!$A:$A,0),MATCH('2018'!$A$1,AVA_2!$3:$3,0))</f>
        <v>1.2235042905485214E-2</v>
      </c>
      <c r="G46" s="15">
        <f>INDEX(AVA_3!$A:$J,MATCH('2018'!$A46,AVA_3!$A:$A,0),MATCH('2018'!$A$1,AVA_3!$3:$3,0))</f>
        <v>1.4082340482757416E-2</v>
      </c>
      <c r="H46" s="87">
        <f>INDEX(AVA_4!$A:$J,MATCH('2018'!$A46,AVA_4!$A:$A,0),MATCH('2018'!$A$1,AVA_4!$3:$3,0))/(B46/1000)</f>
        <v>0.7194725238582228</v>
      </c>
      <c r="I46" s="89">
        <f>INDEX(AVA_5!$A:$J,MATCH('2018'!$A46,AVA_5!$A:$A,0),MATCH('2018'!$A$1,AVA_5!$3:$3,0))/(B46/1000)</f>
        <v>5.8637010694445157</v>
      </c>
      <c r="J46" s="93">
        <f>INDEX(IRA_1!$A:$J,MATCH('2018'!$A46,IRA_1!$A:$A,0),MATCH('2018'!$A$1,IRA_1!$3:$3,0))/(B46/1000)</f>
        <v>6.372470925601402E-2</v>
      </c>
      <c r="K46" s="88">
        <f>INDEX(IRA_2!$A:$J,MATCH('2018'!$A46,IRA_2!$A:$A,0),MATCH('2018'!$A$1,IRA_2!$3:$3,0))/(B46/1000)</f>
        <v>0.16033959103126108</v>
      </c>
      <c r="L46" s="15">
        <f>INDEX(IRA_3!$A:$J,MATCH('2018'!$A46,IRA_3!$A:$A,0),MATCH('2018'!$A$1,IRA_3!$3:$3,0))</f>
        <v>0.40982730995193162</v>
      </c>
      <c r="M46" s="96">
        <f>INDEX(IRA_4!$A:$J,MATCH('2018'!$A46,IRA_4!$A:$A,0),MATCH('2018'!$A$1,IRA_4!$3:$3,0))/(B46/1000)</f>
        <v>3.2592105330777494</v>
      </c>
      <c r="N46" s="61">
        <f>INDEX(INV_1!$A:$J,MATCH('2018'!$A46,INV_1!$A:$A,0),MATCH('2018'!$A$1,INV_1!$3:$3,0))</f>
        <v>8.8304685890587487E-2</v>
      </c>
      <c r="O46" s="80">
        <f>INDEX(INV_2!$A:$J,MATCH('2018'!$A46,INV_2!$A:$A,0),MATCH('2018'!$A$1,INV_2!$3:$3,0))/B46*10^6/C46</f>
        <v>0.47478983156962229</v>
      </c>
      <c r="P46" s="87">
        <f>INDEX(INV_3!$A:$J,MATCH('2018'!$A46,INV_3!$A:$A,0),MATCH('2018'!$A$1,INV_3!$3:$3,0))/B46*10^6/C46</f>
        <v>2.9604662004268745</v>
      </c>
      <c r="Q46" s="87">
        <f>INDEX(INV_4!$A:$J,MATCH('2018'!$A46,INV_4!$A:$A,0),MATCH('2018'!$A$1,INV_4!$3:$3,0))/B46*10^3/C46</f>
        <v>0.27767102894586293</v>
      </c>
      <c r="R46" s="34">
        <f>INDEX(INV_5!$A:$J,MATCH('2018'!$A46,INV_5!$A:$A,0),MATCH('2018'!$A$1,INV_5!$3:$3,0))</f>
        <v>7.0999999999999994E-2</v>
      </c>
      <c r="S46" s="77">
        <f>INDEX(LUJ_1!$A:$J,MATCH('2018'!$A46,LUJ_1!$A:$A,0),MATCH('2018'!$A$1,LUJ_1!$3:$3,0))</f>
        <v>0.6980965808953119</v>
      </c>
      <c r="T46" s="73">
        <f>INDEX(LUJ_2!$A:$J,MATCH('2018'!$A46,LUJ_2!$A:$A,0),MATCH('2018'!$A$1,LUJ_2!$3:$3,0))</f>
        <v>0.20949873862016014</v>
      </c>
      <c r="U46" s="73">
        <f>INDEX(LUJ_3!$A:$J,MATCH('2018'!$A46,LUJ_3!$A:$A,0),MATCH('2018'!$A$1,LUJ_3!$3:$3,0))</f>
        <v>0.41120982779423054</v>
      </c>
      <c r="V46" s="14">
        <f>INDEX(LUJ_4!$A:$J,MATCH('2018'!$A46,LUJ_4!$A:$A,0),MATCH('2018'!$A$1,LUJ_4!$3:$3,0))</f>
        <v>16</v>
      </c>
      <c r="W46" s="34">
        <f>INDEX(LUJ_5!$A:$J,MATCH('2018'!$A46,LUJ_5!$A:$A,0),MATCH('2018'!$A$1,LUJ_5!$3:$3,0))</f>
        <v>69.400000000000006</v>
      </c>
      <c r="X46" s="98">
        <f>1/INDEX(GUL_1!$A:$J,MATCH('2018'!$A46,GUL_1!$A:$A,0),MATCH('2018'!$A$1,GUL_1!$3:$3,0))</f>
        <v>1.4027212792818065E-2</v>
      </c>
      <c r="Y46" s="57" t="e">
        <f>INDEX(GUL_2!$A:$J,MATCH('2018'!$A46,GUL_2!$A:$A,0),MATCH('2018'!$A$1,GUL_2!$3:$3,0))</f>
        <v>#N/A</v>
      </c>
      <c r="Z46" s="57">
        <f>INDEX(GUL_3!$A:$J,MATCH('2018'!$A46,GUL_3!$A:$A,0),MATCH('2018'!$A$1,GUL_3!$3:$3,0))/(B46/1000)</f>
        <v>1.035012616464615</v>
      </c>
      <c r="AA46" s="101">
        <f>INDEX(GUL_4!$A:$J,MATCH('2018'!$A46,GUL_4!$A:$A,0),MATCH('2018'!$A$1,GUL_4!$3:$3,0))/B46/C46*10^6</f>
        <v>0.27151623997539021</v>
      </c>
      <c r="AB46" s="73">
        <f>INDEX(GUL_5!$A:$J,MATCH('2018'!$A46,GUL_5!$A:$A,0),MATCH('2018'!$A$1,GUL_5!$3:$3,0))</f>
        <v>3.9828350522928088E-2</v>
      </c>
      <c r="AC46" s="49" t="e">
        <f>INDEX(GUL_6!$A:$J,MATCH('2018'!$A46,GUL_6!$A:$A,0),MATCH('2018'!$A$1,GUL_6!$3:$3,0))</f>
        <v>#N/A</v>
      </c>
      <c r="AD46" s="49" t="e">
        <f>INDEX(GUL_7!$A:$J,MATCH('2018'!$A46,GUL_7!$A:$A,0),MATCH('2018'!$A$1,GUL_7!$3:$3,0))</f>
        <v>#N/A</v>
      </c>
      <c r="AE46" s="103">
        <f>INDEX(GUL_8!$A:$J,MATCH('2018'!$A46,GUL_8!$A:$A,0),MATCH('2018'!$A$1,GUL_8!$3:$3,0))/(B46/1000)</f>
        <v>2.2396151849815249</v>
      </c>
      <c r="AF46" s="41">
        <f>INDEX(DES_1!$A:$J,MATCH('2018'!$A46,DES_1!$A:$A,0),MATCH('2018'!$A$1,DES_1!$3:$3,0))/(B46/1000)</f>
        <v>0.23125902552585734</v>
      </c>
      <c r="AG46" s="100">
        <f>INDEX(DES_2!$A:$J,MATCH('2018'!$A46,DES_2!$A:$A,0),MATCH('2018'!$A$1,DES_2!$3:$3,0))/(B46/1000)</f>
        <v>0.29190028110819327</v>
      </c>
      <c r="AH46" s="57">
        <f>1/INDEX(DES_3!$A:$J,MATCH('2018'!$A46,DES_3!$A:$A,0),MATCH('2018'!$A$1,DES_3!$3:$3,0))</f>
        <v>1.0141987829614604E-2</v>
      </c>
      <c r="AI46" s="80" t="e">
        <f>INDEX(DES_4!$A:$J,MATCH('2018'!$A46,DES_4!$A:$A,0),MATCH('2018'!$A$1,DES_4!$3:$3,0))</f>
        <v>#N/A</v>
      </c>
      <c r="AJ46" s="110" t="e">
        <f>INDEX(DES_5!$A:$J,MATCH('2018'!$A46,DES_5!$A:$A,0),MATCH('2018'!$A$1,DES_5!$3:$3,0))</f>
        <v>#N/A</v>
      </c>
      <c r="AK46" s="57">
        <v>57</v>
      </c>
    </row>
    <row r="47" spans="1:37" x14ac:dyDescent="0.3">
      <c r="A47" s="29" t="s">
        <v>46</v>
      </c>
      <c r="B47" s="33">
        <f>INDEX(Population!$A:$J,MATCH('2018'!$A47,Population!$A:$A,0),MATCH('2018'!$A$1,Population!$3:$3,0))</f>
        <v>1217054</v>
      </c>
      <c r="C47" s="14">
        <f>INDEX(Income!$A:$J,MATCH('2018'!$A47,Income!$A:$A,0),MATCH('2018'!$A$1,Income!$3:$3,0))</f>
        <v>18462</v>
      </c>
      <c r="D47" s="34">
        <f>INDEX(Livable_wage!$A:$J,MATCH('2018'!$A47,Livable_wage!$A:$A,0),MATCH('2018'!$A$1,Livable_wage!$3:$3,0))</f>
        <v>9193</v>
      </c>
      <c r="E47" s="41">
        <f>INDEX(AVA_1!$A:$J,MATCH('2018'!$A47,AVA_1!$A:$A,0),MATCH('2018'!$A$1,AVA_1!$3:$3,0))</f>
        <v>0.33900000000000002</v>
      </c>
      <c r="F47" s="15">
        <f>INDEX(AVA_2!$A:$J,MATCH('2018'!$A47,AVA_2!$A:$A,0),MATCH('2018'!$A$1,AVA_2!$3:$3,0))</f>
        <v>1.2358700868365895E-2</v>
      </c>
      <c r="G47" s="15">
        <f>INDEX(AVA_3!$A:$J,MATCH('2018'!$A47,AVA_3!$A:$A,0),MATCH('2018'!$A$1,AVA_3!$3:$3,0))</f>
        <v>1.8722770945318039E-2</v>
      </c>
      <c r="H47" s="87">
        <f>INDEX(AVA_4!$A:$J,MATCH('2018'!$A47,AVA_4!$A:$A,0),MATCH('2018'!$A$1,AVA_4!$3:$3,0))/(B47/1000)</f>
        <v>0.83644604101379227</v>
      </c>
      <c r="I47" s="89">
        <f>INDEX(AVA_5!$A:$J,MATCH('2018'!$A47,AVA_5!$A:$A,0),MATCH('2018'!$A$1,AVA_5!$3:$3,0))/(B47/1000)</f>
        <v>2.7558349917094884</v>
      </c>
      <c r="J47" s="93">
        <f>INDEX(IRA_1!$A:$J,MATCH('2018'!$A47,IRA_1!$A:$A,0),MATCH('2018'!$A$1,IRA_1!$3:$3,0))/(B47/1000)</f>
        <v>3.4509561613535633E-2</v>
      </c>
      <c r="K47" s="88">
        <f>INDEX(IRA_2!$A:$J,MATCH('2018'!$A47,IRA_2!$A:$A,0),MATCH('2018'!$A$1,IRA_2!$3:$3,0))/(B47/1000)</f>
        <v>0.12078346564737472</v>
      </c>
      <c r="L47" s="15">
        <f>INDEX(IRA_3!$A:$J,MATCH('2018'!$A47,IRA_3!$A:$A,0),MATCH('2018'!$A$1,IRA_3!$3:$3,0))</f>
        <v>0.42053973013493251</v>
      </c>
      <c r="M47" s="96">
        <f>INDEX(IRA_4!$A:$J,MATCH('2018'!$A47,IRA_4!$A:$A,0),MATCH('2018'!$A$1,IRA_4!$3:$3,0))/(B47/1000)</f>
        <v>2.8018477405275362</v>
      </c>
      <c r="N47" s="61">
        <f>INDEX(INV_1!$A:$J,MATCH('2018'!$A47,INV_1!$A:$A,0),MATCH('2018'!$A$1,INV_1!$3:$3,0))</f>
        <v>6.9334981978890362E-2</v>
      </c>
      <c r="O47" s="80">
        <f>INDEX(INV_2!$A:$J,MATCH('2018'!$A47,INV_2!$A:$A,0),MATCH('2018'!$A$1,INV_2!$3:$3,0))/B47*10^6/C47</f>
        <v>0.42587420613822236</v>
      </c>
      <c r="P47" s="87">
        <f>INDEX(INV_3!$A:$J,MATCH('2018'!$A47,INV_3!$A:$A,0),MATCH('2018'!$A$1,INV_3!$3:$3,0))/B47*10^6/C47</f>
        <v>5.141070357322354</v>
      </c>
      <c r="Q47" s="87">
        <f>INDEX(INV_4!$A:$J,MATCH('2018'!$A47,INV_4!$A:$A,0),MATCH('2018'!$A$1,INV_4!$3:$3,0))/B47*10^3/C47</f>
        <v>0.35335460484973169</v>
      </c>
      <c r="R47" s="34">
        <f>INDEX(INV_5!$A:$J,MATCH('2018'!$A47,INV_5!$A:$A,0),MATCH('2018'!$A$1,INV_5!$3:$3,0))</f>
        <v>7.4300000000000005E-2</v>
      </c>
      <c r="S47" s="77">
        <f>INDEX(LUJ_1!$A:$J,MATCH('2018'!$A47,LUJ_1!$A:$A,0),MATCH('2018'!$A$1,LUJ_1!$3:$3,0))</f>
        <v>0.60461131017292413</v>
      </c>
      <c r="T47" s="73">
        <f>INDEX(LUJ_2!$A:$J,MATCH('2018'!$A47,LUJ_2!$A:$A,0),MATCH('2018'!$A$1,LUJ_2!$3:$3,0))</f>
        <v>0.19119785686949867</v>
      </c>
      <c r="U47" s="73">
        <f>INDEX(LUJ_3!$A:$J,MATCH('2018'!$A47,LUJ_3!$A:$A,0),MATCH('2018'!$A$1,LUJ_3!$3:$3,0))</f>
        <v>0.53203138155376961</v>
      </c>
      <c r="V47" s="14">
        <f>INDEX(LUJ_4!$A:$J,MATCH('2018'!$A47,LUJ_4!$A:$A,0),MATCH('2018'!$A$1,LUJ_4!$3:$3,0))</f>
        <v>41</v>
      </c>
      <c r="W47" s="34">
        <f>INDEX(LUJ_5!$A:$J,MATCH('2018'!$A47,LUJ_5!$A:$A,0),MATCH('2018'!$A$1,LUJ_5!$3:$3,0))</f>
        <v>31.1</v>
      </c>
      <c r="X47" s="98">
        <f>1/INDEX(GUL_1!$A:$J,MATCH('2018'!$A47,GUL_1!$A:$A,0),MATCH('2018'!$A$1,GUL_1!$3:$3,0))</f>
        <v>1.3708019191226868E-2</v>
      </c>
      <c r="Y47" s="57" t="e">
        <f>INDEX(GUL_2!$A:$J,MATCH('2018'!$A47,GUL_2!$A:$A,0),MATCH('2018'!$A$1,GUL_2!$3:$3,0))</f>
        <v>#N/A</v>
      </c>
      <c r="Z47" s="57">
        <f>INDEX(GUL_3!$A:$J,MATCH('2018'!$A47,GUL_3!$A:$A,0),MATCH('2018'!$A$1,GUL_3!$3:$3,0))/(B47/1000)</f>
        <v>0.70087276324633085</v>
      </c>
      <c r="AA47" s="101">
        <f>INDEX(GUL_4!$A:$J,MATCH('2018'!$A47,GUL_4!$A:$A,0),MATCH('2018'!$A$1,GUL_4!$3:$3,0))/B47/C47*10^6</f>
        <v>0.45037949967356433</v>
      </c>
      <c r="AB47" s="73">
        <f>INDEX(GUL_5!$A:$J,MATCH('2018'!$A47,GUL_5!$A:$A,0),MATCH('2018'!$A$1,GUL_5!$3:$3,0))</f>
        <v>2.8784432381202964E-2</v>
      </c>
      <c r="AC47" s="49" t="e">
        <f>INDEX(GUL_6!$A:$J,MATCH('2018'!$A47,GUL_6!$A:$A,0),MATCH('2018'!$A$1,GUL_6!$3:$3,0))</f>
        <v>#N/A</v>
      </c>
      <c r="AD47" s="49" t="e">
        <f>INDEX(GUL_7!$A:$J,MATCH('2018'!$A47,GUL_7!$A:$A,0),MATCH('2018'!$A$1,GUL_7!$3:$3,0))</f>
        <v>#N/A</v>
      </c>
      <c r="AE47" s="103">
        <f>INDEX(GUL_8!$A:$J,MATCH('2018'!$A47,GUL_8!$A:$A,0),MATCH('2018'!$A$1,GUL_8!$3:$3,0))/(B47/1000)</f>
        <v>2.1379495075814217</v>
      </c>
      <c r="AF47" s="41">
        <f>INDEX(DES_1!$A:$J,MATCH('2018'!$A47,DES_1!$A:$A,0),MATCH('2018'!$A$1,DES_1!$3:$3,0))/(B47/1000)</f>
        <v>4.847771750472863E-2</v>
      </c>
      <c r="AG47" s="100">
        <f>INDEX(DES_2!$A:$J,MATCH('2018'!$A47,DES_2!$A:$A,0),MATCH('2018'!$A$1,DES_2!$3:$3,0))/(B47/1000)</f>
        <v>0.25471343095704874</v>
      </c>
      <c r="AH47" s="57">
        <f>1/INDEX(DES_3!$A:$J,MATCH('2018'!$A47,DES_3!$A:$A,0),MATCH('2018'!$A$1,DES_3!$3:$3,0))</f>
        <v>8.271298593879239E-3</v>
      </c>
      <c r="AI47" s="80" t="e">
        <f>INDEX(DES_4!$A:$J,MATCH('2018'!$A47,DES_4!$A:$A,0),MATCH('2018'!$A$1,DES_4!$3:$3,0))</f>
        <v>#N/A</v>
      </c>
      <c r="AJ47" s="110" t="e">
        <f>INDEX(DES_5!$A:$J,MATCH('2018'!$A47,DES_5!$A:$A,0),MATCH('2018'!$A$1,DES_5!$3:$3,0))</f>
        <v>#N/A</v>
      </c>
      <c r="AK47" s="57">
        <v>49</v>
      </c>
    </row>
    <row r="48" spans="1:37" x14ac:dyDescent="0.3">
      <c r="A48" s="29" t="s">
        <v>47</v>
      </c>
      <c r="B48" s="33">
        <f>INDEX(Population!$A:$J,MATCH('2018'!$A48,Population!$A:$A,0),MATCH('2018'!$A$1,Population!$3:$3,0))</f>
        <v>699240</v>
      </c>
      <c r="C48" s="14">
        <f>INDEX(Income!$A:$J,MATCH('2018'!$A48,Income!$A:$A,0),MATCH('2018'!$A$1,Income!$3:$3,0))</f>
        <v>23332</v>
      </c>
      <c r="D48" s="34">
        <f>INDEX(Livable_wage!$A:$J,MATCH('2018'!$A48,Livable_wage!$A:$A,0),MATCH('2018'!$A$1,Livable_wage!$3:$3,0))</f>
        <v>9532</v>
      </c>
      <c r="E48" s="41">
        <f>INDEX(AVA_1!$A:$J,MATCH('2018'!$A48,AVA_1!$A:$A,0),MATCH('2018'!$A$1,AVA_1!$3:$3,0))</f>
        <v>0.36699999999999999</v>
      </c>
      <c r="F48" s="15">
        <f>INDEX(AVA_2!$A:$J,MATCH('2018'!$A48,AVA_2!$A:$A,0),MATCH('2018'!$A$1,AVA_2!$3:$3,0))</f>
        <v>8.5558709378439433E-3</v>
      </c>
      <c r="G48" s="15">
        <f>INDEX(AVA_3!$A:$J,MATCH('2018'!$A48,AVA_3!$A:$A,0),MATCH('2018'!$A$1,AVA_3!$3:$3,0))</f>
        <v>5.3142643560120592E-3</v>
      </c>
      <c r="H48" s="87">
        <f>INDEX(AVA_4!$A:$J,MATCH('2018'!$A48,AVA_4!$A:$A,0),MATCH('2018'!$A$1,AVA_4!$3:$3,0))/(B48/1000)</f>
        <v>1.1169269492591958</v>
      </c>
      <c r="I48" s="89">
        <f>INDEX(AVA_5!$A:$J,MATCH('2018'!$A48,AVA_5!$A:$A,0),MATCH('2018'!$A$1,AVA_5!$3:$3,0))/(B48/1000)</f>
        <v>2.0465076368628798</v>
      </c>
      <c r="J48" s="93">
        <f>INDEX(IRA_1!$A:$J,MATCH('2018'!$A48,IRA_1!$A:$A,0),MATCH('2018'!$A$1,IRA_1!$3:$3,0))/(B48/1000)</f>
        <v>3.0032606830272868E-2</v>
      </c>
      <c r="K48" s="88">
        <f>INDEX(IRA_2!$A:$J,MATCH('2018'!$A48,IRA_2!$A:$A,0),MATCH('2018'!$A$1,IRA_2!$3:$3,0))/(B48/1000)</f>
        <v>7.5796579143069615E-2</v>
      </c>
      <c r="L48" s="15">
        <f>INDEX(IRA_3!$A:$J,MATCH('2018'!$A48,IRA_3!$A:$A,0),MATCH('2018'!$A$1,IRA_3!$3:$3,0))</f>
        <v>0.47713485767615493</v>
      </c>
      <c r="M48" s="96">
        <f>INDEX(IRA_4!$A:$J,MATCH('2018'!$A48,IRA_4!$A:$A,0),MATCH('2018'!$A$1,IRA_4!$3:$3,0))/(B48/1000)</f>
        <v>3.3607917167210113</v>
      </c>
      <c r="N48" s="61">
        <f>INDEX(INV_1!$A:$J,MATCH('2018'!$A48,INV_1!$A:$A,0),MATCH('2018'!$A$1,INV_1!$3:$3,0))</f>
        <v>0.12340341404167471</v>
      </c>
      <c r="O48" s="80">
        <f>INDEX(INV_2!$A:$J,MATCH('2018'!$A48,INV_2!$A:$A,0),MATCH('2018'!$A$1,INV_2!$3:$3,0))/B48*10^6/C48</f>
        <v>0.48672317565710899</v>
      </c>
      <c r="P48" s="87">
        <f>INDEX(INV_3!$A:$J,MATCH('2018'!$A48,INV_3!$A:$A,0),MATCH('2018'!$A$1,INV_3!$3:$3,0))/B48*10^6/C48</f>
        <v>2.8961668681687791</v>
      </c>
      <c r="Q48" s="87">
        <f>INDEX(INV_4!$A:$J,MATCH('2018'!$A48,INV_4!$A:$A,0),MATCH('2018'!$A$1,INV_4!$3:$3,0))/B48*10^3/C48</f>
        <v>0.33246101032442238</v>
      </c>
      <c r="R48" s="34">
        <f>INDEX(INV_5!$A:$J,MATCH('2018'!$A48,INV_5!$A:$A,0),MATCH('2018'!$A$1,INV_5!$3:$3,0))</f>
        <v>0.1893</v>
      </c>
      <c r="S48" s="77">
        <f>INDEX(LUJ_1!$A:$J,MATCH('2018'!$A48,LUJ_1!$A:$A,0),MATCH('2018'!$A$1,LUJ_1!$3:$3,0))</f>
        <v>0.54684629516227801</v>
      </c>
      <c r="T48" s="73">
        <f>INDEX(LUJ_2!$A:$J,MATCH('2018'!$A48,LUJ_2!$A:$A,0),MATCH('2018'!$A$1,LUJ_2!$3:$3,0))</f>
        <v>0.24455337690631807</v>
      </c>
      <c r="U48" s="73">
        <f>INDEX(LUJ_3!$A:$J,MATCH('2018'!$A48,LUJ_3!$A:$A,0),MATCH('2018'!$A$1,LUJ_3!$3:$3,0))</f>
        <v>0.23071786492374724</v>
      </c>
      <c r="V48" s="14">
        <f>INDEX(LUJ_4!$A:$J,MATCH('2018'!$A48,LUJ_4!$A:$A,0),MATCH('2018'!$A$1,LUJ_4!$3:$3,0))</f>
        <v>10</v>
      </c>
      <c r="W48" s="34">
        <f>INDEX(LUJ_5!$A:$J,MATCH('2018'!$A48,LUJ_5!$A:$A,0),MATCH('2018'!$A$1,LUJ_5!$3:$3,0))</f>
        <v>23.3</v>
      </c>
      <c r="X48" s="98">
        <f>1/INDEX(GUL_1!$A:$J,MATCH('2018'!$A48,GUL_1!$A:$A,0),MATCH('2018'!$A$1,GUL_1!$3:$3,0))</f>
        <v>1.3213530655391119E-2</v>
      </c>
      <c r="Y48" s="57" t="e">
        <f>INDEX(GUL_2!$A:$J,MATCH('2018'!$A48,GUL_2!$A:$A,0),MATCH('2018'!$A$1,GUL_2!$3:$3,0))</f>
        <v>#N/A</v>
      </c>
      <c r="Z48" s="57">
        <f>INDEX(GUL_3!$A:$J,MATCH('2018'!$A48,GUL_3!$A:$A,0),MATCH('2018'!$A$1,GUL_3!$3:$3,0))/(B48/1000)</f>
        <v>0.67501859161375211</v>
      </c>
      <c r="AA48" s="101">
        <f>INDEX(GUL_4!$A:$J,MATCH('2018'!$A48,GUL_4!$A:$A,0),MATCH('2018'!$A$1,GUL_4!$3:$3,0))/B48/C48*10^6</f>
        <v>0.29691012376171178</v>
      </c>
      <c r="AB48" s="73">
        <f>INDEX(GUL_5!$A:$J,MATCH('2018'!$A48,GUL_5!$A:$A,0),MATCH('2018'!$A$1,GUL_5!$3:$3,0))</f>
        <v>1.0629103727845429E-2</v>
      </c>
      <c r="AC48" s="49" t="e">
        <f>INDEX(GUL_6!$A:$J,MATCH('2018'!$A48,GUL_6!$A:$A,0),MATCH('2018'!$A$1,GUL_6!$3:$3,0))</f>
        <v>#N/A</v>
      </c>
      <c r="AD48" s="49" t="e">
        <f>INDEX(GUL_7!$A:$J,MATCH('2018'!$A48,GUL_7!$A:$A,0),MATCH('2018'!$A$1,GUL_7!$3:$3,0))</f>
        <v>#N/A</v>
      </c>
      <c r="AE48" s="103">
        <f>INDEX(GUL_8!$A:$J,MATCH('2018'!$A48,GUL_8!$A:$A,0),MATCH('2018'!$A$1,GUL_8!$3:$3,0))/(B48/1000)</f>
        <v>1.1927235284022653</v>
      </c>
      <c r="AF48" s="41">
        <f>INDEX(DES_1!$A:$J,MATCH('2018'!$A48,DES_1!$A:$A,0),MATCH('2018'!$A$1,DES_1!$3:$3,0))/(B48/1000)</f>
        <v>1.1440993078199187E-2</v>
      </c>
      <c r="AG48" s="100">
        <f>INDEX(DES_2!$A:$J,MATCH('2018'!$A48,DES_2!$A:$A,0),MATCH('2018'!$A$1,DES_2!$3:$3,0))/(B48/1000)</f>
        <v>1.2170356386934387</v>
      </c>
      <c r="AH48" s="57">
        <f>1/INDEX(DES_3!$A:$J,MATCH('2018'!$A48,DES_3!$A:$A,0),MATCH('2018'!$A$1,DES_3!$3:$3,0))</f>
        <v>1.0277492291880781E-2</v>
      </c>
      <c r="AI48" s="80" t="e">
        <f>INDEX(DES_4!$A:$J,MATCH('2018'!$A48,DES_4!$A:$A,0),MATCH('2018'!$A$1,DES_4!$3:$3,0))</f>
        <v>#N/A</v>
      </c>
      <c r="AJ48" s="110" t="e">
        <f>INDEX(DES_5!$A:$J,MATCH('2018'!$A48,DES_5!$A:$A,0),MATCH('2018'!$A$1,DES_5!$3:$3,0))</f>
        <v>#N/A</v>
      </c>
      <c r="AK48" s="57">
        <v>35</v>
      </c>
    </row>
    <row r="49" spans="1:37" x14ac:dyDescent="0.3">
      <c r="A49" s="29" t="s">
        <v>48</v>
      </c>
      <c r="B49" s="33">
        <f>INDEX(Population!$A:$J,MATCH('2018'!$A49,Population!$A:$A,0),MATCH('2018'!$A$1,Population!$3:$3,0))</f>
        <v>1202671</v>
      </c>
      <c r="C49" s="14">
        <f>INDEX(Income!$A:$J,MATCH('2018'!$A49,Income!$A:$A,0),MATCH('2018'!$A$1,Income!$3:$3,0))</f>
        <v>26658</v>
      </c>
      <c r="D49" s="34">
        <f>INDEX(Livable_wage!$A:$J,MATCH('2018'!$A49,Livable_wage!$A:$A,0),MATCH('2018'!$A$1,Livable_wage!$3:$3,0))</f>
        <v>10358</v>
      </c>
      <c r="E49" s="41">
        <f>INDEX(AVA_1!$A:$J,MATCH('2018'!$A49,AVA_1!$A:$A,0),MATCH('2018'!$A$1,AVA_1!$3:$3,0))</f>
        <v>0.378</v>
      </c>
      <c r="F49" s="15">
        <f>INDEX(AVA_2!$A:$J,MATCH('2018'!$A49,AVA_2!$A:$A,0),MATCH('2018'!$A$1,AVA_2!$3:$3,0))</f>
        <v>9.6378882122689861E-3</v>
      </c>
      <c r="G49" s="15">
        <f>INDEX(AVA_3!$A:$J,MATCH('2018'!$A49,AVA_3!$A:$A,0),MATCH('2018'!$A$1,AVA_3!$3:$3,0))</f>
        <v>2.4355326150071574E-3</v>
      </c>
      <c r="H49" s="87">
        <f>INDEX(AVA_4!$A:$J,MATCH('2018'!$A49,AVA_4!$A:$A,0),MATCH('2018'!$A$1,AVA_4!$3:$3,0))/(B49/1000)</f>
        <v>0.46729321651557243</v>
      </c>
      <c r="I49" s="89">
        <f>INDEX(AVA_5!$A:$J,MATCH('2018'!$A49,AVA_5!$A:$A,0),MATCH('2018'!$A$1,AVA_5!$3:$3,0))/(B49/1000)</f>
        <v>4.2837983122566357</v>
      </c>
      <c r="J49" s="93">
        <f>INDEX(IRA_1!$A:$J,MATCH('2018'!$A49,IRA_1!$A:$A,0),MATCH('2018'!$A$1,IRA_1!$3:$3,0))/(B49/1000)</f>
        <v>3.82481992165771E-2</v>
      </c>
      <c r="K49" s="88">
        <f>INDEX(IRA_2!$A:$J,MATCH('2018'!$A49,IRA_2!$A:$A,0),MATCH('2018'!$A$1,IRA_2!$3:$3,0))/(B49/1000)</f>
        <v>0.136363145033014</v>
      </c>
      <c r="L49" s="15">
        <f>INDEX(IRA_3!$A:$J,MATCH('2018'!$A49,IRA_3!$A:$A,0),MATCH('2018'!$A$1,IRA_3!$3:$3,0))</f>
        <v>0.43820533993944399</v>
      </c>
      <c r="M49" s="96">
        <f>INDEX(IRA_4!$A:$J,MATCH('2018'!$A49,IRA_4!$A:$A,0),MATCH('2018'!$A$1,IRA_4!$3:$3,0))/(B49/1000)</f>
        <v>4.4974893383144678</v>
      </c>
      <c r="N49" s="61">
        <f>INDEX(INV_1!$A:$J,MATCH('2018'!$A49,INV_1!$A:$A,0),MATCH('2018'!$A$1,INV_1!$3:$3,0))</f>
        <v>8.0727127376096691E-2</v>
      </c>
      <c r="O49" s="80">
        <f>INDEX(INV_2!$A:$J,MATCH('2018'!$A49,INV_2!$A:$A,0),MATCH('2018'!$A$1,INV_2!$3:$3,0))/B49*10^6/C49</f>
        <v>0.40834157620690481</v>
      </c>
      <c r="P49" s="87">
        <f>INDEX(INV_3!$A:$J,MATCH('2018'!$A49,INV_3!$A:$A,0),MATCH('2018'!$A$1,INV_3!$3:$3,0))/B49*10^6/C49</f>
        <v>2.7109114701758359</v>
      </c>
      <c r="Q49" s="87">
        <f>INDEX(INV_4!$A:$J,MATCH('2018'!$A49,INV_4!$A:$A,0),MATCH('2018'!$A$1,INV_4!$3:$3,0))/B49*10^3/C49</f>
        <v>0.27116024042002301</v>
      </c>
      <c r="R49" s="34">
        <f>INDEX(INV_5!$A:$J,MATCH('2018'!$A49,INV_5!$A:$A,0),MATCH('2018'!$A$1,INV_5!$3:$3,0))</f>
        <v>5.5599999999999997E-2</v>
      </c>
      <c r="S49" s="77">
        <f>INDEX(LUJ_1!$A:$J,MATCH('2018'!$A49,LUJ_1!$A:$A,0),MATCH('2018'!$A$1,LUJ_1!$3:$3,0))</f>
        <v>0.74209947787853803</v>
      </c>
      <c r="T49" s="73">
        <f>INDEX(LUJ_2!$A:$J,MATCH('2018'!$A49,LUJ_2!$A:$A,0),MATCH('2018'!$A$1,LUJ_2!$3:$3,0))</f>
        <v>0.17746428250516669</v>
      </c>
      <c r="U49" s="73">
        <f>INDEX(LUJ_3!$A:$J,MATCH('2018'!$A49,LUJ_3!$A:$A,0),MATCH('2018'!$A$1,LUJ_3!$3:$3,0))</f>
        <v>0.59043992311970805</v>
      </c>
      <c r="V49" s="14">
        <f>INDEX(LUJ_4!$A:$J,MATCH('2018'!$A49,LUJ_4!$A:$A,0),MATCH('2018'!$A$1,LUJ_4!$3:$3,0))</f>
        <v>13</v>
      </c>
      <c r="W49" s="34">
        <f>INDEX(LUJ_5!$A:$J,MATCH('2018'!$A49,LUJ_5!$A:$A,0),MATCH('2018'!$A$1,LUJ_5!$3:$3,0))</f>
        <v>32.5</v>
      </c>
      <c r="X49" s="98">
        <f>1/INDEX(GUL_1!$A:$J,MATCH('2018'!$A49,GUL_1!$A:$A,0),MATCH('2018'!$A$1,GUL_1!$3:$3,0))</f>
        <v>1.3945056477478734E-2</v>
      </c>
      <c r="Y49" s="57" t="e">
        <f>INDEX(GUL_2!$A:$J,MATCH('2018'!$A49,GUL_2!$A:$A,0),MATCH('2018'!$A$1,GUL_2!$3:$3,0))</f>
        <v>#N/A</v>
      </c>
      <c r="Z49" s="57">
        <f>INDEX(GUL_3!$A:$J,MATCH('2018'!$A49,GUL_3!$A:$A,0),MATCH('2018'!$A$1,GUL_3!$3:$3,0))/(B49/1000)</f>
        <v>0.92460864193116821</v>
      </c>
      <c r="AA49" s="101">
        <f>INDEX(GUL_4!$A:$J,MATCH('2018'!$A49,GUL_4!$A:$A,0),MATCH('2018'!$A$1,GUL_4!$3:$3,0))/B49/C49*10^6</f>
        <v>0.37803450537961036</v>
      </c>
      <c r="AB49" s="73">
        <f>INDEX(GUL_5!$A:$J,MATCH('2018'!$A49,GUL_5!$A:$A,0),MATCH('2018'!$A$1,GUL_5!$3:$3,0))</f>
        <v>2.7032735411130424E-2</v>
      </c>
      <c r="AC49" s="49" t="e">
        <f>INDEX(GUL_6!$A:$J,MATCH('2018'!$A49,GUL_6!$A:$A,0),MATCH('2018'!$A$1,GUL_6!$3:$3,0))</f>
        <v>#N/A</v>
      </c>
      <c r="AD49" s="49" t="e">
        <f>INDEX(GUL_7!$A:$J,MATCH('2018'!$A49,GUL_7!$A:$A,0),MATCH('2018'!$A$1,GUL_7!$3:$3,0))</f>
        <v>#N/A</v>
      </c>
      <c r="AE49" s="103">
        <f>INDEX(GUL_8!$A:$J,MATCH('2018'!$A49,GUL_8!$A:$A,0),MATCH('2018'!$A$1,GUL_8!$3:$3,0))/(B49/1000)</f>
        <v>2.2957234355862908</v>
      </c>
      <c r="AF49" s="41">
        <f>INDEX(DES_1!$A:$J,MATCH('2018'!$A49,DES_1!$A:$A,0),MATCH('2018'!$A$1,DES_1!$3:$3,0))/(B49/1000)</f>
        <v>0.11973349319971963</v>
      </c>
      <c r="AG49" s="100">
        <f>INDEX(DES_2!$A:$J,MATCH('2018'!$A49,DES_2!$A:$A,0),MATCH('2018'!$A$1,DES_2!$3:$3,0))/(B49/1000)</f>
        <v>0.34506527554085864</v>
      </c>
      <c r="AH49" s="57">
        <f>1/INDEX(DES_3!$A:$J,MATCH('2018'!$A49,DES_3!$A:$A,0),MATCH('2018'!$A$1,DES_3!$3:$3,0))</f>
        <v>7.2516316171138502E-3</v>
      </c>
      <c r="AI49" s="80" t="e">
        <f>INDEX(DES_4!$A:$J,MATCH('2018'!$A49,DES_4!$A:$A,0),MATCH('2018'!$A$1,DES_4!$3:$3,0))</f>
        <v>#N/A</v>
      </c>
      <c r="AJ49" s="110" t="e">
        <f>INDEX(DES_5!$A:$J,MATCH('2018'!$A49,DES_5!$A:$A,0),MATCH('2018'!$A$1,DES_5!$3:$3,0))</f>
        <v>#N/A</v>
      </c>
      <c r="AK49" s="57">
        <v>27</v>
      </c>
    </row>
    <row r="50" spans="1:37" x14ac:dyDescent="0.3">
      <c r="A50" s="29" t="s">
        <v>49</v>
      </c>
      <c r="B50" s="33">
        <f>INDEX(Population!$A:$J,MATCH('2018'!$A50,Population!$A:$A,0),MATCH('2018'!$A$1,Population!$3:$3,0))</f>
        <v>1315622</v>
      </c>
      <c r="C50" s="14">
        <f>INDEX(Income!$A:$J,MATCH('2018'!$A50,Income!$A:$A,0),MATCH('2018'!$A$1,Income!$3:$3,0))</f>
        <v>21821</v>
      </c>
      <c r="D50" s="34">
        <f>INDEX(Livable_wage!$A:$J,MATCH('2018'!$A50,Livable_wage!$A:$A,0),MATCH('2018'!$A$1,Livable_wage!$3:$3,0))</f>
        <v>9486</v>
      </c>
      <c r="E50" s="41">
        <f>INDEX(AVA_1!$A:$J,MATCH('2018'!$A50,AVA_1!$A:$A,0),MATCH('2018'!$A$1,AVA_1!$3:$3,0))</f>
        <v>0.34899999999999998</v>
      </c>
      <c r="F50" s="15">
        <f>INDEX(AVA_2!$A:$J,MATCH('2018'!$A50,AVA_2!$A:$A,0),MATCH('2018'!$A$1,AVA_2!$3:$3,0))</f>
        <v>9.0257589817791598E-3</v>
      </c>
      <c r="G50" s="15">
        <f>INDEX(AVA_3!$A:$J,MATCH('2018'!$A50,AVA_3!$A:$A,0),MATCH('2018'!$A$1,AVA_3!$3:$3,0))</f>
        <v>1.2095199873281689E-2</v>
      </c>
      <c r="H50" s="87">
        <f>INDEX(AVA_4!$A:$J,MATCH('2018'!$A50,AVA_4!$A:$A,0),MATCH('2018'!$A$1,AVA_4!$3:$3,0))/(B50/1000)</f>
        <v>0.52142636714801061</v>
      </c>
      <c r="I50" s="89">
        <f>INDEX(AVA_5!$A:$J,MATCH('2018'!$A50,AVA_5!$A:$A,0),MATCH('2018'!$A$1,AVA_5!$3:$3,0))/(B50/1000)</f>
        <v>3.3056607444995598</v>
      </c>
      <c r="J50" s="93">
        <f>INDEX(IRA_1!$A:$J,MATCH('2018'!$A50,IRA_1!$A:$A,0),MATCH('2018'!$A$1,IRA_1!$3:$3,0))/(B50/1000)</f>
        <v>3.0403869804548723E-2</v>
      </c>
      <c r="K50" s="88">
        <f>INDEX(IRA_2!$A:$J,MATCH('2018'!$A50,IRA_2!$A:$A,0),MATCH('2018'!$A$1,IRA_2!$3:$3,0))/(B50/1000)</f>
        <v>0.1390977043558104</v>
      </c>
      <c r="L50" s="15">
        <f>INDEX(IRA_3!$A:$J,MATCH('2018'!$A50,IRA_3!$A:$A,0),MATCH('2018'!$A$1,IRA_3!$3:$3,0))</f>
        <v>0.40774089504098909</v>
      </c>
      <c r="M50" s="96">
        <f>INDEX(IRA_4!$A:$J,MATCH('2018'!$A50,IRA_4!$A:$A,0),MATCH('2018'!$A$1,IRA_4!$3:$3,0))/(B50/1000)</f>
        <v>2.1221901123575009</v>
      </c>
      <c r="N50" s="61">
        <f>INDEX(INV_1!$A:$J,MATCH('2018'!$A50,INV_1!$A:$A,0),MATCH('2018'!$A$1,INV_1!$3:$3,0))</f>
        <v>9.0308143597066459E-2</v>
      </c>
      <c r="O50" s="80">
        <f>INDEX(INV_2!$A:$J,MATCH('2018'!$A50,INV_2!$A:$A,0),MATCH('2018'!$A$1,INV_2!$3:$3,0))/B50*10^6/C50</f>
        <v>0.47484080188189492</v>
      </c>
      <c r="P50" s="87">
        <f>INDEX(INV_3!$A:$J,MATCH('2018'!$A50,INV_3!$A:$A,0),MATCH('2018'!$A$1,INV_3!$3:$3,0))/B50*10^6/C50</f>
        <v>3.5546653519712521</v>
      </c>
      <c r="Q50" s="87">
        <f>INDEX(INV_4!$A:$J,MATCH('2018'!$A50,INV_4!$A:$A,0),MATCH('2018'!$A$1,INV_4!$3:$3,0))/B50*10^3/C50</f>
        <v>0.33163093442509345</v>
      </c>
      <c r="R50" s="34">
        <f>INDEX(INV_5!$A:$J,MATCH('2018'!$A50,INV_5!$A:$A,0),MATCH('2018'!$A$1,INV_5!$3:$3,0))</f>
        <v>7.3200000000000001E-2</v>
      </c>
      <c r="S50" s="77">
        <f>INDEX(LUJ_1!$A:$J,MATCH('2018'!$A50,LUJ_1!$A:$A,0),MATCH('2018'!$A$1,LUJ_1!$3:$3,0))</f>
        <v>0.73319843908079207</v>
      </c>
      <c r="T50" s="73">
        <f>INDEX(LUJ_2!$A:$J,MATCH('2018'!$A50,LUJ_2!$A:$A,0),MATCH('2018'!$A$1,LUJ_2!$3:$3,0))</f>
        <v>0.12932763582453999</v>
      </c>
      <c r="U50" s="73">
        <f>INDEX(LUJ_3!$A:$J,MATCH('2018'!$A50,LUJ_3!$A:$A,0),MATCH('2018'!$A$1,LUJ_3!$3:$3,0))</f>
        <v>0.41205197523327808</v>
      </c>
      <c r="V50" s="14">
        <f>INDEX(LUJ_4!$A:$J,MATCH('2018'!$A50,LUJ_4!$A:$A,0),MATCH('2018'!$A$1,LUJ_4!$3:$3,0))</f>
        <v>30</v>
      </c>
      <c r="W50" s="34">
        <f>INDEX(LUJ_5!$A:$J,MATCH('2018'!$A50,LUJ_5!$A:$A,0),MATCH('2018'!$A$1,LUJ_5!$3:$3,0))</f>
        <v>37.1</v>
      </c>
      <c r="X50" s="98">
        <f>1/INDEX(GUL_1!$A:$J,MATCH('2018'!$A50,GUL_1!$A:$A,0),MATCH('2018'!$A$1,GUL_1!$3:$3,0))</f>
        <v>1.3659336156262808E-2</v>
      </c>
      <c r="Y50" s="57" t="e">
        <f>INDEX(GUL_2!$A:$J,MATCH('2018'!$A50,GUL_2!$A:$A,0),MATCH('2018'!$A$1,GUL_2!$3:$3,0))</f>
        <v>#N/A</v>
      </c>
      <c r="Z50" s="57">
        <f>INDEX(GUL_3!$A:$J,MATCH('2018'!$A50,GUL_3!$A:$A,0),MATCH('2018'!$A$1,GUL_3!$3:$3,0))/(B50/1000)</f>
        <v>0.77985926048667475</v>
      </c>
      <c r="AA50" s="101">
        <f>INDEX(GUL_4!$A:$J,MATCH('2018'!$A50,GUL_4!$A:$A,0),MATCH('2018'!$A$1,GUL_4!$3:$3,0))/B50/C50*10^6</f>
        <v>0.36200090797636919</v>
      </c>
      <c r="AB50" s="73">
        <f>INDEX(GUL_5!$A:$J,MATCH('2018'!$A50,GUL_5!$A:$A,0),MATCH('2018'!$A$1,GUL_5!$3:$3,0))</f>
        <v>3.4083178215798843E-2</v>
      </c>
      <c r="AC50" s="49" t="e">
        <f>INDEX(GUL_6!$A:$J,MATCH('2018'!$A50,GUL_6!$A:$A,0),MATCH('2018'!$A$1,GUL_6!$3:$3,0))</f>
        <v>#N/A</v>
      </c>
      <c r="AD50" s="49" t="e">
        <f>INDEX(GUL_7!$A:$J,MATCH('2018'!$A50,GUL_7!$A:$A,0),MATCH('2018'!$A$1,GUL_7!$3:$3,0))</f>
        <v>#N/A</v>
      </c>
      <c r="AE50" s="103">
        <f>INDEX(GUL_8!$A:$J,MATCH('2018'!$A50,GUL_8!$A:$A,0),MATCH('2018'!$A$1,GUL_8!$3:$3,0))/(B50/1000)</f>
        <v>2.5014783881692462</v>
      </c>
      <c r="AF50" s="41">
        <f>INDEX(DES_1!$A:$J,MATCH('2018'!$A50,DES_1!$A:$A,0),MATCH('2018'!$A$1,DES_1!$3:$3,0))/(B50/1000)</f>
        <v>0.17482225137615515</v>
      </c>
      <c r="AG50" s="100">
        <f>INDEX(DES_2!$A:$J,MATCH('2018'!$A50,DES_2!$A:$A,0),MATCH('2018'!$A$1,DES_2!$3:$3,0))/(B50/1000)</f>
        <v>0.43553543495016045</v>
      </c>
      <c r="AH50" s="57">
        <f>1/INDEX(DES_3!$A:$J,MATCH('2018'!$A50,DES_3!$A:$A,0),MATCH('2018'!$A$1,DES_3!$3:$3,0))</f>
        <v>7.8369905956112863E-3</v>
      </c>
      <c r="AI50" s="80" t="e">
        <f>INDEX(DES_4!$A:$J,MATCH('2018'!$A50,DES_4!$A:$A,0),MATCH('2018'!$A$1,DES_4!$3:$3,0))</f>
        <v>#N/A</v>
      </c>
      <c r="AJ50" s="110" t="e">
        <f>INDEX(DES_5!$A:$J,MATCH('2018'!$A50,DES_5!$A:$A,0),MATCH('2018'!$A$1,DES_5!$3:$3,0))</f>
        <v>#N/A</v>
      </c>
      <c r="AK50" s="57">
        <v>28</v>
      </c>
    </row>
    <row r="51" spans="1:37" x14ac:dyDescent="0.3">
      <c r="A51" s="29" t="s">
        <v>50</v>
      </c>
      <c r="B51" s="33">
        <f>INDEX(Population!$A:$J,MATCH('2018'!$A51,Population!$A:$A,0),MATCH('2018'!$A$1,Population!$3:$3,0))</f>
        <v>1551910</v>
      </c>
      <c r="C51" s="14">
        <f>INDEX(Income!$A:$J,MATCH('2018'!$A51,Income!$A:$A,0),MATCH('2018'!$A$1,Income!$3:$3,0))</f>
        <v>30778</v>
      </c>
      <c r="D51" s="34">
        <f>INDEX(Livable_wage!$A:$J,MATCH('2018'!$A51,Livable_wage!$A:$A,0),MATCH('2018'!$A$1,Livable_wage!$3:$3,0))</f>
        <v>9129</v>
      </c>
      <c r="E51" s="41">
        <f>INDEX(AVA_1!$A:$J,MATCH('2018'!$A51,AVA_1!$A:$A,0),MATCH('2018'!$A$1,AVA_1!$3:$3,0))</f>
        <v>0.39300000000000002</v>
      </c>
      <c r="F51" s="15">
        <f>INDEX(AVA_2!$A:$J,MATCH('2018'!$A51,AVA_2!$A:$A,0),MATCH('2018'!$A$1,AVA_2!$3:$3,0))</f>
        <v>9.5740806517604637E-3</v>
      </c>
      <c r="G51" s="15">
        <f>INDEX(AVA_3!$A:$J,MATCH('2018'!$A51,AVA_3!$A:$A,0),MATCH('2018'!$A$1,AVA_3!$3:$3,0))</f>
        <v>1.567878719300287E-2</v>
      </c>
      <c r="H51" s="87">
        <f>INDEX(AVA_4!$A:$J,MATCH('2018'!$A51,AVA_4!$A:$A,0),MATCH('2018'!$A$1,AVA_4!$3:$3,0))/(B51/1000)</f>
        <v>0.51098324000747464</v>
      </c>
      <c r="I51" s="89">
        <f>INDEX(AVA_5!$A:$J,MATCH('2018'!$A51,AVA_5!$A:$A,0),MATCH('2018'!$A$1,AVA_5!$3:$3,0))/(B51/1000)</f>
        <v>3.2121708088742258</v>
      </c>
      <c r="J51" s="93">
        <f>INDEX(IRA_1!$A:$J,MATCH('2018'!$A51,IRA_1!$A:$A,0),MATCH('2018'!$A$1,IRA_1!$3:$3,0))/(B51/1000)</f>
        <v>4.1239504868194672E-2</v>
      </c>
      <c r="K51" s="88">
        <f>INDEX(IRA_2!$A:$J,MATCH('2018'!$A51,IRA_2!$A:$A,0),MATCH('2018'!$A$1,IRA_2!$3:$3,0))/(B51/1000)</f>
        <v>8.2479009736389344E-2</v>
      </c>
      <c r="L51" s="15">
        <f>INDEX(IRA_3!$A:$J,MATCH('2018'!$A51,IRA_3!$A:$A,0),MATCH('2018'!$A$1,IRA_3!$3:$3,0))</f>
        <v>0.43973283628456039</v>
      </c>
      <c r="M51" s="96">
        <f>INDEX(IRA_4!$A:$J,MATCH('2018'!$A51,IRA_4!$A:$A,0),MATCH('2018'!$A$1,IRA_4!$3:$3,0))/(B51/1000)</f>
        <v>2.5813352578435604</v>
      </c>
      <c r="N51" s="61">
        <f>INDEX(INV_1!$A:$J,MATCH('2018'!$A51,INV_1!$A:$A,0),MATCH('2018'!$A$1,INV_1!$3:$3,0))</f>
        <v>7.67848110679831E-2</v>
      </c>
      <c r="O51" s="80">
        <f>INDEX(INV_2!$A:$J,MATCH('2018'!$A51,INV_2!$A:$A,0),MATCH('2018'!$A$1,INV_2!$3:$3,0))/B51*10^6/C51</f>
        <v>0.46364593941375259</v>
      </c>
      <c r="P51" s="87">
        <f>INDEX(INV_3!$A:$J,MATCH('2018'!$A51,INV_3!$A:$A,0),MATCH('2018'!$A$1,INV_3!$3:$3,0))/B51*10^6/C51</f>
        <v>2.5954739878727451</v>
      </c>
      <c r="Q51" s="87">
        <f>INDEX(INV_4!$A:$J,MATCH('2018'!$A51,INV_4!$A:$A,0),MATCH('2018'!$A$1,INV_4!$3:$3,0))/B51*10^3/C51</f>
        <v>0.2246787698864717</v>
      </c>
      <c r="R51" s="34">
        <f>INDEX(INV_5!$A:$J,MATCH('2018'!$A51,INV_5!$A:$A,0),MATCH('2018'!$A$1,INV_5!$3:$3,0))</f>
        <v>7.1499999999999994E-2</v>
      </c>
      <c r="S51" s="77">
        <f>INDEX(LUJ_1!$A:$J,MATCH('2018'!$A51,LUJ_1!$A:$A,0),MATCH('2018'!$A$1,LUJ_1!$3:$3,0))</f>
        <v>0.64733512269938653</v>
      </c>
      <c r="T51" s="73">
        <f>INDEX(LUJ_2!$A:$J,MATCH('2018'!$A51,LUJ_2!$A:$A,0),MATCH('2018'!$A$1,LUJ_2!$3:$3,0))</f>
        <v>0.13333798980233288</v>
      </c>
      <c r="U51" s="73">
        <f>INDEX(LUJ_3!$A:$J,MATCH('2018'!$A51,LUJ_3!$A:$A,0),MATCH('2018'!$A$1,LUJ_3!$3:$3,0))</f>
        <v>0.28008680595572116</v>
      </c>
      <c r="V51" s="14">
        <f>INDEX(LUJ_4!$A:$J,MATCH('2018'!$A51,LUJ_4!$A:$A,0),MATCH('2018'!$A$1,LUJ_4!$3:$3,0))</f>
        <v>14</v>
      </c>
      <c r="W51" s="34">
        <f>INDEX(LUJ_5!$A:$J,MATCH('2018'!$A51,LUJ_5!$A:$A,0),MATCH('2018'!$A$1,LUJ_5!$3:$3,0))</f>
        <v>22.9</v>
      </c>
      <c r="X51" s="98">
        <f>1/INDEX(GUL_1!$A:$J,MATCH('2018'!$A51,GUL_1!$A:$A,0),MATCH('2018'!$A$1,GUL_1!$3:$3,0))</f>
        <v>1.3574046423238768E-2</v>
      </c>
      <c r="Y51" s="57" t="e">
        <f>INDEX(GUL_2!$A:$J,MATCH('2018'!$A51,GUL_2!$A:$A,0),MATCH('2018'!$A$1,GUL_2!$3:$3,0))</f>
        <v>#N/A</v>
      </c>
      <c r="Z51" s="57">
        <f>INDEX(GUL_3!$A:$J,MATCH('2018'!$A51,GUL_3!$A:$A,0),MATCH('2018'!$A$1,GUL_3!$3:$3,0))/(B51/1000)</f>
        <v>0.53546919602296517</v>
      </c>
      <c r="AA51" s="101">
        <f>INDEX(GUL_4!$A:$J,MATCH('2018'!$A51,GUL_4!$A:$A,0),MATCH('2018'!$A$1,GUL_4!$3:$3,0))/B51/C51*10^6</f>
        <v>0.17646488879942182</v>
      </c>
      <c r="AB51" s="73">
        <f>INDEX(GUL_5!$A:$J,MATCH('2018'!$A51,GUL_5!$A:$A,0),MATCH('2018'!$A$1,GUL_5!$3:$3,0))</f>
        <v>3.3173533704588615E-2</v>
      </c>
      <c r="AC51" s="49" t="e">
        <f>INDEX(GUL_6!$A:$J,MATCH('2018'!$A51,GUL_6!$A:$A,0),MATCH('2018'!$A$1,GUL_6!$3:$3,0))</f>
        <v>#N/A</v>
      </c>
      <c r="AD51" s="49" t="e">
        <f>INDEX(GUL_7!$A:$J,MATCH('2018'!$A51,GUL_7!$A:$A,0),MATCH('2018'!$A$1,GUL_7!$3:$3,0))</f>
        <v>#N/A</v>
      </c>
      <c r="AE51" s="103">
        <f>INDEX(GUL_8!$A:$J,MATCH('2018'!$A51,GUL_8!$A:$A,0),MATCH('2018'!$A$1,GUL_8!$3:$3,0))/(B51/1000)</f>
        <v>1.3982769619372257</v>
      </c>
      <c r="AF51" s="41">
        <f>INDEX(DES_1!$A:$J,MATCH('2018'!$A51,DES_1!$A:$A,0),MATCH('2018'!$A$1,DES_1!$3:$3,0))/(B51/1000)</f>
        <v>0.12049667828675631</v>
      </c>
      <c r="AG51" s="100">
        <f>INDEX(DES_2!$A:$J,MATCH('2018'!$A51,DES_2!$A:$A,0),MATCH('2018'!$A$1,DES_2!$3:$3,0))/(B51/1000)</f>
        <v>0.3917752962478494</v>
      </c>
      <c r="AH51" s="57">
        <f>1/INDEX(DES_3!$A:$J,MATCH('2018'!$A51,DES_3!$A:$A,0),MATCH('2018'!$A$1,DES_3!$3:$3,0))</f>
        <v>7.9239302694136295E-3</v>
      </c>
      <c r="AI51" s="80" t="e">
        <f>INDEX(DES_4!$A:$J,MATCH('2018'!$A51,DES_4!$A:$A,0),MATCH('2018'!$A$1,DES_4!$3:$3,0))</f>
        <v>#N/A</v>
      </c>
      <c r="AJ51" s="110" t="e">
        <f>INDEX(DES_5!$A:$J,MATCH('2018'!$A51,DES_5!$A:$A,0),MATCH('2018'!$A$1,DES_5!$3:$3,0))</f>
        <v>#N/A</v>
      </c>
      <c r="AK51" s="57">
        <v>26</v>
      </c>
    </row>
    <row r="52" spans="1:37" x14ac:dyDescent="0.3">
      <c r="A52" s="29" t="s">
        <v>51</v>
      </c>
      <c r="B52" s="33">
        <f>INDEX(Population!$A:$J,MATCH('2018'!$A52,Population!$A:$A,0),MATCH('2018'!$A$1,Population!$3:$3,0))</f>
        <v>1163882</v>
      </c>
      <c r="C52" s="14">
        <f>INDEX(Income!$A:$J,MATCH('2018'!$A52,Income!$A:$A,0),MATCH('2018'!$A$1,Income!$3:$3,0))</f>
        <v>30025</v>
      </c>
      <c r="D52" s="34">
        <f>INDEX(Livable_wage!$A:$J,MATCH('2018'!$A52,Livable_wage!$A:$A,0),MATCH('2018'!$A$1,Livable_wage!$3:$3,0))</f>
        <v>9424</v>
      </c>
      <c r="E52" s="41">
        <f>INDEX(AVA_1!$A:$J,MATCH('2018'!$A52,AVA_1!$A:$A,0),MATCH('2018'!$A$1,AVA_1!$3:$3,0))</f>
        <v>0.39100000000000001</v>
      </c>
      <c r="F52" s="15">
        <f>INDEX(AVA_2!$A:$J,MATCH('2018'!$A52,AVA_2!$A:$A,0),MATCH('2018'!$A$1,AVA_2!$3:$3,0))</f>
        <v>1.0778519815246903E-2</v>
      </c>
      <c r="G52" s="15">
        <f>INDEX(AVA_3!$A:$J,MATCH('2018'!$A52,AVA_3!$A:$A,0),MATCH('2018'!$A$1,AVA_3!$3:$3,0))</f>
        <v>2.9205966169338687E-3</v>
      </c>
      <c r="H52" s="87">
        <f>INDEX(AVA_4!$A:$J,MATCH('2018'!$A52,AVA_4!$A:$A,0),MATCH('2018'!$A$1,AVA_4!$3:$3,0))/(B52/1000)</f>
        <v>0.46826052812914021</v>
      </c>
      <c r="I52" s="89">
        <f>INDEX(AVA_5!$A:$J,MATCH('2018'!$A52,AVA_5!$A:$A,0),MATCH('2018'!$A$1,AVA_5!$3:$3,0))/(B52/1000)</f>
        <v>3.7392106759963637</v>
      </c>
      <c r="J52" s="93">
        <f>INDEX(IRA_1!$A:$J,MATCH('2018'!$A52,IRA_1!$A:$A,0),MATCH('2018'!$A$1,IRA_1!$3:$3,0))/(B52/1000)</f>
        <v>3.9522906961358621E-2</v>
      </c>
      <c r="K52" s="88">
        <f>INDEX(IRA_2!$A:$J,MATCH('2018'!$A52,IRA_2!$A:$A,0),MATCH('2018'!$A$1,IRA_2!$3:$3,0))/(B52/1000)</f>
        <v>0.10911759095853359</v>
      </c>
      <c r="L52" s="15">
        <f>INDEX(IRA_3!$A:$J,MATCH('2018'!$A52,IRA_3!$A:$A,0),MATCH('2018'!$A$1,IRA_3!$3:$3,0))</f>
        <v>0.40838414634146336</v>
      </c>
      <c r="M52" s="96">
        <f>INDEX(IRA_4!$A:$J,MATCH('2018'!$A52,IRA_4!$A:$A,0),MATCH('2018'!$A$1,IRA_4!$3:$3,0))/(B52/1000)</f>
        <v>3.1979186893516696</v>
      </c>
      <c r="N52" s="61">
        <f>INDEX(INV_1!$A:$J,MATCH('2018'!$A52,INV_1!$A:$A,0),MATCH('2018'!$A$1,INV_1!$3:$3,0))</f>
        <v>7.2639730598206845E-2</v>
      </c>
      <c r="O52" s="80">
        <f>INDEX(INV_2!$A:$J,MATCH('2018'!$A52,INV_2!$A:$A,0),MATCH('2018'!$A$1,INV_2!$3:$3,0))/B52*10^6/C52</f>
        <v>0.37531364660275168</v>
      </c>
      <c r="P52" s="87">
        <f>INDEX(INV_3!$A:$J,MATCH('2018'!$A52,INV_3!$A:$A,0),MATCH('2018'!$A$1,INV_3!$3:$3,0))/B52*10^6/C52</f>
        <v>2.5222090428803168</v>
      </c>
      <c r="Q52" s="87">
        <f>INDEX(INV_4!$A:$J,MATCH('2018'!$A52,INV_4!$A:$A,0),MATCH('2018'!$A$1,INV_4!$3:$3,0))/B52*10^3/C52</f>
        <v>0.27070156261824424</v>
      </c>
      <c r="R52" s="34">
        <f>INDEX(INV_5!$A:$J,MATCH('2018'!$A52,INV_5!$A:$A,0),MATCH('2018'!$A$1,INV_5!$3:$3,0))</f>
        <v>6.3299999999999995E-2</v>
      </c>
      <c r="S52" s="77">
        <f>INDEX(LUJ_1!$A:$J,MATCH('2018'!$A52,LUJ_1!$A:$A,0),MATCH('2018'!$A$1,LUJ_1!$3:$3,0))</f>
        <v>0.69770200148257966</v>
      </c>
      <c r="T52" s="73">
        <f>INDEX(LUJ_2!$A:$J,MATCH('2018'!$A52,LUJ_2!$A:$A,0),MATCH('2018'!$A$1,LUJ_2!$3:$3,0))</f>
        <v>0.1683204704152885</v>
      </c>
      <c r="U52" s="73">
        <f>INDEX(LUJ_3!$A:$J,MATCH('2018'!$A52,LUJ_3!$A:$A,0),MATCH('2018'!$A$1,LUJ_3!$3:$3,0))</f>
        <v>0.41188938982854634</v>
      </c>
      <c r="V52" s="14">
        <f>INDEX(LUJ_4!$A:$J,MATCH('2018'!$A52,LUJ_4!$A:$A,0),MATCH('2018'!$A$1,LUJ_4!$3:$3,0))</f>
        <v>20</v>
      </c>
      <c r="W52" s="34">
        <f>INDEX(LUJ_5!$A:$J,MATCH('2018'!$A52,LUJ_5!$A:$A,0),MATCH('2018'!$A$1,LUJ_5!$3:$3,0))</f>
        <v>31.5</v>
      </c>
      <c r="X52" s="98">
        <f>1/INDEX(GUL_1!$A:$J,MATCH('2018'!$A52,GUL_1!$A:$A,0),MATCH('2018'!$A$1,GUL_1!$3:$3,0))</f>
        <v>1.3770311209033324E-2</v>
      </c>
      <c r="Y52" s="57" t="e">
        <f>INDEX(GUL_2!$A:$J,MATCH('2018'!$A52,GUL_2!$A:$A,0),MATCH('2018'!$A$1,GUL_2!$3:$3,0))</f>
        <v>#N/A</v>
      </c>
      <c r="Z52" s="57">
        <f>INDEX(GUL_3!$A:$J,MATCH('2018'!$A52,GUL_3!$A:$A,0),MATCH('2018'!$A$1,GUL_3!$3:$3,0))/(B52/1000)</f>
        <v>0.59456199167956891</v>
      </c>
      <c r="AA52" s="101">
        <f>INDEX(GUL_4!$A:$J,MATCH('2018'!$A52,GUL_4!$A:$A,0),MATCH('2018'!$A$1,GUL_4!$3:$3,0))/B52/C52*10^6</f>
        <v>0.20971478547370875</v>
      </c>
      <c r="AB52" s="73">
        <f>INDEX(GUL_5!$A:$J,MATCH('2018'!$A52,GUL_5!$A:$A,0),MATCH('2018'!$A$1,GUL_5!$3:$3,0))</f>
        <v>2.5377180401504596E-2</v>
      </c>
      <c r="AC52" s="49" t="e">
        <f>INDEX(GUL_6!$A:$J,MATCH('2018'!$A52,GUL_6!$A:$A,0),MATCH('2018'!$A$1,GUL_6!$3:$3,0))</f>
        <v>#N/A</v>
      </c>
      <c r="AD52" s="49" t="e">
        <f>INDEX(GUL_7!$A:$J,MATCH('2018'!$A52,GUL_7!$A:$A,0),MATCH('2018'!$A$1,GUL_7!$3:$3,0))</f>
        <v>#N/A</v>
      </c>
      <c r="AE52" s="103">
        <f>INDEX(GUL_8!$A:$J,MATCH('2018'!$A52,GUL_8!$A:$A,0),MATCH('2018'!$A$1,GUL_8!$3:$3,0))/(B52/1000)</f>
        <v>1.7561917788916745</v>
      </c>
      <c r="AF52" s="41">
        <f>INDEX(DES_1!$A:$J,MATCH('2018'!$A52,DES_1!$A:$A,0),MATCH('2018'!$A$1,DES_1!$3:$3,0))/(B52/1000)</f>
        <v>0.10739920369934408</v>
      </c>
      <c r="AG52" s="100">
        <f>INDEX(DES_2!$A:$J,MATCH('2018'!$A52,DES_2!$A:$A,0),MATCH('2018'!$A$1,DES_2!$3:$3,0))/(B52/1000)</f>
        <v>0.54644714842226272</v>
      </c>
      <c r="AH52" s="57">
        <f>1/INDEX(DES_3!$A:$J,MATCH('2018'!$A52,DES_3!$A:$A,0),MATCH('2018'!$A$1,DES_3!$3:$3,0))</f>
        <v>8.3822296730930428E-3</v>
      </c>
      <c r="AI52" s="80" t="e">
        <f>INDEX(DES_4!$A:$J,MATCH('2018'!$A52,DES_4!$A:$A,0),MATCH('2018'!$A$1,DES_4!$3:$3,0))</f>
        <v>#N/A</v>
      </c>
      <c r="AJ52" s="110" t="e">
        <f>INDEX(DES_5!$A:$J,MATCH('2018'!$A52,DES_5!$A:$A,0),MATCH('2018'!$A$1,DES_5!$3:$3,0))</f>
        <v>#N/A</v>
      </c>
      <c r="AK52" s="57">
        <v>6</v>
      </c>
    </row>
    <row r="53" spans="1:37" x14ac:dyDescent="0.3">
      <c r="A53" s="29" t="s">
        <v>52</v>
      </c>
      <c r="B53" s="33">
        <f>INDEX(Population!$A:$J,MATCH('2018'!$A53,Population!$A:$A,0),MATCH('2018'!$A$1,Population!$3:$3,0))</f>
        <v>600354</v>
      </c>
      <c r="C53" s="14">
        <f>INDEX(Income!$A:$J,MATCH('2018'!$A53,Income!$A:$A,0),MATCH('2018'!$A$1,Income!$3:$3,0))</f>
        <v>25616</v>
      </c>
      <c r="D53" s="34">
        <f>INDEX(Livable_wage!$A:$J,MATCH('2018'!$A53,Livable_wage!$A:$A,0),MATCH('2018'!$A$1,Livable_wage!$3:$3,0))</f>
        <v>11328</v>
      </c>
      <c r="E53" s="41">
        <f>INDEX(AVA_1!$A:$J,MATCH('2018'!$A53,AVA_1!$A:$A,0),MATCH('2018'!$A$1,AVA_1!$3:$3,0))</f>
        <v>0.34899999999999998</v>
      </c>
      <c r="F53" s="15">
        <f>INDEX(AVA_2!$A:$J,MATCH('2018'!$A53,AVA_2!$A:$A,0),MATCH('2018'!$A$1,AVA_2!$3:$3,0))</f>
        <v>1.1742844607324438E-2</v>
      </c>
      <c r="G53" s="15">
        <f>INDEX(AVA_3!$A:$J,MATCH('2018'!$A53,AVA_3!$A:$A,0),MATCH('2018'!$A$1,AVA_3!$3:$3,0))</f>
        <v>1.9186116468563934E-2</v>
      </c>
      <c r="H53" s="87">
        <f>INDEX(AVA_4!$A:$J,MATCH('2018'!$A53,AVA_4!$A:$A,0),MATCH('2018'!$A$1,AVA_4!$3:$3,0))/(B53/1000)</f>
        <v>0.78620280701053036</v>
      </c>
      <c r="I53" s="89">
        <f>INDEX(AVA_5!$A:$J,MATCH('2018'!$A53,AVA_5!$A:$A,0),MATCH('2018'!$A$1,AVA_5!$3:$3,0))/(B53/1000)</f>
        <v>7.5122344483421442</v>
      </c>
      <c r="J53" s="93">
        <f>INDEX(IRA_1!$A:$J,MATCH('2018'!$A53,IRA_1!$A:$A,0),MATCH('2018'!$A$1,IRA_1!$3:$3,0))/(B53/1000)</f>
        <v>7.6621460005263556E-2</v>
      </c>
      <c r="K53" s="88">
        <f>INDEX(IRA_2!$A:$J,MATCH('2018'!$A53,IRA_2!$A:$A,0),MATCH('2018'!$A$1,IRA_2!$3:$3,0))/(B53/1000)</f>
        <v>0.17156544305526406</v>
      </c>
      <c r="L53" s="15">
        <f>INDEX(IRA_3!$A:$J,MATCH('2018'!$A53,IRA_3!$A:$A,0),MATCH('2018'!$A$1,IRA_3!$3:$3,0))</f>
        <v>0.44451307391393868</v>
      </c>
      <c r="M53" s="96">
        <f>INDEX(IRA_4!$A:$J,MATCH('2018'!$A53,IRA_4!$A:$A,0),MATCH('2018'!$A$1,IRA_4!$3:$3,0))/(B53/1000)</f>
        <v>6.5094927326210863</v>
      </c>
      <c r="N53" s="61">
        <f>INDEX(INV_1!$A:$J,MATCH('2018'!$A53,INV_1!$A:$A,0),MATCH('2018'!$A$1,INV_1!$3:$3,0))</f>
        <v>8.1365699980269601E-2</v>
      </c>
      <c r="O53" s="80">
        <f>INDEX(INV_2!$A:$J,MATCH('2018'!$A53,INV_2!$A:$A,0),MATCH('2018'!$A$1,INV_2!$3:$3,0))/B53*10^6/C53</f>
        <v>0.42072621602036814</v>
      </c>
      <c r="P53" s="87">
        <f>INDEX(INV_3!$A:$J,MATCH('2018'!$A53,INV_3!$A:$A,0),MATCH('2018'!$A$1,INV_3!$3:$3,0))/B53*10^6/C53</f>
        <v>3.4920449402060774</v>
      </c>
      <c r="Q53" s="87">
        <f>INDEX(INV_4!$A:$J,MATCH('2018'!$A53,INV_4!$A:$A,0),MATCH('2018'!$A$1,INV_4!$3:$3,0))/B53*10^3/C53</f>
        <v>0.27003528996904941</v>
      </c>
      <c r="R53" s="34">
        <f>INDEX(INV_5!$A:$J,MATCH('2018'!$A53,INV_5!$A:$A,0),MATCH('2018'!$A$1,INV_5!$3:$3,0))</f>
        <v>4.4999999999999998E-2</v>
      </c>
      <c r="S53" s="77">
        <f>INDEX(LUJ_1!$A:$J,MATCH('2018'!$A53,LUJ_1!$A:$A,0),MATCH('2018'!$A$1,LUJ_1!$3:$3,0))</f>
        <v>0.84</v>
      </c>
      <c r="T53" s="73">
        <f>INDEX(LUJ_2!$A:$J,MATCH('2018'!$A53,LUJ_2!$A:$A,0),MATCH('2018'!$A$1,LUJ_2!$3:$3,0))</f>
        <v>0.21300256629597947</v>
      </c>
      <c r="U53" s="73">
        <f>INDEX(LUJ_3!$A:$J,MATCH('2018'!$A53,LUJ_3!$A:$A,0),MATCH('2018'!$A$1,LUJ_3!$3:$3,0))</f>
        <v>0.53515825491873392</v>
      </c>
      <c r="V53" s="14">
        <f>INDEX(LUJ_4!$A:$J,MATCH('2018'!$A53,LUJ_4!$A:$A,0),MATCH('2018'!$A$1,LUJ_4!$3:$3,0))</f>
        <v>14</v>
      </c>
      <c r="W53" s="34">
        <f>INDEX(LUJ_5!$A:$J,MATCH('2018'!$A53,LUJ_5!$A:$A,0),MATCH('2018'!$A$1,LUJ_5!$3:$3,0))</f>
        <v>55.9</v>
      </c>
      <c r="X53" s="98">
        <f>1/INDEX(GUL_1!$A:$J,MATCH('2018'!$A53,GUL_1!$A:$A,0),MATCH('2018'!$A$1,GUL_1!$3:$3,0))</f>
        <v>1.4232849416453173E-2</v>
      </c>
      <c r="Y53" s="57" t="e">
        <f>INDEX(GUL_2!$A:$J,MATCH('2018'!$A53,GUL_2!$A:$A,0),MATCH('2018'!$A$1,GUL_2!$3:$3,0))</f>
        <v>#N/A</v>
      </c>
      <c r="Z53" s="57">
        <f>INDEX(GUL_3!$A:$J,MATCH('2018'!$A53,GUL_3!$A:$A,0),MATCH('2018'!$A$1,GUL_3!$3:$3,0))/(B53/1000)</f>
        <v>1.0243956065921105</v>
      </c>
      <c r="AA53" s="101">
        <f>INDEX(GUL_4!$A:$J,MATCH('2018'!$A53,GUL_4!$A:$A,0),MATCH('2018'!$A$1,GUL_4!$3:$3,0))/B53/C53*10^6</f>
        <v>0.31933194601526971</v>
      </c>
      <c r="AB53" s="73">
        <f>INDEX(GUL_5!$A:$J,MATCH('2018'!$A53,GUL_5!$A:$A,0),MATCH('2018'!$A$1,GUL_5!$3:$3,0))</f>
        <v>1.8949894866818851E-2</v>
      </c>
      <c r="AC53" s="49" t="e">
        <f>INDEX(GUL_6!$A:$J,MATCH('2018'!$A53,GUL_6!$A:$A,0),MATCH('2018'!$A$1,GUL_6!$3:$3,0))</f>
        <v>#N/A</v>
      </c>
      <c r="AD53" s="49" t="e">
        <f>INDEX(GUL_7!$A:$J,MATCH('2018'!$A53,GUL_7!$A:$A,0),MATCH('2018'!$A$1,GUL_7!$3:$3,0))</f>
        <v>#N/A</v>
      </c>
      <c r="AE53" s="103">
        <f>INDEX(GUL_8!$A:$J,MATCH('2018'!$A53,GUL_8!$A:$A,0),MATCH('2018'!$A$1,GUL_8!$3:$3,0))/(B53/1000)</f>
        <v>3.3147109871842275</v>
      </c>
      <c r="AF53" s="41">
        <f>INDEX(DES_1!$A:$J,MATCH('2018'!$A53,DES_1!$A:$A,0),MATCH('2018'!$A$1,DES_1!$3:$3,0))/(B53/1000)</f>
        <v>0.16823407522894823</v>
      </c>
      <c r="AG53" s="100">
        <f>INDEX(DES_2!$A:$J,MATCH('2018'!$A53,DES_2!$A:$A,0),MATCH('2018'!$A$1,DES_2!$3:$3,0))/(B53/1000)</f>
        <v>0.38144161611315985</v>
      </c>
      <c r="AH53" s="57">
        <f>1/INDEX(DES_3!$A:$J,MATCH('2018'!$A53,DES_3!$A:$A,0),MATCH('2018'!$A$1,DES_3!$3:$3,0))</f>
        <v>7.3691967575534277E-3</v>
      </c>
      <c r="AI53" s="80" t="e">
        <f>INDEX(DES_4!$A:$J,MATCH('2018'!$A53,DES_4!$A:$A,0),MATCH('2018'!$A$1,DES_4!$3:$3,0))</f>
        <v>#N/A</v>
      </c>
      <c r="AJ53" s="110" t="e">
        <f>INDEX(DES_5!$A:$J,MATCH('2018'!$A53,DES_5!$A:$A,0),MATCH('2018'!$A$1,DES_5!$3:$3,0))</f>
        <v>#N/A</v>
      </c>
      <c r="AK53" s="57">
        <v>4</v>
      </c>
    </row>
    <row r="54" spans="1:37" x14ac:dyDescent="0.3">
      <c r="A54" s="29" t="s">
        <v>53</v>
      </c>
      <c r="B54" s="33">
        <f>INDEX(Population!$A:$J,MATCH('2018'!$A54,Population!$A:$A,0),MATCH('2018'!$A$1,Population!$3:$3,0))</f>
        <v>1081359</v>
      </c>
      <c r="C54" s="14">
        <f>INDEX(Income!$A:$J,MATCH('2018'!$A54,Income!$A:$A,0),MATCH('2018'!$A$1,Income!$3:$3,0))</f>
        <v>33866</v>
      </c>
      <c r="D54" s="34">
        <f>INDEX(Livable_wage!$A:$J,MATCH('2018'!$A54,Livable_wage!$A:$A,0),MATCH('2018'!$A$1,Livable_wage!$3:$3,0))</f>
        <v>13223.450402687729</v>
      </c>
      <c r="E54" s="41">
        <f>INDEX(AVA_1!$A:$J,MATCH('2018'!$A54,AVA_1!$A:$A,0),MATCH('2018'!$A$1,AVA_1!$3:$3,0))</f>
        <v>0.38200000000000001</v>
      </c>
      <c r="F54" s="15">
        <f>INDEX(AVA_2!$A:$J,MATCH('2018'!$A54,AVA_2!$A:$A,0),MATCH('2018'!$A$1,AVA_2!$3:$3,0))</f>
        <v>1.1305913557949973E-2</v>
      </c>
      <c r="G54" s="15">
        <f>INDEX(AVA_3!$A:$J,MATCH('2018'!$A54,AVA_3!$A:$A,0),MATCH('2018'!$A$1,AVA_3!$3:$3,0))</f>
        <v>8.0590746212863239E-3</v>
      </c>
      <c r="H54" s="87">
        <f>INDEX(AVA_4!$A:$J,MATCH('2018'!$A54,AVA_4!$A:$A,0),MATCH('2018'!$A$1,AVA_4!$3:$3,0))/(B54/1000)</f>
        <v>1.0930689992870084</v>
      </c>
      <c r="I54" s="89">
        <f>INDEX(AVA_5!$A:$J,MATCH('2018'!$A54,AVA_5!$A:$A,0),MATCH('2018'!$A$1,AVA_5!$3:$3,0))/(B54/1000)</f>
        <v>6.4344958519788529</v>
      </c>
      <c r="J54" s="93">
        <f>INDEX(IRA_1!$A:$J,MATCH('2018'!$A54,IRA_1!$A:$A,0),MATCH('2018'!$A$1,IRA_1!$3:$3,0))/(B54/1000)</f>
        <v>0.11189623427557362</v>
      </c>
      <c r="K54" s="88">
        <f>INDEX(IRA_2!$A:$J,MATCH('2018'!$A54,IRA_2!$A:$A,0),MATCH('2018'!$A$1,IRA_2!$3:$3,0))/(B54/1000)</f>
        <v>0.20344769868286111</v>
      </c>
      <c r="L54" s="15">
        <f>INDEX(IRA_3!$A:$J,MATCH('2018'!$A54,IRA_3!$A:$A,0),MATCH('2018'!$A$1,IRA_3!$3:$3,0))</f>
        <v>0.4331983805668016</v>
      </c>
      <c r="M54" s="96">
        <f>INDEX(IRA_4!$A:$J,MATCH('2018'!$A54,IRA_4!$A:$A,0),MATCH('2018'!$A$1,IRA_4!$3:$3,0))/(B54/1000)</f>
        <v>5.6290279176480711</v>
      </c>
      <c r="N54" s="61">
        <f>INDEX(INV_1!$A:$J,MATCH('2018'!$A54,INV_1!$A:$A,0),MATCH('2018'!$A$1,INV_1!$3:$3,0))</f>
        <v>8.324376741438097E-2</v>
      </c>
      <c r="O54" s="80">
        <f>INDEX(INV_2!$A:$J,MATCH('2018'!$A54,INV_2!$A:$A,0),MATCH('2018'!$A$1,INV_2!$3:$3,0))/B54*10^6/C54</f>
        <v>0.43767920564472523</v>
      </c>
      <c r="P54" s="87">
        <f>INDEX(INV_3!$A:$J,MATCH('2018'!$A54,INV_3!$A:$A,0),MATCH('2018'!$A$1,INV_3!$3:$3,0))/B54*10^6/C54</f>
        <v>3.6778865217321584</v>
      </c>
      <c r="Q54" s="87">
        <f>INDEX(INV_4!$A:$J,MATCH('2018'!$A54,INV_4!$A:$A,0),MATCH('2018'!$A$1,INV_4!$3:$3,0))/B54*10^3/C54</f>
        <v>0.26127575953317311</v>
      </c>
      <c r="R54" s="34">
        <f>INDEX(INV_5!$A:$J,MATCH('2018'!$A54,INV_5!$A:$A,0),MATCH('2018'!$A$1,INV_5!$3:$3,0))</f>
        <v>3.6499999999999998E-2</v>
      </c>
      <c r="S54" s="77">
        <f>INDEX(LUJ_1!$A:$J,MATCH('2018'!$A54,LUJ_1!$A:$A,0),MATCH('2018'!$A$1,LUJ_1!$3:$3,0))</f>
        <v>0.7450067577714371</v>
      </c>
      <c r="T54" s="73">
        <f>INDEX(LUJ_2!$A:$J,MATCH('2018'!$A54,LUJ_2!$A:$A,0),MATCH('2018'!$A$1,LUJ_2!$3:$3,0))</f>
        <v>0.26333570412517782</v>
      </c>
      <c r="U54" s="73">
        <f>INDEX(LUJ_3!$A:$J,MATCH('2018'!$A54,LUJ_3!$A:$A,0),MATCH('2018'!$A$1,LUJ_3!$3:$3,0))</f>
        <v>0.58614864864864868</v>
      </c>
      <c r="V54" s="14">
        <f>INDEX(LUJ_4!$A:$J,MATCH('2018'!$A54,LUJ_4!$A:$A,0),MATCH('2018'!$A$1,LUJ_4!$3:$3,0))</f>
        <v>21</v>
      </c>
      <c r="W54" s="34">
        <f>INDEX(LUJ_5!$A:$J,MATCH('2018'!$A54,LUJ_5!$A:$A,0),MATCH('2018'!$A$1,LUJ_5!$3:$3,0))</f>
        <v>32.299999999999997</v>
      </c>
      <c r="X54" s="98">
        <f>1/INDEX(GUL_1!$A:$J,MATCH('2018'!$A54,GUL_1!$A:$A,0),MATCH('2018'!$A$1,GUL_1!$3:$3,0))</f>
        <v>1.3869625520110958E-2</v>
      </c>
      <c r="Y54" s="57" t="e">
        <f>INDEX(GUL_2!$A:$J,MATCH('2018'!$A54,GUL_2!$A:$A,0),MATCH('2018'!$A$1,GUL_2!$3:$3,0))</f>
        <v>#N/A</v>
      </c>
      <c r="Z54" s="57">
        <f>INDEX(GUL_3!$A:$J,MATCH('2018'!$A54,GUL_3!$A:$A,0),MATCH('2018'!$A$1,GUL_3!$3:$3,0))/(B54/1000)</f>
        <v>0.71021742085653339</v>
      </c>
      <c r="AA54" s="101">
        <f>INDEX(GUL_4!$A:$J,MATCH('2018'!$A54,GUL_4!$A:$A,0),MATCH('2018'!$A$1,GUL_4!$3:$3,0))/B54/C54*10^6</f>
        <v>0.42191534317628415</v>
      </c>
      <c r="AB54" s="73">
        <f>INDEX(GUL_5!$A:$J,MATCH('2018'!$A54,GUL_5!$A:$A,0),MATCH('2018'!$A$1,GUL_5!$3:$3,0))</f>
        <v>2.8824288608085846E-2</v>
      </c>
      <c r="AC54" s="49" t="e">
        <f>INDEX(GUL_6!$A:$J,MATCH('2018'!$A54,GUL_6!$A:$A,0),MATCH('2018'!$A$1,GUL_6!$3:$3,0))</f>
        <v>#N/A</v>
      </c>
      <c r="AD54" s="49" t="e">
        <f>INDEX(GUL_7!$A:$J,MATCH('2018'!$A54,GUL_7!$A:$A,0),MATCH('2018'!$A$1,GUL_7!$3:$3,0))</f>
        <v>#N/A</v>
      </c>
      <c r="AE54" s="103">
        <f>INDEX(GUL_8!$A:$J,MATCH('2018'!$A54,GUL_8!$A:$A,0),MATCH('2018'!$A$1,GUL_8!$3:$3,0))/(B54/1000)</f>
        <v>3.8090957767032041</v>
      </c>
      <c r="AF54" s="41">
        <f>INDEX(DES_1!$A:$J,MATCH('2018'!$A54,DES_1!$A:$A,0),MATCH('2018'!$A$1,DES_1!$3:$3,0))/(B54/1000)</f>
        <v>0.28760106495622639</v>
      </c>
      <c r="AG54" s="100">
        <f>INDEX(DES_2!$A:$J,MATCH('2018'!$A54,DES_2!$A:$A,0),MATCH('2018'!$A$1,DES_2!$3:$3,0))/(B54/1000)</f>
        <v>0.39302396336461809</v>
      </c>
      <c r="AH54" s="57">
        <f>1/INDEX(DES_3!$A:$J,MATCH('2018'!$A54,DES_3!$A:$A,0),MATCH('2018'!$A$1,DES_3!$3:$3,0))</f>
        <v>8.1833060556464818E-3</v>
      </c>
      <c r="AI54" s="80" t="e">
        <f>INDEX(DES_4!$A:$J,MATCH('2018'!$A54,DES_4!$A:$A,0),MATCH('2018'!$A$1,DES_4!$3:$3,0))</f>
        <v>#N/A</v>
      </c>
      <c r="AJ54" s="110" t="e">
        <f>INDEX(DES_5!$A:$J,MATCH('2018'!$A54,DES_5!$A:$A,0),MATCH('2018'!$A$1,DES_5!$3:$3,0))</f>
        <v>#N/A</v>
      </c>
      <c r="AK54" s="57">
        <v>2</v>
      </c>
    </row>
    <row r="55" spans="1:37" x14ac:dyDescent="0.3">
      <c r="A55" s="29" t="s">
        <v>54</v>
      </c>
      <c r="B55" s="33">
        <f>INDEX(Population!$A:$J,MATCH('2018'!$A55,Population!$A:$A,0),MATCH('2018'!$A$1,Population!$3:$3,0))</f>
        <v>3200781</v>
      </c>
      <c r="C55" s="14">
        <f>INDEX(Income!$A:$J,MATCH('2018'!$A55,Income!$A:$A,0),MATCH('2018'!$A$1,Income!$3:$3,0))</f>
        <v>31416</v>
      </c>
      <c r="D55" s="34">
        <f>INDEX(Livable_wage!$A:$J,MATCH('2018'!$A55,Livable_wage!$A:$A,0),MATCH('2018'!$A$1,Livable_wage!$3:$3,0))</f>
        <v>9952</v>
      </c>
      <c r="E55" s="41">
        <f>INDEX(AVA_1!$A:$J,MATCH('2018'!$A55,AVA_1!$A:$A,0),MATCH('2018'!$A$1,AVA_1!$3:$3,0))</f>
        <v>0.39200000000000002</v>
      </c>
      <c r="F55" s="15">
        <f>INDEX(AVA_2!$A:$J,MATCH('2018'!$A55,AVA_2!$A:$A,0),MATCH('2018'!$A$1,AVA_2!$3:$3,0))</f>
        <v>1.387817208414655E-2</v>
      </c>
      <c r="G55" s="15">
        <f>INDEX(AVA_3!$A:$J,MATCH('2018'!$A55,AVA_3!$A:$A,0),MATCH('2018'!$A$1,AVA_3!$3:$3,0))</f>
        <v>9.6031901470552336E-3</v>
      </c>
      <c r="H55" s="87">
        <f>INDEX(AVA_4!$A:$J,MATCH('2018'!$A55,AVA_4!$A:$A,0),MATCH('2018'!$A$1,AVA_4!$3:$3,0))/(B55/1000)</f>
        <v>0.67014894177389828</v>
      </c>
      <c r="I55" s="89">
        <f>INDEX(AVA_5!$A:$J,MATCH('2018'!$A55,AVA_5!$A:$A,0),MATCH('2018'!$A$1,AVA_5!$3:$3,0))/(B55/1000)</f>
        <v>5.0637641250682259</v>
      </c>
      <c r="J55" s="93">
        <f>INDEX(IRA_1!$A:$J,MATCH('2018'!$A55,IRA_1!$A:$A,0),MATCH('2018'!$A$1,IRA_1!$3:$3,0))/(B55/1000)</f>
        <v>6.7171106051929205E-2</v>
      </c>
      <c r="K55" s="88">
        <f>INDEX(IRA_2!$A:$J,MATCH('2018'!$A55,IRA_2!$A:$A,0),MATCH('2018'!$A$1,IRA_2!$3:$3,0))/(B55/1000)</f>
        <v>0.1180961771517639</v>
      </c>
      <c r="L55" s="15">
        <f>INDEX(IRA_3!$A:$J,MATCH('2018'!$A55,IRA_3!$A:$A,0),MATCH('2018'!$A$1,IRA_3!$3:$3,0))</f>
        <v>0.45058908391440256</v>
      </c>
      <c r="M55" s="96">
        <f>INDEX(IRA_4!$A:$J,MATCH('2018'!$A55,IRA_4!$A:$A,0),MATCH('2018'!$A$1,IRA_4!$3:$3,0))/(B55/1000)</f>
        <v>4.6319945038414065</v>
      </c>
      <c r="N55" s="61">
        <f>INDEX(INV_1!$A:$J,MATCH('2018'!$A55,INV_1!$A:$A,0),MATCH('2018'!$A$1,INV_1!$3:$3,0))</f>
        <v>7.0251776358637746E-2</v>
      </c>
      <c r="O55" s="80">
        <f>INDEX(INV_2!$A:$J,MATCH('2018'!$A55,INV_2!$A:$A,0),MATCH('2018'!$A$1,INV_2!$3:$3,0))/B55*10^6/C55</f>
        <v>0.39588628444997082</v>
      </c>
      <c r="P55" s="87">
        <f>INDEX(INV_3!$A:$J,MATCH('2018'!$A55,INV_3!$A:$A,0),MATCH('2018'!$A$1,INV_3!$3:$3,0))/B55*10^6/C55</f>
        <v>2.8338612159799772</v>
      </c>
      <c r="Q55" s="87">
        <f>INDEX(INV_4!$A:$J,MATCH('2018'!$A55,INV_4!$A:$A,0),MATCH('2018'!$A$1,INV_4!$3:$3,0))/B55*10^3/C55</f>
        <v>0.24558126068054886</v>
      </c>
      <c r="R55" s="34">
        <f>INDEX(INV_5!$A:$J,MATCH('2018'!$A55,INV_5!$A:$A,0),MATCH('2018'!$A$1,INV_5!$3:$3,0))</f>
        <v>8.6099999999999996E-2</v>
      </c>
      <c r="S55" s="77">
        <f>INDEX(LUJ_1!$A:$J,MATCH('2018'!$A55,LUJ_1!$A:$A,0),MATCH('2018'!$A$1,LUJ_1!$3:$3,0))</f>
        <v>0.64736171297476419</v>
      </c>
      <c r="T55" s="73">
        <f>INDEX(LUJ_2!$A:$J,MATCH('2018'!$A55,LUJ_2!$A:$A,0),MATCH('2018'!$A$1,LUJ_2!$3:$3,0))</f>
        <v>0.15905187220886294</v>
      </c>
      <c r="U55" s="73">
        <f>INDEX(LUJ_3!$A:$J,MATCH('2018'!$A55,LUJ_3!$A:$A,0),MATCH('2018'!$A$1,LUJ_3!$3:$3,0))</f>
        <v>0.43246619406014802</v>
      </c>
      <c r="V55" s="14">
        <f>INDEX(LUJ_4!$A:$J,MATCH('2018'!$A55,LUJ_4!$A:$A,0),MATCH('2018'!$A$1,LUJ_4!$3:$3,0))</f>
        <v>96</v>
      </c>
      <c r="W55" s="34">
        <f>INDEX(LUJ_5!$A:$J,MATCH('2018'!$A55,LUJ_5!$A:$A,0),MATCH('2018'!$A$1,LUJ_5!$3:$3,0))</f>
        <v>64.599999999999994</v>
      </c>
      <c r="X55" s="98">
        <f>1/INDEX(GUL_1!$A:$J,MATCH('2018'!$A55,GUL_1!$A:$A,0),MATCH('2018'!$A$1,GUL_1!$3:$3,0))</f>
        <v>1.3948946854512485E-2</v>
      </c>
      <c r="Y55" s="57" t="e">
        <f>INDEX(GUL_2!$A:$J,MATCH('2018'!$A55,GUL_2!$A:$A,0),MATCH('2018'!$A$1,GUL_2!$3:$3,0))</f>
        <v>#N/A</v>
      </c>
      <c r="Z55" s="57">
        <f>INDEX(GUL_3!$A:$J,MATCH('2018'!$A55,GUL_3!$A:$A,0),MATCH('2018'!$A$1,GUL_3!$3:$3,0))/(B55/1000)</f>
        <v>0.89415676986335524</v>
      </c>
      <c r="AA55" s="101">
        <f>INDEX(GUL_4!$A:$J,MATCH('2018'!$A55,GUL_4!$A:$A,0),MATCH('2018'!$A$1,GUL_4!$3:$3,0))/B55/C55*10^6</f>
        <v>0.27261696964111687</v>
      </c>
      <c r="AB55" s="73">
        <f>INDEX(GUL_5!$A:$J,MATCH('2018'!$A55,GUL_5!$A:$A,0),MATCH('2018'!$A$1,GUL_5!$3:$3,0))</f>
        <v>2.0651015644547865E-2</v>
      </c>
      <c r="AC55" s="49" t="e">
        <f>INDEX(GUL_6!$A:$J,MATCH('2018'!$A55,GUL_6!$A:$A,0),MATCH('2018'!$A$1,GUL_6!$3:$3,0))</f>
        <v>#N/A</v>
      </c>
      <c r="AD55" s="49" t="e">
        <f>INDEX(GUL_7!$A:$J,MATCH('2018'!$A55,GUL_7!$A:$A,0),MATCH('2018'!$A$1,GUL_7!$3:$3,0))</f>
        <v>#N/A</v>
      </c>
      <c r="AE55" s="103">
        <f>INDEX(GUL_8!$A:$J,MATCH('2018'!$A55,GUL_8!$A:$A,0),MATCH('2018'!$A$1,GUL_8!$3:$3,0))/(B55/1000)</f>
        <v>2.0769930838754669</v>
      </c>
      <c r="AF55" s="41">
        <f>INDEX(DES_1!$A:$J,MATCH('2018'!$A55,DES_1!$A:$A,0),MATCH('2018'!$A$1,DES_1!$3:$3,0))/(B55/1000)</f>
        <v>8.3729564753102448E-2</v>
      </c>
      <c r="AG55" s="100">
        <f>INDEX(DES_2!$A:$J,MATCH('2018'!$A55,DES_2!$A:$A,0),MATCH('2018'!$A$1,DES_2!$3:$3,0))/(B55/1000)</f>
        <v>0.42645841749248076</v>
      </c>
      <c r="AH55" s="57">
        <f>1/INDEX(DES_3!$A:$J,MATCH('2018'!$A55,DES_3!$A:$A,0),MATCH('2018'!$A$1,DES_3!$3:$3,0))</f>
        <v>8.4104289318755257E-3</v>
      </c>
      <c r="AI55" s="80" t="e">
        <f>INDEX(DES_4!$A:$J,MATCH('2018'!$A55,DES_4!$A:$A,0),MATCH('2018'!$A$1,DES_4!$3:$3,0))</f>
        <v>#N/A</v>
      </c>
      <c r="AJ55" s="110" t="e">
        <f>INDEX(DES_5!$A:$J,MATCH('2018'!$A55,DES_5!$A:$A,0),MATCH('2018'!$A$1,DES_5!$3:$3,0))</f>
        <v>#N/A</v>
      </c>
      <c r="AK55" s="57">
        <v>62</v>
      </c>
    </row>
    <row r="56" spans="1:37" x14ac:dyDescent="0.3">
      <c r="A56" s="29" t="s">
        <v>55</v>
      </c>
      <c r="B56" s="33">
        <f>INDEX(Population!$A:$J,MATCH('2018'!$A56,Population!$A:$A,0),MATCH('2018'!$A$1,Population!$3:$3,0))</f>
        <v>817465</v>
      </c>
      <c r="C56" s="14">
        <f>INDEX(Income!$A:$J,MATCH('2018'!$A56,Income!$A:$A,0),MATCH('2018'!$A$1,Income!$3:$3,0))</f>
        <v>20335</v>
      </c>
      <c r="D56" s="34">
        <f>INDEX(Livable_wage!$A:$J,MATCH('2018'!$A56,Livable_wage!$A:$A,0),MATCH('2018'!$A$1,Livable_wage!$3:$3,0))</f>
        <v>10023</v>
      </c>
      <c r="E56" s="41">
        <f>INDEX(AVA_1!$A:$J,MATCH('2018'!$A56,AVA_1!$A:$A,0),MATCH('2018'!$A$1,AVA_1!$3:$3,0))</f>
        <v>0.35199999999999998</v>
      </c>
      <c r="F56" s="15">
        <f>INDEX(AVA_2!$A:$J,MATCH('2018'!$A56,AVA_2!$A:$A,0),MATCH('2018'!$A$1,AVA_2!$3:$3,0))</f>
        <v>7.2929538483294558E-3</v>
      </c>
      <c r="G56" s="15">
        <f>INDEX(AVA_3!$A:$J,MATCH('2018'!$A56,AVA_3!$A:$A,0),MATCH('2018'!$A$1,AVA_3!$3:$3,0))</f>
        <v>3.1421527643811051E-2</v>
      </c>
      <c r="H56" s="87">
        <f>INDEX(AVA_4!$A:$J,MATCH('2018'!$A56,AVA_4!$A:$A,0),MATCH('2018'!$A$1,AVA_4!$3:$3,0))/(B56/1000)</f>
        <v>0.80125754619463829</v>
      </c>
      <c r="I56" s="89">
        <f>INDEX(AVA_5!$A:$J,MATCH('2018'!$A56,AVA_5!$A:$A,0),MATCH('2018'!$A$1,AVA_5!$3:$3,0))/(B56/1000)</f>
        <v>6.870018899891738</v>
      </c>
      <c r="J56" s="93">
        <f>INDEX(IRA_1!$A:$J,MATCH('2018'!$A56,IRA_1!$A:$A,0),MATCH('2018'!$A$1,IRA_1!$3:$3,0))/(B56/1000)</f>
        <v>0.11498963258365801</v>
      </c>
      <c r="K56" s="88">
        <f>INDEX(IRA_2!$A:$J,MATCH('2018'!$A56,IRA_2!$A:$A,0),MATCH('2018'!$A$1,IRA_2!$3:$3,0))/(B56/1000)</f>
        <v>0.19817362211226167</v>
      </c>
      <c r="L56" s="15">
        <f>INDEX(IRA_3!$A:$J,MATCH('2018'!$A56,IRA_3!$A:$A,0),MATCH('2018'!$A$1,IRA_3!$3:$3,0))</f>
        <v>0.32686166815685269</v>
      </c>
      <c r="M56" s="96">
        <f>INDEX(IRA_4!$A:$J,MATCH('2018'!$A56,IRA_4!$A:$A,0),MATCH('2018'!$A$1,IRA_4!$3:$3,0))/(B56/1000)</f>
        <v>5.8559082040209667</v>
      </c>
      <c r="N56" s="61">
        <f>INDEX(INV_1!$A:$J,MATCH('2018'!$A56,INV_1!$A:$A,0),MATCH('2018'!$A$1,INV_1!$3:$3,0))</f>
        <v>8.7370656903594981E-2</v>
      </c>
      <c r="O56" s="80">
        <f>INDEX(INV_2!$A:$J,MATCH('2018'!$A56,INV_2!$A:$A,0),MATCH('2018'!$A$1,INV_2!$3:$3,0))/B56*10^6/C56</f>
        <v>0.40474584999365143</v>
      </c>
      <c r="P56" s="87">
        <f>INDEX(INV_3!$A:$J,MATCH('2018'!$A56,INV_3!$A:$A,0),MATCH('2018'!$A$1,INV_3!$3:$3,0))/B56*10^6/C56</f>
        <v>4.3109757572417857</v>
      </c>
      <c r="Q56" s="87">
        <f>INDEX(INV_4!$A:$J,MATCH('2018'!$A56,INV_4!$A:$A,0),MATCH('2018'!$A$1,INV_4!$3:$3,0))/B56*10^3/C56</f>
        <v>0.29945228599419954</v>
      </c>
      <c r="R56" s="34">
        <f>INDEX(INV_5!$A:$J,MATCH('2018'!$A56,INV_5!$A:$A,0),MATCH('2018'!$A$1,INV_5!$3:$3,0))</f>
        <v>3.3500000000000002E-2</v>
      </c>
      <c r="S56" s="77">
        <f>INDEX(LUJ_1!$A:$J,MATCH('2018'!$A56,LUJ_1!$A:$A,0),MATCH('2018'!$A$1,LUJ_1!$3:$3,0))</f>
        <v>0.72422625400213447</v>
      </c>
      <c r="T56" s="73">
        <f>INDEX(LUJ_2!$A:$J,MATCH('2018'!$A56,LUJ_2!$A:$A,0),MATCH('2018'!$A$1,LUJ_2!$3:$3,0))</f>
        <v>0.22865077528349922</v>
      </c>
      <c r="U56" s="73">
        <f>INDEX(LUJ_3!$A:$J,MATCH('2018'!$A56,LUJ_3!$A:$A,0),MATCH('2018'!$A$1,LUJ_3!$3:$3,0))</f>
        <v>0.63168248090719736</v>
      </c>
      <c r="V56" s="14">
        <f>INDEX(LUJ_4!$A:$J,MATCH('2018'!$A56,LUJ_4!$A:$A,0),MATCH('2018'!$A$1,LUJ_4!$3:$3,0))</f>
        <v>29</v>
      </c>
      <c r="W56" s="34">
        <f>INDEX(LUJ_5!$A:$J,MATCH('2018'!$A56,LUJ_5!$A:$A,0),MATCH('2018'!$A$1,LUJ_5!$3:$3,0))</f>
        <v>81.900000000000006</v>
      </c>
      <c r="X56" s="98">
        <f>1/INDEX(GUL_1!$A:$J,MATCH('2018'!$A56,GUL_1!$A:$A,0),MATCH('2018'!$A$1,GUL_1!$3:$3,0))</f>
        <v>1.4128284826222096E-2</v>
      </c>
      <c r="Y56" s="57" t="e">
        <f>INDEX(GUL_2!$A:$J,MATCH('2018'!$A56,GUL_2!$A:$A,0),MATCH('2018'!$A$1,GUL_2!$3:$3,0))</f>
        <v>#N/A</v>
      </c>
      <c r="Z56" s="57">
        <f>INDEX(GUL_3!$A:$J,MATCH('2018'!$A56,GUL_3!$A:$A,0),MATCH('2018'!$A$1,GUL_3!$3:$3,0))/(B56/1000)</f>
        <v>0.76333543332130427</v>
      </c>
      <c r="AA56" s="101">
        <f>INDEX(GUL_4!$A:$J,MATCH('2018'!$A56,GUL_4!$A:$A,0),MATCH('2018'!$A$1,GUL_4!$3:$3,0))/B56/C56*10^6</f>
        <v>0.22913165208898253</v>
      </c>
      <c r="AB56" s="73">
        <f>INDEX(GUL_5!$A:$J,MATCH('2018'!$A56,GUL_5!$A:$A,0),MATCH('2018'!$A$1,GUL_5!$3:$3,0))</f>
        <v>3.1493285495760581E-2</v>
      </c>
      <c r="AC56" s="49" t="e">
        <f>INDEX(GUL_6!$A:$J,MATCH('2018'!$A56,GUL_6!$A:$A,0),MATCH('2018'!$A$1,GUL_6!$3:$3,0))</f>
        <v>#N/A</v>
      </c>
      <c r="AD56" s="49" t="e">
        <f>INDEX(GUL_7!$A:$J,MATCH('2018'!$A56,GUL_7!$A:$A,0),MATCH('2018'!$A$1,GUL_7!$3:$3,0))</f>
        <v>#N/A</v>
      </c>
      <c r="AE56" s="103">
        <f>INDEX(GUL_8!$A:$J,MATCH('2018'!$A56,GUL_8!$A:$A,0),MATCH('2018'!$A$1,GUL_8!$3:$3,0))/(B56/1000)</f>
        <v>4.1518597126482479</v>
      </c>
      <c r="AF56" s="41">
        <f>INDEX(DES_1!$A:$J,MATCH('2018'!$A56,DES_1!$A:$A,0),MATCH('2018'!$A$1,DES_1!$3:$3,0))/(B56/1000)</f>
        <v>0.33885242793269438</v>
      </c>
      <c r="AG56" s="100">
        <f>INDEX(DES_2!$A:$J,MATCH('2018'!$A56,DES_2!$A:$A,0),MATCH('2018'!$A$1,DES_2!$3:$3,0))/(B56/1000)</f>
        <v>0.74498602386646517</v>
      </c>
      <c r="AH56" s="57">
        <f>1/INDEX(DES_3!$A:$J,MATCH('2018'!$A56,DES_3!$A:$A,0),MATCH('2018'!$A$1,DES_3!$3:$3,0))</f>
        <v>9.1659028414298807E-3</v>
      </c>
      <c r="AI56" s="80" t="e">
        <f>INDEX(DES_4!$A:$J,MATCH('2018'!$A56,DES_4!$A:$A,0),MATCH('2018'!$A$1,DES_4!$3:$3,0))</f>
        <v>#N/A</v>
      </c>
      <c r="AJ56" s="110" t="e">
        <f>INDEX(DES_5!$A:$J,MATCH('2018'!$A56,DES_5!$A:$A,0),MATCH('2018'!$A$1,DES_5!$3:$3,0))</f>
        <v>#N/A</v>
      </c>
      <c r="AK56" s="57">
        <v>1</v>
      </c>
    </row>
    <row r="57" spans="1:37" x14ac:dyDescent="0.3">
      <c r="A57" s="29" t="s">
        <v>56</v>
      </c>
      <c r="B57" s="33">
        <f>INDEX(Population!$A:$J,MATCH('2018'!$A57,Population!$A:$A,0),MATCH('2018'!$A$1,Population!$3:$3,0))</f>
        <v>1107508</v>
      </c>
      <c r="C57" s="14">
        <f>INDEX(Income!$A:$J,MATCH('2018'!$A57,Income!$A:$A,0),MATCH('2018'!$A$1,Income!$3:$3,0))</f>
        <v>27279</v>
      </c>
      <c r="D57" s="34">
        <f>INDEX(Livable_wage!$A:$J,MATCH('2018'!$A57,Livable_wage!$A:$A,0),MATCH('2018'!$A$1,Livable_wage!$3:$3,0))</f>
        <v>9741</v>
      </c>
      <c r="E57" s="41">
        <f>INDEX(AVA_1!$A:$J,MATCH('2018'!$A57,AVA_1!$A:$A,0),MATCH('2018'!$A$1,AVA_1!$3:$3,0))</f>
        <v>0.37</v>
      </c>
      <c r="F57" s="15">
        <f>INDEX(AVA_2!$A:$J,MATCH('2018'!$A57,AVA_2!$A:$A,0),MATCH('2018'!$A$1,AVA_2!$3:$3,0))</f>
        <v>8.6103815075029514E-3</v>
      </c>
      <c r="G57" s="15">
        <f>INDEX(AVA_3!$A:$J,MATCH('2018'!$A57,AVA_3!$A:$A,0),MATCH('2018'!$A$1,AVA_3!$3:$3,0))</f>
        <v>1.2648086594609238E-2</v>
      </c>
      <c r="H57" s="87">
        <f>INDEX(AVA_4!$A:$J,MATCH('2018'!$A57,AVA_4!$A:$A,0),MATCH('2018'!$A$1,AVA_4!$3:$3,0))/(B57/1000)</f>
        <v>0.57245636148903667</v>
      </c>
      <c r="I57" s="89">
        <f>INDEX(AVA_5!$A:$J,MATCH('2018'!$A57,AVA_5!$A:$A,0),MATCH('2018'!$A$1,AVA_5!$3:$3,0))/(B57/1000)</f>
        <v>3.6713053088555565</v>
      </c>
      <c r="J57" s="93">
        <f>INDEX(IRA_1!$A:$J,MATCH('2018'!$A57,IRA_1!$A:$A,0),MATCH('2018'!$A$1,IRA_1!$3:$3,0))/(B57/1000)</f>
        <v>3.5214192583710453E-2</v>
      </c>
      <c r="K57" s="88">
        <f>INDEX(IRA_2!$A:$J,MATCH('2018'!$A57,IRA_2!$A:$A,0),MATCH('2018'!$A$1,IRA_2!$3:$3,0))/(B57/1000)</f>
        <v>0.10022500966132976</v>
      </c>
      <c r="L57" s="15">
        <f>INDEX(IRA_3!$A:$J,MATCH('2018'!$A57,IRA_3!$A:$A,0),MATCH('2018'!$A$1,IRA_3!$3:$3,0))</f>
        <v>0.37911755817467507</v>
      </c>
      <c r="M57" s="96">
        <f>INDEX(IRA_4!$A:$J,MATCH('2018'!$A57,IRA_4!$A:$A,0),MATCH('2018'!$A$1,IRA_4!$3:$3,0))/(B57/1000)</f>
        <v>3.5123899782213761</v>
      </c>
      <c r="N57" s="61">
        <f>INDEX(INV_1!$A:$J,MATCH('2018'!$A57,INV_1!$A:$A,0),MATCH('2018'!$A$1,INV_1!$3:$3,0))</f>
        <v>0.11340547909178557</v>
      </c>
      <c r="O57" s="80">
        <f>INDEX(INV_2!$A:$J,MATCH('2018'!$A57,INV_2!$A:$A,0),MATCH('2018'!$A$1,INV_2!$3:$3,0))/B57*10^6/C57</f>
        <v>0.49554251640383407</v>
      </c>
      <c r="P57" s="87">
        <f>INDEX(INV_3!$A:$J,MATCH('2018'!$A57,INV_3!$A:$A,0),MATCH('2018'!$A$1,INV_3!$3:$3,0))/B57*10^6/C57</f>
        <v>2.9891389071307226</v>
      </c>
      <c r="Q57" s="87">
        <f>INDEX(INV_4!$A:$J,MATCH('2018'!$A57,INV_4!$A:$A,0),MATCH('2018'!$A$1,INV_4!$3:$3,0))/B57*10^3/C57</f>
        <v>0.25356640568803923</v>
      </c>
      <c r="R57" s="34">
        <f>INDEX(INV_5!$A:$J,MATCH('2018'!$A57,INV_5!$A:$A,0),MATCH('2018'!$A$1,INV_5!$3:$3,0))</f>
        <v>5.0299999999999997E-2</v>
      </c>
      <c r="S57" s="77">
        <f>INDEX(LUJ_1!$A:$J,MATCH('2018'!$A57,LUJ_1!$A:$A,0),MATCH('2018'!$A$1,LUJ_1!$3:$3,0))</f>
        <v>0.70950122179100183</v>
      </c>
      <c r="T57" s="73">
        <f>INDEX(LUJ_2!$A:$J,MATCH('2018'!$A57,LUJ_2!$A:$A,0),MATCH('2018'!$A$1,LUJ_2!$3:$3,0))</f>
        <v>0.17726209048361935</v>
      </c>
      <c r="U57" s="73">
        <f>INDEX(LUJ_3!$A:$J,MATCH('2018'!$A57,LUJ_3!$A:$A,0),MATCH('2018'!$A$1,LUJ_3!$3:$3,0))</f>
        <v>0.50273010920436823</v>
      </c>
      <c r="V57" s="14">
        <f>INDEX(LUJ_4!$A:$J,MATCH('2018'!$A57,LUJ_4!$A:$A,0),MATCH('2018'!$A$1,LUJ_4!$3:$3,0))</f>
        <v>38</v>
      </c>
      <c r="W57" s="34">
        <f>INDEX(LUJ_5!$A:$J,MATCH('2018'!$A57,LUJ_5!$A:$A,0),MATCH('2018'!$A$1,LUJ_5!$3:$3,0))</f>
        <v>29.8</v>
      </c>
      <c r="X57" s="98">
        <f>1/INDEX(GUL_1!$A:$J,MATCH('2018'!$A57,GUL_1!$A:$A,0),MATCH('2018'!$A$1,GUL_1!$3:$3,0))</f>
        <v>1.3906271728549576E-2</v>
      </c>
      <c r="Y57" s="57" t="e">
        <f>INDEX(GUL_2!$A:$J,MATCH('2018'!$A57,GUL_2!$A:$A,0),MATCH('2018'!$A$1,GUL_2!$3:$3,0))</f>
        <v>#N/A</v>
      </c>
      <c r="Z57" s="57">
        <f>INDEX(GUL_3!$A:$J,MATCH('2018'!$A57,GUL_3!$A:$A,0),MATCH('2018'!$A$1,GUL_3!$3:$3,0))/(B57/1000)</f>
        <v>0.73046876410825023</v>
      </c>
      <c r="AA57" s="101">
        <f>INDEX(GUL_4!$A:$J,MATCH('2018'!$A57,GUL_4!$A:$A,0),MATCH('2018'!$A$1,GUL_4!$3:$3,0))/B57/C57*10^6</f>
        <v>0.20846849937991124</v>
      </c>
      <c r="AB57" s="73">
        <f>INDEX(GUL_5!$A:$J,MATCH('2018'!$A57,GUL_5!$A:$A,0),MATCH('2018'!$A$1,GUL_5!$3:$3,0))</f>
        <v>3.740806405282425E-2</v>
      </c>
      <c r="AC57" s="49" t="e">
        <f>INDEX(GUL_6!$A:$J,MATCH('2018'!$A57,GUL_6!$A:$A,0),MATCH('2018'!$A$1,GUL_6!$3:$3,0))</f>
        <v>#N/A</v>
      </c>
      <c r="AD57" s="49" t="e">
        <f>INDEX(GUL_7!$A:$J,MATCH('2018'!$A57,GUL_7!$A:$A,0),MATCH('2018'!$A$1,GUL_7!$3:$3,0))</f>
        <v>#N/A</v>
      </c>
      <c r="AE57" s="103">
        <f>INDEX(GUL_8!$A:$J,MATCH('2018'!$A57,GUL_8!$A:$A,0),MATCH('2018'!$A$1,GUL_8!$3:$3,0))/(B57/1000)</f>
        <v>2.2410673331479321</v>
      </c>
      <c r="AF57" s="41">
        <f>INDEX(DES_1!$A:$J,MATCH('2018'!$A57,DES_1!$A:$A,0),MATCH('2018'!$A$1,DES_1!$3:$3,0))/(B57/1000)</f>
        <v>8.4875233406891862E-2</v>
      </c>
      <c r="AG57" s="100">
        <f>INDEX(DES_2!$A:$J,MATCH('2018'!$A57,DES_2!$A:$A,0),MATCH('2018'!$A$1,DES_2!$3:$3,0))/(B57/1000)</f>
        <v>0.52640703272572298</v>
      </c>
      <c r="AH57" s="57">
        <f>1/INDEX(DES_3!$A:$J,MATCH('2018'!$A57,DES_3!$A:$A,0),MATCH('2018'!$A$1,DES_3!$3:$3,0))</f>
        <v>7.4794315632011974E-3</v>
      </c>
      <c r="AI57" s="80" t="e">
        <f>INDEX(DES_4!$A:$J,MATCH('2018'!$A57,DES_4!$A:$A,0),MATCH('2018'!$A$1,DES_4!$3:$3,0))</f>
        <v>#N/A</v>
      </c>
      <c r="AJ57" s="110" t="e">
        <f>INDEX(DES_5!$A:$J,MATCH('2018'!$A57,DES_5!$A:$A,0),MATCH('2018'!$A$1,DES_5!$3:$3,0))</f>
        <v>#N/A</v>
      </c>
      <c r="AK57" s="57">
        <v>5</v>
      </c>
    </row>
    <row r="58" spans="1:37" x14ac:dyDescent="0.3">
      <c r="A58" s="29" t="s">
        <v>57</v>
      </c>
      <c r="B58" s="33">
        <f>INDEX(Population!$A:$J,MATCH('2018'!$A58,Population!$A:$A,0),MATCH('2018'!$A$1,Population!$3:$3,0))</f>
        <v>1040538</v>
      </c>
      <c r="C58" s="14">
        <f>INDEX(Income!$A:$J,MATCH('2018'!$A58,Income!$A:$A,0),MATCH('2018'!$A$1,Income!$3:$3,0))</f>
        <v>23992</v>
      </c>
      <c r="D58" s="34">
        <f>INDEX(Livable_wage!$A:$J,MATCH('2018'!$A58,Livable_wage!$A:$A,0),MATCH('2018'!$A$1,Livable_wage!$3:$3,0))</f>
        <v>11751</v>
      </c>
      <c r="E58" s="41">
        <f>INDEX(AVA_1!$A:$J,MATCH('2018'!$A58,AVA_1!$A:$A,0),MATCH('2018'!$A$1,AVA_1!$3:$3,0))</f>
        <v>0.36899999999999999</v>
      </c>
      <c r="F58" s="15">
        <f>INDEX(AVA_2!$A:$J,MATCH('2018'!$A58,AVA_2!$A:$A,0),MATCH('2018'!$A$1,AVA_2!$3:$3,0))</f>
        <v>9.9688241473970731E-3</v>
      </c>
      <c r="G58" s="15">
        <f>INDEX(AVA_3!$A:$J,MATCH('2018'!$A58,AVA_3!$A:$A,0),MATCH('2018'!$A$1,AVA_3!$3:$3,0))</f>
        <v>8.1939647572966852E-3</v>
      </c>
      <c r="H58" s="87">
        <f>INDEX(AVA_4!$A:$J,MATCH('2018'!$A58,AVA_4!$A:$A,0),MATCH('2018'!$A$1,AVA_4!$3:$3,0))/(B58/1000)</f>
        <v>0.35846840768909927</v>
      </c>
      <c r="I58" s="89">
        <f>INDEX(AVA_5!$A:$J,MATCH('2018'!$A58,AVA_5!$A:$A,0),MATCH('2018'!$A$1,AVA_5!$3:$3,0))/(B58/1000)</f>
        <v>11.095684815771127</v>
      </c>
      <c r="J58" s="93">
        <f>INDEX(IRA_1!$A:$J,MATCH('2018'!$A58,IRA_1!$A:$A,0),MATCH('2018'!$A$1,IRA_1!$3:$3,0))/(B58/1000)</f>
        <v>0.17875368319081092</v>
      </c>
      <c r="K58" s="88">
        <f>INDEX(IRA_2!$A:$J,MATCH('2018'!$A58,IRA_2!$A:$A,0),MATCH('2018'!$A$1,IRA_2!$3:$3,0))/(B58/1000)</f>
        <v>0.43439067097982004</v>
      </c>
      <c r="L58" s="15">
        <f>INDEX(IRA_3!$A:$J,MATCH('2018'!$A58,IRA_3!$A:$A,0),MATCH('2018'!$A$1,IRA_3!$3:$3,0))</f>
        <v>0.37347361953766989</v>
      </c>
      <c r="M58" s="96">
        <f>INDEX(IRA_4!$A:$J,MATCH('2018'!$A58,IRA_4!$A:$A,0),MATCH('2018'!$A$1,IRA_4!$3:$3,0))/(B58/1000)</f>
        <v>9.2000484364818966</v>
      </c>
      <c r="N58" s="61">
        <f>INDEX(INV_1!$A:$J,MATCH('2018'!$A58,INV_1!$A:$A,0),MATCH('2018'!$A$1,INV_1!$3:$3,0))</f>
        <v>9.4219769654034474E-2</v>
      </c>
      <c r="O58" s="80">
        <f>INDEX(INV_2!$A:$J,MATCH('2018'!$A58,INV_2!$A:$A,0),MATCH('2018'!$A$1,INV_2!$3:$3,0))/B58*10^6/C58</f>
        <v>0.47838273639558376</v>
      </c>
      <c r="P58" s="87">
        <f>INDEX(INV_3!$A:$J,MATCH('2018'!$A58,INV_3!$A:$A,0),MATCH('2018'!$A$1,INV_3!$3:$3,0))/B58*10^6/C58</f>
        <v>4.1017300684844447</v>
      </c>
      <c r="Q58" s="87">
        <f>INDEX(INV_4!$A:$J,MATCH('2018'!$A58,INV_4!$A:$A,0),MATCH('2018'!$A$1,INV_4!$3:$3,0))/B58*10^3/C58</f>
        <v>0.35991012987727572</v>
      </c>
      <c r="R58" s="34">
        <f>INDEX(INV_5!$A:$J,MATCH('2018'!$A58,INV_5!$A:$A,0),MATCH('2018'!$A$1,INV_5!$3:$3,0))</f>
        <v>4.7500000000000001E-2</v>
      </c>
      <c r="S58" s="77">
        <f>INDEX(LUJ_1!$A:$J,MATCH('2018'!$A58,LUJ_1!$A:$A,0),MATCH('2018'!$A$1,LUJ_1!$3:$3,0))</f>
        <v>0.72803030303030303</v>
      </c>
      <c r="T58" s="73">
        <f>INDEX(LUJ_2!$A:$J,MATCH('2018'!$A58,LUJ_2!$A:$A,0),MATCH('2018'!$A$1,LUJ_2!$3:$3,0))</f>
        <v>0.32341650671785027</v>
      </c>
      <c r="U58" s="73">
        <f>INDEX(LUJ_3!$A:$J,MATCH('2018'!$A58,LUJ_3!$A:$A,0),MATCH('2018'!$A$1,LUJ_3!$3:$3,0))</f>
        <v>0.54658127860623062</v>
      </c>
      <c r="V58" s="14">
        <f>INDEX(LUJ_4!$A:$J,MATCH('2018'!$A58,LUJ_4!$A:$A,0),MATCH('2018'!$A$1,LUJ_4!$3:$3,0))</f>
        <v>43</v>
      </c>
      <c r="W58" s="34">
        <f>INDEX(LUJ_5!$A:$J,MATCH('2018'!$A58,LUJ_5!$A:$A,0),MATCH('2018'!$A$1,LUJ_5!$3:$3,0))</f>
        <v>46.4</v>
      </c>
      <c r="X58" s="98">
        <f>1/INDEX(GUL_1!$A:$J,MATCH('2018'!$A58,GUL_1!$A:$A,0),MATCH('2018'!$A$1,GUL_1!$3:$3,0))</f>
        <v>1.4494854326714018E-2</v>
      </c>
      <c r="Y58" s="57" t="e">
        <f>INDEX(GUL_2!$A:$J,MATCH('2018'!$A58,GUL_2!$A:$A,0),MATCH('2018'!$A$1,GUL_2!$3:$3,0))</f>
        <v>#N/A</v>
      </c>
      <c r="Z58" s="57">
        <f>INDEX(GUL_3!$A:$J,MATCH('2018'!$A58,GUL_3!$A:$A,0),MATCH('2018'!$A$1,GUL_3!$3:$3,0))/(B58/1000)</f>
        <v>0.59007936279117146</v>
      </c>
      <c r="AA58" s="101">
        <f>INDEX(GUL_4!$A:$J,MATCH('2018'!$A58,GUL_4!$A:$A,0),MATCH('2018'!$A$1,GUL_4!$3:$3,0))/B58/C58*10^6</f>
        <v>0.35477012910648154</v>
      </c>
      <c r="AB58" s="73">
        <f>INDEX(GUL_5!$A:$J,MATCH('2018'!$A58,GUL_5!$A:$A,0),MATCH('2018'!$A$1,GUL_5!$3:$3,0))</f>
        <v>3.3216558715797588E-2</v>
      </c>
      <c r="AC58" s="49" t="e">
        <f>INDEX(GUL_6!$A:$J,MATCH('2018'!$A58,GUL_6!$A:$A,0),MATCH('2018'!$A$1,GUL_6!$3:$3,0))</f>
        <v>#N/A</v>
      </c>
      <c r="AD58" s="49" t="e">
        <f>INDEX(GUL_7!$A:$J,MATCH('2018'!$A58,GUL_7!$A:$A,0),MATCH('2018'!$A$1,GUL_7!$3:$3,0))</f>
        <v>#N/A</v>
      </c>
      <c r="AE58" s="103">
        <f>INDEX(GUL_8!$A:$J,MATCH('2018'!$A58,GUL_8!$A:$A,0),MATCH('2018'!$A$1,GUL_8!$3:$3,0))/(B58/1000)</f>
        <v>5.8277544885434267</v>
      </c>
      <c r="AF58" s="41">
        <f>INDEX(DES_1!$A:$J,MATCH('2018'!$A58,DES_1!$A:$A,0),MATCH('2018'!$A$1,DES_1!$3:$3,0))/(B58/1000)</f>
        <v>0.33540341630963982</v>
      </c>
      <c r="AG58" s="100">
        <f>INDEX(DES_2!$A:$J,MATCH('2018'!$A58,DES_2!$A:$A,0),MATCH('2018'!$A$1,DES_2!$3:$3,0))/(B58/1000)</f>
        <v>1.268574525870271</v>
      </c>
      <c r="AH58" s="57">
        <f>1/INDEX(DES_3!$A:$J,MATCH('2018'!$A58,DES_3!$A:$A,0),MATCH('2018'!$A$1,DES_3!$3:$3,0))</f>
        <v>9.7370983446932804E-3</v>
      </c>
      <c r="AI58" s="80" t="e">
        <f>INDEX(DES_4!$A:$J,MATCH('2018'!$A58,DES_4!$A:$A,0),MATCH('2018'!$A$1,DES_4!$3:$3,0))</f>
        <v>#N/A</v>
      </c>
      <c r="AJ58" s="110" t="e">
        <f>INDEX(DES_5!$A:$J,MATCH('2018'!$A58,DES_5!$A:$A,0),MATCH('2018'!$A$1,DES_5!$3:$3,0))</f>
        <v>#N/A</v>
      </c>
      <c r="AK58" s="57">
        <v>9</v>
      </c>
    </row>
    <row r="59" spans="1:37" x14ac:dyDescent="0.3">
      <c r="A59" s="29" t="s">
        <v>58</v>
      </c>
      <c r="B59" s="33">
        <f>INDEX(Population!$A:$J,MATCH('2018'!$A59,Population!$A:$A,0),MATCH('2018'!$A$1,Population!$3:$3,0))</f>
        <v>211019</v>
      </c>
      <c r="C59" s="14">
        <f>INDEX(Income!$A:$J,MATCH('2018'!$A59,Income!$A:$A,0),MATCH('2018'!$A$1,Income!$3:$3,0))</f>
        <v>19503</v>
      </c>
      <c r="D59" s="34">
        <f>INDEX(Livable_wage!$A:$J,MATCH('2018'!$A59,Livable_wage!$A:$A,0),MATCH('2018'!$A$1,Livable_wage!$3:$3,0))</f>
        <v>10154</v>
      </c>
      <c r="E59" s="41">
        <f>INDEX(AVA_1!$A:$J,MATCH('2018'!$A59,AVA_1!$A:$A,0),MATCH('2018'!$A$1,AVA_1!$3:$3,0))</f>
        <v>0.371</v>
      </c>
      <c r="F59" s="15">
        <f>INDEX(AVA_2!$A:$J,MATCH('2018'!$A59,AVA_2!$A:$A,0),MATCH('2018'!$A$1,AVA_2!$3:$3,0))</f>
        <v>8.2228429791084707E-3</v>
      </c>
      <c r="G59" s="15">
        <f>INDEX(AVA_3!$A:$J,MATCH('2018'!$A59,AVA_3!$A:$A,0),MATCH('2018'!$A$1,AVA_3!$3:$3,0))</f>
        <v>0.14259475767594001</v>
      </c>
      <c r="H59" s="87">
        <f>INDEX(AVA_4!$A:$J,MATCH('2018'!$A59,AVA_4!$A:$A,0),MATCH('2018'!$A$1,AVA_4!$3:$3,0))/(B59/1000)</f>
        <v>0.81509247982409161</v>
      </c>
      <c r="I59" s="89">
        <f>INDEX(AVA_5!$A:$J,MATCH('2018'!$A59,AVA_5!$A:$A,0),MATCH('2018'!$A$1,AVA_5!$3:$3,0))/(B59/1000)</f>
        <v>6.9330249882711978</v>
      </c>
      <c r="J59" s="93">
        <f>INDEX(IRA_1!$A:$J,MATCH('2018'!$A59,IRA_1!$A:$A,0),MATCH('2018'!$A$1,IRA_1!$3:$3,0))/(B59/1000)</f>
        <v>0.15638402229183154</v>
      </c>
      <c r="K59" s="88">
        <f>INDEX(IRA_2!$A:$J,MATCH('2018'!$A59,IRA_2!$A:$A,0),MATCH('2018'!$A$1,IRA_2!$3:$3,0))/(B59/1000)</f>
        <v>0.28433458598514827</v>
      </c>
      <c r="L59" s="15">
        <f>INDEX(IRA_3!$A:$J,MATCH('2018'!$A59,IRA_3!$A:$A,0),MATCH('2018'!$A$1,IRA_3!$3:$3,0))</f>
        <v>0.33961661341853033</v>
      </c>
      <c r="M59" s="96">
        <f>INDEX(IRA_4!$A:$J,MATCH('2018'!$A59,IRA_4!$A:$A,0),MATCH('2018'!$A$1,IRA_4!$3:$3,0))/(B59/1000)</f>
        <v>7.1273202886943832</v>
      </c>
      <c r="N59" s="61">
        <f>INDEX(INV_1!$A:$J,MATCH('2018'!$A59,INV_1!$A:$A,0),MATCH('2018'!$A$1,INV_1!$3:$3,0))</f>
        <v>9.361082179609205E-2</v>
      </c>
      <c r="O59" s="80">
        <f>INDEX(INV_2!$A:$J,MATCH('2018'!$A59,INV_2!$A:$A,0),MATCH('2018'!$A$1,INV_2!$3:$3,0))/B59*10^6/C59</f>
        <v>0.36482056185961886</v>
      </c>
      <c r="P59" s="87">
        <f>INDEX(INV_3!$A:$J,MATCH('2018'!$A59,INV_3!$A:$A,0),MATCH('2018'!$A$1,INV_3!$3:$3,0))/B59*10^6/C59</f>
        <v>3.7312566463176067</v>
      </c>
      <c r="Q59" s="87">
        <f>INDEX(INV_4!$A:$J,MATCH('2018'!$A59,INV_4!$A:$A,0),MATCH('2018'!$A$1,INV_4!$3:$3,0))/B59*10^3/C59</f>
        <v>0.2415976043341809</v>
      </c>
      <c r="R59" s="34">
        <f>INDEX(INV_5!$A:$J,MATCH('2018'!$A59,INV_5!$A:$A,0),MATCH('2018'!$A$1,INV_5!$3:$3,0))</f>
        <v>0.15279999999999999</v>
      </c>
      <c r="S59" s="77">
        <f>INDEX(LUJ_1!$A:$J,MATCH('2018'!$A59,LUJ_1!$A:$A,0),MATCH('2018'!$A$1,LUJ_1!$3:$3,0))</f>
        <v>0.62156448202959835</v>
      </c>
      <c r="T59" s="73">
        <f>INDEX(LUJ_2!$A:$J,MATCH('2018'!$A59,LUJ_2!$A:$A,0),MATCH('2018'!$A$1,LUJ_2!$3:$3,0))</f>
        <v>0.27636689572751716</v>
      </c>
      <c r="U59" s="73">
        <f>INDEX(LUJ_3!$A:$J,MATCH('2018'!$A59,LUJ_3!$A:$A,0),MATCH('2018'!$A$1,LUJ_3!$3:$3,0))</f>
        <v>0.49387658762051878</v>
      </c>
      <c r="V59" s="14">
        <f>INDEX(LUJ_4!$A:$J,MATCH('2018'!$A59,LUJ_4!$A:$A,0),MATCH('2018'!$A$1,LUJ_4!$3:$3,0))</f>
        <v>8</v>
      </c>
      <c r="W59" s="34">
        <f>INDEX(LUJ_5!$A:$J,MATCH('2018'!$A59,LUJ_5!$A:$A,0),MATCH('2018'!$A$1,LUJ_5!$3:$3,0))</f>
        <v>47.1</v>
      </c>
      <c r="X59" s="98">
        <f>1/INDEX(GUL_1!$A:$J,MATCH('2018'!$A59,GUL_1!$A:$A,0),MATCH('2018'!$A$1,GUL_1!$3:$3,0))</f>
        <v>1.4166312508853945E-2</v>
      </c>
      <c r="Y59" s="57" t="e">
        <f>INDEX(GUL_2!$A:$J,MATCH('2018'!$A59,GUL_2!$A:$A,0),MATCH('2018'!$A$1,GUL_2!$3:$3,0))</f>
        <v>#N/A</v>
      </c>
      <c r="Z59" s="57">
        <f>INDEX(GUL_3!$A:$J,MATCH('2018'!$A59,GUL_3!$A:$A,0),MATCH('2018'!$A$1,GUL_3!$3:$3,0))/(B59/1000)</f>
        <v>0.54023571337178167</v>
      </c>
      <c r="AA59" s="101">
        <f>INDEX(GUL_4!$A:$J,MATCH('2018'!$A59,GUL_4!$A:$A,0),MATCH('2018'!$A$1,GUL_4!$3:$3,0))/B59/C59*10^6</f>
        <v>0.20777530335153591</v>
      </c>
      <c r="AB59" s="73">
        <f>INDEX(GUL_5!$A:$J,MATCH('2018'!$A59,GUL_5!$A:$A,0),MATCH('2018'!$A$1,GUL_5!$3:$3,0))</f>
        <v>3.0769777385374408E-2</v>
      </c>
      <c r="AC59" s="49" t="e">
        <f>INDEX(GUL_6!$A:$J,MATCH('2018'!$A59,GUL_6!$A:$A,0),MATCH('2018'!$A$1,GUL_6!$3:$3,0))</f>
        <v>#N/A</v>
      </c>
      <c r="AD59" s="49" t="e">
        <f>INDEX(GUL_7!$A:$J,MATCH('2018'!$A59,GUL_7!$A:$A,0),MATCH('2018'!$A$1,GUL_7!$3:$3,0))</f>
        <v>#N/A</v>
      </c>
      <c r="AE59" s="103">
        <f>INDEX(GUL_8!$A:$J,MATCH('2018'!$A59,GUL_8!$A:$A,0),MATCH('2018'!$A$1,GUL_8!$3:$3,0))/(B59/1000)</f>
        <v>7.1367981082272207</v>
      </c>
      <c r="AF59" s="41">
        <f>INDEX(DES_1!$A:$J,MATCH('2018'!$A59,DES_1!$A:$A,0),MATCH('2018'!$A$1,DES_1!$3:$3,0))/(B59/1000)</f>
        <v>0.44545751804339895</v>
      </c>
      <c r="AG59" s="100">
        <f>INDEX(DES_2!$A:$J,MATCH('2018'!$A59,DES_2!$A:$A,0),MATCH('2018'!$A$1,DES_2!$3:$3,0))/(B59/1000)</f>
        <v>0.99990996071443805</v>
      </c>
      <c r="AH59" s="57">
        <f>1/INDEX(DES_3!$A:$J,MATCH('2018'!$A59,DES_3!$A:$A,0),MATCH('2018'!$A$1,DES_3!$3:$3,0))</f>
        <v>8.2169268693508633E-3</v>
      </c>
      <c r="AI59" s="80" t="e">
        <f>INDEX(DES_4!$A:$J,MATCH('2018'!$A59,DES_4!$A:$A,0),MATCH('2018'!$A$1,DES_4!$3:$3,0))</f>
        <v>#N/A</v>
      </c>
      <c r="AJ59" s="110" t="e">
        <f>INDEX(DES_5!$A:$J,MATCH('2018'!$A59,DES_5!$A:$A,0),MATCH('2018'!$A$1,DES_5!$3:$3,0))</f>
        <v>#N/A</v>
      </c>
      <c r="AK59" s="57">
        <v>77</v>
      </c>
    </row>
    <row r="60" spans="1:37" x14ac:dyDescent="0.3">
      <c r="A60" s="29" t="s">
        <v>59</v>
      </c>
      <c r="B60" s="33">
        <f>INDEX(Population!$A:$J,MATCH('2018'!$A60,Population!$A:$A,0),MATCH('2018'!$A$1,Population!$3:$3,0))</f>
        <v>1126857</v>
      </c>
      <c r="C60" s="14">
        <f>INDEX(Income!$A:$J,MATCH('2018'!$A60,Income!$A:$A,0),MATCH('2018'!$A$1,Income!$3:$3,0))</f>
        <v>25444</v>
      </c>
      <c r="D60" s="34">
        <f>INDEX(Livable_wage!$A:$J,MATCH('2018'!$A60,Livable_wage!$A:$A,0),MATCH('2018'!$A$1,Livable_wage!$3:$3,0))</f>
        <v>10260</v>
      </c>
      <c r="E60" s="41">
        <f>INDEX(AVA_1!$A:$J,MATCH('2018'!$A60,AVA_1!$A:$A,0),MATCH('2018'!$A$1,AVA_1!$3:$3,0))</f>
        <v>0.36599999999999999</v>
      </c>
      <c r="F60" s="15">
        <f>INDEX(AVA_2!$A:$J,MATCH('2018'!$A60,AVA_2!$A:$A,0),MATCH('2018'!$A$1,AVA_2!$3:$3,0))</f>
        <v>1.3203280261324439E-2</v>
      </c>
      <c r="G60" s="15">
        <f>INDEX(AVA_3!$A:$J,MATCH('2018'!$A60,AVA_3!$A:$A,0),MATCH('2018'!$A$1,AVA_3!$3:$3,0))</f>
        <v>1.4980229258086543E-2</v>
      </c>
      <c r="H60" s="87">
        <f>INDEX(AVA_4!$A:$J,MATCH('2018'!$A60,AVA_4!$A:$A,0),MATCH('2018'!$A$1,AVA_4!$3:$3,0))/(B60/1000)</f>
        <v>0.66024349141017891</v>
      </c>
      <c r="I60" s="89">
        <f>INDEX(AVA_5!$A:$J,MATCH('2018'!$A60,AVA_5!$A:$A,0),MATCH('2018'!$A$1,AVA_5!$3:$3,0))/(B60/1000)</f>
        <v>2.7527893956376008</v>
      </c>
      <c r="J60" s="93">
        <f>INDEX(IRA_1!$A:$J,MATCH('2018'!$A60,IRA_1!$A:$A,0),MATCH('2018'!$A$1,IRA_1!$3:$3,0))/(B60/1000)</f>
        <v>3.9934082141744695E-2</v>
      </c>
      <c r="K60" s="88">
        <f>INDEX(IRA_2!$A:$J,MATCH('2018'!$A60,IRA_2!$A:$A,0),MATCH('2018'!$A$1,IRA_2!$3:$3,0))/(B60/1000)</f>
        <v>0.10116634142575323</v>
      </c>
      <c r="L60" s="15">
        <f>INDEX(IRA_3!$A:$J,MATCH('2018'!$A60,IRA_3!$A:$A,0),MATCH('2018'!$A$1,IRA_3!$3:$3,0))</f>
        <v>0.45772310095684432</v>
      </c>
      <c r="M60" s="96">
        <f>INDEX(IRA_4!$A:$J,MATCH('2018'!$A60,IRA_4!$A:$A,0),MATCH('2018'!$A$1,IRA_4!$3:$3,0))/(B60/1000)</f>
        <v>2.8779161863484011</v>
      </c>
      <c r="N60" s="61">
        <f>INDEX(INV_1!$A:$J,MATCH('2018'!$A60,INV_1!$A:$A,0),MATCH('2018'!$A$1,INV_1!$3:$3,0))</f>
        <v>7.7932419227688926E-2</v>
      </c>
      <c r="O60" s="80">
        <f>INDEX(INV_2!$A:$J,MATCH('2018'!$A60,INV_2!$A:$A,0),MATCH('2018'!$A$1,INV_2!$3:$3,0))/B60*10^6/C60</f>
        <v>0.39889010441476119</v>
      </c>
      <c r="P60" s="87">
        <f>INDEX(INV_3!$A:$J,MATCH('2018'!$A60,INV_3!$A:$A,0),MATCH('2018'!$A$1,INV_3!$3:$3,0))/B60*10^6/C60</f>
        <v>3.5228753645401718</v>
      </c>
      <c r="Q60" s="87">
        <f>INDEX(INV_4!$A:$J,MATCH('2018'!$A60,INV_4!$A:$A,0),MATCH('2018'!$A$1,INV_4!$3:$3,0))/B60*10^3/C60</f>
        <v>0.32641479681554414</v>
      </c>
      <c r="R60" s="34">
        <f>INDEX(INV_5!$A:$J,MATCH('2018'!$A60,INV_5!$A:$A,0),MATCH('2018'!$A$1,INV_5!$3:$3,0))</f>
        <v>6.5699999999999995E-2</v>
      </c>
      <c r="S60" s="77">
        <f>INDEX(LUJ_1!$A:$J,MATCH('2018'!$A60,LUJ_1!$A:$A,0),MATCH('2018'!$A$1,LUJ_1!$3:$3,0))</f>
        <v>0.71215094339622642</v>
      </c>
      <c r="T60" s="73">
        <f>INDEX(LUJ_2!$A:$J,MATCH('2018'!$A60,LUJ_2!$A:$A,0),MATCH('2018'!$A$1,LUJ_2!$3:$3,0))</f>
        <v>0.16772121094130241</v>
      </c>
      <c r="U60" s="73">
        <f>INDEX(LUJ_3!$A:$J,MATCH('2018'!$A60,LUJ_3!$A:$A,0),MATCH('2018'!$A$1,LUJ_3!$3:$3,0))</f>
        <v>0.39258287995997271</v>
      </c>
      <c r="V60" s="14">
        <f>INDEX(LUJ_4!$A:$J,MATCH('2018'!$A60,LUJ_4!$A:$A,0),MATCH('2018'!$A$1,LUJ_4!$3:$3,0))</f>
        <v>10</v>
      </c>
      <c r="W60" s="34">
        <f>INDEX(LUJ_5!$A:$J,MATCH('2018'!$A60,LUJ_5!$A:$A,0),MATCH('2018'!$A$1,LUJ_5!$3:$3,0))</f>
        <v>30.8</v>
      </c>
      <c r="X60" s="98">
        <f>1/INDEX(GUL_1!$A:$J,MATCH('2018'!$A60,GUL_1!$A:$A,0),MATCH('2018'!$A$1,GUL_1!$3:$3,0))</f>
        <v>1.372872048325096E-2</v>
      </c>
      <c r="Y60" s="57" t="e">
        <f>INDEX(GUL_2!$A:$J,MATCH('2018'!$A60,GUL_2!$A:$A,0),MATCH('2018'!$A$1,GUL_2!$3:$3,0))</f>
        <v>#N/A</v>
      </c>
      <c r="Z60" s="57">
        <f>INDEX(GUL_3!$A:$J,MATCH('2018'!$A60,GUL_3!$A:$A,0),MATCH('2018'!$A$1,GUL_3!$3:$3,0))/(B60/1000)</f>
        <v>0.76850922521668674</v>
      </c>
      <c r="AA60" s="101">
        <f>INDEX(GUL_4!$A:$J,MATCH('2018'!$A60,GUL_4!$A:$A,0),MATCH('2018'!$A$1,GUL_4!$3:$3,0))/B60/C60*10^6</f>
        <v>0.22505079427398017</v>
      </c>
      <c r="AB60" s="73">
        <f>INDEX(GUL_5!$A:$J,MATCH('2018'!$A60,GUL_5!$A:$A,0),MATCH('2018'!$A$1,GUL_5!$3:$3,0))</f>
        <v>2.9857302485933709E-2</v>
      </c>
      <c r="AC60" s="49" t="e">
        <f>INDEX(GUL_6!$A:$J,MATCH('2018'!$A60,GUL_6!$A:$A,0),MATCH('2018'!$A$1,GUL_6!$3:$3,0))</f>
        <v>#N/A</v>
      </c>
      <c r="AD60" s="49" t="e">
        <f>INDEX(GUL_7!$A:$J,MATCH('2018'!$A60,GUL_7!$A:$A,0),MATCH('2018'!$A$1,GUL_7!$3:$3,0))</f>
        <v>#N/A</v>
      </c>
      <c r="AE60" s="103">
        <f>INDEX(GUL_8!$A:$J,MATCH('2018'!$A60,GUL_8!$A:$A,0),MATCH('2018'!$A$1,GUL_8!$3:$3,0))/(B60/1000)</f>
        <v>1.5822770768606842</v>
      </c>
      <c r="AF60" s="41">
        <f>INDEX(DES_1!$A:$J,MATCH('2018'!$A60,DES_1!$A:$A,0),MATCH('2018'!$A$1,DES_1!$3:$3,0))/(B60/1000)</f>
        <v>4.6146050474904977E-2</v>
      </c>
      <c r="AG60" s="100">
        <f>INDEX(DES_2!$A:$J,MATCH('2018'!$A60,DES_2!$A:$A,0),MATCH('2018'!$A$1,DES_2!$3:$3,0))/(B60/1000)</f>
        <v>0.51115625141433207</v>
      </c>
      <c r="AH60" s="57">
        <f>1/INDEX(DES_3!$A:$J,MATCH('2018'!$A60,DES_3!$A:$A,0),MATCH('2018'!$A$1,DES_3!$3:$3,0))</f>
        <v>9.1827364554637279E-3</v>
      </c>
      <c r="AI60" s="80" t="e">
        <f>INDEX(DES_4!$A:$J,MATCH('2018'!$A60,DES_4!$A:$A,0),MATCH('2018'!$A$1,DES_4!$3:$3,0))</f>
        <v>#N/A</v>
      </c>
      <c r="AJ60" s="110" t="e">
        <f>INDEX(DES_5!$A:$J,MATCH('2018'!$A60,DES_5!$A:$A,0),MATCH('2018'!$A$1,DES_5!$3:$3,0))</f>
        <v>#N/A</v>
      </c>
      <c r="AK60" s="57">
        <v>74</v>
      </c>
    </row>
    <row r="61" spans="1:37" x14ac:dyDescent="0.3">
      <c r="A61" s="29" t="s">
        <v>60</v>
      </c>
      <c r="B61" s="33">
        <f>INDEX(Population!$A:$J,MATCH('2018'!$A61,Population!$A:$A,0),MATCH('2018'!$A$1,Population!$3:$3,0))</f>
        <v>510953</v>
      </c>
      <c r="C61" s="14">
        <f>INDEX(Income!$A:$J,MATCH('2018'!$A61,Income!$A:$A,0),MATCH('2018'!$A$1,Income!$3:$3,0))</f>
        <v>79543</v>
      </c>
      <c r="D61" s="34">
        <f>INDEX(Livable_wage!$A:$J,MATCH('2018'!$A61,Livable_wage!$A:$A,0),MATCH('2018'!$A$1,Livable_wage!$3:$3,0))</f>
        <v>16260</v>
      </c>
      <c r="E61" s="41">
        <f>INDEX(AVA_1!$A:$J,MATCH('2018'!$A61,AVA_1!$A:$A,0),MATCH('2018'!$A$1,AVA_1!$3:$3,0))</f>
        <v>0.435</v>
      </c>
      <c r="F61" s="15">
        <f>INDEX(AVA_2!$A:$J,MATCH('2018'!$A61,AVA_2!$A:$A,0),MATCH('2018'!$A$1,AVA_2!$3:$3,0))</f>
        <v>8.8166519722467137E-3</v>
      </c>
      <c r="G61" s="15">
        <f>INDEX(AVA_3!$A:$J,MATCH('2018'!$A61,AVA_3!$A:$A,0),MATCH('2018'!$A$1,AVA_3!$3:$3,0))</f>
        <v>8.3429001741918335E-2</v>
      </c>
      <c r="H61" s="87">
        <f>INDEX(AVA_4!$A:$J,MATCH('2018'!$A61,AVA_4!$A:$A,0),MATCH('2018'!$A$1,AVA_4!$3:$3,0))/(B61/1000)</f>
        <v>0.65759472984795087</v>
      </c>
      <c r="I61" s="89">
        <f>INDEX(AVA_5!$A:$J,MATCH('2018'!$A61,AVA_5!$A:$A,0),MATCH('2018'!$A$1,AVA_5!$3:$3,0))/(B61/1000)</f>
        <v>4.1569381136816892</v>
      </c>
      <c r="J61" s="93">
        <f>INDEX(IRA_1!$A:$J,MATCH('2018'!$A61,IRA_1!$A:$A,0),MATCH('2018'!$A$1,IRA_1!$3:$3,0))/(B61/1000)</f>
        <v>9.9813485780492539E-2</v>
      </c>
      <c r="K61" s="88">
        <f>INDEX(IRA_2!$A:$J,MATCH('2018'!$A61,IRA_2!$A:$A,0),MATCH('2018'!$A$1,IRA_2!$3:$3,0))/(B61/1000)</f>
        <v>0.20941260742181766</v>
      </c>
      <c r="L61" s="15">
        <f>INDEX(IRA_3!$A:$J,MATCH('2018'!$A61,IRA_3!$A:$A,0),MATCH('2018'!$A$1,IRA_3!$3:$3,0))</f>
        <v>0.44843664289632479</v>
      </c>
      <c r="M61" s="96">
        <f>INDEX(IRA_4!$A:$J,MATCH('2018'!$A61,IRA_4!$A:$A,0),MATCH('2018'!$A$1,IRA_4!$3:$3,0))/(B61/1000)</f>
        <v>3.712670245599889</v>
      </c>
      <c r="N61" s="61">
        <f>INDEX(INV_1!$A:$J,MATCH('2018'!$A61,INV_1!$A:$A,0),MATCH('2018'!$A$1,INV_1!$3:$3,0))</f>
        <v>5.6350664362972633E-2</v>
      </c>
      <c r="O61" s="80">
        <f>INDEX(INV_2!$A:$J,MATCH('2018'!$A61,INV_2!$A:$A,0),MATCH('2018'!$A$1,INV_2!$3:$3,0))/B61*10^6/C61</f>
        <v>0.25232426278548775</v>
      </c>
      <c r="P61" s="87">
        <f>INDEX(INV_3!$A:$J,MATCH('2018'!$A61,INV_3!$A:$A,0),MATCH('2018'!$A$1,INV_3!$3:$3,0))/B61*10^6/C61</f>
        <v>3.2865160701482048</v>
      </c>
      <c r="Q61" s="87">
        <f>INDEX(INV_4!$A:$J,MATCH('2018'!$A61,INV_4!$A:$A,0),MATCH('2018'!$A$1,INV_4!$3:$3,0))/B61*10^3/C61</f>
        <v>0.18933282168737905</v>
      </c>
      <c r="R61" s="34">
        <f>INDEX(INV_5!$A:$J,MATCH('2018'!$A61,INV_5!$A:$A,0),MATCH('2018'!$A$1,INV_5!$3:$3,0))</f>
        <v>7.5700000000000003E-2</v>
      </c>
      <c r="S61" s="77">
        <f>INDEX(LUJ_1!$A:$J,MATCH('2018'!$A61,LUJ_1!$A:$A,0),MATCH('2018'!$A$1,LUJ_1!$3:$3,0))</f>
        <v>0.83893956670467507</v>
      </c>
      <c r="T61" s="73">
        <f>INDEX(LUJ_2!$A:$J,MATCH('2018'!$A61,LUJ_2!$A:$A,0),MATCH('2018'!$A$1,LUJ_2!$3:$3,0))</f>
        <v>0.21569171056279457</v>
      </c>
      <c r="U61" s="73">
        <f>INDEX(LUJ_3!$A:$J,MATCH('2018'!$A61,LUJ_3!$A:$A,0),MATCH('2018'!$A$1,LUJ_3!$3:$3,0))</f>
        <v>0.48835597449403939</v>
      </c>
      <c r="V61" s="14">
        <f>INDEX(LUJ_4!$A:$J,MATCH('2018'!$A61,LUJ_4!$A:$A,0),MATCH('2018'!$A$1,LUJ_4!$3:$3,0))</f>
        <v>16</v>
      </c>
      <c r="W61" s="34">
        <f>INDEX(LUJ_5!$A:$J,MATCH('2018'!$A61,LUJ_5!$A:$A,0),MATCH('2018'!$A$1,LUJ_5!$3:$3,0))</f>
        <v>43.1</v>
      </c>
      <c r="X61" s="98">
        <f>1/INDEX(GUL_1!$A:$J,MATCH('2018'!$A61,GUL_1!$A:$A,0),MATCH('2018'!$A$1,GUL_1!$3:$3,0))</f>
        <v>1.3500742540839748E-2</v>
      </c>
      <c r="Y61" s="57" t="e">
        <f>INDEX(GUL_2!$A:$J,MATCH('2018'!$A61,GUL_2!$A:$A,0),MATCH('2018'!$A$1,GUL_2!$3:$3,0))</f>
        <v>#N/A</v>
      </c>
      <c r="Z61" s="57">
        <f>INDEX(GUL_3!$A:$J,MATCH('2018'!$A61,GUL_3!$A:$A,0),MATCH('2018'!$A$1,GUL_3!$3:$3,0))/(B61/1000)</f>
        <v>0.32488311057964236</v>
      </c>
      <c r="AA61" s="101">
        <f>INDEX(GUL_4!$A:$J,MATCH('2018'!$A61,GUL_4!$A:$A,0),MATCH('2018'!$A$1,GUL_4!$3:$3,0))/B61/C61*10^6</f>
        <v>0.35071188449106316</v>
      </c>
      <c r="AB61" s="73">
        <f>INDEX(GUL_5!$A:$J,MATCH('2018'!$A61,GUL_5!$A:$A,0),MATCH('2018'!$A$1,GUL_5!$3:$3,0))</f>
        <v>5.6900775613041035E-2</v>
      </c>
      <c r="AC61" s="49" t="e">
        <f>INDEX(GUL_6!$A:$J,MATCH('2018'!$A61,GUL_6!$A:$A,0),MATCH('2018'!$A$1,GUL_6!$3:$3,0))</f>
        <v>#N/A</v>
      </c>
      <c r="AD61" s="49" t="e">
        <f>INDEX(GUL_7!$A:$J,MATCH('2018'!$A61,GUL_7!$A:$A,0),MATCH('2018'!$A$1,GUL_7!$3:$3,0))</f>
        <v>#N/A</v>
      </c>
      <c r="AE61" s="103">
        <f>INDEX(GUL_8!$A:$J,MATCH('2018'!$A61,GUL_8!$A:$A,0),MATCH('2018'!$A$1,GUL_8!$3:$3,0))/(B61/1000)</f>
        <v>3.4465009501852424</v>
      </c>
      <c r="AF61" s="41">
        <f>INDEX(DES_1!$A:$J,MATCH('2018'!$A61,DES_1!$A:$A,0),MATCH('2018'!$A$1,DES_1!$3:$3,0))/(B61/1000)</f>
        <v>0.12721326619082382</v>
      </c>
      <c r="AG61" s="100">
        <f>INDEX(DES_2!$A:$J,MATCH('2018'!$A61,DES_2!$A:$A,0),MATCH('2018'!$A$1,DES_2!$3:$3,0))/(B61/1000)</f>
        <v>0.48732466586946355</v>
      </c>
      <c r="AH61" s="57">
        <f>1/INDEX(DES_3!$A:$J,MATCH('2018'!$A61,DES_3!$A:$A,0),MATCH('2018'!$A$1,DES_3!$3:$3,0))</f>
        <v>7.3313782991202342E-3</v>
      </c>
      <c r="AI61" s="80" t="e">
        <f>INDEX(DES_4!$A:$J,MATCH('2018'!$A61,DES_4!$A:$A,0),MATCH('2018'!$A$1,DES_4!$3:$3,0))</f>
        <v>#N/A</v>
      </c>
      <c r="AJ61" s="110" t="e">
        <f>INDEX(DES_5!$A:$J,MATCH('2018'!$A61,DES_5!$A:$A,0),MATCH('2018'!$A$1,DES_5!$3:$3,0))</f>
        <v>#N/A</v>
      </c>
      <c r="AK61" s="57">
        <v>70</v>
      </c>
    </row>
    <row r="62" spans="1:37" x14ac:dyDescent="0.3">
      <c r="A62" s="29" t="s">
        <v>61</v>
      </c>
      <c r="B62" s="33">
        <f>INDEX(Population!$A:$J,MATCH('2018'!$A62,Population!$A:$A,0),MATCH('2018'!$A$1,Population!$3:$3,0))</f>
        <v>2880100</v>
      </c>
      <c r="C62" s="14">
        <f>INDEX(Income!$A:$J,MATCH('2018'!$A62,Income!$A:$A,0),MATCH('2018'!$A$1,Income!$3:$3,0))</f>
        <v>30023</v>
      </c>
      <c r="D62" s="34">
        <f>INDEX(Livable_wage!$A:$J,MATCH('2018'!$A62,Livable_wage!$A:$A,0),MATCH('2018'!$A$1,Livable_wage!$3:$3,0))</f>
        <v>12332</v>
      </c>
      <c r="E62" s="41">
        <f>INDEX(AVA_1!$A:$J,MATCH('2018'!$A62,AVA_1!$A:$A,0),MATCH('2018'!$A$1,AVA_1!$3:$3,0))</f>
        <v>0.39200000000000002</v>
      </c>
      <c r="F62" s="15">
        <f>INDEX(AVA_2!$A:$J,MATCH('2018'!$A62,AVA_2!$A:$A,0),MATCH('2018'!$A$1,AVA_2!$3:$3,0))</f>
        <v>1.217327150084317E-2</v>
      </c>
      <c r="G62" s="15">
        <f>INDEX(AVA_3!$A:$J,MATCH('2018'!$A62,AVA_3!$A:$A,0),MATCH('2018'!$A$1,AVA_3!$3:$3,0))</f>
        <v>4.7460688502475009E-3</v>
      </c>
      <c r="H62" s="87">
        <f>INDEX(AVA_4!$A:$J,MATCH('2018'!$A62,AVA_4!$A:$A,0),MATCH('2018'!$A$1,AVA_4!$3:$3,0))/(B62/1000)</f>
        <v>0.54928648310822548</v>
      </c>
      <c r="I62" s="89">
        <f>INDEX(AVA_5!$A:$J,MATCH('2018'!$A62,AVA_5!$A:$A,0),MATCH('2018'!$A$1,AVA_5!$3:$3,0))/(B62/1000)</f>
        <v>6.6834484913718279</v>
      </c>
      <c r="J62" s="93">
        <f>INDEX(IRA_1!$A:$J,MATCH('2018'!$A62,IRA_1!$A:$A,0),MATCH('2018'!$A$1,IRA_1!$3:$3,0))/(B62/1000)</f>
        <v>9.5135585569945488E-2</v>
      </c>
      <c r="K62" s="88">
        <f>INDEX(IRA_2!$A:$J,MATCH('2018'!$A62,IRA_2!$A:$A,0),MATCH('2018'!$A$1,IRA_2!$3:$3,0))/(B62/1000)</f>
        <v>0.27082392972466235</v>
      </c>
      <c r="L62" s="15">
        <f>INDEX(IRA_3!$A:$J,MATCH('2018'!$A62,IRA_3!$A:$A,0),MATCH('2018'!$A$1,IRA_3!$3:$3,0))</f>
        <v>0.35318388702199155</v>
      </c>
      <c r="M62" s="96">
        <f>INDEX(IRA_4!$A:$J,MATCH('2018'!$A62,IRA_4!$A:$A,0),MATCH('2018'!$A$1,IRA_4!$3:$3,0))/(B62/1000)</f>
        <v>6.4463039477795911</v>
      </c>
      <c r="N62" s="61">
        <f>INDEX(INV_1!$A:$J,MATCH('2018'!$A62,INV_1!$A:$A,0),MATCH('2018'!$A$1,INV_1!$3:$3,0))</f>
        <v>8.5672861092529196E-2</v>
      </c>
      <c r="O62" s="80">
        <f>INDEX(INV_2!$A:$J,MATCH('2018'!$A62,INV_2!$A:$A,0),MATCH('2018'!$A$1,INV_2!$3:$3,0))/B62*10^6/C62</f>
        <v>0.41523191797414427</v>
      </c>
      <c r="P62" s="87">
        <f>INDEX(INV_3!$A:$J,MATCH('2018'!$A62,INV_3!$A:$A,0),MATCH('2018'!$A$1,INV_3!$3:$3,0))/B62*10^6/C62</f>
        <v>3.9191507984336762</v>
      </c>
      <c r="Q62" s="87">
        <f>INDEX(INV_4!$A:$J,MATCH('2018'!$A62,INV_4!$A:$A,0),MATCH('2018'!$A$1,INV_4!$3:$3,0))/B62*10^3/C62</f>
        <v>0.25906783041164683</v>
      </c>
      <c r="R62" s="34">
        <f>INDEX(INV_5!$A:$J,MATCH('2018'!$A62,INV_5!$A:$A,0),MATCH('2018'!$A$1,INV_5!$3:$3,0))</f>
        <v>0.1168</v>
      </c>
      <c r="S62" s="77">
        <f>INDEX(LUJ_1!$A:$J,MATCH('2018'!$A62,LUJ_1!$A:$A,0),MATCH('2018'!$A$1,LUJ_1!$3:$3,0))</f>
        <v>0.71812890030940268</v>
      </c>
      <c r="T62" s="73">
        <f>INDEX(LUJ_2!$A:$J,MATCH('2018'!$A62,LUJ_2!$A:$A,0),MATCH('2018'!$A$1,LUJ_2!$3:$3,0))</f>
        <v>0.25961165627703048</v>
      </c>
      <c r="U62" s="73">
        <f>INDEX(LUJ_3!$A:$J,MATCH('2018'!$A62,LUJ_3!$A:$A,0),MATCH('2018'!$A$1,LUJ_3!$3:$3,0))</f>
        <v>0.65520346443268551</v>
      </c>
      <c r="V62" s="14">
        <f>INDEX(LUJ_4!$A:$J,MATCH('2018'!$A62,LUJ_4!$A:$A,0),MATCH('2018'!$A$1,LUJ_4!$3:$3,0))</f>
        <v>112</v>
      </c>
      <c r="W62" s="34">
        <f>INDEX(LUJ_5!$A:$J,MATCH('2018'!$A62,LUJ_5!$A:$A,0),MATCH('2018'!$A$1,LUJ_5!$3:$3,0))</f>
        <v>106.1</v>
      </c>
      <c r="X62" s="98">
        <f>1/INDEX(GUL_1!$A:$J,MATCH('2018'!$A62,GUL_1!$A:$A,0),MATCH('2018'!$A$1,GUL_1!$3:$3,0))</f>
        <v>1.4142271248762552E-2</v>
      </c>
      <c r="Y62" s="57" t="e">
        <f>INDEX(GUL_2!$A:$J,MATCH('2018'!$A62,GUL_2!$A:$A,0),MATCH('2018'!$A$1,GUL_2!$3:$3,0))</f>
        <v>#N/A</v>
      </c>
      <c r="Z62" s="57">
        <f>INDEX(GUL_3!$A:$J,MATCH('2018'!$A62,GUL_3!$A:$A,0),MATCH('2018'!$A$1,GUL_3!$3:$3,0))/(B62/1000)</f>
        <v>0.85587305996319574</v>
      </c>
      <c r="AA62" s="101">
        <f>INDEX(GUL_4!$A:$J,MATCH('2018'!$A62,GUL_4!$A:$A,0),MATCH('2018'!$A$1,GUL_4!$3:$3,0))/B62/C62*10^6</f>
        <v>0.30631458418596552</v>
      </c>
      <c r="AB62" s="73">
        <f>INDEX(GUL_5!$A:$J,MATCH('2018'!$A62,GUL_5!$A:$A,0),MATCH('2018'!$A$1,GUL_5!$3:$3,0))</f>
        <v>3.5072818255510015E-2</v>
      </c>
      <c r="AC62" s="49" t="e">
        <f>INDEX(GUL_6!$A:$J,MATCH('2018'!$A62,GUL_6!$A:$A,0),MATCH('2018'!$A$1,GUL_6!$3:$3,0))</f>
        <v>#N/A</v>
      </c>
      <c r="AD62" s="49" t="e">
        <f>INDEX(GUL_7!$A:$J,MATCH('2018'!$A62,GUL_7!$A:$A,0),MATCH('2018'!$A$1,GUL_7!$3:$3,0))</f>
        <v>#N/A</v>
      </c>
      <c r="AE62" s="103">
        <f>INDEX(GUL_8!$A:$J,MATCH('2018'!$A62,GUL_8!$A:$A,0),MATCH('2018'!$A$1,GUL_8!$3:$3,0))/(B62/1000)</f>
        <v>3.3859935418909068</v>
      </c>
      <c r="AF62" s="41">
        <f>INDEX(DES_1!$A:$J,MATCH('2018'!$A62,DES_1!$A:$A,0),MATCH('2018'!$A$1,DES_1!$3:$3,0))/(B62/1000)</f>
        <v>0.14791153084962327</v>
      </c>
      <c r="AG62" s="100">
        <f>INDEX(DES_2!$A:$J,MATCH('2018'!$A62,DES_2!$A:$A,0),MATCH('2018'!$A$1,DES_2!$3:$3,0))/(B62/1000)</f>
        <v>0.72080830526717821</v>
      </c>
      <c r="AH62" s="57">
        <f>1/INDEX(DES_3!$A:$J,MATCH('2018'!$A62,DES_3!$A:$A,0),MATCH('2018'!$A$1,DES_3!$3:$3,0))</f>
        <v>8.3194675540765387E-3</v>
      </c>
      <c r="AI62" s="80" t="e">
        <f>INDEX(DES_4!$A:$J,MATCH('2018'!$A62,DES_4!$A:$A,0),MATCH('2018'!$A$1,DES_4!$3:$3,0))</f>
        <v>#N/A</v>
      </c>
      <c r="AJ62" s="110" t="e">
        <f>INDEX(DES_5!$A:$J,MATCH('2018'!$A62,DES_5!$A:$A,0),MATCH('2018'!$A$1,DES_5!$3:$3,0))</f>
        <v>#N/A</v>
      </c>
      <c r="AK62" s="57">
        <v>69</v>
      </c>
    </row>
    <row r="63" spans="1:37" x14ac:dyDescent="0.3">
      <c r="A63" s="29" t="s">
        <v>62</v>
      </c>
      <c r="B63" s="33">
        <f>INDEX(Population!$A:$J,MATCH('2018'!$A63,Population!$A:$A,0),MATCH('2018'!$A$1,Population!$3:$3,0))</f>
        <v>969732</v>
      </c>
      <c r="C63" s="14">
        <f>INDEX(Income!$A:$J,MATCH('2018'!$A63,Income!$A:$A,0),MATCH('2018'!$A$1,Income!$3:$3,0))</f>
        <v>42891</v>
      </c>
      <c r="D63" s="34">
        <f>INDEX(Livable_wage!$A:$J,MATCH('2018'!$A63,Livable_wage!$A:$A,0),MATCH('2018'!$A$1,Livable_wage!$3:$3,0))</f>
        <v>17729</v>
      </c>
      <c r="E63" s="41">
        <f>INDEX(AVA_1!$A:$J,MATCH('2018'!$A63,AVA_1!$A:$A,0),MATCH('2018'!$A$1,AVA_1!$3:$3,0))</f>
        <v>0.40600000000000003</v>
      </c>
      <c r="F63" s="15">
        <f>INDEX(AVA_2!$A:$J,MATCH('2018'!$A63,AVA_2!$A:$A,0),MATCH('2018'!$A$1,AVA_2!$3:$3,0))</f>
        <v>1.1860448482926117E-2</v>
      </c>
      <c r="G63" s="15">
        <f>INDEX(AVA_3!$A:$J,MATCH('2018'!$A63,AVA_3!$A:$A,0),MATCH('2018'!$A$1,AVA_3!$3:$3,0))</f>
        <v>4.8025599427061277E-2</v>
      </c>
      <c r="H63" s="87">
        <f>INDEX(AVA_4!$A:$J,MATCH('2018'!$A63,AVA_4!$A:$A,0),MATCH('2018'!$A$1,AVA_4!$3:$3,0))/(B63/1000)</f>
        <v>0.60841552098930429</v>
      </c>
      <c r="I63" s="89">
        <f>INDEX(AVA_5!$A:$J,MATCH('2018'!$A63,AVA_5!$A:$A,0),MATCH('2018'!$A$1,AVA_5!$3:$3,0))/(B63/1000)</f>
        <v>3.8216744420107824</v>
      </c>
      <c r="J63" s="93">
        <f>INDEX(IRA_1!$A:$J,MATCH('2018'!$A63,IRA_1!$A:$A,0),MATCH('2018'!$A$1,IRA_1!$3:$3,0))/(B63/1000)</f>
        <v>0.11446461496578436</v>
      </c>
      <c r="K63" s="88">
        <f>INDEX(IRA_2!$A:$J,MATCH('2018'!$A63,IRA_2!$A:$A,0),MATCH('2018'!$A$1,IRA_2!$3:$3,0))/(B63/1000)</f>
        <v>0.37226780182565905</v>
      </c>
      <c r="L63" s="15">
        <f>INDEX(IRA_3!$A:$J,MATCH('2018'!$A63,IRA_3!$A:$A,0),MATCH('2018'!$A$1,IRA_3!$3:$3,0))</f>
        <v>0.48984972317426834</v>
      </c>
      <c r="M63" s="96">
        <f>INDEX(IRA_4!$A:$J,MATCH('2018'!$A63,IRA_4!$A:$A,0),MATCH('2018'!$A$1,IRA_4!$3:$3,0))/(B63/1000)</f>
        <v>4.1918798183415626</v>
      </c>
      <c r="N63" s="61">
        <f>INDEX(INV_1!$A:$J,MATCH('2018'!$A63,INV_1!$A:$A,0),MATCH('2018'!$A$1,INV_1!$3:$3,0))</f>
        <v>0.10443865509763346</v>
      </c>
      <c r="O63" s="80">
        <f>INDEX(INV_2!$A:$J,MATCH('2018'!$A63,INV_2!$A:$A,0),MATCH('2018'!$A$1,INV_2!$3:$3,0))/B63*10^6/C63</f>
        <v>0.1384874145964213</v>
      </c>
      <c r="P63" s="87">
        <f>INDEX(INV_3!$A:$J,MATCH('2018'!$A63,INV_3!$A:$A,0),MATCH('2018'!$A$1,INV_3!$3:$3,0))/B63*10^6/C63</f>
        <v>4.1177343691792698</v>
      </c>
      <c r="Q63" s="87">
        <f>INDEX(INV_4!$A:$J,MATCH('2018'!$A63,INV_4!$A:$A,0),MATCH('2018'!$A$1,INV_4!$3:$3,0))/B63*10^3/C63</f>
        <v>0.26195310710732667</v>
      </c>
      <c r="R63" s="34">
        <f>INDEX(INV_5!$A:$J,MATCH('2018'!$A63,INV_5!$A:$A,0),MATCH('2018'!$A$1,INV_5!$3:$3,0))</f>
        <v>0.105</v>
      </c>
      <c r="S63" s="77">
        <f>INDEX(LUJ_1!$A:$J,MATCH('2018'!$A63,LUJ_1!$A:$A,0),MATCH('2018'!$A$1,LUJ_1!$3:$3,0))</f>
        <v>0.54477611940298509</v>
      </c>
      <c r="T63" s="73">
        <f>INDEX(LUJ_2!$A:$J,MATCH('2018'!$A63,LUJ_2!$A:$A,0),MATCH('2018'!$A$1,LUJ_2!$3:$3,0))</f>
        <v>0.3250701235691002</v>
      </c>
      <c r="U63" s="73">
        <f>INDEX(LUJ_3!$A:$J,MATCH('2018'!$A63,LUJ_3!$A:$A,0),MATCH('2018'!$A$1,LUJ_3!$3:$3,0))</f>
        <v>0.67015389280570081</v>
      </c>
      <c r="V63" s="14">
        <f>INDEX(LUJ_4!$A:$J,MATCH('2018'!$A63,LUJ_4!$A:$A,0),MATCH('2018'!$A$1,LUJ_4!$3:$3,0))</f>
        <v>48</v>
      </c>
      <c r="W63" s="34">
        <f>INDEX(LUJ_5!$A:$J,MATCH('2018'!$A63,LUJ_5!$A:$A,0),MATCH('2018'!$A$1,LUJ_5!$3:$3,0))</f>
        <v>9.8000000000000007</v>
      </c>
      <c r="X63" s="98">
        <f>1/INDEX(GUL_1!$A:$J,MATCH('2018'!$A63,GUL_1!$A:$A,0),MATCH('2018'!$A$1,GUL_1!$3:$3,0))</f>
        <v>1.3751375137513752E-2</v>
      </c>
      <c r="Y63" s="57" t="e">
        <f>INDEX(GUL_2!$A:$J,MATCH('2018'!$A63,GUL_2!$A:$A,0),MATCH('2018'!$A$1,GUL_2!$3:$3,0))</f>
        <v>#N/A</v>
      </c>
      <c r="Z63" s="57">
        <f>INDEX(GUL_3!$A:$J,MATCH('2018'!$A63,GUL_3!$A:$A,0),MATCH('2018'!$A$1,GUL_3!$3:$3,0))/(B63/1000)</f>
        <v>0.38567356754237253</v>
      </c>
      <c r="AA63" s="101">
        <f>INDEX(GUL_4!$A:$J,MATCH('2018'!$A63,GUL_4!$A:$A,0),MATCH('2018'!$A$1,GUL_4!$3:$3,0))/B63/C63*10^6</f>
        <v>0.50202204333736633</v>
      </c>
      <c r="AB63" s="73">
        <f>INDEX(GUL_5!$A:$J,MATCH('2018'!$A63,GUL_5!$A:$A,0),MATCH('2018'!$A$1,GUL_5!$3:$3,0))</f>
        <v>2.9260252335775526E-2</v>
      </c>
      <c r="AC63" s="49" t="e">
        <f>INDEX(GUL_6!$A:$J,MATCH('2018'!$A63,GUL_6!$A:$A,0),MATCH('2018'!$A$1,GUL_6!$3:$3,0))</f>
        <v>#N/A</v>
      </c>
      <c r="AD63" s="49" t="e">
        <f>INDEX(GUL_7!$A:$J,MATCH('2018'!$A63,GUL_7!$A:$A,0),MATCH('2018'!$A$1,GUL_7!$3:$3,0))</f>
        <v>#N/A</v>
      </c>
      <c r="AE63" s="103">
        <f>INDEX(GUL_8!$A:$J,MATCH('2018'!$A63,GUL_8!$A:$A,0),MATCH('2018'!$A$1,GUL_8!$3:$3,0))/(B63/1000)</f>
        <v>4.1279446280003134</v>
      </c>
      <c r="AF63" s="41">
        <f>INDEX(DES_1!$A:$J,MATCH('2018'!$A63,DES_1!$A:$A,0),MATCH('2018'!$A$1,DES_1!$3:$3,0))/(B63/1000)</f>
        <v>0.23821014465852422</v>
      </c>
      <c r="AG63" s="100">
        <f>INDEX(DES_2!$A:$J,MATCH('2018'!$A63,DES_2!$A:$A,0),MATCH('2018'!$A$1,DES_2!$3:$3,0))/(B63/1000)</f>
        <v>0.38257992930005402</v>
      </c>
      <c r="AH63" s="57">
        <f>1/INDEX(DES_3!$A:$J,MATCH('2018'!$A63,DES_3!$A:$A,0),MATCH('2018'!$A$1,DES_3!$3:$3,0))</f>
        <v>8.6355785837651123E-3</v>
      </c>
      <c r="AI63" s="80" t="e">
        <f>INDEX(DES_4!$A:$J,MATCH('2018'!$A63,DES_4!$A:$A,0),MATCH('2018'!$A$1,DES_4!$3:$3,0))</f>
        <v>#N/A</v>
      </c>
      <c r="AJ63" s="110" t="e">
        <f>INDEX(DES_5!$A:$J,MATCH('2018'!$A63,DES_5!$A:$A,0),MATCH('2018'!$A$1,DES_5!$3:$3,0))</f>
        <v>#N/A</v>
      </c>
      <c r="AK63" s="57">
        <v>67</v>
      </c>
    </row>
    <row r="64" spans="1:37" x14ac:dyDescent="0.3">
      <c r="A64" s="29" t="s">
        <v>63</v>
      </c>
      <c r="B64" s="33">
        <f>INDEX(Population!$A:$J,MATCH('2018'!$A64,Population!$A:$A,0),MATCH('2018'!$A$1,Population!$3:$3,0))</f>
        <v>3099781</v>
      </c>
      <c r="C64" s="14">
        <f>INDEX(Income!$A:$J,MATCH('2018'!$A64,Income!$A:$A,0),MATCH('2018'!$A$1,Income!$3:$3,0))</f>
        <v>25757</v>
      </c>
      <c r="D64" s="34">
        <f>INDEX(Livable_wage!$A:$J,MATCH('2018'!$A64,Livable_wage!$A:$A,0),MATCH('2018'!$A$1,Livable_wage!$3:$3,0))</f>
        <v>9604</v>
      </c>
      <c r="E64" s="41">
        <f>INDEX(AVA_1!$A:$J,MATCH('2018'!$A64,AVA_1!$A:$A,0),MATCH('2018'!$A$1,AVA_1!$3:$3,0))</f>
        <v>0.39300000000000002</v>
      </c>
      <c r="F64" s="15">
        <f>INDEX(AVA_2!$A:$J,MATCH('2018'!$A64,AVA_2!$A:$A,0),MATCH('2018'!$A$1,AVA_2!$3:$3,0))</f>
        <v>5.5784378757860976E-3</v>
      </c>
      <c r="G64" s="15">
        <f>INDEX(AVA_3!$A:$J,MATCH('2018'!$A64,AVA_3!$A:$A,0),MATCH('2018'!$A$1,AVA_3!$3:$3,0))</f>
        <v>3.6840511157316951E-2</v>
      </c>
      <c r="H64" s="87">
        <f>INDEX(AVA_4!$A:$J,MATCH('2018'!$A64,AVA_4!$A:$A,0),MATCH('2018'!$A$1,AVA_4!$3:$3,0))/(B64/1000)</f>
        <v>0.68295147302341686</v>
      </c>
      <c r="I64" s="89">
        <f>INDEX(AVA_5!$A:$J,MATCH('2018'!$A64,AVA_5!$A:$A,0),MATCH('2018'!$A$1,AVA_5!$3:$3,0))/(B64/1000)</f>
        <v>0.64488426763051976</v>
      </c>
      <c r="J64" s="93">
        <f>INDEX(IRA_1!$A:$J,MATCH('2018'!$A64,IRA_1!$A:$A,0),MATCH('2018'!$A$1,IRA_1!$3:$3,0))/(B64/1000)</f>
        <v>2.677608514924119E-2</v>
      </c>
      <c r="K64" s="88">
        <f>INDEX(IRA_2!$A:$J,MATCH('2018'!$A64,IRA_2!$A:$A,0),MATCH('2018'!$A$1,IRA_2!$3:$3,0))/(B64/1000)</f>
        <v>2.5485671407109084E-2</v>
      </c>
      <c r="L64" s="15">
        <f>INDEX(IRA_3!$A:$J,MATCH('2018'!$A64,IRA_3!$A:$A,0),MATCH('2018'!$A$1,IRA_3!$3:$3,0))</f>
        <v>0.59468179795282605</v>
      </c>
      <c r="M64" s="96">
        <f>INDEX(IRA_4!$A:$J,MATCH('2018'!$A64,IRA_4!$A:$A,0),MATCH('2018'!$A$1,IRA_4!$3:$3,0))/(B64/1000)</f>
        <v>1.5665622829483761</v>
      </c>
      <c r="N64" s="61">
        <f>INDEX(INV_1!$A:$J,MATCH('2018'!$A64,INV_1!$A:$A,0),MATCH('2018'!$A$1,INV_1!$3:$3,0))</f>
        <v>7.2716618847097111E-2</v>
      </c>
      <c r="O64" s="80">
        <f>INDEX(INV_2!$A:$J,MATCH('2018'!$A64,INV_2!$A:$A,0),MATCH('2018'!$A$1,INV_2!$3:$3,0))/B64*10^6/C64</f>
        <v>0.40254313109309003</v>
      </c>
      <c r="P64" s="87">
        <f>INDEX(INV_3!$A:$J,MATCH('2018'!$A64,INV_3!$A:$A,0),MATCH('2018'!$A$1,INV_3!$3:$3,0))/B64*10^6/C64</f>
        <v>0.71604761460663569</v>
      </c>
      <c r="Q64" s="87">
        <f>INDEX(INV_4!$A:$J,MATCH('2018'!$A64,INV_4!$A:$A,0),MATCH('2018'!$A$1,INV_4!$3:$3,0))/B64*10^3/C64</f>
        <v>0.2066497371378429</v>
      </c>
      <c r="R64" s="34">
        <f>INDEX(INV_5!$A:$J,MATCH('2018'!$A64,INV_5!$A:$A,0),MATCH('2018'!$A$1,INV_5!$3:$3,0))</f>
        <v>0.18379999999999999</v>
      </c>
      <c r="S64" s="77">
        <f>INDEX(LUJ_1!$A:$J,MATCH('2018'!$A64,LUJ_1!$A:$A,0),MATCH('2018'!$A$1,LUJ_1!$3:$3,0))</f>
        <v>0.30431517137785064</v>
      </c>
      <c r="T64" s="73">
        <f>INDEX(LUJ_2!$A:$J,MATCH('2018'!$A64,LUJ_2!$A:$A,0),MATCH('2018'!$A$1,LUJ_2!$3:$3,0))</f>
        <v>0.20876974231088943</v>
      </c>
      <c r="U64" s="73">
        <f>INDEX(LUJ_3!$A:$J,MATCH('2018'!$A64,LUJ_3!$A:$A,0),MATCH('2018'!$A$1,LUJ_3!$3:$3,0))</f>
        <v>0.12094742310889442</v>
      </c>
      <c r="V64" s="14">
        <f>INDEX(LUJ_4!$A:$J,MATCH('2018'!$A64,LUJ_4!$A:$A,0),MATCH('2018'!$A$1,LUJ_4!$3:$3,0))</f>
        <v>18</v>
      </c>
      <c r="W64" s="34">
        <f>INDEX(LUJ_5!$A:$J,MATCH('2018'!$A64,LUJ_5!$A:$A,0),MATCH('2018'!$A$1,LUJ_5!$3:$3,0))</f>
        <v>8</v>
      </c>
      <c r="X64" s="98">
        <f>1/INDEX(GUL_1!$A:$J,MATCH('2018'!$A64,GUL_1!$A:$A,0),MATCH('2018'!$A$1,GUL_1!$3:$3,0))</f>
        <v>1.2708095056551023E-2</v>
      </c>
      <c r="Y64" s="57" t="e">
        <f>INDEX(GUL_2!$A:$J,MATCH('2018'!$A64,GUL_2!$A:$A,0),MATCH('2018'!$A$1,GUL_2!$3:$3,0))</f>
        <v>#N/A</v>
      </c>
      <c r="Z64" s="57">
        <f>INDEX(GUL_3!$A:$J,MATCH('2018'!$A64,GUL_3!$A:$A,0),MATCH('2018'!$A$1,GUL_3!$3:$3,0))/(B64/1000)</f>
        <v>0.17323804488123515</v>
      </c>
      <c r="AA64" s="101">
        <f>INDEX(GUL_4!$A:$J,MATCH('2018'!$A64,GUL_4!$A:$A,0),MATCH('2018'!$A$1,GUL_4!$3:$3,0))/B64/C64*10^6</f>
        <v>0.96341519957718613</v>
      </c>
      <c r="AB64" s="73">
        <f>INDEX(GUL_5!$A:$J,MATCH('2018'!$A64,GUL_5!$A:$A,0),MATCH('2018'!$A$1,GUL_5!$3:$3,0))</f>
        <v>1.3674414525333805E-2</v>
      </c>
      <c r="AC64" s="49" t="e">
        <f>INDEX(GUL_6!$A:$J,MATCH('2018'!$A64,GUL_6!$A:$A,0),MATCH('2018'!$A$1,GUL_6!$3:$3,0))</f>
        <v>#N/A</v>
      </c>
      <c r="AD64" s="49" t="e">
        <f>INDEX(GUL_7!$A:$J,MATCH('2018'!$A64,GUL_7!$A:$A,0),MATCH('2018'!$A$1,GUL_7!$3:$3,0))</f>
        <v>#N/A</v>
      </c>
      <c r="AE64" s="103">
        <f>INDEX(GUL_8!$A:$J,MATCH('2018'!$A64,GUL_8!$A:$A,0),MATCH('2018'!$A$1,GUL_8!$3:$3,0))/(B64/1000)</f>
        <v>0.21840252585585884</v>
      </c>
      <c r="AF64" s="41">
        <f>INDEX(DES_1!$A:$J,MATCH('2018'!$A64,DES_1!$A:$A,0),MATCH('2018'!$A$1,DES_1!$3:$3,0))/(B64/1000)</f>
        <v>1.9033602696448555E-2</v>
      </c>
      <c r="AG64" s="100">
        <f>INDEX(DES_2!$A:$J,MATCH('2018'!$A64,DES_2!$A:$A,0),MATCH('2018'!$A$1,DES_2!$3:$3,0))/(B64/1000)</f>
        <v>0.5829444080081787</v>
      </c>
      <c r="AH64" s="57">
        <f>1/INDEX(DES_3!$A:$J,MATCH('2018'!$A64,DES_3!$A:$A,0),MATCH('2018'!$A$1,DES_3!$3:$3,0))</f>
        <v>8.9928057553956831E-3</v>
      </c>
      <c r="AI64" s="80" t="e">
        <f>INDEX(DES_4!$A:$J,MATCH('2018'!$A64,DES_4!$A:$A,0),MATCH('2018'!$A$1,DES_4!$3:$3,0))</f>
        <v>#N/A</v>
      </c>
      <c r="AJ64" s="110" t="e">
        <f>INDEX(DES_5!$A:$J,MATCH('2018'!$A64,DES_5!$A:$A,0),MATCH('2018'!$A$1,DES_5!$3:$3,0))</f>
        <v>#N/A</v>
      </c>
      <c r="AK64" s="57">
        <v>14</v>
      </c>
    </row>
    <row r="65" spans="1:37" x14ac:dyDescent="0.3">
      <c r="A65" s="29" t="s">
        <v>64</v>
      </c>
      <c r="B65" s="33">
        <f>INDEX(Population!$A:$J,MATCH('2018'!$A65,Population!$A:$A,0),MATCH('2018'!$A$1,Population!$3:$3,0))</f>
        <v>1932800</v>
      </c>
      <c r="C65" s="14">
        <f>INDEX(Income!$A:$J,MATCH('2018'!$A65,Income!$A:$A,0),MATCH('2018'!$A$1,Income!$3:$3,0))</f>
        <v>25434</v>
      </c>
      <c r="D65" s="34">
        <f>INDEX(Livable_wage!$A:$J,MATCH('2018'!$A65,Livable_wage!$A:$A,0),MATCH('2018'!$A$1,Livable_wage!$3:$3,0))</f>
        <v>9481</v>
      </c>
      <c r="E65" s="41">
        <f>INDEX(AVA_1!$A:$J,MATCH('2018'!$A65,AVA_1!$A:$A,0),MATCH('2018'!$A$1,AVA_1!$3:$3,0))</f>
        <v>0.38400000000000001</v>
      </c>
      <c r="F65" s="15">
        <f>INDEX(AVA_2!$A:$J,MATCH('2018'!$A65,AVA_2!$A:$A,0),MATCH('2018'!$A$1,AVA_2!$3:$3,0))</f>
        <v>1.0404986685694418E-2</v>
      </c>
      <c r="G65" s="15">
        <f>INDEX(AVA_3!$A:$J,MATCH('2018'!$A65,AVA_3!$A:$A,0),MATCH('2018'!$A$1,AVA_3!$3:$3,0))</f>
        <v>1.0008529961270562E-2</v>
      </c>
      <c r="H65" s="87">
        <f>INDEX(AVA_4!$A:$J,MATCH('2018'!$A65,AVA_4!$A:$A,0),MATCH('2018'!$A$1,AVA_4!$3:$3,0))/(B65/1000)</f>
        <v>0.85989238410596025</v>
      </c>
      <c r="I65" s="89">
        <f>INDEX(AVA_5!$A:$J,MATCH('2018'!$A65,AVA_5!$A:$A,0),MATCH('2018'!$A$1,AVA_5!$3:$3,0))/(B65/1000)</f>
        <v>5.3735513245033113</v>
      </c>
      <c r="J65" s="93">
        <f>INDEX(IRA_1!$A:$J,MATCH('2018'!$A65,IRA_1!$A:$A,0),MATCH('2018'!$A$1,IRA_1!$3:$3,0))/(B65/1000)</f>
        <v>5.5360099337748346E-2</v>
      </c>
      <c r="K65" s="88">
        <f>INDEX(IRA_2!$A:$J,MATCH('2018'!$A65,IRA_2!$A:$A,0),MATCH('2018'!$A$1,IRA_2!$3:$3,0))/(B65/1000)</f>
        <v>0.21316225165562913</v>
      </c>
      <c r="L65" s="15">
        <f>INDEX(IRA_3!$A:$J,MATCH('2018'!$A65,IRA_3!$A:$A,0),MATCH('2018'!$A$1,IRA_3!$3:$3,0))</f>
        <v>0.3633514417049728</v>
      </c>
      <c r="M65" s="96">
        <f>INDEX(IRA_4!$A:$J,MATCH('2018'!$A65,IRA_4!$A:$A,0),MATCH('2018'!$A$1,IRA_4!$3:$3,0))/(B65/1000)</f>
        <v>3.3122930463576159</v>
      </c>
      <c r="N65" s="61">
        <f>INDEX(INV_1!$A:$J,MATCH('2018'!$A65,INV_1!$A:$A,0),MATCH('2018'!$A$1,INV_1!$3:$3,0))</f>
        <v>6.0550922136730315E-2</v>
      </c>
      <c r="O65" s="80">
        <f>INDEX(INV_2!$A:$J,MATCH('2018'!$A65,INV_2!$A:$A,0),MATCH('2018'!$A$1,INV_2!$3:$3,0))/B65*10^6/C65</f>
        <v>0.39170163816249248</v>
      </c>
      <c r="P65" s="87">
        <f>INDEX(INV_3!$A:$J,MATCH('2018'!$A65,INV_3!$A:$A,0),MATCH('2018'!$A$1,INV_3!$3:$3,0))/B65*10^6/C65</f>
        <v>3.5436356311387947</v>
      </c>
      <c r="Q65" s="87">
        <f>INDEX(INV_4!$A:$J,MATCH('2018'!$A65,INV_4!$A:$A,0),MATCH('2018'!$A$1,INV_4!$3:$3,0))/B65*10^3/C65</f>
        <v>0.24127114570037658</v>
      </c>
      <c r="R65" s="34">
        <f>INDEX(INV_5!$A:$J,MATCH('2018'!$A65,INV_5!$A:$A,0),MATCH('2018'!$A$1,INV_5!$3:$3,0))</f>
        <v>7.3400000000000007E-2</v>
      </c>
      <c r="S65" s="77">
        <f>INDEX(LUJ_1!$A:$J,MATCH('2018'!$A65,LUJ_1!$A:$A,0),MATCH('2018'!$A$1,LUJ_1!$3:$3,0))</f>
        <v>0.6875461784746737</v>
      </c>
      <c r="T65" s="73">
        <f>INDEX(LUJ_2!$A:$J,MATCH('2018'!$A65,LUJ_2!$A:$A,0),MATCH('2018'!$A$1,LUJ_2!$3:$3,0))</f>
        <v>0.22618935910669044</v>
      </c>
      <c r="U65" s="73">
        <f>INDEX(LUJ_3!$A:$J,MATCH('2018'!$A65,LUJ_3!$A:$A,0),MATCH('2018'!$A$1,LUJ_3!$3:$3,0))</f>
        <v>0.37102344516442015</v>
      </c>
      <c r="V65" s="14">
        <f>INDEX(LUJ_4!$A:$J,MATCH('2018'!$A65,LUJ_4!$A:$A,0),MATCH('2018'!$A$1,LUJ_4!$3:$3,0))</f>
        <v>45</v>
      </c>
      <c r="W65" s="34">
        <f>INDEX(LUJ_5!$A:$J,MATCH('2018'!$A65,LUJ_5!$A:$A,0),MATCH('2018'!$A$1,LUJ_5!$3:$3,0))</f>
        <v>99.1</v>
      </c>
      <c r="X65" s="98">
        <f>1/INDEX(GUL_1!$A:$J,MATCH('2018'!$A65,GUL_1!$A:$A,0),MATCH('2018'!$A$1,GUL_1!$3:$3,0))</f>
        <v>1.3896609227348528E-2</v>
      </c>
      <c r="Y65" s="57" t="e">
        <f>INDEX(GUL_2!$A:$J,MATCH('2018'!$A65,GUL_2!$A:$A,0),MATCH('2018'!$A$1,GUL_2!$3:$3,0))</f>
        <v>#N/A</v>
      </c>
      <c r="Z65" s="57">
        <f>INDEX(GUL_3!$A:$J,MATCH('2018'!$A65,GUL_3!$A:$A,0),MATCH('2018'!$A$1,GUL_3!$3:$3,0))/(B65/1000)</f>
        <v>0.58981788079470199</v>
      </c>
      <c r="AA65" s="101">
        <f>INDEX(GUL_4!$A:$J,MATCH('2018'!$A65,GUL_4!$A:$A,0),MATCH('2018'!$A$1,GUL_4!$3:$3,0))/B65/C65*10^6</f>
        <v>0.29645515278604484</v>
      </c>
      <c r="AB65" s="73">
        <f>INDEX(GUL_5!$A:$J,MATCH('2018'!$A65,GUL_5!$A:$A,0),MATCH('2018'!$A$1,GUL_5!$3:$3,0))</f>
        <v>2.8477487998663474E-2</v>
      </c>
      <c r="AC65" s="49" t="e">
        <f>INDEX(GUL_6!$A:$J,MATCH('2018'!$A65,GUL_6!$A:$A,0),MATCH('2018'!$A$1,GUL_6!$3:$3,0))</f>
        <v>#N/A</v>
      </c>
      <c r="AD65" s="49" t="e">
        <f>INDEX(GUL_7!$A:$J,MATCH('2018'!$A65,GUL_7!$A:$A,0),MATCH('2018'!$A$1,GUL_7!$3:$3,0))</f>
        <v>#N/A</v>
      </c>
      <c r="AE65" s="103">
        <f>INDEX(GUL_8!$A:$J,MATCH('2018'!$A65,GUL_8!$A:$A,0),MATCH('2018'!$A$1,GUL_8!$3:$3,0))/(B65/1000)</f>
        <v>2.4658526490066226</v>
      </c>
      <c r="AF65" s="41">
        <f>INDEX(DES_1!$A:$J,MATCH('2018'!$A65,DES_1!$A:$A,0),MATCH('2018'!$A$1,DES_1!$3:$3,0))/(B65/1000)</f>
        <v>0.1712541390728477</v>
      </c>
      <c r="AG65" s="100">
        <f>INDEX(DES_2!$A:$J,MATCH('2018'!$A65,DES_2!$A:$A,0),MATCH('2018'!$A$1,DES_2!$3:$3,0))/(B65/1000)</f>
        <v>0.83557533112582782</v>
      </c>
      <c r="AH65" s="57">
        <f>1/INDEX(DES_3!$A:$J,MATCH('2018'!$A65,DES_3!$A:$A,0),MATCH('2018'!$A$1,DES_3!$3:$3,0))</f>
        <v>9.1659028414298807E-3</v>
      </c>
      <c r="AI65" s="80" t="e">
        <f>INDEX(DES_4!$A:$J,MATCH('2018'!$A65,DES_4!$A:$A,0),MATCH('2018'!$A$1,DES_4!$3:$3,0))</f>
        <v>#N/A</v>
      </c>
      <c r="AJ65" s="110" t="e">
        <f>INDEX(DES_5!$A:$J,MATCH('2018'!$A65,DES_5!$A:$A,0),MATCH('2018'!$A$1,DES_5!$3:$3,0))</f>
        <v>#N/A</v>
      </c>
      <c r="AK65" s="57">
        <v>21</v>
      </c>
    </row>
    <row r="66" spans="1:37" x14ac:dyDescent="0.3">
      <c r="A66" s="29" t="s">
        <v>65</v>
      </c>
      <c r="B66" s="33">
        <f>INDEX(Population!$A:$J,MATCH('2018'!$A66,Population!$A:$A,0),MATCH('2018'!$A$1,Population!$3:$3,0))</f>
        <v>787461</v>
      </c>
      <c r="C66" s="14">
        <f>INDEX(Income!$A:$J,MATCH('2018'!$A66,Income!$A:$A,0),MATCH('2018'!$A$1,Income!$3:$3,0))</f>
        <v>34157</v>
      </c>
      <c r="D66" s="34">
        <f>INDEX(Livable_wage!$A:$J,MATCH('2018'!$A66,Livable_wage!$A:$A,0),MATCH('2018'!$A$1,Livable_wage!$3:$3,0))</f>
        <v>13892</v>
      </c>
      <c r="E66" s="41">
        <f>INDEX(AVA_1!$A:$J,MATCH('2018'!$A66,AVA_1!$A:$A,0),MATCH('2018'!$A$1,AVA_1!$3:$3,0))</f>
        <v>0.38300000000000001</v>
      </c>
      <c r="F66" s="15">
        <f>INDEX(AVA_2!$A:$J,MATCH('2018'!$A66,AVA_2!$A:$A,0),MATCH('2018'!$A$1,AVA_2!$3:$3,0))</f>
        <v>1.1338443262384515E-2</v>
      </c>
      <c r="G66" s="15">
        <f>INDEX(AVA_3!$A:$J,MATCH('2018'!$A66,AVA_3!$A:$A,0),MATCH('2018'!$A$1,AVA_3!$3:$3,0))</f>
        <v>2.7131943269110459E-3</v>
      </c>
      <c r="H66" s="87">
        <f>INDEX(AVA_4!$A:$J,MATCH('2018'!$A66,AVA_4!$A:$A,0),MATCH('2018'!$A$1,AVA_4!$3:$3,0))/(B66/1000)</f>
        <v>1.0146534241060827</v>
      </c>
      <c r="I66" s="89">
        <f>INDEX(AVA_5!$A:$J,MATCH('2018'!$A66,AVA_5!$A:$A,0),MATCH('2018'!$A$1,AVA_5!$3:$3,0))/(B66/1000)</f>
        <v>5.629485142756276</v>
      </c>
      <c r="J66" s="93">
        <f>INDEX(IRA_1!$A:$J,MATCH('2018'!$A66,IRA_1!$A:$A,0),MATCH('2018'!$A$1,IRA_1!$3:$3,0))/(B66/1000)</f>
        <v>0.10794185362830667</v>
      </c>
      <c r="K66" s="88">
        <f>INDEX(IRA_2!$A:$J,MATCH('2018'!$A66,IRA_2!$A:$A,0),MATCH('2018'!$A$1,IRA_2!$3:$3,0))/(B66/1000)</f>
        <v>0.28826824439559545</v>
      </c>
      <c r="L66" s="15">
        <f>INDEX(IRA_3!$A:$J,MATCH('2018'!$A66,IRA_3!$A:$A,0),MATCH('2018'!$A$1,IRA_3!$3:$3,0))</f>
        <v>0.36148288523036831</v>
      </c>
      <c r="M66" s="96">
        <f>INDEX(IRA_4!$A:$J,MATCH('2018'!$A66,IRA_4!$A:$A,0),MATCH('2018'!$A$1,IRA_4!$3:$3,0))/(B66/1000)</f>
        <v>6.3266625267791037</v>
      </c>
      <c r="N66" s="61">
        <f>INDEX(INV_1!$A:$J,MATCH('2018'!$A66,INV_1!$A:$A,0),MATCH('2018'!$A$1,INV_1!$3:$3,0))</f>
        <v>7.6890797769767719E-2</v>
      </c>
      <c r="O66" s="80">
        <f>INDEX(INV_2!$A:$J,MATCH('2018'!$A66,INV_2!$A:$A,0),MATCH('2018'!$A$1,INV_2!$3:$3,0))/B66*10^6/C66</f>
        <v>0.34370703479112302</v>
      </c>
      <c r="P66" s="87">
        <f>INDEX(INV_3!$A:$J,MATCH('2018'!$A66,INV_3!$A:$A,0),MATCH('2018'!$A$1,INV_3!$3:$3,0))/B66*10^6/C66</f>
        <v>4.2506860221680709</v>
      </c>
      <c r="Q66" s="87">
        <f>INDEX(INV_4!$A:$J,MATCH('2018'!$A66,INV_4!$A:$A,0),MATCH('2018'!$A$1,INV_4!$3:$3,0))/B66*10^3/C66</f>
        <v>0.2641196766897978</v>
      </c>
      <c r="R66" s="34">
        <f>INDEX(INV_5!$A:$J,MATCH('2018'!$A66,INV_5!$A:$A,0),MATCH('2018'!$A$1,INV_5!$3:$3,0))</f>
        <v>3.9699999999999999E-2</v>
      </c>
      <c r="S66" s="77">
        <f>INDEX(LUJ_1!$A:$J,MATCH('2018'!$A66,LUJ_1!$A:$A,0),MATCH('2018'!$A$1,LUJ_1!$3:$3,0))</f>
        <v>0.81851296335975998</v>
      </c>
      <c r="T66" s="73">
        <f>INDEX(LUJ_2!$A:$J,MATCH('2018'!$A66,LUJ_2!$A:$A,0),MATCH('2018'!$A$1,LUJ_2!$3:$3,0))</f>
        <v>0.28875131409882021</v>
      </c>
      <c r="U66" s="73">
        <f>INDEX(LUJ_3!$A:$J,MATCH('2018'!$A66,LUJ_3!$A:$A,0),MATCH('2018'!$A$1,LUJ_3!$3:$3,0))</f>
        <v>0.60845695596308846</v>
      </c>
      <c r="V66" s="14">
        <f>INDEX(LUJ_4!$A:$J,MATCH('2018'!$A66,LUJ_4!$A:$A,0),MATCH('2018'!$A$1,LUJ_4!$3:$3,0))</f>
        <v>23</v>
      </c>
      <c r="W66" s="34">
        <f>INDEX(LUJ_5!$A:$J,MATCH('2018'!$A66,LUJ_5!$A:$A,0),MATCH('2018'!$A$1,LUJ_5!$3:$3,0))</f>
        <v>55.2</v>
      </c>
      <c r="X66" s="98">
        <f>1/INDEX(GUL_1!$A:$J,MATCH('2018'!$A66,GUL_1!$A:$A,0),MATCH('2018'!$A$1,GUL_1!$3:$3,0))</f>
        <v>1.4072614691809739E-2</v>
      </c>
      <c r="Y66" s="57" t="e">
        <f>INDEX(GUL_2!$A:$J,MATCH('2018'!$A66,GUL_2!$A:$A,0),MATCH('2018'!$A$1,GUL_2!$3:$3,0))</f>
        <v>#N/A</v>
      </c>
      <c r="Z66" s="57">
        <f>INDEX(GUL_3!$A:$J,MATCH('2018'!$A66,GUL_3!$A:$A,0),MATCH('2018'!$A$1,GUL_3!$3:$3,0))/(B66/1000)</f>
        <v>0.89782224135544486</v>
      </c>
      <c r="AA66" s="101">
        <f>INDEX(GUL_4!$A:$J,MATCH('2018'!$A66,GUL_4!$A:$A,0),MATCH('2018'!$A$1,GUL_4!$3:$3,0))/B66/C66*10^6</f>
        <v>0.35655207336124822</v>
      </c>
      <c r="AB66" s="73">
        <f>INDEX(GUL_5!$A:$J,MATCH('2018'!$A66,GUL_5!$A:$A,0),MATCH('2018'!$A$1,GUL_5!$3:$3,0))</f>
        <v>2.9963258367764489E-2</v>
      </c>
      <c r="AC66" s="49" t="e">
        <f>INDEX(GUL_6!$A:$J,MATCH('2018'!$A66,GUL_6!$A:$A,0),MATCH('2018'!$A$1,GUL_6!$3:$3,0))</f>
        <v>#N/A</v>
      </c>
      <c r="AD66" s="49" t="e">
        <f>INDEX(GUL_7!$A:$J,MATCH('2018'!$A66,GUL_7!$A:$A,0),MATCH('2018'!$A$1,GUL_7!$3:$3,0))</f>
        <v>#N/A</v>
      </c>
      <c r="AE66" s="103">
        <f>INDEX(GUL_8!$A:$J,MATCH('2018'!$A66,GUL_8!$A:$A,0),MATCH('2018'!$A$1,GUL_8!$3:$3,0))/(B66/1000)</f>
        <v>5.1431118493487293</v>
      </c>
      <c r="AF66" s="41">
        <f>INDEX(DES_1!$A:$J,MATCH('2018'!$A66,DES_1!$A:$A,0),MATCH('2018'!$A$1,DES_1!$3:$3,0))/(B66/1000)</f>
        <v>0.28191872359393039</v>
      </c>
      <c r="AG66" s="100">
        <f>INDEX(DES_2!$A:$J,MATCH('2018'!$A66,DES_2!$A:$A,0),MATCH('2018'!$A$1,DES_2!$3:$3,0))/(B66/1000)</f>
        <v>0.3162061359229219</v>
      </c>
      <c r="AH66" s="57">
        <f>1/INDEX(DES_3!$A:$J,MATCH('2018'!$A66,DES_3!$A:$A,0),MATCH('2018'!$A$1,DES_3!$3:$3,0))</f>
        <v>9.7943192948090115E-3</v>
      </c>
      <c r="AI66" s="80" t="e">
        <f>INDEX(DES_4!$A:$J,MATCH('2018'!$A66,DES_4!$A:$A,0),MATCH('2018'!$A$1,DES_4!$3:$3,0))</f>
        <v>#N/A</v>
      </c>
      <c r="AJ66" s="110" t="e">
        <f>INDEX(DES_5!$A:$J,MATCH('2018'!$A66,DES_5!$A:$A,0),MATCH('2018'!$A$1,DES_5!$3:$3,0))</f>
        <v>#N/A</v>
      </c>
      <c r="AK66" s="57">
        <v>25</v>
      </c>
    </row>
    <row r="67" spans="1:37" x14ac:dyDescent="0.3">
      <c r="A67" s="29" t="s">
        <v>66</v>
      </c>
      <c r="B67" s="33">
        <f>INDEX(Population!$A:$J,MATCH('2018'!$A67,Population!$A:$A,0),MATCH('2018'!$A$1,Population!$3:$3,0))</f>
        <v>1446552</v>
      </c>
      <c r="C67" s="14">
        <f>INDEX(Income!$A:$J,MATCH('2018'!$A67,Income!$A:$A,0),MATCH('2018'!$A$1,Income!$3:$3,0))</f>
        <v>23200</v>
      </c>
      <c r="D67" s="34">
        <f>INDEX(Livable_wage!$A:$J,MATCH('2018'!$A67,Livable_wage!$A:$A,0),MATCH('2018'!$A$1,Livable_wage!$3:$3,0))</f>
        <v>10927</v>
      </c>
      <c r="E67" s="41">
        <f>INDEX(AVA_1!$A:$J,MATCH('2018'!$A67,AVA_1!$A:$A,0),MATCH('2018'!$A$1,AVA_1!$3:$3,0))</f>
        <v>0.378</v>
      </c>
      <c r="F67" s="15">
        <f>INDEX(AVA_2!$A:$J,MATCH('2018'!$A67,AVA_2!$A:$A,0),MATCH('2018'!$A$1,AVA_2!$3:$3,0))</f>
        <v>6.9928096633045918E-3</v>
      </c>
      <c r="G67" s="15">
        <f>INDEX(AVA_3!$A:$J,MATCH('2018'!$A67,AVA_3!$A:$A,0),MATCH('2018'!$A$1,AVA_3!$3:$3,0))</f>
        <v>1.2361556715297423E-2</v>
      </c>
      <c r="H67" s="87">
        <f>INDEX(AVA_4!$A:$J,MATCH('2018'!$A67,AVA_4!$A:$A,0),MATCH('2018'!$A$1,AVA_4!$3:$3,0))/(B67/1000)</f>
        <v>0.42929670001493209</v>
      </c>
      <c r="I67" s="89">
        <f>INDEX(AVA_5!$A:$J,MATCH('2018'!$A67,AVA_5!$A:$A,0),MATCH('2018'!$A$1,AVA_5!$3:$3,0))/(B67/1000)</f>
        <v>0.40994032706739891</v>
      </c>
      <c r="J67" s="93">
        <f>INDEX(IRA_1!$A:$J,MATCH('2018'!$A67,IRA_1!$A:$A,0),MATCH('2018'!$A$1,IRA_1!$3:$3,0))/(B67/1000)</f>
        <v>1.0369485507607055E-2</v>
      </c>
      <c r="K67" s="88">
        <f>INDEX(IRA_2!$A:$J,MATCH('2018'!$A67,IRA_2!$A:$A,0),MATCH('2018'!$A$1,IRA_2!$3:$3,0))/(B67/1000)</f>
        <v>6.2216913045642329E-3</v>
      </c>
      <c r="L67" s="15">
        <f>INDEX(IRA_3!$A:$J,MATCH('2018'!$A67,IRA_3!$A:$A,0),MATCH('2018'!$A$1,IRA_3!$3:$3,0))</f>
        <v>0.73737373737373735</v>
      </c>
      <c r="M67" s="96">
        <f>INDEX(IRA_4!$A:$J,MATCH('2018'!$A67,IRA_4!$A:$A,0),MATCH('2018'!$A$1,IRA_4!$3:$3,0))/(B67/1000)</f>
        <v>0.58967807586592125</v>
      </c>
      <c r="N67" s="61">
        <f>INDEX(INV_1!$A:$J,MATCH('2018'!$A67,INV_1!$A:$A,0),MATCH('2018'!$A$1,INV_1!$3:$3,0))</f>
        <v>0.12131262243502526</v>
      </c>
      <c r="O67" s="80">
        <f>INDEX(INV_2!$A:$J,MATCH('2018'!$A67,INV_2!$A:$A,0),MATCH('2018'!$A$1,INV_2!$3:$3,0))/B67*10^6/C67</f>
        <v>0.44427509346362937</v>
      </c>
      <c r="P67" s="87">
        <f>INDEX(INV_3!$A:$J,MATCH('2018'!$A67,INV_3!$A:$A,0),MATCH('2018'!$A$1,INV_3!$3:$3,0))/B67*10^6/C67</f>
        <v>0.85864107582530136</v>
      </c>
      <c r="Q67" s="87">
        <f>INDEX(INV_4!$A:$J,MATCH('2018'!$A67,INV_4!$A:$A,0),MATCH('2018'!$A$1,INV_4!$3:$3,0))/B67*10^3/C67</f>
        <v>0.25063596233402385</v>
      </c>
      <c r="R67" s="34">
        <f>INDEX(INV_5!$A:$J,MATCH('2018'!$A67,INV_5!$A:$A,0),MATCH('2018'!$A$1,INV_5!$3:$3,0))</f>
        <v>0.1137</v>
      </c>
      <c r="S67" s="77">
        <f>INDEX(LUJ_1!$A:$J,MATCH('2018'!$A67,LUJ_1!$A:$A,0),MATCH('2018'!$A$1,LUJ_1!$3:$3,0))</f>
        <v>0.11442349846558526</v>
      </c>
      <c r="T67" s="73">
        <f>INDEX(LUJ_2!$A:$J,MATCH('2018'!$A67,LUJ_2!$A:$A,0),MATCH('2018'!$A$1,LUJ_2!$3:$3,0))</f>
        <v>0.41808588793161022</v>
      </c>
      <c r="U67" s="73">
        <f>INDEX(LUJ_3!$A:$J,MATCH('2018'!$A67,LUJ_3!$A:$A,0),MATCH('2018'!$A$1,LUJ_3!$3:$3,0))</f>
        <v>0.12555934014559542</v>
      </c>
      <c r="V67" s="14">
        <f>INDEX(LUJ_4!$A:$J,MATCH('2018'!$A67,LUJ_4!$A:$A,0),MATCH('2018'!$A$1,LUJ_4!$3:$3,0))</f>
        <v>2</v>
      </c>
      <c r="W67" s="34">
        <f>INDEX(LUJ_5!$A:$J,MATCH('2018'!$A67,LUJ_5!$A:$A,0),MATCH('2018'!$A$1,LUJ_5!$3:$3,0))</f>
        <v>9.6999999999999993</v>
      </c>
      <c r="X67" s="98">
        <f>1/INDEX(GUL_1!$A:$J,MATCH('2018'!$A67,GUL_1!$A:$A,0),MATCH('2018'!$A$1,GUL_1!$3:$3,0))</f>
        <v>1.3257324671881213E-2</v>
      </c>
      <c r="Y67" s="57" t="e">
        <f>INDEX(GUL_2!$A:$J,MATCH('2018'!$A67,GUL_2!$A:$A,0),MATCH('2018'!$A$1,GUL_2!$3:$3,0))</f>
        <v>#N/A</v>
      </c>
      <c r="Z67" s="57">
        <f>INDEX(GUL_3!$A:$J,MATCH('2018'!$A67,GUL_3!$A:$A,0),MATCH('2018'!$A$1,GUL_3!$3:$3,0))/(B67/1000)</f>
        <v>0.12097733092208231</v>
      </c>
      <c r="AA67" s="101">
        <f>INDEX(GUL_4!$A:$J,MATCH('2018'!$A67,GUL_4!$A:$A,0),MATCH('2018'!$A$1,GUL_4!$3:$3,0))/B67/C67*10^6</f>
        <v>0.38421327595456006</v>
      </c>
      <c r="AB67" s="73">
        <f>INDEX(GUL_5!$A:$J,MATCH('2018'!$A67,GUL_5!$A:$A,0),MATCH('2018'!$A$1,GUL_5!$3:$3,0))</f>
        <v>9.0701870091370251E-4</v>
      </c>
      <c r="AC67" s="49" t="e">
        <f>INDEX(GUL_6!$A:$J,MATCH('2018'!$A67,GUL_6!$A:$A,0),MATCH('2018'!$A$1,GUL_6!$3:$3,0))</f>
        <v>#N/A</v>
      </c>
      <c r="AD67" s="49" t="e">
        <f>INDEX(GUL_7!$A:$J,MATCH('2018'!$A67,GUL_7!$A:$A,0),MATCH('2018'!$A$1,GUL_7!$3:$3,0))</f>
        <v>#N/A</v>
      </c>
      <c r="AE67" s="103">
        <f>INDEX(GUL_8!$A:$J,MATCH('2018'!$A67,GUL_8!$A:$A,0),MATCH('2018'!$A$1,GUL_8!$3:$3,0))/(B67/1000)</f>
        <v>0.10784264927911337</v>
      </c>
      <c r="AF67" s="41">
        <f>INDEX(DES_1!$A:$J,MATCH('2018'!$A67,DES_1!$A:$A,0),MATCH('2018'!$A$1,DES_1!$3:$3,0))/(B67/1000)</f>
        <v>4.1477942030428219E-3</v>
      </c>
      <c r="AG67" s="100">
        <f>INDEX(DES_2!$A:$J,MATCH('2018'!$A67,DES_2!$A:$A,0),MATCH('2018'!$A$1,DES_2!$3:$3,0))/(B67/1000)</f>
        <v>0.5233133686172361</v>
      </c>
      <c r="AH67" s="57">
        <f>1/INDEX(DES_3!$A:$J,MATCH('2018'!$A67,DES_3!$A:$A,0),MATCH('2018'!$A$1,DES_3!$3:$3,0))</f>
        <v>9.2081031307550652E-3</v>
      </c>
      <c r="AI67" s="80" t="e">
        <f>INDEX(DES_4!$A:$J,MATCH('2018'!$A67,DES_4!$A:$A,0),MATCH('2018'!$A$1,DES_4!$3:$3,0))</f>
        <v>#N/A</v>
      </c>
      <c r="AJ67" s="110" t="e">
        <f>INDEX(DES_5!$A:$J,MATCH('2018'!$A67,DES_5!$A:$A,0),MATCH('2018'!$A$1,DES_5!$3:$3,0))</f>
        <v>#N/A</v>
      </c>
      <c r="AK67" s="57">
        <v>32</v>
      </c>
    </row>
    <row r="68" spans="1:37" x14ac:dyDescent="0.3">
      <c r="A68" s="29" t="s">
        <v>67</v>
      </c>
      <c r="B68" s="33">
        <f>INDEX(Population!$A:$J,MATCH('2018'!$A68,Population!$A:$A,0),MATCH('2018'!$A$1,Population!$3:$3,0))</f>
        <v>890342</v>
      </c>
      <c r="C68" s="14">
        <f>INDEX(Income!$A:$J,MATCH('2018'!$A68,Income!$A:$A,0),MATCH('2018'!$A$1,Income!$3:$3,0))</f>
        <v>20806</v>
      </c>
      <c r="D68" s="34">
        <f>INDEX(Livable_wage!$A:$J,MATCH('2018'!$A68,Livable_wage!$A:$A,0),MATCH('2018'!$A$1,Livable_wage!$3:$3,0))</f>
        <v>10899</v>
      </c>
      <c r="E68" s="41">
        <f>INDEX(AVA_1!$A:$J,MATCH('2018'!$A68,AVA_1!$A:$A,0),MATCH('2018'!$A$1,AVA_1!$3:$3,0))</f>
        <v>0.35799999999999998</v>
      </c>
      <c r="F68" s="15">
        <f>INDEX(AVA_2!$A:$J,MATCH('2018'!$A68,AVA_2!$A:$A,0),MATCH('2018'!$A$1,AVA_2!$3:$3,0))</f>
        <v>5.464817966405521E-3</v>
      </c>
      <c r="G68" s="15">
        <f>INDEX(AVA_3!$A:$J,MATCH('2018'!$A68,AVA_3!$A:$A,0),MATCH('2018'!$A$1,AVA_3!$3:$3,0))</f>
        <v>1.0996174562410761E-2</v>
      </c>
      <c r="H68" s="87">
        <f>INDEX(AVA_4!$A:$J,MATCH('2018'!$A68,AVA_4!$A:$A,0),MATCH('2018'!$A$1,AVA_4!$3:$3,0))/(B68/1000)</f>
        <v>0.78284524373779962</v>
      </c>
      <c r="I68" s="89">
        <f>INDEX(AVA_5!$A:$J,MATCH('2018'!$A68,AVA_5!$A:$A,0),MATCH('2018'!$A$1,AVA_5!$3:$3,0))/(B68/1000)</f>
        <v>1.9543051995749947</v>
      </c>
      <c r="J68" s="93">
        <f>INDEX(IRA_1!$A:$J,MATCH('2018'!$A68,IRA_1!$A:$A,0),MATCH('2018'!$A$1,IRA_1!$3:$3,0))/(B68/1000)</f>
        <v>2.8079097695043027E-2</v>
      </c>
      <c r="K68" s="88">
        <f>INDEX(IRA_2!$A:$J,MATCH('2018'!$A68,IRA_2!$A:$A,0),MATCH('2018'!$A$1,IRA_2!$3:$3,0))/(B68/1000)</f>
        <v>7.5251981822715322E-2</v>
      </c>
      <c r="L68" s="15">
        <f>INDEX(IRA_3!$A:$J,MATCH('2018'!$A68,IRA_3!$A:$A,0),MATCH('2018'!$A$1,IRA_3!$3:$3,0))</f>
        <v>0.51389951542973733</v>
      </c>
      <c r="M68" s="96">
        <f>INDEX(IRA_4!$A:$J,MATCH('2018'!$A68,IRA_4!$A:$A,0),MATCH('2018'!$A$1,IRA_4!$3:$3,0))/(B68/1000)</f>
        <v>2.6259572164404239</v>
      </c>
      <c r="N68" s="61">
        <f>INDEX(INV_1!$A:$J,MATCH('2018'!$A68,INV_1!$A:$A,0),MATCH('2018'!$A$1,INV_1!$3:$3,0))</f>
        <v>0.11247600952019482</v>
      </c>
      <c r="O68" s="80">
        <f>INDEX(INV_2!$A:$J,MATCH('2018'!$A68,INV_2!$A:$A,0),MATCH('2018'!$A$1,INV_2!$3:$3,0))/B68*10^6/C68</f>
        <v>0.44112176214569393</v>
      </c>
      <c r="P68" s="87">
        <f>INDEX(INV_3!$A:$J,MATCH('2018'!$A68,INV_3!$A:$A,0),MATCH('2018'!$A$1,INV_3!$3:$3,0))/B68*10^6/C68</f>
        <v>2.1894300573210712</v>
      </c>
      <c r="Q68" s="87">
        <f>INDEX(INV_4!$A:$J,MATCH('2018'!$A68,INV_4!$A:$A,0),MATCH('2018'!$A$1,INV_4!$3:$3,0))/B68*10^3/C68</f>
        <v>0.31659318957460503</v>
      </c>
      <c r="R68" s="34">
        <f>INDEX(INV_5!$A:$J,MATCH('2018'!$A68,INV_5!$A:$A,0),MATCH('2018'!$A$1,INV_5!$3:$3,0))</f>
        <v>0.12809999999999999</v>
      </c>
      <c r="S68" s="77">
        <f>INDEX(LUJ_1!$A:$J,MATCH('2018'!$A68,LUJ_1!$A:$A,0),MATCH('2018'!$A$1,LUJ_1!$3:$3,0))</f>
        <v>0.53724489795918362</v>
      </c>
      <c r="T68" s="73">
        <f>INDEX(LUJ_2!$A:$J,MATCH('2018'!$A68,LUJ_2!$A:$A,0),MATCH('2018'!$A$1,LUJ_2!$3:$3,0))</f>
        <v>0.1015718356466587</v>
      </c>
      <c r="U68" s="73">
        <f>INDEX(LUJ_3!$A:$J,MATCH('2018'!$A68,LUJ_3!$A:$A,0),MATCH('2018'!$A$1,LUJ_3!$3:$3,0))</f>
        <v>0.17078775622759446</v>
      </c>
      <c r="V68" s="14">
        <f>INDEX(LUJ_4!$A:$J,MATCH('2018'!$A68,LUJ_4!$A:$A,0),MATCH('2018'!$A$1,LUJ_4!$3:$3,0))</f>
        <v>14</v>
      </c>
      <c r="W68" s="34">
        <f>INDEX(LUJ_5!$A:$J,MATCH('2018'!$A68,LUJ_5!$A:$A,0),MATCH('2018'!$A$1,LUJ_5!$3:$3,0))</f>
        <v>27.9</v>
      </c>
      <c r="X68" s="98">
        <f>1/INDEX(GUL_1!$A:$J,MATCH('2018'!$A68,GUL_1!$A:$A,0),MATCH('2018'!$A$1,GUL_1!$3:$3,0))</f>
        <v>1.3109596224436287E-2</v>
      </c>
      <c r="Y68" s="57" t="e">
        <f>INDEX(GUL_2!$A:$J,MATCH('2018'!$A68,GUL_2!$A:$A,0),MATCH('2018'!$A$1,GUL_2!$3:$3,0))</f>
        <v>#N/A</v>
      </c>
      <c r="Z68" s="57">
        <f>INDEX(GUL_3!$A:$J,MATCH('2018'!$A68,GUL_3!$A:$A,0),MATCH('2018'!$A$1,GUL_3!$3:$3,0))/(B68/1000)</f>
        <v>0.36278194221995591</v>
      </c>
      <c r="AA68" s="101">
        <f>INDEX(GUL_4!$A:$J,MATCH('2018'!$A68,GUL_4!$A:$A,0),MATCH('2018'!$A$1,GUL_4!$3:$3,0))/B68/C68*10^6</f>
        <v>0.29376841631578327</v>
      </c>
      <c r="AB68" s="73">
        <f>INDEX(GUL_5!$A:$J,MATCH('2018'!$A68,GUL_5!$A:$A,0),MATCH('2018'!$A$1,GUL_5!$3:$3,0))</f>
        <v>1.4568471347288827E-2</v>
      </c>
      <c r="AC68" s="49" t="e">
        <f>INDEX(GUL_6!$A:$J,MATCH('2018'!$A68,GUL_6!$A:$A,0),MATCH('2018'!$A$1,GUL_6!$3:$3,0))</f>
        <v>#N/A</v>
      </c>
      <c r="AD68" s="49" t="e">
        <f>INDEX(GUL_7!$A:$J,MATCH('2018'!$A68,GUL_7!$A:$A,0),MATCH('2018'!$A$1,GUL_7!$3:$3,0))</f>
        <v>#N/A</v>
      </c>
      <c r="AE68" s="103">
        <f>INDEX(GUL_8!$A:$J,MATCH('2018'!$A68,GUL_8!$A:$A,0),MATCH('2018'!$A$1,GUL_8!$3:$3,0))/(B68/1000)</f>
        <v>0.61100116584413633</v>
      </c>
      <c r="AF68" s="41">
        <f>INDEX(DES_1!$A:$J,MATCH('2018'!$A68,DES_1!$A:$A,0),MATCH('2018'!$A$1,DES_1!$3:$3,0))/(B68/1000)</f>
        <v>5.2788703666680897E-2</v>
      </c>
      <c r="AG68" s="100">
        <f>INDEX(DES_2!$A:$J,MATCH('2018'!$A68,DES_2!$A:$A,0),MATCH('2018'!$A$1,DES_2!$3:$3,0))/(B68/1000)</f>
        <v>0.86708253682292868</v>
      </c>
      <c r="AH68" s="57">
        <f>1/INDEX(DES_3!$A:$J,MATCH('2018'!$A68,DES_3!$A:$A,0),MATCH('2018'!$A$1,DES_3!$3:$3,0))</f>
        <v>9.2250922509225092E-3</v>
      </c>
      <c r="AI68" s="80" t="e">
        <f>INDEX(DES_4!$A:$J,MATCH('2018'!$A68,DES_4!$A:$A,0),MATCH('2018'!$A$1,DES_4!$3:$3,0))</f>
        <v>#N/A</v>
      </c>
      <c r="AJ68" s="110" t="e">
        <f>INDEX(DES_5!$A:$J,MATCH('2018'!$A68,DES_5!$A:$A,0),MATCH('2018'!$A$1,DES_5!$3:$3,0))</f>
        <v>#N/A</v>
      </c>
      <c r="AK68" s="57">
        <v>36</v>
      </c>
    </row>
    <row r="69" spans="1:37" x14ac:dyDescent="0.3">
      <c r="A69" s="29" t="s">
        <v>68</v>
      </c>
      <c r="B69" s="33">
        <f>INDEX(Population!$A:$J,MATCH('2018'!$A69,Population!$A:$A,0),MATCH('2018'!$A$1,Population!$3:$3,0))</f>
        <v>2498661</v>
      </c>
      <c r="C69" s="14">
        <f>INDEX(Income!$A:$J,MATCH('2018'!$A69,Income!$A:$A,0),MATCH('2018'!$A$1,Income!$3:$3,0))</f>
        <v>21424</v>
      </c>
      <c r="D69" s="34">
        <f>INDEX(Livable_wage!$A:$J,MATCH('2018'!$A69,Livable_wage!$A:$A,0),MATCH('2018'!$A$1,Livable_wage!$3:$3,0))</f>
        <v>9269</v>
      </c>
      <c r="E69" s="41">
        <f>INDEX(AVA_1!$A:$J,MATCH('2018'!$A69,AVA_1!$A:$A,0),MATCH('2018'!$A$1,AVA_1!$3:$3,0))</f>
        <v>0.36599999999999999</v>
      </c>
      <c r="F69" s="15">
        <f>INDEX(AVA_2!$A:$J,MATCH('2018'!$A69,AVA_2!$A:$A,0),MATCH('2018'!$A$1,AVA_2!$3:$3,0))</f>
        <v>1.4774393739898067E-2</v>
      </c>
      <c r="G69" s="15">
        <f>INDEX(AVA_3!$A:$J,MATCH('2018'!$A69,AVA_3!$A:$A,0),MATCH('2018'!$A$1,AVA_3!$3:$3,0))</f>
        <v>2.5782291421214385E-2</v>
      </c>
      <c r="H69" s="87">
        <f>INDEX(AVA_4!$A:$J,MATCH('2018'!$A69,AVA_4!$A:$A,0),MATCH('2018'!$A$1,AVA_4!$3:$3,0))/(B69/1000)</f>
        <v>0.63914232462907128</v>
      </c>
      <c r="I69" s="89">
        <f>INDEX(AVA_5!$A:$J,MATCH('2018'!$A69,AVA_5!$A:$A,0),MATCH('2018'!$A$1,AVA_5!$3:$3,0))/(B69/1000)</f>
        <v>4.5696475032027148</v>
      </c>
      <c r="J69" s="93">
        <f>INDEX(IRA_1!$A:$J,MATCH('2018'!$A69,IRA_1!$A:$A,0),MATCH('2018'!$A$1,IRA_1!$3:$3,0))/(B69/1000)</f>
        <v>3.6819720642376055E-2</v>
      </c>
      <c r="K69" s="88">
        <f>INDEX(IRA_2!$A:$J,MATCH('2018'!$A69,IRA_2!$A:$A,0),MATCH('2018'!$A$1,IRA_2!$3:$3,0))/(B69/1000)</f>
        <v>0.10245487483095946</v>
      </c>
      <c r="L69" s="15">
        <f>INDEX(IRA_3!$A:$J,MATCH('2018'!$A69,IRA_3!$A:$A,0),MATCH('2018'!$A$1,IRA_3!$3:$3,0))</f>
        <v>0.42130252994118067</v>
      </c>
      <c r="M69" s="96">
        <f>INDEX(IRA_4!$A:$J,MATCH('2018'!$A69,IRA_4!$A:$A,0),MATCH('2018'!$A$1,IRA_4!$3:$3,0))/(B69/1000)</f>
        <v>3.7159902843963226</v>
      </c>
      <c r="N69" s="61">
        <f>INDEX(INV_1!$A:$J,MATCH('2018'!$A69,INV_1!$A:$A,0),MATCH('2018'!$A$1,INV_1!$3:$3,0))</f>
        <v>7.8335038560091955E-2</v>
      </c>
      <c r="O69" s="80">
        <f>INDEX(INV_2!$A:$J,MATCH('2018'!$A69,INV_2!$A:$A,0),MATCH('2018'!$A$1,INV_2!$3:$3,0))/B69*10^6/C69</f>
        <v>0.42901969362751852</v>
      </c>
      <c r="P69" s="87">
        <f>INDEX(INV_3!$A:$J,MATCH('2018'!$A69,INV_3!$A:$A,0),MATCH('2018'!$A$1,INV_3!$3:$3,0))/B69*10^6/C69</f>
        <v>3.5459059086385727</v>
      </c>
      <c r="Q69" s="87">
        <f>INDEX(INV_4!$A:$J,MATCH('2018'!$A69,INV_4!$A:$A,0),MATCH('2018'!$A$1,INV_4!$3:$3,0))/B69*10^3/C69</f>
        <v>0.33350839931674731</v>
      </c>
      <c r="R69" s="34">
        <f>INDEX(INV_5!$A:$J,MATCH('2018'!$A69,INV_5!$A:$A,0),MATCH('2018'!$A$1,INV_5!$3:$3,0))</f>
        <v>7.4999999999999997E-2</v>
      </c>
      <c r="S69" s="77">
        <f>INDEX(LUJ_1!$A:$J,MATCH('2018'!$A69,LUJ_1!$A:$A,0),MATCH('2018'!$A$1,LUJ_1!$3:$3,0))</f>
        <v>0.73737450562823248</v>
      </c>
      <c r="T69" s="73">
        <f>INDEX(LUJ_2!$A:$J,MATCH('2018'!$A69,LUJ_2!$A:$A,0),MATCH('2018'!$A$1,LUJ_2!$3:$3,0))</f>
        <v>0.21094942962364144</v>
      </c>
      <c r="U69" s="73">
        <f>INDEX(LUJ_3!$A:$J,MATCH('2018'!$A69,LUJ_3!$A:$A,0),MATCH('2018'!$A$1,LUJ_3!$3:$3,0))</f>
        <v>0.43231833288421812</v>
      </c>
      <c r="V69" s="14">
        <f>INDEX(LUJ_4!$A:$J,MATCH('2018'!$A69,LUJ_4!$A:$A,0),MATCH('2018'!$A$1,LUJ_4!$3:$3,0))</f>
        <v>85</v>
      </c>
      <c r="W69" s="34">
        <f>INDEX(LUJ_5!$A:$J,MATCH('2018'!$A69,LUJ_5!$A:$A,0),MATCH('2018'!$A$1,LUJ_5!$3:$3,0))</f>
        <v>46.9</v>
      </c>
      <c r="X69" s="98">
        <f>1/INDEX(GUL_1!$A:$J,MATCH('2018'!$A69,GUL_1!$A:$A,0),MATCH('2018'!$A$1,GUL_1!$3:$3,0))</f>
        <v>1.3708019191226868E-2</v>
      </c>
      <c r="Y69" s="57" t="e">
        <f>INDEX(GUL_2!$A:$J,MATCH('2018'!$A69,GUL_2!$A:$A,0),MATCH('2018'!$A$1,GUL_2!$3:$3,0))</f>
        <v>#N/A</v>
      </c>
      <c r="Z69" s="57">
        <f>INDEX(GUL_3!$A:$J,MATCH('2018'!$A69,GUL_3!$A:$A,0),MATCH('2018'!$A$1,GUL_3!$3:$3,0))/(B69/1000)</f>
        <v>0.79962828090725391</v>
      </c>
      <c r="AA69" s="101">
        <f>INDEX(GUL_4!$A:$J,MATCH('2018'!$A69,GUL_4!$A:$A,0),MATCH('2018'!$A$1,GUL_4!$3:$3,0))/B69/C69*10^6</f>
        <v>0.27476236062924025</v>
      </c>
      <c r="AB69" s="73">
        <f>INDEX(GUL_5!$A:$J,MATCH('2018'!$A69,GUL_5!$A:$A,0),MATCH('2018'!$A$1,GUL_5!$3:$3,0))</f>
        <v>2.8316590055863299E-2</v>
      </c>
      <c r="AC69" s="49" t="e">
        <f>INDEX(GUL_6!$A:$J,MATCH('2018'!$A69,GUL_6!$A:$A,0),MATCH('2018'!$A$1,GUL_6!$3:$3,0))</f>
        <v>#N/A</v>
      </c>
      <c r="AD69" s="49" t="e">
        <f>INDEX(GUL_7!$A:$J,MATCH('2018'!$A69,GUL_7!$A:$A,0),MATCH('2018'!$A$1,GUL_7!$3:$3,0))</f>
        <v>#N/A</v>
      </c>
      <c r="AE69" s="103">
        <f>INDEX(GUL_8!$A:$J,MATCH('2018'!$A69,GUL_8!$A:$A,0),MATCH('2018'!$A$1,GUL_8!$3:$3,0))/(B69/1000)</f>
        <v>2.2387991007983876</v>
      </c>
      <c r="AF69" s="41">
        <f>INDEX(DES_1!$A:$J,MATCH('2018'!$A69,DES_1!$A:$A,0),MATCH('2018'!$A$1,DES_1!$3:$3,0))/(B69/1000)</f>
        <v>0.12726816482908246</v>
      </c>
      <c r="AG69" s="100">
        <f>INDEX(DES_2!$A:$J,MATCH('2018'!$A69,DES_2!$A:$A,0),MATCH('2018'!$A$1,DES_2!$3:$3,0))/(B69/1000)</f>
        <v>0.41982485819404874</v>
      </c>
      <c r="AH69" s="57">
        <f>1/INDEX(DES_3!$A:$J,MATCH('2018'!$A69,DES_3!$A:$A,0),MATCH('2018'!$A$1,DES_3!$3:$3,0))</f>
        <v>8.0450522928399038E-3</v>
      </c>
      <c r="AI69" s="80" t="e">
        <f>INDEX(DES_4!$A:$J,MATCH('2018'!$A69,DES_4!$A:$A,0),MATCH('2018'!$A$1,DES_4!$3:$3,0))</f>
        <v>#N/A</v>
      </c>
      <c r="AJ69" s="110" t="e">
        <f>INDEX(DES_5!$A:$J,MATCH('2018'!$A69,DES_5!$A:$A,0),MATCH('2018'!$A$1,DES_5!$3:$3,0))</f>
        <v>#N/A</v>
      </c>
      <c r="AK69" s="57">
        <v>41</v>
      </c>
    </row>
    <row r="70" spans="1:37" x14ac:dyDescent="0.3">
      <c r="A70" s="29" t="s">
        <v>69</v>
      </c>
      <c r="B70" s="33">
        <f>INDEX(Population!$A:$J,MATCH('2018'!$A70,Population!$A:$A,0),MATCH('2018'!$A$1,Population!$3:$3,0))</f>
        <v>1000498</v>
      </c>
      <c r="C70" s="14">
        <f>INDEX(Income!$A:$J,MATCH('2018'!$A70,Income!$A:$A,0),MATCH('2018'!$A$1,Income!$3:$3,0))</f>
        <v>27549</v>
      </c>
      <c r="D70" s="34">
        <f>INDEX(Livable_wage!$A:$J,MATCH('2018'!$A70,Livable_wage!$A:$A,0),MATCH('2018'!$A$1,Livable_wage!$3:$3,0))</f>
        <v>11718</v>
      </c>
      <c r="E70" s="41">
        <f>INDEX(AVA_1!$A:$J,MATCH('2018'!$A70,AVA_1!$A:$A,0),MATCH('2018'!$A$1,AVA_1!$3:$3,0))</f>
        <v>0.35799999999999998</v>
      </c>
      <c r="F70" s="15">
        <f>INDEX(AVA_2!$A:$J,MATCH('2018'!$A70,AVA_2!$A:$A,0),MATCH('2018'!$A$1,AVA_2!$3:$3,0))</f>
        <v>1.2748849600387503E-2</v>
      </c>
      <c r="G70" s="15">
        <f>INDEX(AVA_3!$A:$J,MATCH('2018'!$A70,AVA_3!$A:$A,0),MATCH('2018'!$A$1,AVA_3!$3:$3,0))</f>
        <v>2.7190600840814063E-2</v>
      </c>
      <c r="H70" s="87">
        <f>INDEX(AVA_4!$A:$J,MATCH('2018'!$A70,AVA_4!$A:$A,0),MATCH('2018'!$A$1,AVA_4!$3:$3,0))/(B70/1000)</f>
        <v>0.60769736671137775</v>
      </c>
      <c r="I70" s="89">
        <f>INDEX(AVA_5!$A:$J,MATCH('2018'!$A70,AVA_5!$A:$A,0),MATCH('2018'!$A$1,AVA_5!$3:$3,0))/(B70/1000)</f>
        <v>6.143940317721774</v>
      </c>
      <c r="J70" s="93">
        <f>INDEX(IRA_1!$A:$J,MATCH('2018'!$A70,IRA_1!$A:$A,0),MATCH('2018'!$A$1,IRA_1!$3:$3,0))/(B70/1000)</f>
        <v>3.7981085419461109E-2</v>
      </c>
      <c r="K70" s="88">
        <f>INDEX(IRA_2!$A:$J,MATCH('2018'!$A70,IRA_2!$A:$A,0),MATCH('2018'!$A$1,IRA_2!$3:$3,0))/(B70/1000)</f>
        <v>0.11194425176262221</v>
      </c>
      <c r="L70" s="15">
        <f>INDEX(IRA_3!$A:$J,MATCH('2018'!$A70,IRA_3!$A:$A,0),MATCH('2018'!$A$1,IRA_3!$3:$3,0))</f>
        <v>0.45310043668122268</v>
      </c>
      <c r="M70" s="96">
        <f>INDEX(IRA_4!$A:$J,MATCH('2018'!$A70,IRA_4!$A:$A,0),MATCH('2018'!$A$1,IRA_4!$3:$3,0))/(B70/1000)</f>
        <v>5.6771727679615545</v>
      </c>
      <c r="N70" s="61">
        <f>INDEX(INV_1!$A:$J,MATCH('2018'!$A70,INV_1!$A:$A,0),MATCH('2018'!$A$1,INV_1!$3:$3,0))</f>
        <v>8.0771575706678533E-2</v>
      </c>
      <c r="O70" s="80">
        <f>INDEX(INV_2!$A:$J,MATCH('2018'!$A70,INV_2!$A:$A,0),MATCH('2018'!$A$1,INV_2!$3:$3,0))/B70*10^6/C70</f>
        <v>0.32491229364509566</v>
      </c>
      <c r="P70" s="87">
        <f>INDEX(INV_3!$A:$J,MATCH('2018'!$A70,INV_3!$A:$A,0),MATCH('2018'!$A$1,INV_3!$3:$3,0))/B70*10^6/C70</f>
        <v>3.6747825395142408</v>
      </c>
      <c r="Q70" s="87">
        <f>INDEX(INV_4!$A:$J,MATCH('2018'!$A70,INV_4!$A:$A,0),MATCH('2018'!$A$1,INV_4!$3:$3,0))/B70*10^3/C70</f>
        <v>0.30389074342904704</v>
      </c>
      <c r="R70" s="34">
        <f>INDEX(INV_5!$A:$J,MATCH('2018'!$A70,INV_5!$A:$A,0),MATCH('2018'!$A$1,INV_5!$3:$3,0))</f>
        <v>0.29780000000000001</v>
      </c>
      <c r="S70" s="77">
        <f>INDEX(LUJ_1!$A:$J,MATCH('2018'!$A70,LUJ_1!$A:$A,0),MATCH('2018'!$A$1,LUJ_1!$3:$3,0))</f>
        <v>0.74302391799544421</v>
      </c>
      <c r="T70" s="73">
        <f>INDEX(LUJ_2!$A:$J,MATCH('2018'!$A70,LUJ_2!$A:$A,0),MATCH('2018'!$A$1,LUJ_2!$3:$3,0))</f>
        <v>0.18661630834785978</v>
      </c>
      <c r="U70" s="73">
        <f>INDEX(LUJ_3!$A:$J,MATCH('2018'!$A70,LUJ_3!$A:$A,0),MATCH('2018'!$A$1,LUJ_3!$3:$3,0))</f>
        <v>0.45467751307379428</v>
      </c>
      <c r="V70" s="14">
        <f>INDEX(LUJ_4!$A:$J,MATCH('2018'!$A70,LUJ_4!$A:$A,0),MATCH('2018'!$A$1,LUJ_4!$3:$3,0))</f>
        <v>13</v>
      </c>
      <c r="W70" s="34">
        <f>INDEX(LUJ_5!$A:$J,MATCH('2018'!$A70,LUJ_5!$A:$A,0),MATCH('2018'!$A$1,LUJ_5!$3:$3,0))</f>
        <v>41.9</v>
      </c>
      <c r="X70" s="98">
        <f>1/INDEX(GUL_1!$A:$J,MATCH('2018'!$A70,GUL_1!$A:$A,0),MATCH('2018'!$A$1,GUL_1!$3:$3,0))</f>
        <v>1.3713658804168952E-2</v>
      </c>
      <c r="Y70" s="57" t="e">
        <f>INDEX(GUL_2!$A:$J,MATCH('2018'!$A70,GUL_2!$A:$A,0),MATCH('2018'!$A$1,GUL_2!$3:$3,0))</f>
        <v>#N/A</v>
      </c>
      <c r="Z70" s="57">
        <f>INDEX(GUL_3!$A:$J,MATCH('2018'!$A70,GUL_3!$A:$A,0),MATCH('2018'!$A$1,GUL_3!$3:$3,0))/(B70/1000)</f>
        <v>0.64267994538719719</v>
      </c>
      <c r="AA70" s="101">
        <f>INDEX(GUL_4!$A:$J,MATCH('2018'!$A70,GUL_4!$A:$A,0),MATCH('2018'!$A$1,GUL_4!$3:$3,0))/B70/C70*10^6</f>
        <v>0.47321890883718687</v>
      </c>
      <c r="AB70" s="73">
        <f>INDEX(GUL_5!$A:$J,MATCH('2018'!$A70,GUL_5!$A:$A,0),MATCH('2018'!$A$1,GUL_5!$3:$3,0))</f>
        <v>3.6079868043452257E-2</v>
      </c>
      <c r="AC70" s="49" t="e">
        <f>INDEX(GUL_6!$A:$J,MATCH('2018'!$A70,GUL_6!$A:$A,0),MATCH('2018'!$A$1,GUL_6!$3:$3,0))</f>
        <v>#N/A</v>
      </c>
      <c r="AD70" s="49" t="e">
        <f>INDEX(GUL_7!$A:$J,MATCH('2018'!$A70,GUL_7!$A:$A,0),MATCH('2018'!$A$1,GUL_7!$3:$3,0))</f>
        <v>#N/A</v>
      </c>
      <c r="AE70" s="103">
        <f>INDEX(GUL_8!$A:$J,MATCH('2018'!$A70,GUL_8!$A:$A,0),MATCH('2018'!$A$1,GUL_8!$3:$3,0))/(B70/1000)</f>
        <v>1.9200438181785471</v>
      </c>
      <c r="AF70" s="41">
        <f>INDEX(DES_1!$A:$J,MATCH('2018'!$A70,DES_1!$A:$A,0),MATCH('2018'!$A$1,DES_1!$3:$3,0))/(B70/1000)</f>
        <v>0.15792135516512776</v>
      </c>
      <c r="AG70" s="100">
        <f>INDEX(DES_2!$A:$J,MATCH('2018'!$A70,DES_2!$A:$A,0),MATCH('2018'!$A$1,DES_2!$3:$3,0))/(B70/1000)</f>
        <v>0.36781682722004438</v>
      </c>
      <c r="AH70" s="57">
        <f>1/INDEX(DES_3!$A:$J,MATCH('2018'!$A70,DES_3!$A:$A,0),MATCH('2018'!$A$1,DES_3!$3:$3,0))</f>
        <v>8.4317032040472171E-3</v>
      </c>
      <c r="AI70" s="80" t="e">
        <f>INDEX(DES_4!$A:$J,MATCH('2018'!$A70,DES_4!$A:$A,0),MATCH('2018'!$A$1,DES_4!$3:$3,0))</f>
        <v>#N/A</v>
      </c>
      <c r="AJ70" s="110" t="e">
        <f>INDEX(DES_5!$A:$J,MATCH('2018'!$A70,DES_5!$A:$A,0),MATCH('2018'!$A$1,DES_5!$3:$3,0))</f>
        <v>#N/A</v>
      </c>
      <c r="AK70" s="57">
        <v>47</v>
      </c>
    </row>
    <row r="71" spans="1:37" x14ac:dyDescent="0.3">
      <c r="A71" s="29" t="s">
        <v>70</v>
      </c>
      <c r="B71" s="33">
        <f>INDEX(Population!$A:$J,MATCH('2018'!$A71,Population!$A:$A,0),MATCH('2018'!$A$1,Population!$3:$3,0))</f>
        <v>740588</v>
      </c>
      <c r="C71" s="14">
        <f>INDEX(Income!$A:$J,MATCH('2018'!$A71,Income!$A:$A,0),MATCH('2018'!$A$1,Income!$3:$3,0))</f>
        <v>24895</v>
      </c>
      <c r="D71" s="34">
        <f>INDEX(Livable_wage!$A:$J,MATCH('2018'!$A71,Livable_wage!$A:$A,0),MATCH('2018'!$A$1,Livable_wage!$3:$3,0))</f>
        <v>10215</v>
      </c>
      <c r="E71" s="41">
        <f>INDEX(AVA_1!$A:$J,MATCH('2018'!$A71,AVA_1!$A:$A,0),MATCH('2018'!$A$1,AVA_1!$3:$3,0))</f>
        <v>0.36499999999999999</v>
      </c>
      <c r="F71" s="15">
        <f>INDEX(AVA_2!$A:$J,MATCH('2018'!$A71,AVA_2!$A:$A,0),MATCH('2018'!$A$1,AVA_2!$3:$3,0))</f>
        <v>1.1406994758091676E-2</v>
      </c>
      <c r="G71" s="15">
        <f>INDEX(AVA_3!$A:$J,MATCH('2018'!$A71,AVA_3!$A:$A,0),MATCH('2018'!$A$1,AVA_3!$3:$3,0))</f>
        <v>1.8210219718036984E-2</v>
      </c>
      <c r="H71" s="87">
        <f>INDEX(AVA_4!$A:$J,MATCH('2018'!$A71,AVA_4!$A:$A,0),MATCH('2018'!$A$1,AVA_4!$3:$3,0))/(B71/1000)</f>
        <v>0.68594144112516009</v>
      </c>
      <c r="I71" s="89">
        <f>INDEX(AVA_5!$A:$J,MATCH('2018'!$A71,AVA_5!$A:$A,0),MATCH('2018'!$A$1,AVA_5!$3:$3,0))/(B71/1000)</f>
        <v>4.4478171398942461</v>
      </c>
      <c r="J71" s="93">
        <f>INDEX(IRA_1!$A:$J,MATCH('2018'!$A71,IRA_1!$A:$A,0),MATCH('2018'!$A$1,IRA_1!$3:$3,0))/(B71/1000)</f>
        <v>5.131058024164583E-2</v>
      </c>
      <c r="K71" s="88">
        <f>INDEX(IRA_2!$A:$J,MATCH('2018'!$A71,IRA_2!$A:$A,0),MATCH('2018'!$A$1,IRA_2!$3:$3,0))/(B71/1000)</f>
        <v>0.10262116048329166</v>
      </c>
      <c r="L71" s="15">
        <f>INDEX(IRA_3!$A:$J,MATCH('2018'!$A71,IRA_3!$A:$A,0),MATCH('2018'!$A$1,IRA_3!$3:$3,0))</f>
        <v>0.40529801324503312</v>
      </c>
      <c r="M71" s="96">
        <f>INDEX(IRA_4!$A:$J,MATCH('2018'!$A71,IRA_4!$A:$A,0),MATCH('2018'!$A$1,IRA_4!$3:$3,0))/(B71/1000)</f>
        <v>4.1764111759844882</v>
      </c>
      <c r="N71" s="61">
        <f>INDEX(INV_1!$A:$J,MATCH('2018'!$A71,INV_1!$A:$A,0),MATCH('2018'!$A$1,INV_1!$3:$3,0))</f>
        <v>9.0712858552986136E-2</v>
      </c>
      <c r="O71" s="80">
        <f>INDEX(INV_2!$A:$J,MATCH('2018'!$A71,INV_2!$A:$A,0),MATCH('2018'!$A$1,INV_2!$3:$3,0))/B71*10^6/C71</f>
        <v>0.43887044220106858</v>
      </c>
      <c r="P71" s="87">
        <f>INDEX(INV_3!$A:$J,MATCH('2018'!$A71,INV_3!$A:$A,0),MATCH('2018'!$A$1,INV_3!$3:$3,0))/B71*10^6/C71</f>
        <v>3.311992432739209</v>
      </c>
      <c r="Q71" s="87">
        <f>INDEX(INV_4!$A:$J,MATCH('2018'!$A71,INV_4!$A:$A,0),MATCH('2018'!$A$1,INV_4!$3:$3,0))/B71*10^3/C71</f>
        <v>0.29486429489187865</v>
      </c>
      <c r="R71" s="34">
        <f>INDEX(INV_5!$A:$J,MATCH('2018'!$A71,INV_5!$A:$A,0),MATCH('2018'!$A$1,INV_5!$3:$3,0))</f>
        <v>5.0500000000000003E-2</v>
      </c>
      <c r="S71" s="77">
        <f>INDEX(LUJ_1!$A:$J,MATCH('2018'!$A71,LUJ_1!$A:$A,0),MATCH('2018'!$A$1,LUJ_1!$3:$3,0))</f>
        <v>0.62909654561558903</v>
      </c>
      <c r="T71" s="73">
        <f>INDEX(LUJ_2!$A:$J,MATCH('2018'!$A71,LUJ_2!$A:$A,0),MATCH('2018'!$A$1,LUJ_2!$3:$3,0))</f>
        <v>0.18509687034277195</v>
      </c>
      <c r="U71" s="73">
        <f>INDEX(LUJ_3!$A:$J,MATCH('2018'!$A71,LUJ_3!$A:$A,0),MATCH('2018'!$A$1,LUJ_3!$3:$3,0))</f>
        <v>0.50029806259314458</v>
      </c>
      <c r="V71" s="14">
        <f>INDEX(LUJ_4!$A:$J,MATCH('2018'!$A71,LUJ_4!$A:$A,0),MATCH('2018'!$A$1,LUJ_4!$3:$3,0))</f>
        <v>7</v>
      </c>
      <c r="W71" s="34">
        <f>INDEX(LUJ_5!$A:$J,MATCH('2018'!$A71,LUJ_5!$A:$A,0),MATCH('2018'!$A$1,LUJ_5!$3:$3,0))</f>
        <v>41.3</v>
      </c>
      <c r="X71" s="98">
        <f>1/INDEX(GUL_1!$A:$J,MATCH('2018'!$A71,GUL_1!$A:$A,0),MATCH('2018'!$A$1,GUL_1!$3:$3,0))</f>
        <v>1.397428731134712E-2</v>
      </c>
      <c r="Y71" s="57" t="e">
        <f>INDEX(GUL_2!$A:$J,MATCH('2018'!$A71,GUL_2!$A:$A,0),MATCH('2018'!$A$1,GUL_2!$3:$3,0))</f>
        <v>#N/A</v>
      </c>
      <c r="Z71" s="57">
        <f>INDEX(GUL_3!$A:$J,MATCH('2018'!$A71,GUL_3!$A:$A,0),MATCH('2018'!$A$1,GUL_3!$3:$3,0))/(B71/1000)</f>
        <v>0.91953960906738974</v>
      </c>
      <c r="AA71" s="101">
        <f>INDEX(GUL_4!$A:$J,MATCH('2018'!$A71,GUL_4!$A:$A,0),MATCH('2018'!$A$1,GUL_4!$3:$3,0))/B71/C71*10^6</f>
        <v>0.22114789031137105</v>
      </c>
      <c r="AB71" s="73">
        <f>INDEX(GUL_5!$A:$J,MATCH('2018'!$A71,GUL_5!$A:$A,0),MATCH('2018'!$A$1,GUL_5!$3:$3,0))</f>
        <v>2.568548199352283E-2</v>
      </c>
      <c r="AC71" s="49" t="e">
        <f>INDEX(GUL_6!$A:$J,MATCH('2018'!$A71,GUL_6!$A:$A,0),MATCH('2018'!$A$1,GUL_6!$3:$3,0))</f>
        <v>#N/A</v>
      </c>
      <c r="AD71" s="49" t="e">
        <f>INDEX(GUL_7!$A:$J,MATCH('2018'!$A71,GUL_7!$A:$A,0),MATCH('2018'!$A$1,GUL_7!$3:$3,0))</f>
        <v>#N/A</v>
      </c>
      <c r="AE71" s="103">
        <f>INDEX(GUL_8!$A:$J,MATCH('2018'!$A71,GUL_8!$A:$A,0),MATCH('2018'!$A$1,GUL_8!$3:$3,0))/(B71/1000)</f>
        <v>1.7432094497885464</v>
      </c>
      <c r="AF71" s="41">
        <f>INDEX(DES_1!$A:$J,MATCH('2018'!$A71,DES_1!$A:$A,0),MATCH('2018'!$A$1,DES_1!$3:$3,0))/(B71/1000)</f>
        <v>0.10397143891070339</v>
      </c>
      <c r="AG71" s="100">
        <f>INDEX(DES_2!$A:$J,MATCH('2018'!$A71,DES_2!$A:$A,0),MATCH('2018'!$A$1,DES_2!$3:$3,0))/(B71/1000)</f>
        <v>0.31326459515952193</v>
      </c>
      <c r="AH71" s="57">
        <f>1/INDEX(DES_3!$A:$J,MATCH('2018'!$A71,DES_3!$A:$A,0),MATCH('2018'!$A$1,DES_3!$3:$3,0))</f>
        <v>8.4961767204757861E-3</v>
      </c>
      <c r="AI71" s="80" t="e">
        <f>INDEX(DES_4!$A:$J,MATCH('2018'!$A71,DES_4!$A:$A,0),MATCH('2018'!$A$1,DES_4!$3:$3,0))</f>
        <v>#N/A</v>
      </c>
      <c r="AJ71" s="110" t="e">
        <f>INDEX(DES_5!$A:$J,MATCH('2018'!$A71,DES_5!$A:$A,0),MATCH('2018'!$A$1,DES_5!$3:$3,0))</f>
        <v>#N/A</v>
      </c>
      <c r="AK71" s="57">
        <v>51</v>
      </c>
    </row>
    <row r="72" spans="1:37" x14ac:dyDescent="0.3">
      <c r="A72" s="29" t="s">
        <v>71</v>
      </c>
      <c r="B72" s="33">
        <f>INDEX(Population!$A:$J,MATCH('2018'!$A72,Population!$A:$A,0),MATCH('2018'!$A$1,Population!$3:$3,0))</f>
        <v>565635</v>
      </c>
      <c r="C72" s="14">
        <f>INDEX(Income!$A:$J,MATCH('2018'!$A72,Income!$A:$A,0),MATCH('2018'!$A$1,Income!$3:$3,0))</f>
        <v>29150</v>
      </c>
      <c r="D72" s="34">
        <f>INDEX(Livable_wage!$A:$J,MATCH('2018'!$A72,Livable_wage!$A:$A,0),MATCH('2018'!$A$1,Livable_wage!$3:$3,0))</f>
        <v>13975</v>
      </c>
      <c r="E72" s="41">
        <f>INDEX(AVA_1!$A:$J,MATCH('2018'!$A72,AVA_1!$A:$A,0),MATCH('2018'!$A$1,AVA_1!$3:$3,0))</f>
        <v>0.34100000000000003</v>
      </c>
      <c r="F72" s="15">
        <f>INDEX(AVA_2!$A:$J,MATCH('2018'!$A72,AVA_2!$A:$A,0),MATCH('2018'!$A$1,AVA_2!$3:$3,0))</f>
        <v>1.0853417974299236E-2</v>
      </c>
      <c r="G72" s="15">
        <f>INDEX(AVA_3!$A:$J,MATCH('2018'!$A72,AVA_3!$A:$A,0),MATCH('2018'!$A$1,AVA_3!$3:$3,0))</f>
        <v>5.4164893528634381E-3</v>
      </c>
      <c r="H72" s="87">
        <f>INDEX(AVA_4!$A:$J,MATCH('2018'!$A72,AVA_4!$A:$A,0),MATCH('2018'!$A$1,AVA_4!$3:$3,0))/(B72/1000)</f>
        <v>0.82915661159581711</v>
      </c>
      <c r="I72" s="89">
        <f>INDEX(AVA_5!$A:$J,MATCH('2018'!$A72,AVA_5!$A:$A,0),MATCH('2018'!$A$1,AVA_5!$3:$3,0))/(B72/1000)</f>
        <v>8.6981887613036672</v>
      </c>
      <c r="J72" s="93">
        <f>INDEX(IRA_1!$A:$J,MATCH('2018'!$A72,IRA_1!$A:$A,0),MATCH('2018'!$A$1,IRA_1!$3:$3,0))/(B72/1000)</f>
        <v>8.3092453614079756E-2</v>
      </c>
      <c r="K72" s="88">
        <f>INDEX(IRA_2!$A:$J,MATCH('2018'!$A72,IRA_2!$A:$A,0),MATCH('2018'!$A$1,IRA_2!$3:$3,0))/(B72/1000)</f>
        <v>0.25988490811212178</v>
      </c>
      <c r="L72" s="15">
        <f>INDEX(IRA_3!$A:$J,MATCH('2018'!$A72,IRA_3!$A:$A,0),MATCH('2018'!$A$1,IRA_3!$3:$3,0))</f>
        <v>0.38980541455160744</v>
      </c>
      <c r="M72" s="96">
        <f>INDEX(IRA_4!$A:$J,MATCH('2018'!$A72,IRA_4!$A:$A,0),MATCH('2018'!$A$1,IRA_4!$3:$3,0))/(B72/1000)</f>
        <v>7.5013038443519235</v>
      </c>
      <c r="N72" s="61">
        <f>INDEX(INV_1!$A:$J,MATCH('2018'!$A72,INV_1!$A:$A,0),MATCH('2018'!$A$1,INV_1!$3:$3,0))</f>
        <v>6.084300214362013E-2</v>
      </c>
      <c r="O72" s="80">
        <f>INDEX(INV_2!$A:$J,MATCH('2018'!$A72,INV_2!$A:$A,0),MATCH('2018'!$A$1,INV_2!$3:$3,0))/B72*10^6/C72</f>
        <v>0.36063561799978261</v>
      </c>
      <c r="P72" s="87">
        <f>INDEX(INV_3!$A:$J,MATCH('2018'!$A72,INV_3!$A:$A,0),MATCH('2018'!$A$1,INV_3!$3:$3,0))/B72*10^6/C72</f>
        <v>4.2175462386942852</v>
      </c>
      <c r="Q72" s="87">
        <f>INDEX(INV_4!$A:$J,MATCH('2018'!$A72,INV_4!$A:$A,0),MATCH('2018'!$A$1,INV_4!$3:$3,0))/B72*10^3/C72</f>
        <v>0.34968247787088391</v>
      </c>
      <c r="R72" s="34">
        <f>INDEX(INV_5!$A:$J,MATCH('2018'!$A72,INV_5!$A:$A,0),MATCH('2018'!$A$1,INV_5!$3:$3,0))</f>
        <v>8.6599999999999996E-2</v>
      </c>
      <c r="S72" s="77">
        <f>INDEX(LUJ_1!$A:$J,MATCH('2018'!$A72,LUJ_1!$A:$A,0),MATCH('2018'!$A$1,LUJ_1!$3:$3,0))</f>
        <v>0.62623448974423901</v>
      </c>
      <c r="T72" s="73">
        <f>INDEX(LUJ_2!$A:$J,MATCH('2018'!$A72,LUJ_2!$A:$A,0),MATCH('2018'!$A$1,LUJ_2!$3:$3,0))</f>
        <v>0.22082644628099174</v>
      </c>
      <c r="U72" s="73">
        <f>INDEX(LUJ_3!$A:$J,MATCH('2018'!$A72,LUJ_3!$A:$A,0),MATCH('2018'!$A$1,LUJ_3!$3:$3,0))</f>
        <v>0.56710743801652896</v>
      </c>
      <c r="V72" s="14">
        <f>INDEX(LUJ_4!$A:$J,MATCH('2018'!$A72,LUJ_4!$A:$A,0),MATCH('2018'!$A$1,LUJ_4!$3:$3,0))</f>
        <v>10</v>
      </c>
      <c r="W72" s="34">
        <f>INDEX(LUJ_5!$A:$J,MATCH('2018'!$A72,LUJ_5!$A:$A,0),MATCH('2018'!$A$1,LUJ_5!$3:$3,0))</f>
        <v>53</v>
      </c>
      <c r="X72" s="98">
        <f>1/INDEX(GUL_1!$A:$J,MATCH('2018'!$A72,GUL_1!$A:$A,0),MATCH('2018'!$A$1,GUL_1!$3:$3,0))</f>
        <v>1.4172335600907028E-2</v>
      </c>
      <c r="Y72" s="57" t="e">
        <f>INDEX(GUL_2!$A:$J,MATCH('2018'!$A72,GUL_2!$A:$A,0),MATCH('2018'!$A$1,GUL_2!$3:$3,0))</f>
        <v>#N/A</v>
      </c>
      <c r="Z72" s="57">
        <f>INDEX(GUL_3!$A:$J,MATCH('2018'!$A72,GUL_3!$A:$A,0),MATCH('2018'!$A$1,GUL_3!$3:$3,0))/(B72/1000)</f>
        <v>0.76727925252150242</v>
      </c>
      <c r="AA72" s="101">
        <f>INDEX(GUL_4!$A:$J,MATCH('2018'!$A72,GUL_4!$A:$A,0),MATCH('2018'!$A$1,GUL_4!$3:$3,0))/B72/C72*10^6</f>
        <v>0.30136533052357661</v>
      </c>
      <c r="AB72" s="73">
        <f>INDEX(GUL_5!$A:$J,MATCH('2018'!$A72,GUL_5!$A:$A,0),MATCH('2018'!$A$1,GUL_5!$3:$3,0))</f>
        <v>3.3077790348950122E-2</v>
      </c>
      <c r="AC72" s="49" t="e">
        <f>INDEX(GUL_6!$A:$J,MATCH('2018'!$A72,GUL_6!$A:$A,0),MATCH('2018'!$A$1,GUL_6!$3:$3,0))</f>
        <v>#N/A</v>
      </c>
      <c r="AD72" s="49" t="e">
        <f>INDEX(GUL_7!$A:$J,MATCH('2018'!$A72,GUL_7!$A:$A,0),MATCH('2018'!$A$1,GUL_7!$3:$3,0))</f>
        <v>#N/A</v>
      </c>
      <c r="AE72" s="103">
        <f>INDEX(GUL_8!$A:$J,MATCH('2018'!$A72,GUL_8!$A:$A,0),MATCH('2018'!$A$1,GUL_8!$3:$3,0))/(B72/1000)</f>
        <v>3.6419245626596659</v>
      </c>
      <c r="AF72" s="41">
        <f>INDEX(DES_1!$A:$J,MATCH('2018'!$A72,DES_1!$A:$A,0),MATCH('2018'!$A$1,DES_1!$3:$3,0))/(B72/1000)</f>
        <v>0.15557735995827698</v>
      </c>
      <c r="AG72" s="100">
        <f>INDEX(DES_2!$A:$J,MATCH('2018'!$A72,DES_2!$A:$A,0),MATCH('2018'!$A$1,DES_2!$3:$3,0))/(B72/1000)</f>
        <v>0.42253396625032047</v>
      </c>
      <c r="AH72" s="57">
        <f>1/INDEX(DES_3!$A:$J,MATCH('2018'!$A72,DES_3!$A:$A,0),MATCH('2018'!$A$1,DES_3!$3:$3,0))</f>
        <v>8.3056478405315604E-3</v>
      </c>
      <c r="AI72" s="80" t="e">
        <f>INDEX(DES_4!$A:$J,MATCH('2018'!$A72,DES_4!$A:$A,0),MATCH('2018'!$A$1,DES_4!$3:$3,0))</f>
        <v>#N/A</v>
      </c>
      <c r="AJ72" s="110" t="e">
        <f>INDEX(DES_5!$A:$J,MATCH('2018'!$A72,DES_5!$A:$A,0),MATCH('2018'!$A$1,DES_5!$3:$3,0))</f>
        <v>#N/A</v>
      </c>
      <c r="AK72" s="57">
        <v>83</v>
      </c>
    </row>
    <row r="73" spans="1:37" x14ac:dyDescent="0.3">
      <c r="A73" s="29" t="s">
        <v>72</v>
      </c>
      <c r="B73" s="33">
        <f>INDEX(Population!$A:$J,MATCH('2018'!$A73,Population!$A:$A,0),MATCH('2018'!$A$1,Population!$3:$3,0))</f>
        <v>2405290</v>
      </c>
      <c r="C73" s="14">
        <f>INDEX(Income!$A:$J,MATCH('2018'!$A73,Income!$A:$A,0),MATCH('2018'!$A$1,Income!$3:$3,0))</f>
        <v>24500</v>
      </c>
      <c r="D73" s="34">
        <f>INDEX(Livable_wage!$A:$J,MATCH('2018'!$A73,Livable_wage!$A:$A,0),MATCH('2018'!$A$1,Livable_wage!$3:$3,0))</f>
        <v>11327</v>
      </c>
      <c r="E73" s="41">
        <f>INDEX(AVA_1!$A:$J,MATCH('2018'!$A73,AVA_1!$A:$A,0),MATCH('2018'!$A$1,AVA_1!$3:$3,0))</f>
        <v>0.36699999999999999</v>
      </c>
      <c r="F73" s="15">
        <f>INDEX(AVA_2!$A:$J,MATCH('2018'!$A73,AVA_2!$A:$A,0),MATCH('2018'!$A$1,AVA_2!$3:$3,0))</f>
        <v>9.8916386856845052E-3</v>
      </c>
      <c r="G73" s="15">
        <f>INDEX(AVA_3!$A:$J,MATCH('2018'!$A73,AVA_3!$A:$A,0),MATCH('2018'!$A$1,AVA_3!$3:$3,0))</f>
        <v>1.8581224115091732E-2</v>
      </c>
      <c r="H73" s="87">
        <f>INDEX(AVA_4!$A:$J,MATCH('2018'!$A73,AVA_4!$A:$A,0),MATCH('2018'!$A$1,AVA_4!$3:$3,0))/(B73/1000)</f>
        <v>0.83274781835038603</v>
      </c>
      <c r="I73" s="89">
        <f>INDEX(AVA_5!$A:$J,MATCH('2018'!$A73,AVA_5!$A:$A,0),MATCH('2018'!$A$1,AVA_5!$3:$3,0))/(B73/1000)</f>
        <v>7.4078385558498141</v>
      </c>
      <c r="J73" s="93">
        <f>INDEX(IRA_1!$A:$J,MATCH('2018'!$A73,IRA_1!$A:$A,0),MATCH('2018'!$A$1,IRA_1!$3:$3,0))/(B73/1000)</f>
        <v>0.11557857888238009</v>
      </c>
      <c r="K73" s="88">
        <f>INDEX(IRA_2!$A:$J,MATCH('2018'!$A73,IRA_2!$A:$A,0),MATCH('2018'!$A$1,IRA_2!$3:$3,0))/(B73/1000)</f>
        <v>0.36128699657837515</v>
      </c>
      <c r="L73" s="15">
        <f>INDEX(IRA_3!$A:$J,MATCH('2018'!$A73,IRA_3!$A:$A,0),MATCH('2018'!$A$1,IRA_3!$3:$3,0))</f>
        <v>0.38465743440233235</v>
      </c>
      <c r="M73" s="96">
        <f>INDEX(IRA_4!$A:$J,MATCH('2018'!$A73,IRA_4!$A:$A,0),MATCH('2018'!$A$1,IRA_4!$3:$3,0))/(B73/1000)</f>
        <v>6.8469914230716462</v>
      </c>
      <c r="N73" s="61">
        <f>INDEX(INV_1!$A:$J,MATCH('2018'!$A73,INV_1!$A:$A,0),MATCH('2018'!$A$1,INV_1!$3:$3,0))</f>
        <v>0.10432506809297212</v>
      </c>
      <c r="O73" s="80">
        <f>INDEX(INV_2!$A:$J,MATCH('2018'!$A73,INV_2!$A:$A,0),MATCH('2018'!$A$1,INV_2!$3:$3,0))/B73*10^6/C73</f>
        <v>0.29778129941648179</v>
      </c>
      <c r="P73" s="87">
        <f>INDEX(INV_3!$A:$J,MATCH('2018'!$A73,INV_3!$A:$A,0),MATCH('2018'!$A$1,INV_3!$3:$3,0))/B73*10^6/C73</f>
        <v>4.6131312096865402</v>
      </c>
      <c r="Q73" s="87">
        <f>INDEX(INV_4!$A:$J,MATCH('2018'!$A73,INV_4!$A:$A,0),MATCH('2018'!$A$1,INV_4!$3:$3,0))/B73*10^3/C73</f>
        <v>0.30465780128680653</v>
      </c>
      <c r="R73" s="34">
        <f>INDEX(INV_5!$A:$J,MATCH('2018'!$A73,INV_5!$A:$A,0),MATCH('2018'!$A$1,INV_5!$3:$3,0))</f>
        <v>0.12540000000000001</v>
      </c>
      <c r="S73" s="77">
        <f>INDEX(LUJ_1!$A:$J,MATCH('2018'!$A73,LUJ_1!$A:$A,0),MATCH('2018'!$A$1,LUJ_1!$3:$3,0))</f>
        <v>0.64688653271630248</v>
      </c>
      <c r="T73" s="73">
        <f>INDEX(LUJ_2!$A:$J,MATCH('2018'!$A73,LUJ_2!$A:$A,0),MATCH('2018'!$A$1,LUJ_2!$3:$3,0))</f>
        <v>0.30427594255519175</v>
      </c>
      <c r="U73" s="73">
        <f>INDEX(LUJ_3!$A:$J,MATCH('2018'!$A73,LUJ_3!$A:$A,0),MATCH('2018'!$A$1,LUJ_3!$3:$3,0))</f>
        <v>0.56323161514300091</v>
      </c>
      <c r="V73" s="14">
        <f>INDEX(LUJ_4!$A:$J,MATCH('2018'!$A73,LUJ_4!$A:$A,0),MATCH('2018'!$A$1,LUJ_4!$3:$3,0))</f>
        <v>48</v>
      </c>
      <c r="W73" s="34">
        <f>INDEX(LUJ_5!$A:$J,MATCH('2018'!$A73,LUJ_5!$A:$A,0),MATCH('2018'!$A$1,LUJ_5!$3:$3,0))</f>
        <v>200.9</v>
      </c>
      <c r="X73" s="98">
        <f>1/INDEX(GUL_1!$A:$J,MATCH('2018'!$A73,GUL_1!$A:$A,0),MATCH('2018'!$A$1,GUL_1!$3:$3,0))</f>
        <v>1.4427932477276006E-2</v>
      </c>
      <c r="Y73" s="57" t="e">
        <f>INDEX(GUL_2!$A:$J,MATCH('2018'!$A73,GUL_2!$A:$A,0),MATCH('2018'!$A$1,GUL_2!$3:$3,0))</f>
        <v>#N/A</v>
      </c>
      <c r="Z73" s="57">
        <f>INDEX(GUL_3!$A:$J,MATCH('2018'!$A73,GUL_3!$A:$A,0),MATCH('2018'!$A$1,GUL_3!$3:$3,0))/(B73/1000)</f>
        <v>0.5625101339131664</v>
      </c>
      <c r="AA73" s="101">
        <f>INDEX(GUL_4!$A:$J,MATCH('2018'!$A73,GUL_4!$A:$A,0),MATCH('2018'!$A$1,GUL_4!$3:$3,0))/B73/C73*10^6</f>
        <v>0.26487348761288998</v>
      </c>
      <c r="AB73" s="73">
        <f>INDEX(GUL_5!$A:$J,MATCH('2018'!$A73,GUL_5!$A:$A,0),MATCH('2018'!$A$1,GUL_5!$3:$3,0))</f>
        <v>2.9822390088379502E-2</v>
      </c>
      <c r="AC73" s="49" t="e">
        <f>INDEX(GUL_6!$A:$J,MATCH('2018'!$A73,GUL_6!$A:$A,0),MATCH('2018'!$A$1,GUL_6!$3:$3,0))</f>
        <v>#N/A</v>
      </c>
      <c r="AD73" s="49" t="e">
        <f>INDEX(GUL_7!$A:$J,MATCH('2018'!$A73,GUL_7!$A:$A,0),MATCH('2018'!$A$1,GUL_7!$3:$3,0))</f>
        <v>#N/A</v>
      </c>
      <c r="AE73" s="103">
        <f>INDEX(GUL_8!$A:$J,MATCH('2018'!$A73,GUL_8!$A:$A,0),MATCH('2018'!$A$1,GUL_8!$3:$3,0))/(B73/1000)</f>
        <v>4.0065854844945932</v>
      </c>
      <c r="AF73" s="41">
        <f>INDEX(DES_1!$A:$J,MATCH('2018'!$A73,DES_1!$A:$A,0),MATCH('2018'!$A$1,DES_1!$3:$3,0))/(B73/1000)</f>
        <v>0.19581838364604684</v>
      </c>
      <c r="AG73" s="100">
        <f>INDEX(DES_2!$A:$J,MATCH('2018'!$A73,DES_2!$A:$A,0),MATCH('2018'!$A$1,DES_2!$3:$3,0))/(B73/1000)</f>
        <v>0.6897297207405344</v>
      </c>
      <c r="AH73" s="57">
        <f>1/INDEX(DES_3!$A:$J,MATCH('2018'!$A73,DES_3!$A:$A,0),MATCH('2018'!$A$1,DES_3!$3:$3,0))</f>
        <v>7.7101002313030072E-3</v>
      </c>
      <c r="AI73" s="80" t="e">
        <f>INDEX(DES_4!$A:$J,MATCH('2018'!$A73,DES_4!$A:$A,0),MATCH('2018'!$A$1,DES_4!$3:$3,0))</f>
        <v>#N/A</v>
      </c>
      <c r="AJ73" s="110" t="e">
        <f>INDEX(DES_5!$A:$J,MATCH('2018'!$A73,DES_5!$A:$A,0),MATCH('2018'!$A$1,DES_5!$3:$3,0))</f>
        <v>#N/A</v>
      </c>
      <c r="AK73" s="57">
        <v>82</v>
      </c>
    </row>
    <row r="74" spans="1:37" x14ac:dyDescent="0.3">
      <c r="A74" s="29" t="s">
        <v>73</v>
      </c>
      <c r="B74" s="33">
        <f>INDEX(Population!$A:$J,MATCH('2018'!$A74,Population!$A:$A,0),MATCH('2018'!$A$1,Population!$3:$3,0))</f>
        <v>789657</v>
      </c>
      <c r="C74" s="14">
        <f>INDEX(Income!$A:$J,MATCH('2018'!$A74,Income!$A:$A,0),MATCH('2018'!$A$1,Income!$3:$3,0))</f>
        <v>30937</v>
      </c>
      <c r="D74" s="34">
        <f>INDEX(Livable_wage!$A:$J,MATCH('2018'!$A74,Livable_wage!$A:$A,0),MATCH('2018'!$A$1,Livable_wage!$3:$3,0))</f>
        <v>11894</v>
      </c>
      <c r="E74" s="41">
        <f>INDEX(AVA_1!$A:$J,MATCH('2018'!$A74,AVA_1!$A:$A,0),MATCH('2018'!$A$1,AVA_1!$3:$3,0))</f>
        <v>0.39900000000000002</v>
      </c>
      <c r="F74" s="15">
        <f>INDEX(AVA_2!$A:$J,MATCH('2018'!$A74,AVA_2!$A:$A,0),MATCH('2018'!$A$1,AVA_2!$3:$3,0))</f>
        <v>1.451655982905983E-2</v>
      </c>
      <c r="G74" s="15">
        <f>INDEX(AVA_3!$A:$J,MATCH('2018'!$A74,AVA_3!$A:$A,0),MATCH('2018'!$A$1,AVA_3!$3:$3,0))</f>
        <v>7.6585093139961121E-3</v>
      </c>
      <c r="H74" s="87">
        <f>INDEX(AVA_4!$A:$J,MATCH('2018'!$A74,AVA_4!$A:$A,0),MATCH('2018'!$A$1,AVA_4!$3:$3,0))/(B74/1000)</f>
        <v>0.56733493149557335</v>
      </c>
      <c r="I74" s="89">
        <f>INDEX(AVA_5!$A:$J,MATCH('2018'!$A74,AVA_5!$A:$A,0),MATCH('2018'!$A$1,AVA_5!$3:$3,0))/(B74/1000)</f>
        <v>9.1571403786707393</v>
      </c>
      <c r="J74" s="93">
        <f>INDEX(IRA_1!$A:$J,MATCH('2018'!$A74,IRA_1!$A:$A,0),MATCH('2018'!$A$1,IRA_1!$3:$3,0))/(B74/1000)</f>
        <v>0.14943196856356619</v>
      </c>
      <c r="K74" s="88">
        <f>INDEX(IRA_2!$A:$J,MATCH('2018'!$A74,IRA_2!$A:$A,0),MATCH('2018'!$A$1,IRA_2!$3:$3,0))/(B74/1000)</f>
        <v>0.34445335126516952</v>
      </c>
      <c r="L74" s="15">
        <f>INDEX(IRA_3!$A:$J,MATCH('2018'!$A74,IRA_3!$A:$A,0),MATCH('2018'!$A$1,IRA_3!$3:$3,0))</f>
        <v>0.31669971359330251</v>
      </c>
      <c r="M74" s="96">
        <f>INDEX(IRA_4!$A:$J,MATCH('2018'!$A74,IRA_4!$A:$A,0),MATCH('2018'!$A$1,IRA_4!$3:$3,0))/(B74/1000)</f>
        <v>8.3327318063412346</v>
      </c>
      <c r="N74" s="61">
        <f>INDEX(INV_1!$A:$J,MATCH('2018'!$A74,INV_1!$A:$A,0),MATCH('2018'!$A$1,INV_1!$3:$3,0))</f>
        <v>9.014199694498426E-2</v>
      </c>
      <c r="O74" s="80">
        <f>INDEX(INV_2!$A:$J,MATCH('2018'!$A74,INV_2!$A:$A,0),MATCH('2018'!$A$1,INV_2!$3:$3,0))/B74*10^6/C74</f>
        <v>0.3658021142707395</v>
      </c>
      <c r="P74" s="87">
        <f>INDEX(INV_3!$A:$J,MATCH('2018'!$A74,INV_3!$A:$A,0),MATCH('2018'!$A$1,INV_3!$3:$3,0))/B74*10^6/C74</f>
        <v>3.5251471330081947</v>
      </c>
      <c r="Q74" s="87">
        <f>INDEX(INV_4!$A:$J,MATCH('2018'!$A74,INV_4!$A:$A,0),MATCH('2018'!$A$1,INV_4!$3:$3,0))/B74*10^3/C74</f>
        <v>0.29488944568893088</v>
      </c>
      <c r="R74" s="34">
        <f>INDEX(INV_5!$A:$J,MATCH('2018'!$A74,INV_5!$A:$A,0),MATCH('2018'!$A$1,INV_5!$3:$3,0))</f>
        <v>0.1056</v>
      </c>
      <c r="S74" s="77">
        <f>INDEX(LUJ_1!$A:$J,MATCH('2018'!$A74,LUJ_1!$A:$A,0),MATCH('2018'!$A$1,LUJ_1!$3:$3,0))</f>
        <v>0.71326601671309198</v>
      </c>
      <c r="T74" s="73">
        <f>INDEX(LUJ_2!$A:$J,MATCH('2018'!$A74,LUJ_2!$A:$A,0),MATCH('2018'!$A$1,LUJ_2!$3:$3,0))</f>
        <v>0.30730821606899683</v>
      </c>
      <c r="U74" s="73">
        <f>INDEX(LUJ_3!$A:$J,MATCH('2018'!$A74,LUJ_3!$A:$A,0),MATCH('2018'!$A$1,LUJ_3!$3:$3,0))</f>
        <v>0.58443032228778935</v>
      </c>
      <c r="V74" s="14">
        <f>INDEX(LUJ_4!$A:$J,MATCH('2018'!$A74,LUJ_4!$A:$A,0),MATCH('2018'!$A$1,LUJ_4!$3:$3,0))</f>
        <v>15</v>
      </c>
      <c r="W74" s="34">
        <f>INDEX(LUJ_5!$A:$J,MATCH('2018'!$A74,LUJ_5!$A:$A,0),MATCH('2018'!$A$1,LUJ_5!$3:$3,0))</f>
        <v>15.1</v>
      </c>
      <c r="X74" s="98">
        <f>1/INDEX(GUL_1!$A:$J,MATCH('2018'!$A74,GUL_1!$A:$A,0),MATCH('2018'!$A$1,GUL_1!$3:$3,0))</f>
        <v>1.4469686007813631E-2</v>
      </c>
      <c r="Y74" s="57" t="e">
        <f>INDEX(GUL_2!$A:$J,MATCH('2018'!$A74,GUL_2!$A:$A,0),MATCH('2018'!$A$1,GUL_2!$3:$3,0))</f>
        <v>#N/A</v>
      </c>
      <c r="Z74" s="57">
        <f>INDEX(GUL_3!$A:$J,MATCH('2018'!$A74,GUL_3!$A:$A,0),MATCH('2018'!$A$1,GUL_3!$3:$3,0))/(B74/1000)</f>
        <v>0.84087141632379625</v>
      </c>
      <c r="AA74" s="101">
        <f>INDEX(GUL_4!$A:$J,MATCH('2018'!$A74,GUL_4!$A:$A,0),MATCH('2018'!$A$1,GUL_4!$3:$3,0))/B74/C74*10^6</f>
        <v>0.25280378293440758</v>
      </c>
      <c r="AB74" s="73">
        <f>INDEX(GUL_5!$A:$J,MATCH('2018'!$A74,GUL_5!$A:$A,0),MATCH('2018'!$A$1,GUL_5!$3:$3,0))</f>
        <v>2.860263260852984E-2</v>
      </c>
      <c r="AC74" s="49" t="e">
        <f>INDEX(GUL_6!$A:$J,MATCH('2018'!$A74,GUL_6!$A:$A,0),MATCH('2018'!$A$1,GUL_6!$3:$3,0))</f>
        <v>#N/A</v>
      </c>
      <c r="AD74" s="49" t="e">
        <f>INDEX(GUL_7!$A:$J,MATCH('2018'!$A74,GUL_7!$A:$A,0),MATCH('2018'!$A$1,GUL_7!$3:$3,0))</f>
        <v>#N/A</v>
      </c>
      <c r="AE74" s="103">
        <f>INDEX(GUL_8!$A:$J,MATCH('2018'!$A74,GUL_8!$A:$A,0),MATCH('2018'!$A$1,GUL_8!$3:$3,0))/(B74/1000)</f>
        <v>4.7185043632868444</v>
      </c>
      <c r="AF74" s="41">
        <f>INDEX(DES_1!$A:$J,MATCH('2018'!$A74,DES_1!$A:$A,0),MATCH('2018'!$A$1,DES_1!$3:$3,0))/(B74/1000)</f>
        <v>0.33305599773066025</v>
      </c>
      <c r="AG74" s="100">
        <f>INDEX(DES_2!$A:$J,MATCH('2018'!$A74,DES_2!$A:$A,0),MATCH('2018'!$A$1,DES_2!$3:$3,0))/(B74/1000)</f>
        <v>1.9058907854929419</v>
      </c>
      <c r="AH74" s="57">
        <f>1/INDEX(DES_3!$A:$J,MATCH('2018'!$A74,DES_3!$A:$A,0),MATCH('2018'!$A$1,DES_3!$3:$3,0))</f>
        <v>1.040582726326743E-2</v>
      </c>
      <c r="AI74" s="80" t="e">
        <f>INDEX(DES_4!$A:$J,MATCH('2018'!$A74,DES_4!$A:$A,0),MATCH('2018'!$A$1,DES_4!$3:$3,0))</f>
        <v>#N/A</v>
      </c>
      <c r="AJ74" s="110" t="e">
        <f>INDEX(DES_5!$A:$J,MATCH('2018'!$A74,DES_5!$A:$A,0),MATCH('2018'!$A$1,DES_5!$3:$3,0))</f>
        <v>#N/A</v>
      </c>
      <c r="AK74" s="57">
        <v>81</v>
      </c>
    </row>
    <row r="75" spans="1:37" x14ac:dyDescent="0.3">
      <c r="A75" s="29" t="s">
        <v>74</v>
      </c>
      <c r="B75" s="33">
        <f>INDEX(Population!$A:$J,MATCH('2018'!$A75,Population!$A:$A,0),MATCH('2018'!$A$1,Population!$3:$3,0))</f>
        <v>157877</v>
      </c>
      <c r="C75" s="14">
        <f>INDEX(Income!$A:$J,MATCH('2018'!$A75,Income!$A:$A,0),MATCH('2018'!$A$1,Income!$3:$3,0))</f>
        <v>24696</v>
      </c>
      <c r="D75" s="34">
        <f>INDEX(Livable_wage!$A:$J,MATCH('2018'!$A75,Livable_wage!$A:$A,0),MATCH('2018'!$A$1,Livable_wage!$3:$3,0))</f>
        <v>13844</v>
      </c>
      <c r="E75" s="41">
        <f>INDEX(AVA_1!$A:$J,MATCH('2018'!$A75,AVA_1!$A:$A,0),MATCH('2018'!$A$1,AVA_1!$3:$3,0))</f>
        <v>0.34899999999999998</v>
      </c>
      <c r="F75" s="15">
        <f>INDEX(AVA_2!$A:$J,MATCH('2018'!$A75,AVA_2!$A:$A,0),MATCH('2018'!$A$1,AVA_2!$3:$3,0))</f>
        <v>9.2378988628707918E-3</v>
      </c>
      <c r="G75" s="15">
        <f>INDEX(AVA_3!$A:$J,MATCH('2018'!$A75,AVA_3!$A:$A,0),MATCH('2018'!$A$1,AVA_3!$3:$3,0))</f>
        <v>1.1861096150179258E-2</v>
      </c>
      <c r="H75" s="87">
        <f>INDEX(AVA_4!$A:$J,MATCH('2018'!$A75,AVA_4!$A:$A,0),MATCH('2018'!$A$1,AVA_4!$3:$3,0))/(B75/1000)</f>
        <v>0.60806830633974551</v>
      </c>
      <c r="I75" s="89">
        <f>INDEX(AVA_5!$A:$J,MATCH('2018'!$A75,AVA_5!$A:$A,0),MATCH('2018'!$A$1,AVA_5!$3:$3,0))/(B75/1000)</f>
        <v>9.4377268379814652</v>
      </c>
      <c r="J75" s="93">
        <f>INDEX(IRA_1!$A:$J,MATCH('2018'!$A75,IRA_1!$A:$A,0),MATCH('2018'!$A$1,IRA_1!$3:$3,0))/(B75/1000)</f>
        <v>0.17101921115805341</v>
      </c>
      <c r="K75" s="88">
        <f>INDEX(IRA_2!$A:$J,MATCH('2018'!$A75,IRA_2!$A:$A,0),MATCH('2018'!$A$1,IRA_2!$3:$3,0))/(B75/1000)</f>
        <v>0.36737460174692954</v>
      </c>
      <c r="L75" s="15">
        <f>INDEX(IRA_3!$A:$J,MATCH('2018'!$A75,IRA_3!$A:$A,0),MATCH('2018'!$A$1,IRA_3!$3:$3,0))</f>
        <v>0.40892857142857142</v>
      </c>
      <c r="M75" s="96">
        <f>INDEX(IRA_4!$A:$J,MATCH('2018'!$A75,IRA_4!$A:$A,0),MATCH('2018'!$A$1,IRA_4!$3:$3,0))/(B75/1000)</f>
        <v>8.5572946027603756</v>
      </c>
      <c r="N75" s="61">
        <f>INDEX(INV_1!$A:$J,MATCH('2018'!$A75,INV_1!$A:$A,0),MATCH('2018'!$A$1,INV_1!$3:$3,0))</f>
        <v>0.10268610885608781</v>
      </c>
      <c r="O75" s="80">
        <f>INDEX(INV_2!$A:$J,MATCH('2018'!$A75,INV_2!$A:$A,0),MATCH('2018'!$A$1,INV_2!$3:$3,0))/B75*10^6/C75</f>
        <v>0.24067329668808307</v>
      </c>
      <c r="P75" s="87">
        <f>INDEX(INV_3!$A:$J,MATCH('2018'!$A75,INV_3!$A:$A,0),MATCH('2018'!$A$1,INV_3!$3:$3,0))/B75*10^6/C75</f>
        <v>3.5948320669583271</v>
      </c>
      <c r="Q75" s="87">
        <f>INDEX(INV_4!$A:$J,MATCH('2018'!$A75,INV_4!$A:$A,0),MATCH('2018'!$A$1,INV_4!$3:$3,0))/B75*10^3/C75</f>
        <v>0.26173560371682575</v>
      </c>
      <c r="R75" s="34">
        <f>INDEX(INV_5!$A:$J,MATCH('2018'!$A75,INV_5!$A:$A,0),MATCH('2018'!$A$1,INV_5!$3:$3,0))</f>
        <v>6.4199999999999993E-2</v>
      </c>
      <c r="S75" s="77">
        <f>INDEX(LUJ_1!$A:$J,MATCH('2018'!$A75,LUJ_1!$A:$A,0),MATCH('2018'!$A$1,LUJ_1!$3:$3,0))</f>
        <v>0.8004158004158004</v>
      </c>
      <c r="T75" s="73">
        <f>INDEX(LUJ_2!$A:$J,MATCH('2018'!$A75,LUJ_2!$A:$A,0),MATCH('2018'!$A$1,LUJ_2!$3:$3,0))</f>
        <v>0.33830580713905162</v>
      </c>
      <c r="U75" s="73">
        <f>INDEX(LUJ_3!$A:$J,MATCH('2018'!$A75,LUJ_3!$A:$A,0),MATCH('2018'!$A$1,LUJ_3!$3:$3,0))</f>
        <v>0.75759190197123072</v>
      </c>
      <c r="V75" s="14">
        <f>INDEX(LUJ_4!$A:$J,MATCH('2018'!$A75,LUJ_4!$A:$A,0),MATCH('2018'!$A$1,LUJ_4!$3:$3,0))</f>
        <v>5</v>
      </c>
      <c r="W75" s="34">
        <f>INDEX(LUJ_5!$A:$J,MATCH('2018'!$A75,LUJ_5!$A:$A,0),MATCH('2018'!$A$1,LUJ_5!$3:$3,0))</f>
        <v>18.600000000000001</v>
      </c>
      <c r="X75" s="98">
        <f>1/INDEX(GUL_1!$A:$J,MATCH('2018'!$A75,GUL_1!$A:$A,0),MATCH('2018'!$A$1,GUL_1!$3:$3,0))</f>
        <v>1.457725947521866E-2</v>
      </c>
      <c r="Y75" s="57" t="e">
        <f>INDEX(GUL_2!$A:$J,MATCH('2018'!$A75,GUL_2!$A:$A,0),MATCH('2018'!$A$1,GUL_2!$3:$3,0))</f>
        <v>#N/A</v>
      </c>
      <c r="Z75" s="57">
        <f>INDEX(GUL_3!$A:$J,MATCH('2018'!$A75,GUL_3!$A:$A,0),MATCH('2018'!$A$1,GUL_3!$3:$3,0))/(B75/1000)</f>
        <v>0.74108324835156481</v>
      </c>
      <c r="AA75" s="101">
        <f>INDEX(GUL_4!$A:$J,MATCH('2018'!$A75,GUL_4!$A:$A,0),MATCH('2018'!$A$1,GUL_4!$3:$3,0))/B75/C75*10^6</f>
        <v>0.2230073154894118</v>
      </c>
      <c r="AB75" s="73">
        <f>INDEX(GUL_5!$A:$J,MATCH('2018'!$A75,GUL_5!$A:$A,0),MATCH('2018'!$A$1,GUL_5!$3:$3,0))</f>
        <v>6.0486439244316015E-2</v>
      </c>
      <c r="AC75" s="49" t="e">
        <f>INDEX(GUL_6!$A:$J,MATCH('2018'!$A75,GUL_6!$A:$A,0),MATCH('2018'!$A$1,GUL_6!$3:$3,0))</f>
        <v>#N/A</v>
      </c>
      <c r="AD75" s="49" t="e">
        <f>INDEX(GUL_7!$A:$J,MATCH('2018'!$A75,GUL_7!$A:$A,0),MATCH('2018'!$A$1,GUL_7!$3:$3,0))</f>
        <v>#N/A</v>
      </c>
      <c r="AE75" s="103">
        <f>INDEX(GUL_8!$A:$J,MATCH('2018'!$A75,GUL_8!$A:$A,0),MATCH('2018'!$A$1,GUL_8!$3:$3,0))/(B75/1000)</f>
        <v>3.4077161334456569</v>
      </c>
      <c r="AF75" s="41">
        <f>INDEX(DES_1!$A:$J,MATCH('2018'!$A75,DES_1!$A:$A,0),MATCH('2018'!$A$1,DES_1!$3:$3,0))/(B75/1000)</f>
        <v>0.33570437745840115</v>
      </c>
      <c r="AG75" s="100">
        <f>INDEX(DES_2!$A:$J,MATCH('2018'!$A75,DES_2!$A:$A,0),MATCH('2018'!$A$1,DES_2!$3:$3,0))/(B75/1000)</f>
        <v>2.4069370459281592</v>
      </c>
      <c r="AH75" s="57">
        <f>1/INDEX(DES_3!$A:$J,MATCH('2018'!$A75,DES_3!$A:$A,0),MATCH('2018'!$A$1,DES_3!$3:$3,0))</f>
        <v>9.8911968348170138E-3</v>
      </c>
      <c r="AI75" s="80" t="e">
        <f>INDEX(DES_4!$A:$J,MATCH('2018'!$A75,DES_4!$A:$A,0),MATCH('2018'!$A$1,DES_4!$3:$3,0))</f>
        <v>#N/A</v>
      </c>
      <c r="AJ75" s="110" t="e">
        <f>INDEX(DES_5!$A:$J,MATCH('2018'!$A75,DES_5!$A:$A,0),MATCH('2018'!$A$1,DES_5!$3:$3,0))</f>
        <v>#N/A</v>
      </c>
      <c r="AK75" s="57">
        <v>80</v>
      </c>
    </row>
    <row r="76" spans="1:37" x14ac:dyDescent="0.3">
      <c r="A76" s="29" t="s">
        <v>75</v>
      </c>
      <c r="B76" s="33">
        <f>INDEX(Population!$A:$J,MATCH('2018'!$A76,Population!$A:$A,0),MATCH('2018'!$A$1,Population!$3:$3,0))</f>
        <v>1320136</v>
      </c>
      <c r="C76" s="14">
        <f>INDEX(Income!$A:$J,MATCH('2018'!$A76,Income!$A:$A,0),MATCH('2018'!$A$1,Income!$3:$3,0))</f>
        <v>39084</v>
      </c>
      <c r="D76" s="34">
        <f>INDEX(Livable_wage!$A:$J,MATCH('2018'!$A76,Livable_wage!$A:$A,0),MATCH('2018'!$A$1,Livable_wage!$3:$3,0))</f>
        <v>14330</v>
      </c>
      <c r="E76" s="41">
        <f>INDEX(AVA_1!$A:$J,MATCH('2018'!$A76,AVA_1!$A:$A,0),MATCH('2018'!$A$1,AVA_1!$3:$3,0))</f>
        <v>0.38500000000000001</v>
      </c>
      <c r="F76" s="15">
        <f>INDEX(AVA_2!$A:$J,MATCH('2018'!$A76,AVA_2!$A:$A,0),MATCH('2018'!$A$1,AVA_2!$3:$3,0))</f>
        <v>1.6805625585248146E-2</v>
      </c>
      <c r="G76" s="15">
        <f>INDEX(AVA_3!$A:$J,MATCH('2018'!$A76,AVA_3!$A:$A,0),MATCH('2018'!$A$1,AVA_3!$3:$3,0))</f>
        <v>1.4271351327792349E-2</v>
      </c>
      <c r="H76" s="87">
        <f>INDEX(AVA_4!$A:$J,MATCH('2018'!$A76,AVA_4!$A:$A,0),MATCH('2018'!$A$1,AVA_4!$3:$3,0))/(B76/1000)</f>
        <v>0.53782337577340522</v>
      </c>
      <c r="I76" s="89">
        <f>INDEX(AVA_5!$A:$J,MATCH('2018'!$A76,AVA_5!$A:$A,0),MATCH('2018'!$A$1,AVA_5!$3:$3,0))/(B76/1000)</f>
        <v>7.3265178739160213</v>
      </c>
      <c r="J76" s="93">
        <f>INDEX(IRA_1!$A:$J,MATCH('2018'!$A76,IRA_1!$A:$A,0),MATCH('2018'!$A$1,IRA_1!$3:$3,0))/(B76/1000)</f>
        <v>0.11589714999060703</v>
      </c>
      <c r="K76" s="88">
        <f>INDEX(IRA_2!$A:$J,MATCH('2018'!$A76,IRA_2!$A:$A,0),MATCH('2018'!$A$1,IRA_2!$3:$3,0))/(B76/1000)</f>
        <v>0.27269917644848712</v>
      </c>
      <c r="L76" s="15">
        <f>INDEX(IRA_3!$A:$J,MATCH('2018'!$A76,IRA_3!$A:$A,0),MATCH('2018'!$A$1,IRA_3!$3:$3,0))</f>
        <v>0.34087681931132408</v>
      </c>
      <c r="M76" s="96">
        <f>INDEX(IRA_4!$A:$J,MATCH('2018'!$A76,IRA_4!$A:$A,0),MATCH('2018'!$A$1,IRA_4!$3:$3,0))/(B76/1000)</f>
        <v>7.2341031530084781</v>
      </c>
      <c r="N76" s="61">
        <f>INDEX(INV_1!$A:$J,MATCH('2018'!$A76,INV_1!$A:$A,0),MATCH('2018'!$A$1,INV_1!$3:$3,0))</f>
        <v>9.4814923410453333E-2</v>
      </c>
      <c r="O76" s="80">
        <f>INDEX(INV_2!$A:$J,MATCH('2018'!$A76,INV_2!$A:$A,0),MATCH('2018'!$A$1,INV_2!$3:$3,0))/B76*10^6/C76</f>
        <v>0.26876502102613631</v>
      </c>
      <c r="P76" s="87">
        <f>INDEX(INV_3!$A:$J,MATCH('2018'!$A76,INV_3!$A:$A,0),MATCH('2018'!$A$1,INV_3!$3:$3,0))/B76*10^6/C76</f>
        <v>2.8764330156592441</v>
      </c>
      <c r="Q76" s="87">
        <f>INDEX(INV_4!$A:$J,MATCH('2018'!$A76,INV_4!$A:$A,0),MATCH('2018'!$A$1,INV_4!$3:$3,0))/B76*10^3/C76</f>
        <v>0.3599725725389562</v>
      </c>
      <c r="R76" s="34">
        <f>INDEX(INV_5!$A:$J,MATCH('2018'!$A76,INV_5!$A:$A,0),MATCH('2018'!$A$1,INV_5!$3:$3,0))</f>
        <v>0.15029999999999999</v>
      </c>
      <c r="S76" s="77">
        <f>INDEX(LUJ_1!$A:$J,MATCH('2018'!$A76,LUJ_1!$A:$A,0),MATCH('2018'!$A$1,LUJ_1!$3:$3,0))</f>
        <v>0.75539160045402953</v>
      </c>
      <c r="T76" s="73">
        <f>INDEX(LUJ_2!$A:$J,MATCH('2018'!$A76,LUJ_2!$A:$A,0),MATCH('2018'!$A$1,LUJ_2!$3:$3,0))</f>
        <v>0.29489640563976965</v>
      </c>
      <c r="U76" s="73">
        <f>INDEX(LUJ_3!$A:$J,MATCH('2018'!$A76,LUJ_3!$A:$A,0),MATCH('2018'!$A$1,LUJ_3!$3:$3,0))</f>
        <v>0.61024730935811833</v>
      </c>
      <c r="V76" s="14">
        <f>INDEX(LUJ_4!$A:$J,MATCH('2018'!$A76,LUJ_4!$A:$A,0),MATCH('2018'!$A$1,LUJ_4!$3:$3,0))</f>
        <v>52</v>
      </c>
      <c r="W76" s="34">
        <f>INDEX(LUJ_5!$A:$J,MATCH('2018'!$A76,LUJ_5!$A:$A,0),MATCH('2018'!$A$1,LUJ_5!$3:$3,0))</f>
        <v>35.700000000000003</v>
      </c>
      <c r="X76" s="98">
        <f>1/INDEX(GUL_1!$A:$J,MATCH('2018'!$A76,GUL_1!$A:$A,0),MATCH('2018'!$A$1,GUL_1!$3:$3,0))</f>
        <v>1.4247043738424277E-2</v>
      </c>
      <c r="Y76" s="57" t="e">
        <f>INDEX(GUL_2!$A:$J,MATCH('2018'!$A76,GUL_2!$A:$A,0),MATCH('2018'!$A$1,GUL_2!$3:$3,0))</f>
        <v>#N/A</v>
      </c>
      <c r="Z76" s="57">
        <f>INDEX(GUL_3!$A:$J,MATCH('2018'!$A76,GUL_3!$A:$A,0),MATCH('2018'!$A$1,GUL_3!$3:$3,0))/(B76/1000)</f>
        <v>0.83097499045552881</v>
      </c>
      <c r="AA76" s="101">
        <f>INDEX(GUL_4!$A:$J,MATCH('2018'!$A76,GUL_4!$A:$A,0),MATCH('2018'!$A$1,GUL_4!$3:$3,0))/B76/C76*10^6</f>
        <v>0.35054309433805586</v>
      </c>
      <c r="AB76" s="73">
        <f>INDEX(GUL_5!$A:$J,MATCH('2018'!$A76,GUL_5!$A:$A,0),MATCH('2018'!$A$1,GUL_5!$3:$3,0))</f>
        <v>2.5561662995102936E-2</v>
      </c>
      <c r="AC76" s="49" t="e">
        <f>INDEX(GUL_6!$A:$J,MATCH('2018'!$A76,GUL_6!$A:$A,0),MATCH('2018'!$A$1,GUL_6!$3:$3,0))</f>
        <v>#N/A</v>
      </c>
      <c r="AD76" s="49" t="e">
        <f>INDEX(GUL_7!$A:$J,MATCH('2018'!$A76,GUL_7!$A:$A,0),MATCH('2018'!$A$1,GUL_7!$3:$3,0))</f>
        <v>#N/A</v>
      </c>
      <c r="AE76" s="103">
        <f>INDEX(GUL_8!$A:$J,MATCH('2018'!$A76,GUL_8!$A:$A,0),MATCH('2018'!$A$1,GUL_8!$3:$3,0))/(B76/1000)</f>
        <v>3.0837731870049754</v>
      </c>
      <c r="AF76" s="41">
        <f>INDEX(DES_1!$A:$J,MATCH('2018'!$A76,DES_1!$A:$A,0),MATCH('2018'!$A$1,DES_1!$3:$3,0))/(B76/1000)</f>
        <v>1.0604967972996721E-2</v>
      </c>
      <c r="AG76" s="100">
        <f>INDEX(DES_2!$A:$J,MATCH('2018'!$A76,DES_2!$A:$A,0),MATCH('2018'!$A$1,DES_2!$3:$3,0))/(B76/1000)</f>
        <v>0.73401528327384458</v>
      </c>
      <c r="AH76" s="57">
        <f>1/INDEX(DES_3!$A:$J,MATCH('2018'!$A76,DES_3!$A:$A,0),MATCH('2018'!$A$1,DES_3!$3:$3,0))</f>
        <v>9.7370983446932804E-3</v>
      </c>
      <c r="AI76" s="80" t="e">
        <f>INDEX(DES_4!$A:$J,MATCH('2018'!$A76,DES_4!$A:$A,0),MATCH('2018'!$A$1,DES_4!$3:$3,0))</f>
        <v>#N/A</v>
      </c>
      <c r="AJ76" s="110" t="e">
        <f>INDEX(DES_5!$A:$J,MATCH('2018'!$A76,DES_5!$A:$A,0),MATCH('2018'!$A$1,DES_5!$3:$3,0))</f>
        <v>#N/A</v>
      </c>
      <c r="AK76" s="57">
        <v>79</v>
      </c>
    </row>
    <row r="77" spans="1:37" x14ac:dyDescent="0.3">
      <c r="A77" s="29" t="s">
        <v>76</v>
      </c>
      <c r="B77" s="33">
        <f>INDEX(Population!$A:$J,MATCH('2018'!$A77,Population!$A:$A,0),MATCH('2018'!$A$1,Population!$3:$3,0))</f>
        <v>2676139</v>
      </c>
      <c r="C77" s="14">
        <f>INDEX(Income!$A:$J,MATCH('2018'!$A77,Income!$A:$A,0),MATCH('2018'!$A$1,Income!$3:$3,0))</f>
        <v>23175</v>
      </c>
      <c r="D77" s="34">
        <f>INDEX(Livable_wage!$A:$J,MATCH('2018'!$A77,Livable_wage!$A:$A,0),MATCH('2018'!$A$1,Livable_wage!$3:$3,0))</f>
        <v>9645</v>
      </c>
      <c r="E77" s="41">
        <f>INDEX(AVA_1!$A:$J,MATCH('2018'!$A77,AVA_1!$A:$A,0),MATCH('2018'!$A$1,AVA_1!$3:$3,0))</f>
        <v>0.35599999999999998</v>
      </c>
      <c r="F77" s="15">
        <f>INDEX(AVA_2!$A:$J,MATCH('2018'!$A77,AVA_2!$A:$A,0),MATCH('2018'!$A$1,AVA_2!$3:$3,0))</f>
        <v>1.1807135498113158E-2</v>
      </c>
      <c r="G77" s="15">
        <f>INDEX(AVA_3!$A:$J,MATCH('2018'!$A77,AVA_3!$A:$A,0),MATCH('2018'!$A$1,AVA_3!$3:$3,0))</f>
        <v>9.426161772629553E-3</v>
      </c>
      <c r="H77" s="87">
        <f>INDEX(AVA_4!$A:$J,MATCH('2018'!$A77,AVA_4!$A:$A,0),MATCH('2018'!$A$1,AVA_4!$3:$3,0))/(B77/1000)</f>
        <v>0.40020342740044518</v>
      </c>
      <c r="I77" s="89">
        <f>INDEX(AVA_5!$A:$J,MATCH('2018'!$A77,AVA_5!$A:$A,0),MATCH('2018'!$A$1,AVA_5!$3:$3,0))/(B77/1000)</f>
        <v>7.2234663446106495</v>
      </c>
      <c r="J77" s="93">
        <f>INDEX(IRA_1!$A:$J,MATCH('2018'!$A77,IRA_1!$A:$A,0),MATCH('2018'!$A$1,IRA_1!$3:$3,0))/(B77/1000)</f>
        <v>7.9218605610545639E-2</v>
      </c>
      <c r="K77" s="88">
        <f>INDEX(IRA_2!$A:$J,MATCH('2018'!$A77,IRA_2!$A:$A,0),MATCH('2018'!$A$1,IRA_2!$3:$3,0))/(B77/1000)</f>
        <v>0.33667907384481893</v>
      </c>
      <c r="L77" s="15">
        <f>INDEX(IRA_3!$A:$J,MATCH('2018'!$A77,IRA_3!$A:$A,0),MATCH('2018'!$A$1,IRA_3!$3:$3,0))</f>
        <v>0.32259243022066342</v>
      </c>
      <c r="M77" s="96">
        <f>INDEX(IRA_4!$A:$J,MATCH('2018'!$A77,IRA_4!$A:$A,0),MATCH('2018'!$A$1,IRA_4!$3:$3,0))/(B77/1000)</f>
        <v>6.3569194275783127</v>
      </c>
      <c r="N77" s="61">
        <f>INDEX(INV_1!$A:$J,MATCH('2018'!$A77,INV_1!$A:$A,0),MATCH('2018'!$A$1,INV_1!$3:$3,0))</f>
        <v>8.2813439778711917E-2</v>
      </c>
      <c r="O77" s="80">
        <f>INDEX(INV_2!$A:$J,MATCH('2018'!$A77,INV_2!$A:$A,0),MATCH('2018'!$A$1,INV_2!$3:$3,0))/B77*10^6/C77</f>
        <v>0.3418099975153267</v>
      </c>
      <c r="P77" s="87">
        <f>INDEX(INV_3!$A:$J,MATCH('2018'!$A77,INV_3!$A:$A,0),MATCH('2018'!$A$1,INV_3!$3:$3,0))/B77*10^6/C77</f>
        <v>3.9314718138869806</v>
      </c>
      <c r="Q77" s="87">
        <f>INDEX(INV_4!$A:$J,MATCH('2018'!$A77,INV_4!$A:$A,0),MATCH('2018'!$A$1,INV_4!$3:$3,0))/B77*10^3/C77</f>
        <v>0.30092726437211015</v>
      </c>
      <c r="R77" s="34">
        <f>INDEX(INV_5!$A:$J,MATCH('2018'!$A77,INV_5!$A:$A,0),MATCH('2018'!$A$1,INV_5!$3:$3,0))</f>
        <v>7.8100000000000003E-2</v>
      </c>
      <c r="S77" s="77">
        <f>INDEX(LUJ_1!$A:$J,MATCH('2018'!$A77,LUJ_1!$A:$A,0),MATCH('2018'!$A$1,LUJ_1!$3:$3,0))</f>
        <v>0.72392407442210116</v>
      </c>
      <c r="T77" s="73">
        <f>INDEX(LUJ_2!$A:$J,MATCH('2018'!$A77,LUJ_2!$A:$A,0),MATCH('2018'!$A$1,LUJ_2!$3:$3,0))</f>
        <v>0.26748304446119064</v>
      </c>
      <c r="U77" s="73">
        <f>INDEX(LUJ_3!$A:$J,MATCH('2018'!$A77,LUJ_3!$A:$A,0),MATCH('2018'!$A$1,LUJ_3!$3:$3,0))</f>
        <v>0.66021125102157152</v>
      </c>
      <c r="V77" s="14">
        <f>INDEX(LUJ_4!$A:$J,MATCH('2018'!$A77,LUJ_4!$A:$A,0),MATCH('2018'!$A$1,LUJ_4!$3:$3,0))</f>
        <v>87</v>
      </c>
      <c r="W77" s="34">
        <f>INDEX(LUJ_5!$A:$J,MATCH('2018'!$A77,LUJ_5!$A:$A,0),MATCH('2018'!$A$1,LUJ_5!$3:$3,0))</f>
        <v>165.7</v>
      </c>
      <c r="X77" s="98">
        <f>1/INDEX(GUL_1!$A:$J,MATCH('2018'!$A77,GUL_1!$A:$A,0),MATCH('2018'!$A$1,GUL_1!$3:$3,0))</f>
        <v>1.4425851125216389E-2</v>
      </c>
      <c r="Y77" s="57" t="e">
        <f>INDEX(GUL_2!$A:$J,MATCH('2018'!$A77,GUL_2!$A:$A,0),MATCH('2018'!$A$1,GUL_2!$3:$3,0))</f>
        <v>#N/A</v>
      </c>
      <c r="Z77" s="57">
        <f>INDEX(GUL_3!$A:$J,MATCH('2018'!$A77,GUL_3!$A:$A,0),MATCH('2018'!$A$1,GUL_3!$3:$3,0))/(B77/1000)</f>
        <v>0.81909048819960395</v>
      </c>
      <c r="AA77" s="101">
        <f>INDEX(GUL_4!$A:$J,MATCH('2018'!$A77,GUL_4!$A:$A,0),MATCH('2018'!$A$1,GUL_4!$3:$3,0))/B77/C77*10^6</f>
        <v>0.32488625467474941</v>
      </c>
      <c r="AB77" s="73">
        <f>INDEX(GUL_5!$A:$J,MATCH('2018'!$A77,GUL_5!$A:$A,0),MATCH('2018'!$A$1,GUL_5!$3:$3,0))</f>
        <v>3.1132216754731233E-2</v>
      </c>
      <c r="AC77" s="49" t="e">
        <f>INDEX(GUL_6!$A:$J,MATCH('2018'!$A77,GUL_6!$A:$A,0),MATCH('2018'!$A$1,GUL_6!$3:$3,0))</f>
        <v>#N/A</v>
      </c>
      <c r="AD77" s="49" t="e">
        <f>INDEX(GUL_7!$A:$J,MATCH('2018'!$A77,GUL_7!$A:$A,0),MATCH('2018'!$A$1,GUL_7!$3:$3,0))</f>
        <v>#N/A</v>
      </c>
      <c r="AE77" s="103">
        <f>INDEX(GUL_8!$A:$J,MATCH('2018'!$A77,GUL_8!$A:$A,0),MATCH('2018'!$A$1,GUL_8!$3:$3,0))/(B77/1000)</f>
        <v>4.6256939568535111</v>
      </c>
      <c r="AF77" s="41">
        <f>INDEX(DES_1!$A:$J,MATCH('2018'!$A77,DES_1!$A:$A,0),MATCH('2018'!$A$1,DES_1!$3:$3,0))/(B77/1000)</f>
        <v>0.21224607540938642</v>
      </c>
      <c r="AG77" s="100">
        <f>INDEX(DES_2!$A:$J,MATCH('2018'!$A77,DES_2!$A:$A,0),MATCH('2018'!$A$1,DES_2!$3:$3,0))/(B77/1000)</f>
        <v>0.77462344071066558</v>
      </c>
      <c r="AH77" s="57">
        <f>1/INDEX(DES_3!$A:$J,MATCH('2018'!$A77,DES_3!$A:$A,0),MATCH('2018'!$A$1,DES_3!$3:$3,0))</f>
        <v>9.5969289827255271E-3</v>
      </c>
      <c r="AI77" s="80" t="e">
        <f>INDEX(DES_4!$A:$J,MATCH('2018'!$A77,DES_4!$A:$A,0),MATCH('2018'!$A$1,DES_4!$3:$3,0))</f>
        <v>#N/A</v>
      </c>
      <c r="AJ77" s="110" t="e">
        <f>INDEX(DES_5!$A:$J,MATCH('2018'!$A77,DES_5!$A:$A,0),MATCH('2018'!$A$1,DES_5!$3:$3,0))</f>
        <v>#N/A</v>
      </c>
      <c r="AK77" s="57">
        <v>78</v>
      </c>
    </row>
    <row r="78" spans="1:37" x14ac:dyDescent="0.3">
      <c r="A78" s="29" t="s">
        <v>77</v>
      </c>
      <c r="B78" s="33">
        <f>INDEX(Population!$A:$J,MATCH('2018'!$A78,Population!$A:$A,0),MATCH('2018'!$A$1,Population!$3:$3,0))</f>
        <v>540117</v>
      </c>
      <c r="C78" s="14">
        <f>INDEX(Income!$A:$J,MATCH('2018'!$A78,Income!$A:$A,0),MATCH('2018'!$A$1,Income!$3:$3,0))</f>
        <v>21571</v>
      </c>
      <c r="D78" s="34">
        <f>INDEX(Livable_wage!$A:$J,MATCH('2018'!$A78,Livable_wage!$A:$A,0),MATCH('2018'!$A$1,Livable_wage!$3:$3,0))</f>
        <v>10416</v>
      </c>
      <c r="E78" s="41">
        <f>INDEX(AVA_1!$A:$J,MATCH('2018'!$A78,AVA_1!$A:$A,0),MATCH('2018'!$A$1,AVA_1!$3:$3,0))</f>
        <v>0.35399999999999998</v>
      </c>
      <c r="F78" s="15">
        <f>INDEX(AVA_2!$A:$J,MATCH('2018'!$A78,AVA_2!$A:$A,0),MATCH('2018'!$A$1,AVA_2!$3:$3,0))</f>
        <v>1.0937810480486625E-2</v>
      </c>
      <c r="G78" s="15">
        <f>INDEX(AVA_3!$A:$J,MATCH('2018'!$A78,AVA_3!$A:$A,0),MATCH('2018'!$A$1,AVA_3!$3:$3,0))</f>
        <v>5.7967102405868158E-2</v>
      </c>
      <c r="H78" s="87">
        <f>INDEX(AVA_4!$A:$J,MATCH('2018'!$A78,AVA_4!$A:$A,0),MATCH('2018'!$A$1,AVA_4!$3:$3,0))/(B78/1000)</f>
        <v>0.62579033801935513</v>
      </c>
      <c r="I78" s="89">
        <f>INDEX(AVA_5!$A:$J,MATCH('2018'!$A78,AVA_5!$A:$A,0),MATCH('2018'!$A$1,AVA_5!$3:$3,0))/(B78/1000)</f>
        <v>7.5650275773582392</v>
      </c>
      <c r="J78" s="93">
        <f>INDEX(IRA_1!$A:$J,MATCH('2018'!$A78,IRA_1!$A:$A,0),MATCH('2018'!$A$1,IRA_1!$3:$3,0))/(B78/1000)</f>
        <v>0.11849284506875363</v>
      </c>
      <c r="K78" s="88">
        <f>INDEX(IRA_2!$A:$J,MATCH('2018'!$A78,IRA_2!$A:$A,0),MATCH('2018'!$A$1,IRA_2!$3:$3,0))/(B78/1000)</f>
        <v>0.32030097182647466</v>
      </c>
      <c r="L78" s="15">
        <f>INDEX(IRA_3!$A:$J,MATCH('2018'!$A78,IRA_3!$A:$A,0),MATCH('2018'!$A$1,IRA_3!$3:$3,0))</f>
        <v>0.30080420661923912</v>
      </c>
      <c r="M78" s="96">
        <f>INDEX(IRA_4!$A:$J,MATCH('2018'!$A78,IRA_4!$A:$A,0),MATCH('2018'!$A$1,IRA_4!$3:$3,0))/(B78/1000)</f>
        <v>6.5670956477948303</v>
      </c>
      <c r="N78" s="61">
        <f>INDEX(INV_1!$A:$J,MATCH('2018'!$A78,INV_1!$A:$A,0),MATCH('2018'!$A$1,INV_1!$3:$3,0))</f>
        <v>8.5965196625142626E-2</v>
      </c>
      <c r="O78" s="80">
        <f>INDEX(INV_2!$A:$J,MATCH('2018'!$A78,INV_2!$A:$A,0),MATCH('2018'!$A$1,INV_2!$3:$3,0))/B78*10^6/C78</f>
        <v>0.41893179955184756</v>
      </c>
      <c r="P78" s="87">
        <f>INDEX(INV_3!$A:$J,MATCH('2018'!$A78,INV_3!$A:$A,0),MATCH('2018'!$A$1,INV_3!$3:$3,0))/B78*10^6/C78</f>
        <v>4.0297441269369045</v>
      </c>
      <c r="Q78" s="87">
        <f>INDEX(INV_4!$A:$J,MATCH('2018'!$A78,INV_4!$A:$A,0),MATCH('2018'!$A$1,INV_4!$3:$3,0))/B78*10^3/C78</f>
        <v>0.32064456866755997</v>
      </c>
      <c r="R78" s="34">
        <f>INDEX(INV_5!$A:$J,MATCH('2018'!$A78,INV_5!$A:$A,0),MATCH('2018'!$A$1,INV_5!$3:$3,0))</f>
        <v>8.2799999999999999E-2</v>
      </c>
      <c r="S78" s="77">
        <f>INDEX(LUJ_1!$A:$J,MATCH('2018'!$A78,LUJ_1!$A:$A,0),MATCH('2018'!$A$1,LUJ_1!$3:$3,0))</f>
        <v>0.65345911949685531</v>
      </c>
      <c r="T78" s="73">
        <f>INDEX(LUJ_2!$A:$J,MATCH('2018'!$A78,LUJ_2!$A:$A,0),MATCH('2018'!$A$1,LUJ_2!$3:$3,0))</f>
        <v>0.26550668599967781</v>
      </c>
      <c r="U78" s="73">
        <f>INDEX(LUJ_3!$A:$J,MATCH('2018'!$A78,LUJ_3!$A:$A,0),MATCH('2018'!$A$1,LUJ_3!$3:$3,0))</f>
        <v>0.40824714032543896</v>
      </c>
      <c r="V78" s="14">
        <f>INDEX(LUJ_4!$A:$J,MATCH('2018'!$A78,LUJ_4!$A:$A,0),MATCH('2018'!$A$1,LUJ_4!$3:$3,0))</f>
        <v>42</v>
      </c>
      <c r="W78" s="34">
        <f>INDEX(LUJ_5!$A:$J,MATCH('2018'!$A78,LUJ_5!$A:$A,0),MATCH('2018'!$A$1,LUJ_5!$3:$3,0))</f>
        <v>55</v>
      </c>
      <c r="X78" s="98">
        <f>1/INDEX(GUL_1!$A:$J,MATCH('2018'!$A78,GUL_1!$A:$A,0),MATCH('2018'!$A$1,GUL_1!$3:$3,0))</f>
        <v>1.4054813773717497E-2</v>
      </c>
      <c r="Y78" s="57" t="e">
        <f>INDEX(GUL_2!$A:$J,MATCH('2018'!$A78,GUL_2!$A:$A,0),MATCH('2018'!$A$1,GUL_2!$3:$3,0))</f>
        <v>#N/A</v>
      </c>
      <c r="Z78" s="57">
        <f>INDEX(GUL_3!$A:$J,MATCH('2018'!$A78,GUL_3!$A:$A,0),MATCH('2018'!$A$1,GUL_3!$3:$3,0))/(B78/1000)</f>
        <v>0.77760929576369575</v>
      </c>
      <c r="AA78" s="101">
        <f>INDEX(GUL_4!$A:$J,MATCH('2018'!$A78,GUL_4!$A:$A,0),MATCH('2018'!$A$1,GUL_4!$3:$3,0))/B78/C78*10^6</f>
        <v>0.45074769450525776</v>
      </c>
      <c r="AB78" s="73">
        <f>INDEX(GUL_5!$A:$J,MATCH('2018'!$A78,GUL_5!$A:$A,0),MATCH('2018'!$A$1,GUL_5!$3:$3,0))</f>
        <v>4.3163310918549865E-2</v>
      </c>
      <c r="AC78" s="49" t="e">
        <f>INDEX(GUL_6!$A:$J,MATCH('2018'!$A78,GUL_6!$A:$A,0),MATCH('2018'!$A$1,GUL_6!$3:$3,0))</f>
        <v>#N/A</v>
      </c>
      <c r="AD78" s="49" t="e">
        <f>INDEX(GUL_7!$A:$J,MATCH('2018'!$A78,GUL_7!$A:$A,0),MATCH('2018'!$A$1,GUL_7!$3:$3,0))</f>
        <v>#N/A</v>
      </c>
      <c r="AE78" s="103">
        <f>INDEX(GUL_8!$A:$J,MATCH('2018'!$A78,GUL_8!$A:$A,0),MATCH('2018'!$A$1,GUL_8!$3:$3,0))/(B78/1000)</f>
        <v>5.1748047182369747</v>
      </c>
      <c r="AF78" s="41">
        <f>INDEX(DES_1!$A:$J,MATCH('2018'!$A78,DES_1!$A:$A,0),MATCH('2018'!$A$1,DES_1!$3:$3,0))/(B78/1000)</f>
        <v>0.24994584506690218</v>
      </c>
      <c r="AG78" s="100">
        <f>INDEX(DES_2!$A:$J,MATCH('2018'!$A78,DES_2!$A:$A,0),MATCH('2018'!$A$1,DES_2!$3:$3,0))/(B78/1000)</f>
        <v>1.2201060140673226</v>
      </c>
      <c r="AH78" s="57">
        <f>1/INDEX(DES_3!$A:$J,MATCH('2018'!$A78,DES_3!$A:$A,0),MATCH('2018'!$A$1,DES_3!$3:$3,0))</f>
        <v>7.8926598263614842E-3</v>
      </c>
      <c r="AI78" s="80" t="e">
        <f>INDEX(DES_4!$A:$J,MATCH('2018'!$A78,DES_4!$A:$A,0),MATCH('2018'!$A$1,DES_4!$3:$3,0))</f>
        <v>#N/A</v>
      </c>
      <c r="AJ78" s="110" t="e">
        <f>INDEX(DES_5!$A:$J,MATCH('2018'!$A78,DES_5!$A:$A,0),MATCH('2018'!$A$1,DES_5!$3:$3,0))</f>
        <v>#N/A</v>
      </c>
      <c r="AK78" s="57">
        <v>75</v>
      </c>
    </row>
    <row r="79" spans="1:37" x14ac:dyDescent="0.3">
      <c r="A79" s="29" t="s">
        <v>78</v>
      </c>
      <c r="B79" s="33">
        <f>INDEX(Population!$A:$J,MATCH('2018'!$A79,Population!$A:$A,0),MATCH('2018'!$A$1,Population!$3:$3,0))</f>
        <v>1247850</v>
      </c>
      <c r="C79" s="14">
        <f>INDEX(Income!$A:$J,MATCH('2018'!$A79,Income!$A:$A,0),MATCH('2018'!$A$1,Income!$3:$3,0))</f>
        <v>27072</v>
      </c>
      <c r="D79" s="34">
        <f>INDEX(Livable_wage!$A:$J,MATCH('2018'!$A79,Livable_wage!$A:$A,0),MATCH('2018'!$A$1,Livable_wage!$3:$3,0))</f>
        <v>10368</v>
      </c>
      <c r="E79" s="41">
        <f>INDEX(AVA_1!$A:$J,MATCH('2018'!$A79,AVA_1!$A:$A,0),MATCH('2018'!$A$1,AVA_1!$3:$3,0))</f>
        <v>0.35799999999999998</v>
      </c>
      <c r="F79" s="15">
        <f>INDEX(AVA_2!$A:$J,MATCH('2018'!$A79,AVA_2!$A:$A,0),MATCH('2018'!$A$1,AVA_2!$3:$3,0))</f>
        <v>1.3901469040216673E-2</v>
      </c>
      <c r="G79" s="15">
        <f>INDEX(AVA_3!$A:$J,MATCH('2018'!$A79,AVA_3!$A:$A,0),MATCH('2018'!$A$1,AVA_3!$3:$3,0))</f>
        <v>5.9439803370853445E-2</v>
      </c>
      <c r="H79" s="87">
        <f>INDEX(AVA_4!$A:$J,MATCH('2018'!$A79,AVA_4!$A:$A,0),MATCH('2018'!$A$1,AVA_4!$3:$3,0))/(B79/1000)</f>
        <v>0.52089594101855197</v>
      </c>
      <c r="I79" s="89">
        <f>INDEX(AVA_5!$A:$J,MATCH('2018'!$A79,AVA_5!$A:$A,0),MATCH('2018'!$A$1,AVA_5!$3:$3,0))/(B79/1000)</f>
        <v>6.2924229675041072</v>
      </c>
      <c r="J79" s="93">
        <f>INDEX(IRA_1!$A:$J,MATCH('2018'!$A79,IRA_1!$A:$A,0),MATCH('2018'!$A$1,IRA_1!$3:$3,0))/(B79/1000)</f>
        <v>5.0486837360259648E-2</v>
      </c>
      <c r="K79" s="88">
        <f>INDEX(IRA_2!$A:$J,MATCH('2018'!$A79,IRA_2!$A:$A,0),MATCH('2018'!$A$1,IRA_2!$3:$3,0))/(B79/1000)</f>
        <v>0.15947429578875666</v>
      </c>
      <c r="L79" s="15">
        <f>INDEX(IRA_3!$A:$J,MATCH('2018'!$A79,IRA_3!$A:$A,0),MATCH('2018'!$A$1,IRA_3!$3:$3,0))</f>
        <v>0.39752234593068836</v>
      </c>
      <c r="M79" s="96">
        <f>INDEX(IRA_4!$A:$J,MATCH('2018'!$A79,IRA_4!$A:$A,0),MATCH('2018'!$A$1,IRA_4!$3:$3,0))/(B79/1000)</f>
        <v>5.0967664382738311</v>
      </c>
      <c r="N79" s="61">
        <f>INDEX(INV_1!$A:$J,MATCH('2018'!$A79,INV_1!$A:$A,0),MATCH('2018'!$A$1,INV_1!$3:$3,0))</f>
        <v>7.0943633105452958E-2</v>
      </c>
      <c r="O79" s="80">
        <f>INDEX(INV_2!$A:$J,MATCH('2018'!$A79,INV_2!$A:$A,0),MATCH('2018'!$A$1,INV_2!$3:$3,0))/B79*10^6/C79</f>
        <v>0.38134896812706981</v>
      </c>
      <c r="P79" s="87">
        <f>INDEX(INV_3!$A:$J,MATCH('2018'!$A79,INV_3!$A:$A,0),MATCH('2018'!$A$1,INV_3!$3:$3,0))/B79*10^6/C79</f>
        <v>2.9825531592826664</v>
      </c>
      <c r="Q79" s="87">
        <f>INDEX(INV_4!$A:$J,MATCH('2018'!$A79,INV_4!$A:$A,0),MATCH('2018'!$A$1,INV_4!$3:$3,0))/B79*10^3/C79</f>
        <v>0.28289468139336771</v>
      </c>
      <c r="R79" s="34">
        <f>INDEX(INV_5!$A:$J,MATCH('2018'!$A79,INV_5!$A:$A,0),MATCH('2018'!$A$1,INV_5!$3:$3,0))</f>
        <v>9.0700000000000003E-2</v>
      </c>
      <c r="S79" s="77">
        <f>INDEX(LUJ_1!$A:$J,MATCH('2018'!$A79,LUJ_1!$A:$A,0),MATCH('2018'!$A$1,LUJ_1!$3:$3,0))</f>
        <v>0.69068660774983004</v>
      </c>
      <c r="T79" s="73">
        <f>INDEX(LUJ_2!$A:$J,MATCH('2018'!$A79,LUJ_2!$A:$A,0),MATCH('2018'!$A$1,LUJ_2!$3:$3,0))</f>
        <v>0.17971903762312288</v>
      </c>
      <c r="U79" s="73">
        <f>INDEX(LUJ_3!$A:$J,MATCH('2018'!$A79,LUJ_3!$A:$A,0),MATCH('2018'!$A$1,LUJ_3!$3:$3,0))</f>
        <v>0.42661103391816074</v>
      </c>
      <c r="V79" s="14">
        <f>INDEX(LUJ_4!$A:$J,MATCH('2018'!$A79,LUJ_4!$A:$A,0),MATCH('2018'!$A$1,LUJ_4!$3:$3,0))</f>
        <v>15</v>
      </c>
      <c r="W79" s="34">
        <f>INDEX(LUJ_5!$A:$J,MATCH('2018'!$A79,LUJ_5!$A:$A,0),MATCH('2018'!$A$1,LUJ_5!$3:$3,0))</f>
        <v>50.8</v>
      </c>
      <c r="X79" s="98">
        <f>1/INDEX(GUL_1!$A:$J,MATCH('2018'!$A79,GUL_1!$A:$A,0),MATCH('2018'!$A$1,GUL_1!$3:$3,0))</f>
        <v>1.384083044982699E-2</v>
      </c>
      <c r="Y79" s="57" t="e">
        <f>INDEX(GUL_2!$A:$J,MATCH('2018'!$A79,GUL_2!$A:$A,0),MATCH('2018'!$A$1,GUL_2!$3:$3,0))</f>
        <v>#N/A</v>
      </c>
      <c r="Z79" s="57">
        <f>INDEX(GUL_3!$A:$J,MATCH('2018'!$A79,GUL_3!$A:$A,0),MATCH('2018'!$A$1,GUL_3!$3:$3,0))/(B79/1000)</f>
        <v>0.97447609889009101</v>
      </c>
      <c r="AA79" s="101">
        <f>INDEX(GUL_4!$A:$J,MATCH('2018'!$A79,GUL_4!$A:$A,0),MATCH('2018'!$A$1,GUL_4!$3:$3,0))/B79/C79*10^6</f>
        <v>0.31421035907529271</v>
      </c>
      <c r="AB79" s="73">
        <f>INDEX(GUL_5!$A:$J,MATCH('2018'!$A79,GUL_5!$A:$A,0),MATCH('2018'!$A$1,GUL_5!$3:$3,0))</f>
        <v>2.7755611346255885E-2</v>
      </c>
      <c r="AC79" s="49" t="e">
        <f>INDEX(GUL_6!$A:$J,MATCH('2018'!$A79,GUL_6!$A:$A,0),MATCH('2018'!$A$1,GUL_6!$3:$3,0))</f>
        <v>#N/A</v>
      </c>
      <c r="AD79" s="49" t="e">
        <f>INDEX(GUL_7!$A:$J,MATCH('2018'!$A79,GUL_7!$A:$A,0),MATCH('2018'!$A$1,GUL_7!$3:$3,0))</f>
        <v>#N/A</v>
      </c>
      <c r="AE79" s="103">
        <f>INDEX(GUL_8!$A:$J,MATCH('2018'!$A79,GUL_8!$A:$A,0),MATCH('2018'!$A$1,GUL_8!$3:$3,0))/(B79/1000)</f>
        <v>1.9409384140722044</v>
      </c>
      <c r="AF79" s="41">
        <f>INDEX(DES_1!$A:$J,MATCH('2018'!$A79,DES_1!$A:$A,0),MATCH('2018'!$A$1,DES_1!$3:$3,0))/(B79/1000)</f>
        <v>8.6548864046159399E-2</v>
      </c>
      <c r="AG79" s="100">
        <f>INDEX(DES_2!$A:$J,MATCH('2018'!$A79,DES_2!$A:$A,0),MATCH('2018'!$A$1,DES_2!$3:$3,0))/(B79/1000)</f>
        <v>0.28609207837480466</v>
      </c>
      <c r="AH79" s="57">
        <f>1/INDEX(DES_3!$A:$J,MATCH('2018'!$A79,DES_3!$A:$A,0),MATCH('2018'!$A$1,DES_3!$3:$3,0))</f>
        <v>8.3333333333333332E-3</v>
      </c>
      <c r="AI79" s="80" t="e">
        <f>INDEX(DES_4!$A:$J,MATCH('2018'!$A79,DES_4!$A:$A,0),MATCH('2018'!$A$1,DES_4!$3:$3,0))</f>
        <v>#N/A</v>
      </c>
      <c r="AJ79" s="110" t="e">
        <f>INDEX(DES_5!$A:$J,MATCH('2018'!$A79,DES_5!$A:$A,0),MATCH('2018'!$A$1,DES_5!$3:$3,0))</f>
        <v>#N/A</v>
      </c>
      <c r="AK79" s="57">
        <v>66</v>
      </c>
    </row>
    <row r="80" spans="1:37" x14ac:dyDescent="0.3">
      <c r="A80" s="29" t="s">
        <v>79</v>
      </c>
      <c r="B80" s="33">
        <f>INDEX(Population!$A:$J,MATCH('2018'!$A80,Population!$A:$A,0),MATCH('2018'!$A$1,Population!$3:$3,0))</f>
        <v>1485682</v>
      </c>
      <c r="C80" s="14">
        <f>INDEX(Income!$A:$J,MATCH('2018'!$A80,Income!$A:$A,0),MATCH('2018'!$A$1,Income!$3:$3,0))</f>
        <v>23827</v>
      </c>
      <c r="D80" s="34">
        <f>INDEX(Livable_wage!$A:$J,MATCH('2018'!$A80,Livable_wage!$A:$A,0),MATCH('2018'!$A$1,Livable_wage!$3:$3,0))</f>
        <v>9524</v>
      </c>
      <c r="E80" s="41">
        <f>INDEX(AVA_1!$A:$J,MATCH('2018'!$A80,AVA_1!$A:$A,0),MATCH('2018'!$A$1,AVA_1!$3:$3,0))</f>
        <v>0.35699999999999998</v>
      </c>
      <c r="F80" s="15">
        <f>INDEX(AVA_2!$A:$J,MATCH('2018'!$A80,AVA_2!$A:$A,0),MATCH('2018'!$A$1,AVA_2!$3:$3,0))</f>
        <v>9.9375135199779099E-3</v>
      </c>
      <c r="G80" s="15">
        <f>INDEX(AVA_3!$A:$J,MATCH('2018'!$A80,AVA_3!$A:$A,0),MATCH('2018'!$A$1,AVA_3!$3:$3,0))</f>
        <v>3.3321099973699954E-2</v>
      </c>
      <c r="H80" s="87">
        <f>INDEX(AVA_4!$A:$J,MATCH('2018'!$A80,AVA_4!$A:$A,0),MATCH('2018'!$A$1,AVA_4!$3:$3,0))/(B80/1000)</f>
        <v>0.83799897959321035</v>
      </c>
      <c r="I80" s="89">
        <f>INDEX(AVA_5!$A:$J,MATCH('2018'!$A80,AVA_5!$A:$A,0),MATCH('2018'!$A$1,AVA_5!$3:$3,0))/(B80/1000)</f>
        <v>5.7919527866663252</v>
      </c>
      <c r="J80" s="93">
        <f>INDEX(IRA_1!$A:$J,MATCH('2018'!$A80,IRA_1!$A:$A,0),MATCH('2018'!$A$1,IRA_1!$3:$3,0))/(B80/1000)</f>
        <v>5.5193507089673292E-2</v>
      </c>
      <c r="K80" s="88">
        <f>INDEX(IRA_2!$A:$J,MATCH('2018'!$A80,IRA_2!$A:$A,0),MATCH('2018'!$A$1,IRA_2!$3:$3,0))/(B80/1000)</f>
        <v>0.18375399311561963</v>
      </c>
      <c r="L80" s="15">
        <f>INDEX(IRA_3!$A:$J,MATCH('2018'!$A80,IRA_3!$A:$A,0),MATCH('2018'!$A$1,IRA_3!$3:$3,0))</f>
        <v>0.3530445900591338</v>
      </c>
      <c r="M80" s="96">
        <f>INDEX(IRA_4!$A:$J,MATCH('2018'!$A80,IRA_4!$A:$A,0),MATCH('2018'!$A$1,IRA_4!$3:$3,0))/(B80/1000)</f>
        <v>3.8480643906300269</v>
      </c>
      <c r="N80" s="61">
        <f>INDEX(INV_1!$A:$J,MATCH('2018'!$A80,INV_1!$A:$A,0),MATCH('2018'!$A$1,INV_1!$3:$3,0))</f>
        <v>8.8651627056125934E-2</v>
      </c>
      <c r="O80" s="80">
        <f>INDEX(INV_2!$A:$J,MATCH('2018'!$A80,INV_2!$A:$A,0),MATCH('2018'!$A$1,INV_2!$3:$3,0))/B80*10^6/C80</f>
        <v>0.31300328106686587</v>
      </c>
      <c r="P80" s="87">
        <f>INDEX(INV_3!$A:$J,MATCH('2018'!$A80,INV_3!$A:$A,0),MATCH('2018'!$A$1,INV_3!$3:$3,0))/B80*10^6/C80</f>
        <v>4.3992904371086503</v>
      </c>
      <c r="Q80" s="87">
        <f>INDEX(INV_4!$A:$J,MATCH('2018'!$A80,INV_4!$A:$A,0),MATCH('2018'!$A$1,INV_4!$3:$3,0))/B80*10^3/C80</f>
        <v>0.23756062115483073</v>
      </c>
      <c r="R80" s="34">
        <f>INDEX(INV_5!$A:$J,MATCH('2018'!$A80,INV_5!$A:$A,0),MATCH('2018'!$A$1,INV_5!$3:$3,0))</f>
        <v>6.1400000000000003E-2</v>
      </c>
      <c r="S80" s="77">
        <f>INDEX(LUJ_1!$A:$J,MATCH('2018'!$A80,LUJ_1!$A:$A,0),MATCH('2018'!$A$1,LUJ_1!$3:$3,0))</f>
        <v>0.56581047743433466</v>
      </c>
      <c r="T80" s="73">
        <f>INDEX(LUJ_2!$A:$J,MATCH('2018'!$A80,LUJ_2!$A:$A,0),MATCH('2018'!$A$1,LUJ_2!$3:$3,0))</f>
        <v>0.2209705900261828</v>
      </c>
      <c r="U80" s="73">
        <f>INDEX(LUJ_3!$A:$J,MATCH('2018'!$A80,LUJ_3!$A:$A,0),MATCH('2018'!$A$1,LUJ_3!$3:$3,0))</f>
        <v>0.46270474334774403</v>
      </c>
      <c r="V80" s="14">
        <f>INDEX(LUJ_4!$A:$J,MATCH('2018'!$A80,LUJ_4!$A:$A,0),MATCH('2018'!$A$1,LUJ_4!$3:$3,0))</f>
        <v>37</v>
      </c>
      <c r="W80" s="34">
        <f>INDEX(LUJ_5!$A:$J,MATCH('2018'!$A80,LUJ_5!$A:$A,0),MATCH('2018'!$A$1,LUJ_5!$3:$3,0))</f>
        <v>70.099999999999994</v>
      </c>
      <c r="X80" s="98">
        <f>1/INDEX(GUL_1!$A:$J,MATCH('2018'!$A80,GUL_1!$A:$A,0),MATCH('2018'!$A$1,GUL_1!$3:$3,0))</f>
        <v>1.3802622498274672E-2</v>
      </c>
      <c r="Y80" s="57" t="e">
        <f>INDEX(GUL_2!$A:$J,MATCH('2018'!$A80,GUL_2!$A:$A,0),MATCH('2018'!$A$1,GUL_2!$3:$3,0))</f>
        <v>#N/A</v>
      </c>
      <c r="Z80" s="57">
        <f>INDEX(GUL_3!$A:$J,MATCH('2018'!$A80,GUL_3!$A:$A,0),MATCH('2018'!$A$1,GUL_3!$3:$3,0))/(B80/1000)</f>
        <v>0.7572279936083226</v>
      </c>
      <c r="AA80" s="101">
        <f>INDEX(GUL_4!$A:$J,MATCH('2018'!$A80,GUL_4!$A:$A,0),MATCH('2018'!$A$1,GUL_4!$3:$3,0))/B80/C80*10^6</f>
        <v>0.35554019417654298</v>
      </c>
      <c r="AB80" s="73">
        <f>INDEX(GUL_5!$A:$J,MATCH('2018'!$A80,GUL_5!$A:$A,0),MATCH('2018'!$A$1,GUL_5!$3:$3,0))</f>
        <v>3.4363587297011236E-2</v>
      </c>
      <c r="AC80" s="49" t="e">
        <f>INDEX(GUL_6!$A:$J,MATCH('2018'!$A80,GUL_6!$A:$A,0),MATCH('2018'!$A$1,GUL_6!$3:$3,0))</f>
        <v>#N/A</v>
      </c>
      <c r="AD80" s="49" t="e">
        <f>INDEX(GUL_7!$A:$J,MATCH('2018'!$A80,GUL_7!$A:$A,0),MATCH('2018'!$A$1,GUL_7!$3:$3,0))</f>
        <v>#N/A</v>
      </c>
      <c r="AE80" s="103">
        <f>INDEX(GUL_8!$A:$J,MATCH('2018'!$A80,GUL_8!$A:$A,0),MATCH('2018'!$A$1,GUL_8!$3:$3,0))/(B80/1000)</f>
        <v>3.8965269822209598</v>
      </c>
      <c r="AF80" s="41">
        <f>INDEX(DES_1!$A:$J,MATCH('2018'!$A80,DES_1!$A:$A,0),MATCH('2018'!$A$1,DES_1!$3:$3,0))/(B80/1000)</f>
        <v>0.2826984509471071</v>
      </c>
      <c r="AG80" s="100">
        <f>INDEX(DES_2!$A:$J,MATCH('2018'!$A80,DES_2!$A:$A,0),MATCH('2018'!$A$1,DES_2!$3:$3,0))/(B80/1000)</f>
        <v>0.61184021883552464</v>
      </c>
      <c r="AH80" s="57">
        <f>1/INDEX(DES_3!$A:$J,MATCH('2018'!$A80,DES_3!$A:$A,0),MATCH('2018'!$A$1,DES_3!$3:$3,0))</f>
        <v>8.8652482269503553E-3</v>
      </c>
      <c r="AI80" s="80" t="e">
        <f>INDEX(DES_4!$A:$J,MATCH('2018'!$A80,DES_4!$A:$A,0),MATCH('2018'!$A$1,DES_4!$3:$3,0))</f>
        <v>#N/A</v>
      </c>
      <c r="AJ80" s="110" t="e">
        <f>INDEX(DES_5!$A:$J,MATCH('2018'!$A80,DES_5!$A:$A,0),MATCH('2018'!$A$1,DES_5!$3:$3,0))</f>
        <v>#N/A</v>
      </c>
      <c r="AK80" s="57">
        <v>59</v>
      </c>
    </row>
    <row r="81" spans="1:37" x14ac:dyDescent="0.3">
      <c r="A81" s="29" t="s">
        <v>80</v>
      </c>
      <c r="B81" s="33">
        <f>INDEX(Population!$A:$J,MATCH('2018'!$A81,Population!$A:$A,0),MATCH('2018'!$A$1,Population!$3:$3,0))</f>
        <v>1171486</v>
      </c>
      <c r="C81" s="14">
        <f>INDEX(Income!$A:$J,MATCH('2018'!$A81,Income!$A:$A,0),MATCH('2018'!$A$1,Income!$3:$3,0))</f>
        <v>27012</v>
      </c>
      <c r="D81" s="34">
        <f>INDEX(Livable_wage!$A:$J,MATCH('2018'!$A81,Livable_wage!$A:$A,0),MATCH('2018'!$A$1,Livable_wage!$3:$3,0))</f>
        <v>11633</v>
      </c>
      <c r="E81" s="41">
        <f>INDEX(AVA_1!$A:$J,MATCH('2018'!$A81,AVA_1!$A:$A,0),MATCH('2018'!$A$1,AVA_1!$3:$3,0))</f>
        <v>0.35399999999999998</v>
      </c>
      <c r="F81" s="15">
        <f>INDEX(AVA_2!$A:$J,MATCH('2018'!$A81,AVA_2!$A:$A,0),MATCH('2018'!$A$1,AVA_2!$3:$3,0))</f>
        <v>1.0149829042489497E-2</v>
      </c>
      <c r="G81" s="15">
        <f>INDEX(AVA_3!$A:$J,MATCH('2018'!$A81,AVA_3!$A:$A,0),MATCH('2018'!$A$1,AVA_3!$3:$3,0))</f>
        <v>7.0230033486122542E-2</v>
      </c>
      <c r="H81" s="87">
        <f>INDEX(AVA_4!$A:$J,MATCH('2018'!$A81,AVA_4!$A:$A,0),MATCH('2018'!$A$1,AVA_4!$3:$3,0))/(B81/1000)</f>
        <v>0.66155293362447343</v>
      </c>
      <c r="I81" s="89">
        <f>INDEX(AVA_5!$A:$J,MATCH('2018'!$A81,AVA_5!$A:$A,0),MATCH('2018'!$A$1,AVA_5!$3:$3,0))/(B81/1000)</f>
        <v>5.8959304677990172</v>
      </c>
      <c r="J81" s="93">
        <f>INDEX(IRA_1!$A:$J,MATCH('2018'!$A81,IRA_1!$A:$A,0),MATCH('2018'!$A$1,IRA_1!$3:$3,0))/(B81/1000)</f>
        <v>7.0850185149459746E-2</v>
      </c>
      <c r="K81" s="88">
        <f>INDEX(IRA_2!$A:$J,MATCH('2018'!$A81,IRA_2!$A:$A,0),MATCH('2018'!$A$1,IRA_2!$3:$3,0))/(B81/1000)</f>
        <v>0.20230715518580672</v>
      </c>
      <c r="L81" s="15">
        <f>INDEX(IRA_3!$A:$J,MATCH('2018'!$A81,IRA_3!$A:$A,0),MATCH('2018'!$A$1,IRA_3!$3:$3,0))</f>
        <v>0.35713542208806082</v>
      </c>
      <c r="M81" s="96">
        <f>INDEX(IRA_4!$A:$J,MATCH('2018'!$A81,IRA_4!$A:$A,0),MATCH('2018'!$A$1,IRA_4!$3:$3,0))/(B81/1000)</f>
        <v>4.2971064101491603</v>
      </c>
      <c r="N81" s="61">
        <f>INDEX(INV_1!$A:$J,MATCH('2018'!$A81,INV_1!$A:$A,0),MATCH('2018'!$A$1,INV_1!$3:$3,0))</f>
        <v>7.8399936419818531E-2</v>
      </c>
      <c r="O81" s="80">
        <f>INDEX(INV_2!$A:$J,MATCH('2018'!$A81,INV_2!$A:$A,0),MATCH('2018'!$A$1,INV_2!$3:$3,0))/B81*10^6/C81</f>
        <v>0.22361342365537845</v>
      </c>
      <c r="P81" s="87">
        <f>INDEX(INV_3!$A:$J,MATCH('2018'!$A81,INV_3!$A:$A,0),MATCH('2018'!$A$1,INV_3!$3:$3,0))/B81*10^6/C81</f>
        <v>3.5847666333032109</v>
      </c>
      <c r="Q81" s="87">
        <f>INDEX(INV_4!$A:$J,MATCH('2018'!$A81,INV_4!$A:$A,0),MATCH('2018'!$A$1,INV_4!$3:$3,0))/B81*10^3/C81</f>
        <v>0.24590420549092779</v>
      </c>
      <c r="R81" s="34">
        <f>INDEX(INV_5!$A:$J,MATCH('2018'!$A81,INV_5!$A:$A,0),MATCH('2018'!$A$1,INV_5!$3:$3,0))</f>
        <v>4.7100000000000003E-2</v>
      </c>
      <c r="S81" s="77">
        <f>INDEX(LUJ_1!$A:$J,MATCH('2018'!$A81,LUJ_1!$A:$A,0),MATCH('2018'!$A$1,LUJ_1!$3:$3,0))</f>
        <v>0.73277256551277903</v>
      </c>
      <c r="T81" s="73">
        <f>INDEX(LUJ_2!$A:$J,MATCH('2018'!$A81,LUJ_2!$A:$A,0),MATCH('2018'!$A$1,LUJ_2!$3:$3,0))</f>
        <v>0.26120857699805067</v>
      </c>
      <c r="U81" s="73">
        <f>INDEX(LUJ_3!$A:$J,MATCH('2018'!$A81,LUJ_3!$A:$A,0),MATCH('2018'!$A$1,LUJ_3!$3:$3,0))</f>
        <v>0.6260555767183047</v>
      </c>
      <c r="V81" s="14">
        <f>INDEX(LUJ_4!$A:$J,MATCH('2018'!$A81,LUJ_4!$A:$A,0),MATCH('2018'!$A$1,LUJ_4!$3:$3,0))</f>
        <v>9</v>
      </c>
      <c r="W81" s="34">
        <f>INDEX(LUJ_5!$A:$J,MATCH('2018'!$A81,LUJ_5!$A:$A,0),MATCH('2018'!$A$1,LUJ_5!$3:$3,0))</f>
        <v>39.200000000000003</v>
      </c>
      <c r="X81" s="98">
        <f>1/INDEX(GUL_1!$A:$J,MATCH('2018'!$A81,GUL_1!$A:$A,0),MATCH('2018'!$A$1,GUL_1!$3:$3,0))</f>
        <v>1.3999720005599887E-2</v>
      </c>
      <c r="Y81" s="57" t="e">
        <f>INDEX(GUL_2!$A:$J,MATCH('2018'!$A81,GUL_2!$A:$A,0),MATCH('2018'!$A$1,GUL_2!$3:$3,0))</f>
        <v>#N/A</v>
      </c>
      <c r="Z81" s="57">
        <f>INDEX(GUL_3!$A:$J,MATCH('2018'!$A81,GUL_3!$A:$A,0),MATCH('2018'!$A$1,GUL_3!$3:$3,0))/(B81/1000)</f>
        <v>0.94153920746812159</v>
      </c>
      <c r="AA81" s="101">
        <f>INDEX(GUL_4!$A:$J,MATCH('2018'!$A81,GUL_4!$A:$A,0),MATCH('2018'!$A$1,GUL_4!$3:$3,0))/B81/C81*10^6</f>
        <v>0.25562015014906964</v>
      </c>
      <c r="AB81" s="73">
        <f>INDEX(GUL_5!$A:$J,MATCH('2018'!$A81,GUL_5!$A:$A,0),MATCH('2018'!$A$1,GUL_5!$3:$3,0))</f>
        <v>2.8554369332044457E-2</v>
      </c>
      <c r="AC81" s="49" t="e">
        <f>INDEX(GUL_6!$A:$J,MATCH('2018'!$A81,GUL_6!$A:$A,0),MATCH('2018'!$A$1,GUL_6!$3:$3,0))</f>
        <v>#N/A</v>
      </c>
      <c r="AD81" s="49" t="e">
        <f>INDEX(GUL_7!$A:$J,MATCH('2018'!$A81,GUL_7!$A:$A,0),MATCH('2018'!$A$1,GUL_7!$3:$3,0))</f>
        <v>#N/A</v>
      </c>
      <c r="AE81" s="103">
        <f>INDEX(GUL_8!$A:$J,MATCH('2018'!$A81,GUL_8!$A:$A,0),MATCH('2018'!$A$1,GUL_8!$3:$3,0))/(B81/1000)</f>
        <v>3.7533525795442708</v>
      </c>
      <c r="AF81" s="41">
        <f>INDEX(DES_1!$A:$J,MATCH('2018'!$A81,DES_1!$A:$A,0),MATCH('2018'!$A$1,DES_1!$3:$3,0))/(B81/1000)</f>
        <v>0.16901610433244613</v>
      </c>
      <c r="AG81" s="100">
        <f>INDEX(DES_2!$A:$J,MATCH('2018'!$A81,DES_2!$A:$A,0),MATCH('2018'!$A$1,DES_2!$3:$3,0))/(B81/1000)</f>
        <v>0.30218030774588855</v>
      </c>
      <c r="AH81" s="57">
        <f>1/INDEX(DES_3!$A:$J,MATCH('2018'!$A81,DES_3!$A:$A,0),MATCH('2018'!$A$1,DES_3!$3:$3,0))</f>
        <v>8.6956521739130436E-3</v>
      </c>
      <c r="AI81" s="80" t="e">
        <f>INDEX(DES_4!$A:$J,MATCH('2018'!$A81,DES_4!$A:$A,0),MATCH('2018'!$A$1,DES_4!$3:$3,0))</f>
        <v>#N/A</v>
      </c>
      <c r="AJ81" s="110" t="e">
        <f>INDEX(DES_5!$A:$J,MATCH('2018'!$A81,DES_5!$A:$A,0),MATCH('2018'!$A$1,DES_5!$3:$3,0))</f>
        <v>#N/A</v>
      </c>
      <c r="AK81" s="57">
        <v>55</v>
      </c>
    </row>
    <row r="82" spans="1:37" x14ac:dyDescent="0.3">
      <c r="A82" s="29" t="s">
        <v>81</v>
      </c>
      <c r="B82" s="33">
        <f>INDEX(Population!$A:$J,MATCH('2018'!$A82,Population!$A:$A,0),MATCH('2018'!$A$1,Population!$3:$3,0))</f>
        <v>484116</v>
      </c>
      <c r="C82" s="14">
        <f>INDEX(Income!$A:$J,MATCH('2018'!$A82,Income!$A:$A,0),MATCH('2018'!$A$1,Income!$3:$3,0))</f>
        <v>16163</v>
      </c>
      <c r="D82" s="34">
        <f>INDEX(Livable_wage!$A:$J,MATCH('2018'!$A82,Livable_wage!$A:$A,0),MATCH('2018'!$A$1,Livable_wage!$3:$3,0))</f>
        <v>9596</v>
      </c>
      <c r="E82" s="41">
        <f>INDEX(AVA_1!$A:$J,MATCH('2018'!$A82,AVA_1!$A:$A,0),MATCH('2018'!$A$1,AVA_1!$3:$3,0))</f>
        <v>0.34200000000000003</v>
      </c>
      <c r="F82" s="15">
        <f>INDEX(AVA_2!$A:$J,MATCH('2018'!$A82,AVA_2!$A:$A,0),MATCH('2018'!$A$1,AVA_2!$3:$3,0))</f>
        <v>7.0250537684804744E-3</v>
      </c>
      <c r="G82" s="15">
        <f>INDEX(AVA_3!$A:$J,MATCH('2018'!$A82,AVA_3!$A:$A,0),MATCH('2018'!$A$1,AVA_3!$3:$3,0))</f>
        <v>5.3373694373656085E-2</v>
      </c>
      <c r="H82" s="87">
        <f>INDEX(AVA_4!$A:$J,MATCH('2018'!$A82,AVA_4!$A:$A,0),MATCH('2018'!$A$1,AVA_4!$3:$3,0))/(B82/1000)</f>
        <v>0.40899288600252831</v>
      </c>
      <c r="I82" s="89">
        <f>INDEX(AVA_5!$A:$J,MATCH('2018'!$A82,AVA_5!$A:$A,0),MATCH('2018'!$A$1,AVA_5!$3:$3,0))/(B82/1000)</f>
        <v>0.66099860364044982</v>
      </c>
      <c r="J82" s="93">
        <f>INDEX(IRA_1!$A:$J,MATCH('2018'!$A82,IRA_1!$A:$A,0),MATCH('2018'!$A$1,IRA_1!$3:$3,0))/(B82/1000)</f>
        <v>3.51155508183989E-2</v>
      </c>
      <c r="K82" s="88">
        <f>INDEX(IRA_2!$A:$J,MATCH('2018'!$A82,IRA_2!$A:$A,0),MATCH('2018'!$A$1,IRA_2!$3:$3,0))/(B82/1000)</f>
        <v>2.2721827000140464E-2</v>
      </c>
      <c r="L82" s="15">
        <f>INDEX(IRA_3!$A:$J,MATCH('2018'!$A82,IRA_3!$A:$A,0),MATCH('2018'!$A$1,IRA_3!$3:$3,0))</f>
        <v>0.75858480749219559</v>
      </c>
      <c r="M82" s="96">
        <f>INDEX(IRA_4!$A:$J,MATCH('2018'!$A82,IRA_4!$A:$A,0),MATCH('2018'!$A$1,IRA_4!$3:$3,0))/(B82/1000)</f>
        <v>1.2331755199167143</v>
      </c>
      <c r="N82" s="61">
        <f>INDEX(INV_1!$A:$J,MATCH('2018'!$A82,INV_1!$A:$A,0),MATCH('2018'!$A$1,INV_1!$3:$3,0))</f>
        <v>5.106038089084336E-2</v>
      </c>
      <c r="O82" s="80">
        <f>INDEX(INV_2!$A:$J,MATCH('2018'!$A82,INV_2!$A:$A,0),MATCH('2018'!$A$1,INV_2!$3:$3,0))/B82*10^6/C82</f>
        <v>3.1951305762781199E-2</v>
      </c>
      <c r="P82" s="87">
        <f>INDEX(INV_3!$A:$J,MATCH('2018'!$A82,INV_3!$A:$A,0),MATCH('2018'!$A$1,INV_3!$3:$3,0))/B82*10^6/C82</f>
        <v>0.76347322166136533</v>
      </c>
      <c r="Q82" s="87">
        <f>INDEX(INV_4!$A:$J,MATCH('2018'!$A82,INV_4!$A:$A,0),MATCH('2018'!$A$1,INV_4!$3:$3,0))/B82*10^3/C82</f>
        <v>0.23274364864952729</v>
      </c>
      <c r="R82" s="34">
        <f>INDEX(INV_5!$A:$J,MATCH('2018'!$A82,INV_5!$A:$A,0),MATCH('2018'!$A$1,INV_5!$3:$3,0))</f>
        <v>8.9399999999999993E-2</v>
      </c>
      <c r="S82" s="77">
        <f>INDEX(LUJ_1!$A:$J,MATCH('2018'!$A82,LUJ_1!$A:$A,0),MATCH('2018'!$A$1,LUJ_1!$3:$3,0))</f>
        <v>0.21122286924298569</v>
      </c>
      <c r="T82" s="73">
        <f>INDEX(LUJ_2!$A:$J,MATCH('2018'!$A82,LUJ_2!$A:$A,0),MATCH('2018'!$A$1,LUJ_2!$3:$3,0))</f>
        <v>0.12897614314115308</v>
      </c>
      <c r="U82" s="73">
        <f>INDEX(LUJ_3!$A:$J,MATCH('2018'!$A82,LUJ_3!$A:$A,0),MATCH('2018'!$A$1,LUJ_3!$3:$3,0))</f>
        <v>0.10921968190854871</v>
      </c>
      <c r="V82" s="14">
        <f>INDEX(LUJ_4!$A:$J,MATCH('2018'!$A82,LUJ_4!$A:$A,0),MATCH('2018'!$A$1,LUJ_4!$3:$3,0))</f>
        <v>1</v>
      </c>
      <c r="W82" s="34">
        <f>INDEX(LUJ_5!$A:$J,MATCH('2018'!$A82,LUJ_5!$A:$A,0),MATCH('2018'!$A$1,LUJ_5!$3:$3,0))</f>
        <v>8.1</v>
      </c>
      <c r="X82" s="98">
        <f>1/INDEX(GUL_1!$A:$J,MATCH('2018'!$A82,GUL_1!$A:$A,0),MATCH('2018'!$A$1,GUL_1!$3:$3,0))</f>
        <v>1.2134449702705982E-2</v>
      </c>
      <c r="Y82" s="57" t="e">
        <f>INDEX(GUL_2!$A:$J,MATCH('2018'!$A82,GUL_2!$A:$A,0),MATCH('2018'!$A$1,GUL_2!$3:$3,0))</f>
        <v>#N/A</v>
      </c>
      <c r="Z82" s="57">
        <f>INDEX(GUL_3!$A:$J,MATCH('2018'!$A82,GUL_3!$A:$A,0),MATCH('2018'!$A$1,GUL_3!$3:$3,0))/(B82/1000)</f>
        <v>4.7509274636657328E-2</v>
      </c>
      <c r="AA82" s="101">
        <f>INDEX(GUL_4!$A:$J,MATCH('2018'!$A82,GUL_4!$A:$A,0),MATCH('2018'!$A$1,GUL_4!$3:$3,0))/B82/C82*10^6</f>
        <v>5.8928272934056836E-2</v>
      </c>
      <c r="AB82" s="73">
        <f>INDEX(GUL_5!$A:$J,MATCH('2018'!$A82,GUL_5!$A:$A,0),MATCH('2018'!$A$1,GUL_5!$3:$3,0))</f>
        <v>3.3208172632575978E-3</v>
      </c>
      <c r="AC82" s="49" t="e">
        <f>INDEX(GUL_6!$A:$J,MATCH('2018'!$A82,GUL_6!$A:$A,0),MATCH('2018'!$A$1,GUL_6!$3:$3,0))</f>
        <v>#N/A</v>
      </c>
      <c r="AD82" s="49" t="e">
        <f>INDEX(GUL_7!$A:$J,MATCH('2018'!$A82,GUL_7!$A:$A,0),MATCH('2018'!$A$1,GUL_7!$3:$3,0))</f>
        <v>#N/A</v>
      </c>
      <c r="AE82" s="103">
        <f>INDEX(GUL_8!$A:$J,MATCH('2018'!$A82,GUL_8!$A:$A,0),MATCH('2018'!$A$1,GUL_8!$3:$3,0))/(B82/1000)</f>
        <v>0.1838402366375001</v>
      </c>
      <c r="AF82" s="41">
        <f>INDEX(DES_1!$A:$J,MATCH('2018'!$A82,DES_1!$A:$A,0),MATCH('2018'!$A$1,DES_1!$3:$3,0))/(B82/1000)</f>
        <v>2.0656206363764058E-3</v>
      </c>
      <c r="AG82" s="100">
        <f>INDEX(DES_2!$A:$J,MATCH('2018'!$A82,DES_2!$A:$A,0),MATCH('2018'!$A$1,DES_2!$3:$3,0))/(B82/1000)</f>
        <v>0.42758347172991601</v>
      </c>
      <c r="AH82" s="57">
        <f>1/INDEX(DES_3!$A:$J,MATCH('2018'!$A82,DES_3!$A:$A,0),MATCH('2018'!$A$1,DES_3!$3:$3,0))</f>
        <v>9.4517958412098299E-3</v>
      </c>
      <c r="AI82" s="80" t="e">
        <f>INDEX(DES_4!$A:$J,MATCH('2018'!$A82,DES_4!$A:$A,0),MATCH('2018'!$A$1,DES_4!$3:$3,0))</f>
        <v>#N/A</v>
      </c>
      <c r="AJ82" s="110" t="e">
        <f>INDEX(DES_5!$A:$J,MATCH('2018'!$A82,DES_5!$A:$A,0),MATCH('2018'!$A$1,DES_5!$3:$3,0))</f>
        <v>#N/A</v>
      </c>
      <c r="AK82" s="57">
        <v>34</v>
      </c>
    </row>
    <row r="83" spans="1:37" x14ac:dyDescent="0.3">
      <c r="A83" s="29" t="s">
        <v>82</v>
      </c>
      <c r="B83" s="33">
        <f>INDEX(Population!$A:$J,MATCH('2018'!$A83,Population!$A:$A,0),MATCH('2018'!$A$1,Population!$3:$3,0))</f>
        <v>3486357</v>
      </c>
      <c r="C83" s="14">
        <f>INDEX(Income!$A:$J,MATCH('2018'!$A83,Income!$A:$A,0),MATCH('2018'!$A$1,Income!$3:$3,0))</f>
        <v>24392</v>
      </c>
      <c r="D83" s="34">
        <f>INDEX(Livable_wage!$A:$J,MATCH('2018'!$A83,Livable_wage!$A:$A,0),MATCH('2018'!$A$1,Livable_wage!$3:$3,0))</f>
        <v>10002</v>
      </c>
      <c r="E83" s="41">
        <f>INDEX(AVA_1!$A:$J,MATCH('2018'!$A83,AVA_1!$A:$A,0),MATCH('2018'!$A$1,AVA_1!$3:$3,0))</f>
        <v>0.35499999999999998</v>
      </c>
      <c r="F83" s="15">
        <f>INDEX(AVA_2!$A:$J,MATCH('2018'!$A83,AVA_2!$A:$A,0),MATCH('2018'!$A$1,AVA_2!$3:$3,0))</f>
        <v>1.1823070361973132E-2</v>
      </c>
      <c r="G83" s="15">
        <f>INDEX(AVA_3!$A:$J,MATCH('2018'!$A83,AVA_3!$A:$A,0),MATCH('2018'!$A$1,AVA_3!$3:$3,0))</f>
        <v>1.8611856537943103E-2</v>
      </c>
      <c r="H83" s="87">
        <f>INDEX(AVA_4!$A:$J,MATCH('2018'!$A83,AVA_4!$A:$A,0),MATCH('2018'!$A$1,AVA_4!$3:$3,0))/(B83/1000)</f>
        <v>0.89979310781999666</v>
      </c>
      <c r="I83" s="89">
        <f>INDEX(AVA_5!$A:$J,MATCH('2018'!$A83,AVA_5!$A:$A,0),MATCH('2018'!$A$1,AVA_5!$3:$3,0))/(B83/1000)</f>
        <v>7.1544595117482235</v>
      </c>
      <c r="J83" s="93">
        <f>INDEX(IRA_1!$A:$J,MATCH('2018'!$A83,IRA_1!$A:$A,0),MATCH('2018'!$A$1,IRA_1!$3:$3,0))/(B83/1000)</f>
        <v>7.0273927770449218E-2</v>
      </c>
      <c r="K83" s="88">
        <f>INDEX(IRA_2!$A:$J,MATCH('2018'!$A83,IRA_2!$A:$A,0),MATCH('2018'!$A$1,IRA_2!$3:$3,0))/(B83/1000)</f>
        <v>0.2105349509531009</v>
      </c>
      <c r="L83" s="15">
        <f>INDEX(IRA_3!$A:$J,MATCH('2018'!$A83,IRA_3!$A:$A,0),MATCH('2018'!$A$1,IRA_3!$3:$3,0))</f>
        <v>0.38298300987173461</v>
      </c>
      <c r="M83" s="96">
        <f>INDEX(IRA_4!$A:$J,MATCH('2018'!$A83,IRA_4!$A:$A,0),MATCH('2018'!$A$1,IRA_4!$3:$3,0))/(B83/1000)</f>
        <v>6.0593335679622022</v>
      </c>
      <c r="N83" s="61">
        <f>INDEX(INV_1!$A:$J,MATCH('2018'!$A83,INV_1!$A:$A,0),MATCH('2018'!$A$1,INV_1!$3:$3,0))</f>
        <v>7.9140085591562367E-2</v>
      </c>
      <c r="O83" s="80">
        <f>INDEX(INV_2!$A:$J,MATCH('2018'!$A83,INV_2!$A:$A,0),MATCH('2018'!$A$1,INV_2!$3:$3,0))/B83*10^6/C83</f>
        <v>0.37330258390075721</v>
      </c>
      <c r="P83" s="87">
        <f>INDEX(INV_3!$A:$J,MATCH('2018'!$A83,INV_3!$A:$A,0),MATCH('2018'!$A$1,INV_3!$3:$3,0))/B83*10^6/C83</f>
        <v>3.847377718368691</v>
      </c>
      <c r="Q83" s="87">
        <f>INDEX(INV_4!$A:$J,MATCH('2018'!$A83,INV_4!$A:$A,0),MATCH('2018'!$A$1,INV_4!$3:$3,0))/B83*10^3/C83</f>
        <v>0.2797508445593227</v>
      </c>
      <c r="R83" s="34">
        <f>INDEX(INV_5!$A:$J,MATCH('2018'!$A83,INV_5!$A:$A,0),MATCH('2018'!$A$1,INV_5!$3:$3,0))</f>
        <v>8.8300000000000003E-2</v>
      </c>
      <c r="S83" s="77">
        <f>INDEX(LUJ_1!$A:$J,MATCH('2018'!$A83,LUJ_1!$A:$A,0),MATCH('2018'!$A$1,LUJ_1!$3:$3,0))</f>
        <v>0.75035676909903914</v>
      </c>
      <c r="T83" s="73">
        <f>INDEX(LUJ_2!$A:$J,MATCH('2018'!$A83,LUJ_2!$A:$A,0),MATCH('2018'!$A$1,LUJ_2!$3:$3,0))</f>
        <v>0.21917117690756663</v>
      </c>
      <c r="U83" s="73">
        <f>INDEX(LUJ_3!$A:$J,MATCH('2018'!$A83,LUJ_3!$A:$A,0),MATCH('2018'!$A$1,LUJ_3!$3:$3,0))</f>
        <v>0.48466504421761764</v>
      </c>
      <c r="V83" s="14">
        <f>INDEX(LUJ_4!$A:$J,MATCH('2018'!$A83,LUJ_4!$A:$A,0),MATCH('2018'!$A$1,LUJ_4!$3:$3,0))</f>
        <v>70</v>
      </c>
      <c r="W83" s="34">
        <f>INDEX(LUJ_5!$A:$J,MATCH('2018'!$A83,LUJ_5!$A:$A,0),MATCH('2018'!$A$1,LUJ_5!$3:$3,0))</f>
        <v>102.9</v>
      </c>
      <c r="X83" s="98">
        <f>1/INDEX(GUL_1!$A:$J,MATCH('2018'!$A83,GUL_1!$A:$A,0),MATCH('2018'!$A$1,GUL_1!$3:$3,0))</f>
        <v>1.3958682300390842E-2</v>
      </c>
      <c r="Y83" s="57" t="e">
        <f>INDEX(GUL_2!$A:$J,MATCH('2018'!$A83,GUL_2!$A:$A,0),MATCH('2018'!$A$1,GUL_2!$3:$3,0))</f>
        <v>#N/A</v>
      </c>
      <c r="Z83" s="57">
        <f>INDEX(GUL_3!$A:$J,MATCH('2018'!$A83,GUL_3!$A:$A,0),MATCH('2018'!$A$1,GUL_3!$3:$3,0))/(B83/1000)</f>
        <v>0.65254361501131408</v>
      </c>
      <c r="AA83" s="101">
        <f>INDEX(GUL_4!$A:$J,MATCH('2018'!$A83,GUL_4!$A:$A,0),MATCH('2018'!$A$1,GUL_4!$3:$3,0))/B83/C83*10^6</f>
        <v>0.2479478294119476</v>
      </c>
      <c r="AB83" s="73">
        <f>INDEX(GUL_5!$A:$J,MATCH('2018'!$A83,GUL_5!$A:$A,0),MATCH('2018'!$A$1,GUL_5!$3:$3,0))</f>
        <v>3.331406373987654E-2</v>
      </c>
      <c r="AC83" s="49" t="e">
        <f>INDEX(GUL_6!$A:$J,MATCH('2018'!$A83,GUL_6!$A:$A,0),MATCH('2018'!$A$1,GUL_6!$3:$3,0))</f>
        <v>#N/A</v>
      </c>
      <c r="AD83" s="49" t="e">
        <f>INDEX(GUL_7!$A:$J,MATCH('2018'!$A83,GUL_7!$A:$A,0),MATCH('2018'!$A$1,GUL_7!$3:$3,0))</f>
        <v>#N/A</v>
      </c>
      <c r="AE83" s="103">
        <f>INDEX(GUL_8!$A:$J,MATCH('2018'!$A83,GUL_8!$A:$A,0),MATCH('2018'!$A$1,GUL_8!$3:$3,0))/(B83/1000)</f>
        <v>3.3602410768604591</v>
      </c>
      <c r="AF83" s="41">
        <f>INDEX(DES_1!$A:$J,MATCH('2018'!$A83,DES_1!$A:$A,0),MATCH('2018'!$A$1,DES_1!$3:$3,0))/(B83/1000)</f>
        <v>0.17496773853050621</v>
      </c>
      <c r="AG83" s="100">
        <f>INDEX(DES_2!$A:$J,MATCH('2018'!$A83,DES_2!$A:$A,0),MATCH('2018'!$A$1,DES_2!$3:$3,0))/(B83/1000)</f>
        <v>0.92560802006220244</v>
      </c>
      <c r="AH83" s="57">
        <f>1/INDEX(DES_3!$A:$J,MATCH('2018'!$A83,DES_3!$A:$A,0),MATCH('2018'!$A$1,DES_3!$3:$3,0))</f>
        <v>9.0334236675700084E-3</v>
      </c>
      <c r="AI83" s="80" t="e">
        <f>INDEX(DES_4!$A:$J,MATCH('2018'!$A83,DES_4!$A:$A,0),MATCH('2018'!$A$1,DES_4!$3:$3,0))</f>
        <v>#N/A</v>
      </c>
      <c r="AJ83" s="110" t="e">
        <f>INDEX(DES_5!$A:$J,MATCH('2018'!$A83,DES_5!$A:$A,0),MATCH('2018'!$A$1,DES_5!$3:$3,0))</f>
        <v>#N/A</v>
      </c>
      <c r="AK83" s="57">
        <v>24</v>
      </c>
    </row>
    <row r="84" spans="1:37" ht="17.25" thickBot="1" x14ac:dyDescent="0.35">
      <c r="A84" s="29" t="s">
        <v>83</v>
      </c>
      <c r="B84" s="35">
        <f>INDEX(Population!$A:$J,MATCH('2018'!$A84,Population!$A:$A,0),MATCH('2018'!$A$1,Population!$3:$3,0))</f>
        <v>4120410</v>
      </c>
      <c r="C84" s="36">
        <f>INDEX(Income!$A:$J,MATCH('2018'!$A84,Income!$A:$A,0),MATCH('2018'!$A$1,Income!$3:$3,0))</f>
        <v>28972</v>
      </c>
      <c r="D84" s="37">
        <f>INDEX(Livable_wage!$A:$J,MATCH('2018'!$A84,Livable_wage!$A:$A,0),MATCH('2018'!$A$1,Livable_wage!$3:$3,0))</f>
        <v>9355</v>
      </c>
      <c r="E84" s="42">
        <f>INDEX(AVA_1!$A:$J,MATCH('2018'!$A84,AVA_1!$A:$A,0),MATCH('2018'!$A$1,AVA_1!$3:$3,0))</f>
        <v>0.41099999999999998</v>
      </c>
      <c r="F84" s="43">
        <f>INDEX(AVA_2!$A:$J,MATCH('2018'!$A84,AVA_2!$A:$A,0),MATCH('2018'!$A$1,AVA_2!$3:$3,0))</f>
        <v>1.1473175970352753E-2</v>
      </c>
      <c r="G84" s="43">
        <f>INDEX(AVA_3!$A:$J,MATCH('2018'!$A84,AVA_3!$A:$A,0),MATCH('2018'!$A$1,AVA_3!$3:$3,0))</f>
        <v>4.0289874774967177E-2</v>
      </c>
      <c r="H84" s="87">
        <f>INDEX(AVA_4!$A:$J,MATCH('2018'!$A84,AVA_4!$A:$A,0),MATCH('2018'!$A$1,AVA_4!$3:$3,0))/(B84/1000)</f>
        <v>0.59605718848367029</v>
      </c>
      <c r="I84" s="90">
        <f>INDEX(AVA_5!$A:$J,MATCH('2018'!$A84,AVA_5!$A:$A,0),MATCH('2018'!$A$1,AVA_5!$3:$3,0))/(B84/1000)</f>
        <v>5.1300720073973221</v>
      </c>
      <c r="J84" s="94">
        <f>INDEX(IRA_1!$A:$J,MATCH('2018'!$A84,IRA_1!$A:$A,0),MATCH('2018'!$A$1,IRA_1!$3:$3,0))/(B84/1000)</f>
        <v>6.2129739516213194E-2</v>
      </c>
      <c r="K84" s="95">
        <f>INDEX(IRA_2!$A:$J,MATCH('2018'!$A84,IRA_2!$A:$A,0),MATCH('2018'!$A$1,IRA_2!$3:$3,0))/(B84/1000)</f>
        <v>0.15847937462534067</v>
      </c>
      <c r="L84" s="43">
        <f>INDEX(IRA_3!$A:$J,MATCH('2018'!$A84,IRA_3!$A:$A,0),MATCH('2018'!$A$1,IRA_3!$3:$3,0))</f>
        <v>0.37215401573605988</v>
      </c>
      <c r="M84" s="97">
        <f>INDEX(IRA_4!$A:$J,MATCH('2018'!$A84,IRA_4!$A:$A,0),MATCH('2018'!$A$1,IRA_4!$3:$3,0))/(B84/1000)</f>
        <v>4.6092500503590665</v>
      </c>
      <c r="N84" s="62">
        <f>INDEX(INV_1!$A:$J,MATCH('2018'!$A84,INV_1!$A:$A,0),MATCH('2018'!$A$1,INV_1!$3:$3,0))</f>
        <v>7.4762817198971987E-2</v>
      </c>
      <c r="O84" s="91">
        <f>INDEX(INV_2!$A:$J,MATCH('2018'!$A84,INV_2!$A:$A,0),MATCH('2018'!$A$1,INV_2!$3:$3,0))/B84*10^6/C84</f>
        <v>0.35657975801052033</v>
      </c>
      <c r="P84" s="92">
        <f>INDEX(INV_3!$A:$J,MATCH('2018'!$A84,INV_3!$A:$A,0),MATCH('2018'!$A$1,INV_3!$3:$3,0))/B84*10^6/C84</f>
        <v>3.3888992995906642</v>
      </c>
      <c r="Q84" s="92">
        <f>INDEX(INV_4!$A:$J,MATCH('2018'!$A84,INV_4!$A:$A,0),MATCH('2018'!$A$1,INV_4!$3:$3,0))/B84*10^3/C84</f>
        <v>0.25431882816144974</v>
      </c>
      <c r="R84" s="37">
        <f>INDEX(INV_5!$A:$J,MATCH('2018'!$A84,INV_5!$A:$A,0),MATCH('2018'!$A$1,INV_5!$3:$3,0))</f>
        <v>9.2999999999999999E-2</v>
      </c>
      <c r="S84" s="78">
        <f>INDEX(LUJ_1!$A:$J,MATCH('2018'!$A84,LUJ_1!$A:$A,0),MATCH('2018'!$A$1,LUJ_1!$3:$3,0))</f>
        <v>0.60644169360561384</v>
      </c>
      <c r="T84" s="79">
        <f>INDEX(LUJ_2!$A:$J,MATCH('2018'!$A84,LUJ_2!$A:$A,0),MATCH('2018'!$A$1,LUJ_2!$3:$3,0))</f>
        <v>0.16894277813231226</v>
      </c>
      <c r="U84" s="79">
        <f>INDEX(LUJ_3!$A:$J,MATCH('2018'!$A84,LUJ_3!$A:$A,0),MATCH('2018'!$A$1,LUJ_3!$3:$3,0))</f>
        <v>0.32254839395873219</v>
      </c>
      <c r="V84" s="36">
        <f>INDEX(LUJ_4!$A:$J,MATCH('2018'!$A84,LUJ_4!$A:$A,0),MATCH('2018'!$A$1,LUJ_4!$3:$3,0))</f>
        <v>110</v>
      </c>
      <c r="W84" s="37">
        <f>INDEX(LUJ_5!$A:$J,MATCH('2018'!$A84,LUJ_5!$A:$A,0),MATCH('2018'!$A$1,LUJ_5!$3:$3,0))</f>
        <v>68.599999999999994</v>
      </c>
      <c r="X84" s="99">
        <f>1/INDEX(GUL_1!$A:$J,MATCH('2018'!$A84,GUL_1!$A:$A,0),MATCH('2018'!$A$1,GUL_1!$3:$3,0))</f>
        <v>1.3877324451845684E-2</v>
      </c>
      <c r="Y84" s="85" t="e">
        <f>INDEX(GUL_2!$A:$J,MATCH('2018'!$A84,GUL_2!$A:$A,0),MATCH('2018'!$A$1,GUL_2!$3:$3,0))</f>
        <v>#N/A</v>
      </c>
      <c r="Z84" s="85">
        <f>INDEX(GUL_3!$A:$J,MATCH('2018'!$A84,GUL_3!$A:$A,0),MATCH('2018'!$A$1,GUL_3!$3:$3,0))/(B84/1000)</f>
        <v>0.60406610021818219</v>
      </c>
      <c r="AA84" s="102">
        <f>INDEX(GUL_4!$A:$J,MATCH('2018'!$A84,GUL_4!$A:$A,0),MATCH('2018'!$A$1,GUL_4!$3:$3,0))/B84/C84*10^6</f>
        <v>0.24948365364676242</v>
      </c>
      <c r="AB84" s="79">
        <f>INDEX(GUL_5!$A:$J,MATCH('2018'!$A84,GUL_5!$A:$A,0),MATCH('2018'!$A$1,GUL_5!$3:$3,0))</f>
        <v>2.8985639418328928E-2</v>
      </c>
      <c r="AC84" s="86" t="e">
        <f>INDEX(GUL_6!$A:$J,MATCH('2018'!$A84,GUL_6!$A:$A,0),MATCH('2018'!$A$1,GUL_6!$3:$3,0))</f>
        <v>#N/A</v>
      </c>
      <c r="AD84" s="86" t="e">
        <f>INDEX(GUL_7!$A:$J,MATCH('2018'!$A84,GUL_7!$A:$A,0),MATCH('2018'!$A$1,GUL_7!$3:$3,0))</f>
        <v>#N/A</v>
      </c>
      <c r="AE84" s="104">
        <f>INDEX(GUL_8!$A:$J,MATCH('2018'!$A84,GUL_8!$A:$A,0),MATCH('2018'!$A$1,GUL_8!$3:$3,0))/(B84/1000)</f>
        <v>3.1479877002531302</v>
      </c>
      <c r="AF84" s="42">
        <f>INDEX(DES_1!$A:$J,MATCH('2018'!$A84,DES_1!$A:$A,0),MATCH('2018'!$A$1,DES_1!$3:$3,0))/(B84/1000)</f>
        <v>0.20070818195276685</v>
      </c>
      <c r="AG84" s="111">
        <f>INDEX(DES_2!$A:$J,MATCH('2018'!$A84,DES_2!$A:$A,0),MATCH('2018'!$A$1,DES_2!$3:$3,0))/(B84/1000)</f>
        <v>0.47301118092617001</v>
      </c>
      <c r="AH84" s="57">
        <f>1/INDEX(DES_3!$A:$J,MATCH('2018'!$A84,DES_3!$A:$A,0),MATCH('2018'!$A$1,DES_3!$3:$3,0))</f>
        <v>8.2034454470877767E-3</v>
      </c>
      <c r="AI84" s="91" t="e">
        <f>INDEX(DES_4!$A:$J,MATCH('2018'!$A84,DES_4!$A:$A,0),MATCH('2018'!$A$1,DES_4!$3:$3,0))</f>
        <v>#N/A</v>
      </c>
      <c r="AJ84" s="112" t="e">
        <f>INDEX(DES_5!$A:$J,MATCH('2018'!$A84,DES_5!$A:$A,0),MATCH('2018'!$A$1,DES_5!$3:$3,0))</f>
        <v>#N/A</v>
      </c>
      <c r="AK84" s="57">
        <v>61</v>
      </c>
    </row>
  </sheetData>
  <autoFilter ref="A1:AK84" xr:uid="{00000000-0001-0000-00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9F9BF-4DC2-40AB-8A3C-968F18673F8D}">
  <sheetPr codeName="Лист9">
    <tabColor theme="0" tint="-0.14999847407452621"/>
    <pageSetUpPr fitToPage="1"/>
  </sheetPr>
  <dimension ref="A1:Y103"/>
  <sheetViews>
    <sheetView showGridLines="0" topLeftCell="A16" workbookViewId="0">
      <selection activeCell="B77" sqref="B77"/>
    </sheetView>
  </sheetViews>
  <sheetFormatPr defaultRowHeight="16.5" x14ac:dyDescent="0.3"/>
  <cols>
    <col min="1" max="1" width="108.5703125" style="9" customWidth="1"/>
    <col min="2" max="2" width="10.85546875" style="4" customWidth="1"/>
    <col min="3" max="7" width="10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5" x14ac:dyDescent="0.3">
      <c r="A1" s="8" t="s">
        <v>112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12.75" customHeight="1" x14ac:dyDescent="0.3"/>
    <row r="3" spans="1:25" x14ac:dyDescent="0.3">
      <c r="A3" s="10"/>
      <c r="B3" s="5">
        <v>2017</v>
      </c>
      <c r="C3" s="6">
        <v>2018</v>
      </c>
      <c r="D3" s="6">
        <v>2019</v>
      </c>
      <c r="E3" s="6">
        <v>2020</v>
      </c>
      <c r="F3" s="6">
        <v>2021</v>
      </c>
      <c r="G3" s="6">
        <v>2022</v>
      </c>
    </row>
    <row r="4" spans="1:25" x14ac:dyDescent="0.3">
      <c r="A4" s="11" t="s">
        <v>87</v>
      </c>
      <c r="B4" s="18">
        <v>147688545</v>
      </c>
      <c r="C4" s="18">
        <v>147818888</v>
      </c>
      <c r="D4" s="18">
        <v>147899994</v>
      </c>
      <c r="E4" s="18">
        <v>147707517</v>
      </c>
      <c r="F4" s="18">
        <v>147217903</v>
      </c>
      <c r="G4" s="18">
        <v>146713743</v>
      </c>
    </row>
    <row r="5" spans="1:25" x14ac:dyDescent="0.3">
      <c r="A5" s="11" t="s">
        <v>96</v>
      </c>
      <c r="B5" s="18">
        <v>39972538</v>
      </c>
      <c r="C5" s="18">
        <v>40166110</v>
      </c>
      <c r="D5" s="18">
        <v>40336196</v>
      </c>
      <c r="E5" s="18">
        <v>40379696</v>
      </c>
      <c r="F5" s="18">
        <v>40319531</v>
      </c>
      <c r="G5" s="18">
        <v>40269144</v>
      </c>
    </row>
    <row r="6" spans="1:25" x14ac:dyDescent="0.3">
      <c r="A6" s="11" t="s">
        <v>50</v>
      </c>
      <c r="B6" s="18">
        <v>1554224</v>
      </c>
      <c r="C6" s="18">
        <v>1551910</v>
      </c>
      <c r="D6" s="18">
        <v>1551920</v>
      </c>
      <c r="E6" s="18">
        <v>1549193</v>
      </c>
      <c r="F6" s="18">
        <v>1540947</v>
      </c>
      <c r="G6" s="18">
        <v>1525496</v>
      </c>
    </row>
    <row r="7" spans="1:25" x14ac:dyDescent="0.3">
      <c r="A7" s="11" t="s">
        <v>48</v>
      </c>
      <c r="B7" s="18">
        <v>1213075</v>
      </c>
      <c r="C7" s="18">
        <v>1202671</v>
      </c>
      <c r="D7" s="18">
        <v>1193180</v>
      </c>
      <c r="E7" s="18">
        <v>1184133</v>
      </c>
      <c r="F7" s="18">
        <v>1171845</v>
      </c>
      <c r="G7" s="18">
        <v>1158570</v>
      </c>
    </row>
    <row r="8" spans="1:25" x14ac:dyDescent="0.3">
      <c r="A8" s="11" t="s">
        <v>20</v>
      </c>
      <c r="B8" s="18">
        <v>1394996</v>
      </c>
      <c r="C8" s="18">
        <v>1384819</v>
      </c>
      <c r="D8" s="18">
        <v>1376582</v>
      </c>
      <c r="E8" s="18">
        <v>1366384</v>
      </c>
      <c r="F8" s="18">
        <v>1350639</v>
      </c>
      <c r="G8" s="18">
        <v>1333872</v>
      </c>
    </row>
    <row r="9" spans="1:25" x14ac:dyDescent="0.3">
      <c r="A9" s="11" t="s">
        <v>4</v>
      </c>
      <c r="B9" s="18">
        <v>2343280</v>
      </c>
      <c r="C9" s="18">
        <v>2340861</v>
      </c>
      <c r="D9" s="18">
        <v>2337457</v>
      </c>
      <c r="E9" s="18">
        <v>2327739</v>
      </c>
      <c r="F9" s="18">
        <v>2310877</v>
      </c>
      <c r="G9" s="18">
        <v>2293949</v>
      </c>
    </row>
    <row r="10" spans="1:25" x14ac:dyDescent="0.3">
      <c r="A10" s="11" t="s">
        <v>45</v>
      </c>
      <c r="B10" s="18">
        <v>987203</v>
      </c>
      <c r="C10" s="18">
        <v>972935</v>
      </c>
      <c r="D10" s="18">
        <v>959459</v>
      </c>
      <c r="E10" s="18">
        <v>946222</v>
      </c>
      <c r="F10" s="18">
        <v>931473</v>
      </c>
      <c r="G10" s="18">
        <v>919420</v>
      </c>
    </row>
    <row r="11" spans="1:25" x14ac:dyDescent="0.3">
      <c r="A11" s="11" t="s">
        <v>40</v>
      </c>
      <c r="B11" s="18">
        <v>1048957</v>
      </c>
      <c r="C11" s="18">
        <v>1051953</v>
      </c>
      <c r="D11" s="18">
        <v>1052781</v>
      </c>
      <c r="E11" s="18">
        <v>1054095</v>
      </c>
      <c r="F11" s="18">
        <v>1064630</v>
      </c>
      <c r="G11" s="18">
        <v>1072053</v>
      </c>
    </row>
    <row r="12" spans="1:25" x14ac:dyDescent="0.3">
      <c r="A12" s="11" t="s">
        <v>37</v>
      </c>
      <c r="B12" s="18">
        <v>620092</v>
      </c>
      <c r="C12" s="18">
        <v>610690</v>
      </c>
      <c r="D12" s="18">
        <v>601815</v>
      </c>
      <c r="E12" s="18">
        <v>593582</v>
      </c>
      <c r="F12" s="18">
        <v>583596</v>
      </c>
      <c r="G12" s="18">
        <v>574948</v>
      </c>
    </row>
    <row r="13" spans="1:25" x14ac:dyDescent="0.3">
      <c r="A13" s="11" t="s">
        <v>56</v>
      </c>
      <c r="B13" s="18">
        <v>1115926</v>
      </c>
      <c r="C13" s="18">
        <v>1107508</v>
      </c>
      <c r="D13" s="18">
        <v>1101403</v>
      </c>
      <c r="E13" s="18">
        <v>1095604</v>
      </c>
      <c r="F13" s="18">
        <v>1084868</v>
      </c>
      <c r="G13" s="18">
        <v>1072595</v>
      </c>
    </row>
    <row r="14" spans="1:25" x14ac:dyDescent="0.3">
      <c r="A14" s="11" t="s">
        <v>51</v>
      </c>
      <c r="B14" s="18">
        <v>1167649</v>
      </c>
      <c r="C14" s="18">
        <v>1163882</v>
      </c>
      <c r="D14" s="18">
        <v>1160836</v>
      </c>
      <c r="E14" s="18">
        <v>1155138</v>
      </c>
      <c r="F14" s="18">
        <v>1144374</v>
      </c>
      <c r="G14" s="18">
        <v>1132202</v>
      </c>
    </row>
    <row r="15" spans="1:25" x14ac:dyDescent="0.3">
      <c r="A15" s="11" t="s">
        <v>21</v>
      </c>
      <c r="B15" s="18">
        <v>8024182</v>
      </c>
      <c r="C15" s="18">
        <v>8160757</v>
      </c>
      <c r="D15" s="18">
        <v>8303032</v>
      </c>
      <c r="E15" s="18">
        <v>8404864</v>
      </c>
      <c r="F15" s="18">
        <v>8489558</v>
      </c>
      <c r="G15" s="18">
        <v>8566996</v>
      </c>
    </row>
    <row r="16" spans="1:25" x14ac:dyDescent="0.3">
      <c r="A16" s="11" t="s">
        <v>70</v>
      </c>
      <c r="B16" s="18">
        <v>748637</v>
      </c>
      <c r="C16" s="18">
        <v>740588</v>
      </c>
      <c r="D16" s="18">
        <v>733340</v>
      </c>
      <c r="E16" s="18">
        <v>725578</v>
      </c>
      <c r="F16" s="18">
        <v>715505</v>
      </c>
      <c r="G16" s="18">
        <v>705150</v>
      </c>
    </row>
    <row r="17" spans="1:7" x14ac:dyDescent="0.3">
      <c r="A17" s="11" t="s">
        <v>59</v>
      </c>
      <c r="B17" s="18">
        <v>1131938</v>
      </c>
      <c r="C17" s="18">
        <v>1126857</v>
      </c>
      <c r="D17" s="18">
        <v>1121803</v>
      </c>
      <c r="E17" s="18">
        <v>1115127</v>
      </c>
      <c r="F17" s="18">
        <v>1104512</v>
      </c>
      <c r="G17" s="18">
        <v>1093748</v>
      </c>
    </row>
    <row r="18" spans="1:7" x14ac:dyDescent="0.3">
      <c r="A18" s="11" t="s">
        <v>43</v>
      </c>
      <c r="B18" s="18">
        <v>937675</v>
      </c>
      <c r="C18" s="18">
        <v>930243</v>
      </c>
      <c r="D18" s="18">
        <v>920967</v>
      </c>
      <c r="E18" s="18">
        <v>908257</v>
      </c>
      <c r="F18" s="18">
        <v>893606</v>
      </c>
      <c r="G18" s="18">
        <v>879971</v>
      </c>
    </row>
    <row r="19" spans="1:7" x14ac:dyDescent="0.3">
      <c r="A19" s="11" t="s">
        <v>15</v>
      </c>
      <c r="B19" s="18">
        <v>1036355</v>
      </c>
      <c r="C19" s="18">
        <v>1024187</v>
      </c>
      <c r="D19" s="18">
        <v>1010592</v>
      </c>
      <c r="E19" s="18">
        <v>999424</v>
      </c>
      <c r="F19" s="18">
        <v>986089</v>
      </c>
      <c r="G19" s="18">
        <v>972711</v>
      </c>
    </row>
    <row r="20" spans="1:7" x14ac:dyDescent="0.3">
      <c r="A20" s="11" t="s">
        <v>38</v>
      </c>
      <c r="B20" s="18">
        <v>1287871</v>
      </c>
      <c r="C20" s="18">
        <v>1273914</v>
      </c>
      <c r="D20" s="18">
        <v>1261790</v>
      </c>
      <c r="E20" s="18">
        <v>1249406</v>
      </c>
      <c r="F20" s="18">
        <v>1233938</v>
      </c>
      <c r="G20" s="18">
        <v>1218611</v>
      </c>
    </row>
    <row r="21" spans="1:7" x14ac:dyDescent="0.3">
      <c r="A21" s="11" t="s">
        <v>39</v>
      </c>
      <c r="B21" s="18">
        <v>1533698</v>
      </c>
      <c r="C21" s="18">
        <v>1529328</v>
      </c>
      <c r="D21" s="18">
        <v>1522369</v>
      </c>
      <c r="E21" s="18">
        <v>1513299</v>
      </c>
      <c r="F21" s="18">
        <v>1502152</v>
      </c>
      <c r="G21" s="18">
        <v>1489080</v>
      </c>
    </row>
    <row r="22" spans="1:7" x14ac:dyDescent="0.3">
      <c r="A22" s="11" t="s">
        <v>78</v>
      </c>
      <c r="B22" s="18">
        <v>1255397</v>
      </c>
      <c r="C22" s="18">
        <v>1247850</v>
      </c>
      <c r="D22" s="18">
        <v>1239717</v>
      </c>
      <c r="E22" s="18">
        <v>1228638</v>
      </c>
      <c r="F22" s="18">
        <v>1213650</v>
      </c>
      <c r="G22" s="18">
        <v>1200121</v>
      </c>
    </row>
    <row r="23" spans="1:7" x14ac:dyDescent="0.3">
      <c r="A23" s="11" t="s">
        <v>13</v>
      </c>
      <c r="B23" s="18">
        <v>12571383</v>
      </c>
      <c r="C23" s="18">
        <v>12745157</v>
      </c>
      <c r="D23" s="18">
        <v>12887153</v>
      </c>
      <c r="E23" s="18">
        <v>12963013</v>
      </c>
      <c r="F23" s="18">
        <v>12997272</v>
      </c>
      <c r="G23" s="18">
        <v>13059651</v>
      </c>
    </row>
    <row r="24" spans="1:7" x14ac:dyDescent="0.3">
      <c r="A24" s="11" t="s">
        <v>97</v>
      </c>
      <c r="B24" s="18">
        <v>13917471</v>
      </c>
      <c r="C24" s="18">
        <v>13950761</v>
      </c>
      <c r="D24" s="18">
        <v>13966789</v>
      </c>
      <c r="E24" s="18">
        <v>13956172</v>
      </c>
      <c r="F24" s="18">
        <v>13924240</v>
      </c>
      <c r="G24" s="18">
        <v>13888591</v>
      </c>
    </row>
    <row r="25" spans="1:7" x14ac:dyDescent="0.3">
      <c r="A25" s="11" t="s">
        <v>71</v>
      </c>
      <c r="B25" s="18">
        <v>578819</v>
      </c>
      <c r="C25" s="18">
        <v>565635</v>
      </c>
      <c r="D25" s="18">
        <v>555068</v>
      </c>
      <c r="E25" s="18">
        <v>546093</v>
      </c>
      <c r="F25" s="18">
        <v>536924</v>
      </c>
      <c r="G25" s="18">
        <v>530132</v>
      </c>
    </row>
    <row r="26" spans="1:7" x14ac:dyDescent="0.3">
      <c r="A26" s="11" t="s">
        <v>65</v>
      </c>
      <c r="B26" s="18">
        <v>803653</v>
      </c>
      <c r="C26" s="18">
        <v>787461</v>
      </c>
      <c r="D26" s="18">
        <v>771255</v>
      </c>
      <c r="E26" s="18">
        <v>756916</v>
      </c>
      <c r="F26" s="18">
        <v>742395</v>
      </c>
      <c r="G26" s="18">
        <v>730399</v>
      </c>
    </row>
    <row r="27" spans="1:7" x14ac:dyDescent="0.3">
      <c r="A27" s="11" t="s">
        <v>53</v>
      </c>
      <c r="B27" s="18">
        <v>1100864</v>
      </c>
      <c r="C27" s="18">
        <v>1081359</v>
      </c>
      <c r="D27" s="18">
        <v>1063524</v>
      </c>
      <c r="E27" s="18">
        <v>1046371</v>
      </c>
      <c r="F27" s="18">
        <v>1026656</v>
      </c>
      <c r="G27" s="18">
        <v>1010859</v>
      </c>
    </row>
    <row r="28" spans="1:7" x14ac:dyDescent="0.3">
      <c r="A28" s="11" t="s">
        <v>7</v>
      </c>
      <c r="B28" s="18">
        <v>42175</v>
      </c>
      <c r="C28" s="18">
        <v>41835</v>
      </c>
      <c r="D28" s="18">
        <v>41612</v>
      </c>
      <c r="E28" s="18">
        <v>41583</v>
      </c>
      <c r="F28" s="18">
        <v>41494</v>
      </c>
      <c r="G28" s="18">
        <v>41405</v>
      </c>
    </row>
    <row r="29" spans="1:7" x14ac:dyDescent="0.3">
      <c r="A29" s="11" t="s">
        <v>138</v>
      </c>
      <c r="B29" s="18">
        <v>1116422</v>
      </c>
      <c r="C29" s="7"/>
      <c r="D29" s="7"/>
      <c r="E29" s="7"/>
      <c r="F29" s="7"/>
      <c r="G29" s="7"/>
    </row>
    <row r="30" spans="1:7" x14ac:dyDescent="0.3">
      <c r="A30" s="11" t="s">
        <v>88</v>
      </c>
      <c r="B30" s="18">
        <v>1058689</v>
      </c>
      <c r="C30" s="18">
        <v>1039524</v>
      </c>
      <c r="D30" s="18">
        <v>1021912</v>
      </c>
      <c r="E30" s="18">
        <v>1004788</v>
      </c>
      <c r="F30" s="18">
        <v>985162</v>
      </c>
      <c r="G30" s="18">
        <v>969454</v>
      </c>
    </row>
    <row r="31" spans="1:7" x14ac:dyDescent="0.3">
      <c r="A31" s="11" t="s">
        <v>80</v>
      </c>
      <c r="B31" s="18">
        <v>1179666</v>
      </c>
      <c r="C31" s="18">
        <v>1171486</v>
      </c>
      <c r="D31" s="18">
        <v>1163259</v>
      </c>
      <c r="E31" s="18">
        <v>1154820</v>
      </c>
      <c r="F31" s="18">
        <v>1144246</v>
      </c>
      <c r="G31" s="18">
        <v>1133603</v>
      </c>
    </row>
    <row r="32" spans="1:7" x14ac:dyDescent="0.3">
      <c r="A32" s="11" t="s">
        <v>69</v>
      </c>
      <c r="B32" s="18">
        <v>992214</v>
      </c>
      <c r="C32" s="18">
        <v>1000498</v>
      </c>
      <c r="D32" s="18">
        <v>1009884</v>
      </c>
      <c r="E32" s="18">
        <v>1018468</v>
      </c>
      <c r="F32" s="18">
        <v>1026313</v>
      </c>
      <c r="G32" s="18">
        <v>1031661</v>
      </c>
    </row>
    <row r="33" spans="1:7" x14ac:dyDescent="0.3">
      <c r="A33" s="11" t="s">
        <v>33</v>
      </c>
      <c r="B33" s="18">
        <v>1856619</v>
      </c>
      <c r="C33" s="18">
        <v>1892426</v>
      </c>
      <c r="D33" s="18">
        <v>1932223</v>
      </c>
      <c r="E33" s="18">
        <v>1964107</v>
      </c>
      <c r="F33" s="18">
        <v>1991648</v>
      </c>
      <c r="G33" s="18">
        <v>2014894</v>
      </c>
    </row>
    <row r="34" spans="1:7" x14ac:dyDescent="0.3">
      <c r="A34" s="11" t="s">
        <v>30</v>
      </c>
      <c r="B34" s="18">
        <v>719418</v>
      </c>
      <c r="C34" s="18">
        <v>709332</v>
      </c>
      <c r="D34" s="18">
        <v>698097</v>
      </c>
      <c r="E34" s="18">
        <v>685413</v>
      </c>
      <c r="F34" s="18">
        <v>671913</v>
      </c>
      <c r="G34" s="18">
        <v>661969</v>
      </c>
    </row>
    <row r="35" spans="1:7" x14ac:dyDescent="0.3">
      <c r="A35" s="11" t="s">
        <v>52</v>
      </c>
      <c r="B35" s="18">
        <v>606830</v>
      </c>
      <c r="C35" s="18">
        <v>600354</v>
      </c>
      <c r="D35" s="18">
        <v>594935</v>
      </c>
      <c r="E35" s="18">
        <v>590560</v>
      </c>
      <c r="F35" s="18">
        <v>584937</v>
      </c>
      <c r="G35" s="18">
        <v>578752</v>
      </c>
    </row>
    <row r="36" spans="1:7" x14ac:dyDescent="0.3">
      <c r="A36" s="11" t="s">
        <v>31</v>
      </c>
      <c r="B36" s="18">
        <v>629303</v>
      </c>
      <c r="C36" s="18">
        <v>621621</v>
      </c>
      <c r="D36" s="18">
        <v>614980</v>
      </c>
      <c r="E36" s="18">
        <v>608791</v>
      </c>
      <c r="F36" s="18">
        <v>600993</v>
      </c>
      <c r="G36" s="18">
        <v>592342</v>
      </c>
    </row>
    <row r="37" spans="1:7" x14ac:dyDescent="0.3">
      <c r="A37" s="11" t="s">
        <v>32</v>
      </c>
      <c r="B37" s="18">
        <v>5450085</v>
      </c>
      <c r="C37" s="18">
        <v>5520589</v>
      </c>
      <c r="D37" s="18">
        <v>5563564</v>
      </c>
      <c r="E37" s="18">
        <v>5584633</v>
      </c>
      <c r="F37" s="18">
        <v>5598215</v>
      </c>
      <c r="G37" s="18">
        <v>5603980</v>
      </c>
    </row>
    <row r="38" spans="1:7" x14ac:dyDescent="0.3">
      <c r="A38" s="11" t="s">
        <v>98</v>
      </c>
      <c r="B38" s="18">
        <v>16617229</v>
      </c>
      <c r="C38" s="18">
        <v>16669097</v>
      </c>
      <c r="D38" s="18">
        <v>16721662</v>
      </c>
      <c r="E38" s="18">
        <v>16743184</v>
      </c>
      <c r="F38" s="18">
        <v>16728073</v>
      </c>
      <c r="G38" s="18">
        <v>16680128</v>
      </c>
    </row>
    <row r="39" spans="1:7" x14ac:dyDescent="0.3">
      <c r="A39" s="11" t="s">
        <v>26</v>
      </c>
      <c r="B39" s="18">
        <v>471202</v>
      </c>
      <c r="C39" s="18">
        <v>474576</v>
      </c>
      <c r="D39" s="18">
        <v>482078</v>
      </c>
      <c r="E39" s="18">
        <v>488987</v>
      </c>
      <c r="F39" s="18">
        <v>494351</v>
      </c>
      <c r="G39" s="18">
        <v>498135</v>
      </c>
    </row>
    <row r="40" spans="1:7" x14ac:dyDescent="0.3">
      <c r="A40" s="11" t="s">
        <v>27</v>
      </c>
      <c r="B40" s="18">
        <v>275685</v>
      </c>
      <c r="C40" s="18">
        <v>273108</v>
      </c>
      <c r="D40" s="18">
        <v>270936</v>
      </c>
      <c r="E40" s="18">
        <v>269521</v>
      </c>
      <c r="F40" s="18">
        <v>267661</v>
      </c>
      <c r="G40" s="18">
        <v>265458</v>
      </c>
    </row>
    <row r="41" spans="1:7" x14ac:dyDescent="0.3">
      <c r="A41" s="11" t="s">
        <v>89</v>
      </c>
      <c r="B41" s="18">
        <v>1926234</v>
      </c>
      <c r="C41" s="18">
        <v>1931205</v>
      </c>
      <c r="D41" s="18">
        <v>1935709</v>
      </c>
      <c r="E41" s="18">
        <v>1935281</v>
      </c>
      <c r="F41" s="18">
        <v>1931511</v>
      </c>
      <c r="G41" s="18">
        <v>1923948</v>
      </c>
    </row>
    <row r="42" spans="1:7" x14ac:dyDescent="0.3">
      <c r="A42" s="11" t="s">
        <v>28</v>
      </c>
      <c r="B42" s="18">
        <v>5673078</v>
      </c>
      <c r="C42" s="18">
        <v>5724891</v>
      </c>
      <c r="D42" s="18">
        <v>5773979</v>
      </c>
      <c r="E42" s="18">
        <v>5804870</v>
      </c>
      <c r="F42" s="18">
        <v>5823840</v>
      </c>
      <c r="G42" s="18">
        <v>5825693</v>
      </c>
    </row>
    <row r="43" spans="1:7" x14ac:dyDescent="0.3">
      <c r="A43" s="11" t="s">
        <v>25</v>
      </c>
      <c r="B43" s="18">
        <v>999464</v>
      </c>
      <c r="C43" s="18">
        <v>994240</v>
      </c>
      <c r="D43" s="18">
        <v>985507</v>
      </c>
      <c r="E43" s="18">
        <v>974480</v>
      </c>
      <c r="F43" s="18">
        <v>963399</v>
      </c>
      <c r="G43" s="18">
        <v>954164</v>
      </c>
    </row>
    <row r="44" spans="1:7" x14ac:dyDescent="0.3">
      <c r="A44" s="11" t="s">
        <v>22</v>
      </c>
      <c r="B44" s="18">
        <v>2553518</v>
      </c>
      <c r="C44" s="18">
        <v>2543595</v>
      </c>
      <c r="D44" s="18">
        <v>2532443</v>
      </c>
      <c r="E44" s="18">
        <v>2519924</v>
      </c>
      <c r="F44" s="18">
        <v>2503227</v>
      </c>
      <c r="G44" s="18">
        <v>2481432</v>
      </c>
    </row>
    <row r="45" spans="1:7" x14ac:dyDescent="0.3">
      <c r="A45" s="11" t="s">
        <v>29</v>
      </c>
      <c r="B45" s="18">
        <v>4248997</v>
      </c>
      <c r="C45" s="18">
        <v>4237904</v>
      </c>
      <c r="D45" s="18">
        <v>4230015</v>
      </c>
      <c r="E45" s="18">
        <v>4223033</v>
      </c>
      <c r="F45" s="18">
        <v>4204454</v>
      </c>
      <c r="G45" s="18">
        <v>4178435</v>
      </c>
    </row>
    <row r="46" spans="1:7" x14ac:dyDescent="0.3">
      <c r="A46" s="11" t="s">
        <v>90</v>
      </c>
      <c r="B46" s="18">
        <v>469051</v>
      </c>
      <c r="C46" s="18">
        <v>489578</v>
      </c>
      <c r="D46" s="18">
        <v>510995</v>
      </c>
      <c r="E46" s="18">
        <v>527088</v>
      </c>
      <c r="F46" s="18">
        <v>539630</v>
      </c>
      <c r="G46" s="18">
        <v>552863</v>
      </c>
    </row>
    <row r="47" spans="1:7" x14ac:dyDescent="0.3">
      <c r="A47" s="11" t="s">
        <v>99</v>
      </c>
      <c r="B47" s="18">
        <v>9909903</v>
      </c>
      <c r="C47" s="18">
        <v>9972126</v>
      </c>
      <c r="D47" s="18">
        <v>10042165</v>
      </c>
      <c r="E47" s="18">
        <v>10106674</v>
      </c>
      <c r="F47" s="18">
        <v>10152703</v>
      </c>
      <c r="G47" s="18">
        <v>10189917</v>
      </c>
    </row>
    <row r="48" spans="1:7" x14ac:dyDescent="0.3">
      <c r="A48" s="11" t="s">
        <v>63</v>
      </c>
      <c r="B48" s="18">
        <v>3073954</v>
      </c>
      <c r="C48" s="18">
        <v>3099781</v>
      </c>
      <c r="D48" s="18">
        <v>3126938</v>
      </c>
      <c r="E48" s="18">
        <v>3152863</v>
      </c>
      <c r="F48" s="18">
        <v>3175870</v>
      </c>
      <c r="G48" s="18">
        <v>3198342</v>
      </c>
    </row>
    <row r="49" spans="1:7" x14ac:dyDescent="0.3">
      <c r="A49" s="11" t="s">
        <v>81</v>
      </c>
      <c r="B49" s="18">
        <v>476837</v>
      </c>
      <c r="C49" s="18">
        <v>484116</v>
      </c>
      <c r="D49" s="18">
        <v>492438</v>
      </c>
      <c r="E49" s="18">
        <v>500340</v>
      </c>
      <c r="F49" s="18">
        <v>507658</v>
      </c>
      <c r="G49" s="18">
        <v>515197</v>
      </c>
    </row>
    <row r="50" spans="1:7" x14ac:dyDescent="0.3">
      <c r="A50" s="11" t="s">
        <v>91</v>
      </c>
      <c r="B50" s="18">
        <v>886233</v>
      </c>
      <c r="C50" s="18">
        <v>890342</v>
      </c>
      <c r="D50" s="18">
        <v>894760</v>
      </c>
      <c r="E50" s="18">
        <v>898978</v>
      </c>
      <c r="F50" s="18">
        <v>902476</v>
      </c>
      <c r="G50" s="18">
        <v>903802</v>
      </c>
    </row>
    <row r="51" spans="1:7" x14ac:dyDescent="0.3">
      <c r="A51" s="11" t="s">
        <v>92</v>
      </c>
      <c r="B51" s="18">
        <v>469583</v>
      </c>
      <c r="C51" s="18">
        <v>469882</v>
      </c>
      <c r="D51" s="18">
        <v>470105</v>
      </c>
      <c r="E51" s="18">
        <v>470308</v>
      </c>
      <c r="F51" s="18">
        <v>469682</v>
      </c>
      <c r="G51" s="18">
        <v>468770</v>
      </c>
    </row>
    <row r="52" spans="1:7" x14ac:dyDescent="0.3">
      <c r="A52" s="11" t="s">
        <v>47</v>
      </c>
      <c r="B52" s="18">
        <v>701642</v>
      </c>
      <c r="C52" s="18">
        <v>699240</v>
      </c>
      <c r="D52" s="18">
        <v>696345</v>
      </c>
      <c r="E52" s="18">
        <v>692869</v>
      </c>
      <c r="F52" s="18">
        <v>688096</v>
      </c>
      <c r="G52" s="18">
        <v>683071</v>
      </c>
    </row>
    <row r="53" spans="1:7" x14ac:dyDescent="0.3">
      <c r="A53" s="11" t="s">
        <v>93</v>
      </c>
      <c r="B53" s="18">
        <v>1425882</v>
      </c>
      <c r="C53" s="18">
        <v>1446552</v>
      </c>
      <c r="D53" s="18">
        <v>1467050</v>
      </c>
      <c r="E53" s="18">
        <v>1487170</v>
      </c>
      <c r="F53" s="18">
        <v>1505603</v>
      </c>
      <c r="G53" s="18">
        <v>1523906</v>
      </c>
    </row>
    <row r="54" spans="1:7" x14ac:dyDescent="0.3">
      <c r="A54" s="11" t="s">
        <v>11</v>
      </c>
      <c r="B54" s="18">
        <v>2875772</v>
      </c>
      <c r="C54" s="18">
        <v>2882213</v>
      </c>
      <c r="D54" s="18">
        <v>2894529</v>
      </c>
      <c r="E54" s="18">
        <v>2904146</v>
      </c>
      <c r="F54" s="18">
        <v>2903318</v>
      </c>
      <c r="G54" s="18">
        <v>2896829</v>
      </c>
    </row>
    <row r="55" spans="1:7" x14ac:dyDescent="0.3">
      <c r="A55" s="11" t="s">
        <v>100</v>
      </c>
      <c r="B55" s="18">
        <v>29601460</v>
      </c>
      <c r="C55" s="18">
        <v>29485144</v>
      </c>
      <c r="D55" s="18">
        <v>29360750</v>
      </c>
      <c r="E55" s="18">
        <v>29200183</v>
      </c>
      <c r="F55" s="18">
        <v>28981109</v>
      </c>
      <c r="G55" s="18">
        <v>28776390</v>
      </c>
    </row>
    <row r="56" spans="1:7" x14ac:dyDescent="0.3">
      <c r="A56" s="11" t="s">
        <v>83</v>
      </c>
      <c r="B56" s="18">
        <v>4120782</v>
      </c>
      <c r="C56" s="18">
        <v>4120410</v>
      </c>
      <c r="D56" s="18">
        <v>4115453</v>
      </c>
      <c r="E56" s="18">
        <v>4104463</v>
      </c>
      <c r="F56" s="18">
        <v>4093857</v>
      </c>
      <c r="G56" s="18">
        <v>4084610</v>
      </c>
    </row>
    <row r="57" spans="1:7" x14ac:dyDescent="0.3">
      <c r="A57" s="11" t="s">
        <v>42</v>
      </c>
      <c r="B57" s="18">
        <v>686409</v>
      </c>
      <c r="C57" s="18">
        <v>684692</v>
      </c>
      <c r="D57" s="18">
        <v>683686</v>
      </c>
      <c r="E57" s="18">
        <v>681613</v>
      </c>
      <c r="F57" s="18">
        <v>678070</v>
      </c>
      <c r="G57" s="18">
        <v>674336</v>
      </c>
    </row>
    <row r="58" spans="1:7" x14ac:dyDescent="0.3">
      <c r="A58" s="11" t="s">
        <v>34</v>
      </c>
      <c r="B58" s="18">
        <v>813090</v>
      </c>
      <c r="C58" s="18">
        <v>807577</v>
      </c>
      <c r="D58" s="18">
        <v>801163</v>
      </c>
      <c r="E58" s="18">
        <v>793859</v>
      </c>
      <c r="F58" s="18">
        <v>785082</v>
      </c>
      <c r="G58" s="18">
        <v>776407</v>
      </c>
    </row>
    <row r="59" spans="1:7" x14ac:dyDescent="0.3">
      <c r="A59" s="11" t="s">
        <v>35</v>
      </c>
      <c r="B59" s="18">
        <v>3956764</v>
      </c>
      <c r="C59" s="18">
        <v>3974375</v>
      </c>
      <c r="D59" s="18">
        <v>3989152</v>
      </c>
      <c r="E59" s="18">
        <v>3997023</v>
      </c>
      <c r="F59" s="18">
        <v>3998887</v>
      </c>
      <c r="G59" s="18">
        <v>4000854</v>
      </c>
    </row>
    <row r="60" spans="1:7" x14ac:dyDescent="0.3">
      <c r="A60" s="11" t="s">
        <v>94</v>
      </c>
      <c r="B60" s="18">
        <v>1493657</v>
      </c>
      <c r="C60" s="18">
        <v>1485682</v>
      </c>
      <c r="D60" s="18">
        <v>1476440</v>
      </c>
      <c r="E60" s="18">
        <v>1466282</v>
      </c>
      <c r="F60" s="18">
        <v>1454945</v>
      </c>
      <c r="G60" s="18">
        <v>1445599</v>
      </c>
    </row>
    <row r="61" spans="1:7" x14ac:dyDescent="0.3">
      <c r="A61" s="11" t="s">
        <v>46</v>
      </c>
      <c r="B61" s="18">
        <v>1224210</v>
      </c>
      <c r="C61" s="18">
        <v>1217054</v>
      </c>
      <c r="D61" s="18">
        <v>1209255</v>
      </c>
      <c r="E61" s="18">
        <v>1200388</v>
      </c>
      <c r="F61" s="18">
        <v>1189342</v>
      </c>
      <c r="G61" s="18">
        <v>1178543</v>
      </c>
    </row>
    <row r="62" spans="1:7" x14ac:dyDescent="0.3">
      <c r="A62" s="11" t="s">
        <v>44</v>
      </c>
      <c r="B62" s="18">
        <v>2610139</v>
      </c>
      <c r="C62" s="18">
        <v>2596807</v>
      </c>
      <c r="D62" s="18">
        <v>2581988</v>
      </c>
      <c r="E62" s="18">
        <v>2562731</v>
      </c>
      <c r="F62" s="18">
        <v>2537933</v>
      </c>
      <c r="G62" s="18">
        <v>2516751</v>
      </c>
    </row>
    <row r="63" spans="1:7" x14ac:dyDescent="0.3">
      <c r="A63" s="11" t="s">
        <v>36</v>
      </c>
      <c r="B63" s="18">
        <v>1235739</v>
      </c>
      <c r="C63" s="18">
        <v>1218763</v>
      </c>
      <c r="D63" s="18">
        <v>1201063</v>
      </c>
      <c r="E63" s="18">
        <v>1182667</v>
      </c>
      <c r="F63" s="18">
        <v>1160985</v>
      </c>
      <c r="G63" s="18">
        <v>1143644</v>
      </c>
    </row>
    <row r="64" spans="1:7" x14ac:dyDescent="0.3">
      <c r="A64" s="11" t="s">
        <v>54</v>
      </c>
      <c r="B64" s="18">
        <v>3220481</v>
      </c>
      <c r="C64" s="18">
        <v>3200781</v>
      </c>
      <c r="D64" s="18">
        <v>3181635</v>
      </c>
      <c r="E64" s="18">
        <v>3159332</v>
      </c>
      <c r="F64" s="18">
        <v>3126706</v>
      </c>
      <c r="G64" s="18">
        <v>3095367</v>
      </c>
    </row>
    <row r="65" spans="1:7" x14ac:dyDescent="0.3">
      <c r="A65" s="11" t="s">
        <v>23</v>
      </c>
      <c r="B65" s="18">
        <v>1939640</v>
      </c>
      <c r="C65" s="18">
        <v>1920172</v>
      </c>
      <c r="D65" s="18">
        <v>1904146</v>
      </c>
      <c r="E65" s="18">
        <v>1888872</v>
      </c>
      <c r="F65" s="18">
        <v>1867547</v>
      </c>
      <c r="G65" s="18">
        <v>1848579</v>
      </c>
    </row>
    <row r="66" spans="1:7" x14ac:dyDescent="0.3">
      <c r="A66" s="11" t="s">
        <v>49</v>
      </c>
      <c r="B66" s="18">
        <v>1328720</v>
      </c>
      <c r="C66" s="18">
        <v>1315622</v>
      </c>
      <c r="D66" s="18">
        <v>1301298</v>
      </c>
      <c r="E66" s="18">
        <v>1286654</v>
      </c>
      <c r="F66" s="18">
        <v>1269953</v>
      </c>
      <c r="G66" s="18">
        <v>1253856</v>
      </c>
    </row>
    <row r="67" spans="1:7" x14ac:dyDescent="0.3">
      <c r="A67" s="11" t="s">
        <v>24</v>
      </c>
      <c r="B67" s="18">
        <v>3217895</v>
      </c>
      <c r="C67" s="18">
        <v>3210539</v>
      </c>
      <c r="D67" s="18">
        <v>3206514</v>
      </c>
      <c r="E67" s="18">
        <v>3195048</v>
      </c>
      <c r="F67" s="18">
        <v>3174117</v>
      </c>
      <c r="G67" s="18">
        <v>3153533</v>
      </c>
    </row>
    <row r="68" spans="1:7" x14ac:dyDescent="0.3">
      <c r="A68" s="11" t="s">
        <v>68</v>
      </c>
      <c r="B68" s="18">
        <v>2511589</v>
      </c>
      <c r="C68" s="18">
        <v>2498661</v>
      </c>
      <c r="D68" s="18">
        <v>2484437</v>
      </c>
      <c r="E68" s="18">
        <v>2467866</v>
      </c>
      <c r="F68" s="18">
        <v>2444309</v>
      </c>
      <c r="G68" s="18">
        <v>2417978</v>
      </c>
    </row>
    <row r="69" spans="1:7" x14ac:dyDescent="0.3">
      <c r="A69" s="11" t="s">
        <v>41</v>
      </c>
      <c r="B69" s="18">
        <v>1242345</v>
      </c>
      <c r="C69" s="18">
        <v>1234009</v>
      </c>
      <c r="D69" s="18">
        <v>1224520</v>
      </c>
      <c r="E69" s="18">
        <v>1213385</v>
      </c>
      <c r="F69" s="18">
        <v>1199376</v>
      </c>
      <c r="G69" s="18">
        <v>1186333</v>
      </c>
    </row>
    <row r="70" spans="1:7" x14ac:dyDescent="0.3">
      <c r="A70" s="11" t="s">
        <v>101</v>
      </c>
      <c r="B70" s="18">
        <v>12343680</v>
      </c>
      <c r="C70" s="18">
        <v>12345388</v>
      </c>
      <c r="D70" s="18">
        <v>12347121</v>
      </c>
      <c r="E70" s="18">
        <v>12335936</v>
      </c>
      <c r="F70" s="18">
        <v>12302503</v>
      </c>
      <c r="G70" s="18">
        <v>12272192</v>
      </c>
    </row>
    <row r="71" spans="1:7" x14ac:dyDescent="0.3">
      <c r="A71" s="11" t="s">
        <v>55</v>
      </c>
      <c r="B71" s="18">
        <v>830177</v>
      </c>
      <c r="C71" s="18">
        <v>817465</v>
      </c>
      <c r="D71" s="18">
        <v>805272</v>
      </c>
      <c r="E71" s="18">
        <v>794199</v>
      </c>
      <c r="F71" s="18">
        <v>780364</v>
      </c>
      <c r="G71" s="18">
        <v>766959</v>
      </c>
    </row>
    <row r="72" spans="1:7" x14ac:dyDescent="0.3">
      <c r="A72" s="11" t="s">
        <v>16</v>
      </c>
      <c r="B72" s="18">
        <v>4326875</v>
      </c>
      <c r="C72" s="18">
        <v>4319999</v>
      </c>
      <c r="D72" s="18">
        <v>4312661</v>
      </c>
      <c r="E72" s="18">
        <v>4299797</v>
      </c>
      <c r="F72" s="18">
        <v>4276579</v>
      </c>
      <c r="G72" s="18">
        <v>4251426</v>
      </c>
    </row>
    <row r="73" spans="1:7" x14ac:dyDescent="0.3">
      <c r="A73" s="11" t="s">
        <v>19</v>
      </c>
      <c r="B73" s="18">
        <v>3687260</v>
      </c>
      <c r="C73" s="18">
        <v>3721567</v>
      </c>
      <c r="D73" s="18">
        <v>3755879</v>
      </c>
      <c r="E73" s="18">
        <v>3784809</v>
      </c>
      <c r="F73" s="18">
        <v>3812032</v>
      </c>
      <c r="G73" s="18">
        <v>3839456</v>
      </c>
    </row>
    <row r="74" spans="1:7" x14ac:dyDescent="0.3">
      <c r="A74" s="11" t="s">
        <v>17</v>
      </c>
      <c r="B74" s="18">
        <v>1657448</v>
      </c>
      <c r="C74" s="18">
        <v>1667352</v>
      </c>
      <c r="D74" s="18">
        <v>1678245</v>
      </c>
      <c r="E74" s="18">
        <v>1691220</v>
      </c>
      <c r="F74" s="18">
        <v>1705983</v>
      </c>
      <c r="G74" s="18">
        <v>1722058</v>
      </c>
    </row>
    <row r="75" spans="1:7" x14ac:dyDescent="0.3">
      <c r="A75" s="11" t="s">
        <v>60</v>
      </c>
      <c r="B75" s="18">
        <v>511860</v>
      </c>
      <c r="C75" s="18">
        <v>510953</v>
      </c>
      <c r="D75" s="18">
        <v>510367</v>
      </c>
      <c r="E75" s="18">
        <v>509422</v>
      </c>
      <c r="F75" s="18">
        <v>510010</v>
      </c>
      <c r="G75" s="18">
        <v>511815</v>
      </c>
    </row>
    <row r="76" spans="1:7" x14ac:dyDescent="0.3">
      <c r="A76" s="11" t="s">
        <v>139</v>
      </c>
      <c r="B76" s="18">
        <v>1488341</v>
      </c>
      <c r="C76" s="7"/>
      <c r="D76" s="7"/>
      <c r="E76" s="7"/>
      <c r="F76" s="7"/>
      <c r="G76" s="7"/>
    </row>
    <row r="77" spans="1:7" x14ac:dyDescent="0.3">
      <c r="A77" s="11" t="s">
        <v>95</v>
      </c>
      <c r="B77" s="18">
        <v>1517952</v>
      </c>
      <c r="C77" s="18">
        <v>1543262</v>
      </c>
      <c r="D77" s="18">
        <v>1567267</v>
      </c>
      <c r="E77" s="18">
        <v>1584167</v>
      </c>
      <c r="F77" s="18">
        <v>1596039</v>
      </c>
      <c r="G77" s="18">
        <v>1605583</v>
      </c>
    </row>
    <row r="78" spans="1:7" x14ac:dyDescent="0.3">
      <c r="A78" s="11" t="s">
        <v>82</v>
      </c>
      <c r="B78" s="18">
        <v>3499368</v>
      </c>
      <c r="C78" s="18">
        <v>3486357</v>
      </c>
      <c r="D78" s="18">
        <v>3473309</v>
      </c>
      <c r="E78" s="18">
        <v>3457131</v>
      </c>
      <c r="F78" s="18">
        <v>3433528</v>
      </c>
      <c r="G78" s="18">
        <v>3414351</v>
      </c>
    </row>
    <row r="79" spans="1:7" x14ac:dyDescent="0.3">
      <c r="A79" s="11" t="s">
        <v>102</v>
      </c>
      <c r="B79" s="18">
        <v>19306835</v>
      </c>
      <c r="C79" s="18">
        <v>17201746</v>
      </c>
      <c r="D79" s="7"/>
      <c r="E79" s="7"/>
      <c r="F79" s="7"/>
      <c r="G79" s="7"/>
    </row>
    <row r="80" spans="1:7" x14ac:dyDescent="0.3">
      <c r="A80" s="11" t="s">
        <v>102</v>
      </c>
      <c r="B80" s="18">
        <v>17168233</v>
      </c>
      <c r="C80" s="18">
        <v>17111601</v>
      </c>
      <c r="D80" s="18">
        <v>17043810</v>
      </c>
      <c r="E80" s="18">
        <v>16947385</v>
      </c>
      <c r="F80" s="18">
        <v>16821492</v>
      </c>
      <c r="G80" s="18">
        <v>16702161</v>
      </c>
    </row>
    <row r="81" spans="1:7" x14ac:dyDescent="0.3">
      <c r="A81" s="11" t="s">
        <v>58</v>
      </c>
      <c r="B81" s="18">
        <v>211051</v>
      </c>
      <c r="C81" s="18">
        <v>211019</v>
      </c>
      <c r="D81" s="18">
        <v>211127</v>
      </c>
      <c r="E81" s="18">
        <v>211229</v>
      </c>
      <c r="F81" s="18">
        <v>210976</v>
      </c>
      <c r="G81" s="18">
        <v>210789</v>
      </c>
    </row>
    <row r="82" spans="1:7" x14ac:dyDescent="0.3">
      <c r="A82" s="11" t="s">
        <v>14</v>
      </c>
      <c r="B82" s="18">
        <v>322162</v>
      </c>
      <c r="C82" s="18">
        <v>325396</v>
      </c>
      <c r="D82" s="18">
        <v>328476</v>
      </c>
      <c r="E82" s="18">
        <v>331888</v>
      </c>
      <c r="F82" s="18">
        <v>334988</v>
      </c>
      <c r="G82" s="18">
        <v>336761</v>
      </c>
    </row>
    <row r="83" spans="1:7" x14ac:dyDescent="0.3">
      <c r="A83" s="11" t="s">
        <v>77</v>
      </c>
      <c r="B83" s="18">
        <v>540346</v>
      </c>
      <c r="C83" s="18">
        <v>540117</v>
      </c>
      <c r="D83" s="18">
        <v>538969</v>
      </c>
      <c r="E83" s="18">
        <v>537293</v>
      </c>
      <c r="F83" s="18">
        <v>534668</v>
      </c>
      <c r="G83" s="18">
        <v>531611</v>
      </c>
    </row>
    <row r="84" spans="1:7" x14ac:dyDescent="0.3">
      <c r="A84" s="11" t="s">
        <v>12</v>
      </c>
      <c r="B84" s="18">
        <v>2290644</v>
      </c>
      <c r="C84" s="18">
        <v>2263889</v>
      </c>
      <c r="D84" s="18">
        <v>2237107</v>
      </c>
      <c r="E84" s="18">
        <v>2208563</v>
      </c>
      <c r="F84" s="18">
        <v>2173970</v>
      </c>
      <c r="G84" s="18">
        <v>2142941</v>
      </c>
    </row>
    <row r="85" spans="1:7" x14ac:dyDescent="0.3">
      <c r="A85" s="11" t="s">
        <v>61</v>
      </c>
      <c r="B85" s="18">
        <v>2880081</v>
      </c>
      <c r="C85" s="18">
        <v>2880100</v>
      </c>
      <c r="D85" s="18">
        <v>2875636</v>
      </c>
      <c r="E85" s="18">
        <v>2867233</v>
      </c>
      <c r="F85" s="18">
        <v>2859356</v>
      </c>
      <c r="G85" s="18">
        <v>2850935</v>
      </c>
    </row>
    <row r="86" spans="1:7" x14ac:dyDescent="0.3">
      <c r="A86" s="11" t="s">
        <v>72</v>
      </c>
      <c r="B86" s="18">
        <v>2410290</v>
      </c>
      <c r="C86" s="18">
        <v>2405290</v>
      </c>
      <c r="D86" s="18">
        <v>2399358</v>
      </c>
      <c r="E86" s="18">
        <v>2388558</v>
      </c>
      <c r="F86" s="18">
        <v>2372103</v>
      </c>
      <c r="G86" s="18">
        <v>2353904</v>
      </c>
    </row>
    <row r="87" spans="1:7" x14ac:dyDescent="0.3">
      <c r="A87" s="11" t="s">
        <v>76</v>
      </c>
      <c r="B87" s="18">
        <v>2694486</v>
      </c>
      <c r="C87" s="18">
        <v>2676139</v>
      </c>
      <c r="D87" s="18">
        <v>2656497</v>
      </c>
      <c r="E87" s="18">
        <v>2634981</v>
      </c>
      <c r="F87" s="18">
        <v>2607141</v>
      </c>
      <c r="G87" s="18">
        <v>2580125</v>
      </c>
    </row>
    <row r="88" spans="1:7" x14ac:dyDescent="0.3">
      <c r="A88" s="11" t="s">
        <v>6</v>
      </c>
      <c r="B88" s="18">
        <v>2794287</v>
      </c>
      <c r="C88" s="18">
        <v>2802770</v>
      </c>
      <c r="D88" s="18">
        <v>2808986</v>
      </c>
      <c r="E88" s="18">
        <v>2806789</v>
      </c>
      <c r="F88" s="18">
        <v>2799459</v>
      </c>
      <c r="G88" s="18">
        <v>2795879</v>
      </c>
    </row>
    <row r="89" spans="1:7" x14ac:dyDescent="0.3">
      <c r="A89" s="11" t="s">
        <v>64</v>
      </c>
      <c r="B89" s="18">
        <v>1949563</v>
      </c>
      <c r="C89" s="18">
        <v>1932800</v>
      </c>
      <c r="D89" s="18">
        <v>1913594</v>
      </c>
      <c r="E89" s="18">
        <v>1890857</v>
      </c>
      <c r="F89" s="18">
        <v>1864832</v>
      </c>
      <c r="G89" s="18">
        <v>1841800</v>
      </c>
    </row>
    <row r="90" spans="1:7" x14ac:dyDescent="0.3">
      <c r="A90" s="11" t="s">
        <v>5</v>
      </c>
      <c r="B90" s="18">
        <v>1075323</v>
      </c>
      <c r="C90" s="18">
        <v>1074081</v>
      </c>
      <c r="D90" s="18">
        <v>1074060</v>
      </c>
      <c r="E90" s="18">
        <v>1069994</v>
      </c>
      <c r="F90" s="18">
        <v>1063999</v>
      </c>
      <c r="G90" s="18">
        <v>1057416</v>
      </c>
    </row>
    <row r="91" spans="1:7" x14ac:dyDescent="0.3">
      <c r="A91" s="11" t="s">
        <v>103</v>
      </c>
      <c r="B91" s="18">
        <v>6173982</v>
      </c>
      <c r="C91" s="18">
        <v>8205612</v>
      </c>
      <c r="D91" s="7"/>
      <c r="E91" s="7"/>
      <c r="F91" s="7"/>
      <c r="G91" s="7"/>
    </row>
    <row r="92" spans="1:7" x14ac:dyDescent="0.3">
      <c r="A92" s="12" t="s">
        <v>103</v>
      </c>
      <c r="B92" s="18">
        <v>8158031</v>
      </c>
      <c r="C92" s="18">
        <v>8118661</v>
      </c>
      <c r="D92" s="18">
        <v>8081501</v>
      </c>
      <c r="E92" s="18">
        <v>8038287</v>
      </c>
      <c r="F92" s="18">
        <v>7988252</v>
      </c>
      <c r="G92" s="18">
        <v>7935220</v>
      </c>
    </row>
    <row r="93" spans="1:7" x14ac:dyDescent="0.3">
      <c r="A93" s="12" t="s">
        <v>1</v>
      </c>
      <c r="B93" s="18">
        <v>981428</v>
      </c>
      <c r="C93" s="18">
        <v>980413</v>
      </c>
      <c r="D93" s="18">
        <v>980819</v>
      </c>
      <c r="E93" s="18">
        <v>981527</v>
      </c>
      <c r="F93" s="18">
        <v>979453</v>
      </c>
      <c r="G93" s="18">
        <v>976290</v>
      </c>
    </row>
    <row r="94" spans="1:7" x14ac:dyDescent="0.3">
      <c r="A94" s="12" t="s">
        <v>57</v>
      </c>
      <c r="B94" s="18">
        <v>1051005</v>
      </c>
      <c r="C94" s="18">
        <v>1040538</v>
      </c>
      <c r="D94" s="18">
        <v>1030090</v>
      </c>
      <c r="E94" s="18">
        <v>1019906</v>
      </c>
      <c r="F94" s="18">
        <v>1007620</v>
      </c>
      <c r="G94" s="18">
        <v>996474</v>
      </c>
    </row>
    <row r="95" spans="1:7" x14ac:dyDescent="0.3">
      <c r="A95" s="12" t="s">
        <v>62</v>
      </c>
      <c r="B95" s="18">
        <v>967159</v>
      </c>
      <c r="C95" s="18">
        <v>969732</v>
      </c>
      <c r="D95" s="18">
        <v>974061</v>
      </c>
      <c r="E95" s="18">
        <v>981987</v>
      </c>
      <c r="F95" s="18">
        <v>992542</v>
      </c>
      <c r="G95" s="18">
        <v>997699</v>
      </c>
    </row>
    <row r="96" spans="1:7" x14ac:dyDescent="0.3">
      <c r="A96" s="12" t="s">
        <v>9</v>
      </c>
      <c r="B96" s="18">
        <v>303034</v>
      </c>
      <c r="C96" s="18">
        <v>301213</v>
      </c>
      <c r="D96" s="18">
        <v>298132</v>
      </c>
      <c r="E96" s="18">
        <v>294810</v>
      </c>
      <c r="F96" s="18">
        <v>292913</v>
      </c>
      <c r="G96" s="18">
        <v>290652</v>
      </c>
    </row>
    <row r="97" spans="1:7" x14ac:dyDescent="0.3">
      <c r="A97" s="12" t="s">
        <v>10</v>
      </c>
      <c r="B97" s="18">
        <v>1904449</v>
      </c>
      <c r="C97" s="18">
        <v>1892360</v>
      </c>
      <c r="D97" s="18">
        <v>1881968</v>
      </c>
      <c r="E97" s="18">
        <v>1867932</v>
      </c>
      <c r="F97" s="18">
        <v>1850077</v>
      </c>
      <c r="G97" s="18">
        <v>1831019</v>
      </c>
    </row>
    <row r="98" spans="1:7" x14ac:dyDescent="0.3">
      <c r="A98" s="12" t="s">
        <v>75</v>
      </c>
      <c r="B98" s="18">
        <v>1326346</v>
      </c>
      <c r="C98" s="18">
        <v>1320136</v>
      </c>
      <c r="D98" s="18">
        <v>1313552</v>
      </c>
      <c r="E98" s="18">
        <v>1302772</v>
      </c>
      <c r="F98" s="18">
        <v>1293932</v>
      </c>
      <c r="G98" s="18">
        <v>1288427</v>
      </c>
    </row>
    <row r="99" spans="1:7" x14ac:dyDescent="0.3">
      <c r="A99" s="12" t="s">
        <v>73</v>
      </c>
      <c r="B99" s="18">
        <v>794737</v>
      </c>
      <c r="C99" s="18">
        <v>789657</v>
      </c>
      <c r="D99" s="18">
        <v>784666</v>
      </c>
      <c r="E99" s="18">
        <v>778191</v>
      </c>
      <c r="F99" s="18">
        <v>768631</v>
      </c>
      <c r="G99" s="18">
        <v>759884</v>
      </c>
    </row>
    <row r="100" spans="1:7" x14ac:dyDescent="0.3">
      <c r="A100" s="12" t="s">
        <v>8</v>
      </c>
      <c r="B100" s="18">
        <v>143741</v>
      </c>
      <c r="C100" s="18">
        <v>141407</v>
      </c>
      <c r="D100" s="18">
        <v>139267</v>
      </c>
      <c r="E100" s="18">
        <v>137993</v>
      </c>
      <c r="F100" s="18">
        <v>136627</v>
      </c>
      <c r="G100" s="18">
        <v>135111</v>
      </c>
    </row>
    <row r="101" spans="1:7" x14ac:dyDescent="0.3">
      <c r="A101" s="12" t="s">
        <v>3</v>
      </c>
      <c r="B101" s="18">
        <v>477456</v>
      </c>
      <c r="C101" s="18">
        <v>477282</v>
      </c>
      <c r="D101" s="18">
        <v>474937</v>
      </c>
      <c r="E101" s="18">
        <v>471462</v>
      </c>
      <c r="F101" s="18">
        <v>467639</v>
      </c>
      <c r="G101" s="18">
        <v>463272</v>
      </c>
    </row>
    <row r="102" spans="1:7" x14ac:dyDescent="0.3">
      <c r="A102" s="12" t="s">
        <v>74</v>
      </c>
      <c r="B102" s="18">
        <v>160362</v>
      </c>
      <c r="C102" s="18">
        <v>157877</v>
      </c>
      <c r="D102" s="18">
        <v>155685</v>
      </c>
      <c r="E102" s="18">
        <v>153641</v>
      </c>
      <c r="F102" s="18">
        <v>151073</v>
      </c>
      <c r="G102" s="18">
        <v>148519</v>
      </c>
    </row>
    <row r="103" spans="1:7" x14ac:dyDescent="0.3">
      <c r="A103" s="12" t="s">
        <v>18</v>
      </c>
      <c r="B103" s="18">
        <v>48314</v>
      </c>
      <c r="C103" s="18">
        <v>48046</v>
      </c>
      <c r="D103" s="18">
        <v>48324</v>
      </c>
      <c r="E103" s="18">
        <v>48066</v>
      </c>
      <c r="F103" s="18">
        <v>47745</v>
      </c>
      <c r="G103" s="18">
        <v>47873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F011E-7806-418E-9C3C-4F2CCF77A758}">
  <sheetPr codeName="Лист18">
    <tabColor theme="0" tint="-0.14999847407452621"/>
    <pageSetUpPr fitToPage="1"/>
  </sheetPr>
  <dimension ref="A1:Y101"/>
  <sheetViews>
    <sheetView showGridLines="0" workbookViewId="0">
      <selection activeCell="A102" sqref="A102:XFD103"/>
    </sheetView>
  </sheetViews>
  <sheetFormatPr defaultRowHeight="16.5" x14ac:dyDescent="0.3"/>
  <cols>
    <col min="1" max="1" width="108.5703125" style="9" customWidth="1"/>
    <col min="2" max="2" width="10.85546875" style="4" customWidth="1"/>
    <col min="3" max="7" width="10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5" x14ac:dyDescent="0.3">
      <c r="A1" s="8" t="s">
        <v>142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12.75" customHeight="1" x14ac:dyDescent="0.3"/>
    <row r="3" spans="1:25" x14ac:dyDescent="0.3">
      <c r="A3" s="10"/>
      <c r="B3" s="5">
        <v>2017</v>
      </c>
      <c r="C3" s="6">
        <v>2018</v>
      </c>
      <c r="D3" s="6">
        <v>2019</v>
      </c>
      <c r="E3" s="6">
        <v>2020</v>
      </c>
      <c r="F3" s="6">
        <v>2021</v>
      </c>
      <c r="G3" s="6">
        <v>2022</v>
      </c>
    </row>
    <row r="4" spans="1:25" x14ac:dyDescent="0.3">
      <c r="A4" s="11" t="s">
        <v>87</v>
      </c>
      <c r="B4" s="18">
        <v>31897</v>
      </c>
      <c r="C4" s="18">
        <v>33361</v>
      </c>
      <c r="D4" s="18">
        <v>35506</v>
      </c>
      <c r="E4" s="18">
        <v>36240</v>
      </c>
      <c r="F4" s="18">
        <v>40304</v>
      </c>
      <c r="G4" s="18">
        <v>44937</v>
      </c>
    </row>
    <row r="5" spans="1:25" x14ac:dyDescent="0.3">
      <c r="A5" s="11" t="s">
        <v>96</v>
      </c>
      <c r="B5" s="18">
        <v>41897</v>
      </c>
      <c r="C5" s="18">
        <v>44194</v>
      </c>
      <c r="D5" s="18">
        <v>47584</v>
      </c>
      <c r="E5" s="18">
        <v>48566</v>
      </c>
      <c r="F5" s="18">
        <v>54796</v>
      </c>
      <c r="G5" s="18">
        <v>59427</v>
      </c>
    </row>
    <row r="6" spans="1:25" x14ac:dyDescent="0.3">
      <c r="A6" s="11" t="s">
        <v>50</v>
      </c>
      <c r="B6" s="18">
        <v>30342</v>
      </c>
      <c r="C6" s="18">
        <v>30778</v>
      </c>
      <c r="D6" s="18">
        <v>32398</v>
      </c>
      <c r="E6" s="18">
        <v>32884</v>
      </c>
      <c r="F6" s="18">
        <v>35612</v>
      </c>
      <c r="G6" s="18">
        <v>41009</v>
      </c>
    </row>
    <row r="7" spans="1:25" x14ac:dyDescent="0.3">
      <c r="A7" s="11" t="s">
        <v>48</v>
      </c>
      <c r="B7" s="18">
        <v>25107</v>
      </c>
      <c r="C7" s="18">
        <v>26658</v>
      </c>
      <c r="D7" s="18">
        <v>28422</v>
      </c>
      <c r="E7" s="18">
        <v>28636</v>
      </c>
      <c r="F7" s="18">
        <v>31609</v>
      </c>
      <c r="G7" s="18">
        <v>35697</v>
      </c>
    </row>
    <row r="8" spans="1:25" x14ac:dyDescent="0.3">
      <c r="A8" s="11" t="s">
        <v>20</v>
      </c>
      <c r="B8" s="18">
        <v>23554</v>
      </c>
      <c r="C8" s="18">
        <v>23560</v>
      </c>
      <c r="D8" s="18">
        <v>25391</v>
      </c>
      <c r="E8" s="18">
        <v>25955</v>
      </c>
      <c r="F8" s="18">
        <v>28523</v>
      </c>
      <c r="G8" s="18">
        <v>32296</v>
      </c>
    </row>
    <row r="9" spans="1:25" x14ac:dyDescent="0.3">
      <c r="A9" s="11" t="s">
        <v>4</v>
      </c>
      <c r="B9" s="18">
        <v>29498</v>
      </c>
      <c r="C9" s="18">
        <v>30289</v>
      </c>
      <c r="D9" s="18">
        <v>32022</v>
      </c>
      <c r="E9" s="18">
        <v>32102</v>
      </c>
      <c r="F9" s="18">
        <v>35198</v>
      </c>
      <c r="G9" s="18">
        <v>39304</v>
      </c>
    </row>
    <row r="10" spans="1:25" x14ac:dyDescent="0.3">
      <c r="A10" s="11" t="s">
        <v>45</v>
      </c>
      <c r="B10" s="18">
        <v>24860</v>
      </c>
      <c r="C10" s="18">
        <v>24503</v>
      </c>
      <c r="D10" s="18">
        <v>25794</v>
      </c>
      <c r="E10" s="18">
        <v>26284</v>
      </c>
      <c r="F10" s="18">
        <v>28680</v>
      </c>
      <c r="G10" s="18">
        <v>34255</v>
      </c>
    </row>
    <row r="11" spans="1:25" x14ac:dyDescent="0.3">
      <c r="A11" s="11" t="s">
        <v>40</v>
      </c>
      <c r="B11" s="18">
        <v>28716</v>
      </c>
      <c r="C11" s="18">
        <v>29178</v>
      </c>
      <c r="D11" s="18">
        <v>31417</v>
      </c>
      <c r="E11" s="18">
        <v>32559</v>
      </c>
      <c r="F11" s="18">
        <v>35076</v>
      </c>
      <c r="G11" s="18">
        <v>34982</v>
      </c>
    </row>
    <row r="12" spans="1:25" x14ac:dyDescent="0.3">
      <c r="A12" s="11" t="s">
        <v>37</v>
      </c>
      <c r="B12" s="18">
        <v>24093</v>
      </c>
      <c r="C12" s="18">
        <v>23716</v>
      </c>
      <c r="D12" s="18">
        <v>25318</v>
      </c>
      <c r="E12" s="18">
        <v>25786</v>
      </c>
      <c r="F12" s="18">
        <v>28560</v>
      </c>
      <c r="G12" s="18">
        <v>34422</v>
      </c>
    </row>
    <row r="13" spans="1:25" x14ac:dyDescent="0.3">
      <c r="A13" s="11" t="s">
        <v>56</v>
      </c>
      <c r="B13" s="18">
        <v>26112</v>
      </c>
      <c r="C13" s="18">
        <v>27279</v>
      </c>
      <c r="D13" s="18">
        <v>29149</v>
      </c>
      <c r="E13" s="18">
        <v>29791</v>
      </c>
      <c r="F13" s="18">
        <v>32715</v>
      </c>
      <c r="G13" s="18">
        <v>37600</v>
      </c>
    </row>
    <row r="14" spans="1:25" x14ac:dyDescent="0.3">
      <c r="A14" s="11" t="s">
        <v>51</v>
      </c>
      <c r="B14" s="18">
        <v>28956</v>
      </c>
      <c r="C14" s="18">
        <v>30025</v>
      </c>
      <c r="D14" s="18">
        <v>32535</v>
      </c>
      <c r="E14" s="18">
        <v>32534</v>
      </c>
      <c r="F14" s="18">
        <v>35231</v>
      </c>
      <c r="G14" s="18">
        <v>38918</v>
      </c>
    </row>
    <row r="15" spans="1:25" x14ac:dyDescent="0.3">
      <c r="A15" s="11" t="s">
        <v>21</v>
      </c>
      <c r="B15" s="18">
        <v>42345</v>
      </c>
      <c r="C15" s="18">
        <v>44742</v>
      </c>
      <c r="D15" s="18">
        <v>47513</v>
      </c>
      <c r="E15" s="18">
        <v>47301</v>
      </c>
      <c r="F15" s="18">
        <v>53989</v>
      </c>
      <c r="G15" s="18">
        <v>55109</v>
      </c>
    </row>
    <row r="16" spans="1:25" x14ac:dyDescent="0.3">
      <c r="A16" s="11" t="s">
        <v>70</v>
      </c>
      <c r="B16" s="18">
        <v>23979</v>
      </c>
      <c r="C16" s="18">
        <v>24895</v>
      </c>
      <c r="D16" s="18">
        <v>26184</v>
      </c>
      <c r="E16" s="18">
        <v>26990</v>
      </c>
      <c r="F16" s="18">
        <v>29846</v>
      </c>
      <c r="G16" s="18">
        <v>34119</v>
      </c>
    </row>
    <row r="17" spans="1:7" x14ac:dyDescent="0.3">
      <c r="A17" s="11" t="s">
        <v>59</v>
      </c>
      <c r="B17" s="18">
        <v>24272</v>
      </c>
      <c r="C17" s="18">
        <v>25444</v>
      </c>
      <c r="D17" s="18">
        <v>26886</v>
      </c>
      <c r="E17" s="18">
        <v>27328</v>
      </c>
      <c r="F17" s="18">
        <v>30496</v>
      </c>
      <c r="G17" s="18">
        <v>33366</v>
      </c>
    </row>
    <row r="18" spans="1:7" x14ac:dyDescent="0.3">
      <c r="A18" s="11" t="s">
        <v>43</v>
      </c>
      <c r="B18" s="18">
        <v>24766</v>
      </c>
      <c r="C18" s="18">
        <v>25985</v>
      </c>
      <c r="D18" s="18">
        <v>27485</v>
      </c>
      <c r="E18" s="18">
        <v>28256</v>
      </c>
      <c r="F18" s="18">
        <v>30731</v>
      </c>
      <c r="G18" s="18">
        <v>35049</v>
      </c>
    </row>
    <row r="19" spans="1:7" x14ac:dyDescent="0.3">
      <c r="A19" s="11" t="s">
        <v>15</v>
      </c>
      <c r="B19" s="18">
        <v>26058</v>
      </c>
      <c r="C19" s="18">
        <v>26828</v>
      </c>
      <c r="D19" s="18">
        <v>28154</v>
      </c>
      <c r="E19" s="18">
        <v>27892</v>
      </c>
      <c r="F19" s="18">
        <v>30241</v>
      </c>
      <c r="G19" s="18">
        <v>34051</v>
      </c>
    </row>
    <row r="20" spans="1:7" x14ac:dyDescent="0.3">
      <c r="A20" s="11" t="s">
        <v>38</v>
      </c>
      <c r="B20" s="18">
        <v>24353</v>
      </c>
      <c r="C20" s="18">
        <v>25125</v>
      </c>
      <c r="D20" s="18">
        <v>27212</v>
      </c>
      <c r="E20" s="18">
        <v>27692</v>
      </c>
      <c r="F20" s="18">
        <v>30675</v>
      </c>
      <c r="G20" s="18">
        <v>35184</v>
      </c>
    </row>
    <row r="21" spans="1:7" x14ac:dyDescent="0.3">
      <c r="A21" s="11" t="s">
        <v>39</v>
      </c>
      <c r="B21" s="18">
        <v>27226</v>
      </c>
      <c r="C21" s="18">
        <v>27212</v>
      </c>
      <c r="D21" s="18">
        <v>28561</v>
      </c>
      <c r="E21" s="18">
        <v>29396</v>
      </c>
      <c r="F21" s="18">
        <v>32252</v>
      </c>
      <c r="G21" s="18">
        <v>34193</v>
      </c>
    </row>
    <row r="22" spans="1:7" x14ac:dyDescent="0.3">
      <c r="A22" s="11" t="s">
        <v>78</v>
      </c>
      <c r="B22" s="18">
        <v>27200</v>
      </c>
      <c r="C22" s="18">
        <v>27072</v>
      </c>
      <c r="D22" s="18">
        <v>28667</v>
      </c>
      <c r="E22" s="18">
        <v>29527</v>
      </c>
      <c r="F22" s="18">
        <v>33131</v>
      </c>
      <c r="G22" s="18">
        <v>38032</v>
      </c>
    </row>
    <row r="23" spans="1:7" x14ac:dyDescent="0.3">
      <c r="A23" s="11" t="s">
        <v>13</v>
      </c>
      <c r="B23" s="18">
        <v>65471</v>
      </c>
      <c r="C23" s="18">
        <v>69926</v>
      </c>
      <c r="D23" s="18">
        <v>75891</v>
      </c>
      <c r="E23" s="18">
        <v>78106</v>
      </c>
      <c r="F23" s="18">
        <v>88860</v>
      </c>
      <c r="G23" s="18">
        <v>95460</v>
      </c>
    </row>
    <row r="24" spans="1:7" x14ac:dyDescent="0.3">
      <c r="A24" s="11" t="s">
        <v>97</v>
      </c>
      <c r="B24" s="18">
        <v>34299</v>
      </c>
      <c r="C24" s="18">
        <v>36255</v>
      </c>
      <c r="D24" s="18">
        <v>38079</v>
      </c>
      <c r="E24" s="18">
        <v>39486</v>
      </c>
      <c r="F24" s="18">
        <v>44632</v>
      </c>
      <c r="G24" s="18">
        <v>50158</v>
      </c>
    </row>
    <row r="25" spans="1:7" x14ac:dyDescent="0.3">
      <c r="A25" s="11" t="s">
        <v>71</v>
      </c>
      <c r="B25" s="18">
        <v>27473</v>
      </c>
      <c r="C25" s="18">
        <v>29150</v>
      </c>
      <c r="D25" s="18">
        <v>30854</v>
      </c>
      <c r="E25" s="18">
        <v>32596</v>
      </c>
      <c r="F25" s="18">
        <v>35373</v>
      </c>
      <c r="G25" s="18">
        <v>44544</v>
      </c>
    </row>
    <row r="26" spans="1:7" x14ac:dyDescent="0.3">
      <c r="A26" s="11" t="s">
        <v>65</v>
      </c>
      <c r="B26" s="18">
        <v>32310</v>
      </c>
      <c r="C26" s="18">
        <v>34157</v>
      </c>
      <c r="D26" s="18">
        <v>35428</v>
      </c>
      <c r="E26" s="18">
        <v>36687</v>
      </c>
      <c r="F26" s="18">
        <v>39118</v>
      </c>
      <c r="G26" s="18">
        <v>46610</v>
      </c>
    </row>
    <row r="27" spans="1:7" x14ac:dyDescent="0.3">
      <c r="A27" s="11" t="s">
        <v>53</v>
      </c>
      <c r="B27" s="18">
        <v>32310</v>
      </c>
      <c r="C27" s="18">
        <v>33866</v>
      </c>
      <c r="D27" s="18">
        <v>35724</v>
      </c>
      <c r="E27" s="18">
        <v>36785</v>
      </c>
      <c r="F27" s="18">
        <v>39741</v>
      </c>
      <c r="G27" s="18">
        <v>48325</v>
      </c>
    </row>
    <row r="28" spans="1:7" x14ac:dyDescent="0.3">
      <c r="A28" s="11" t="s">
        <v>7</v>
      </c>
      <c r="B28" s="18">
        <v>73013</v>
      </c>
      <c r="C28" s="18">
        <v>78549</v>
      </c>
      <c r="D28" s="18">
        <v>81041</v>
      </c>
      <c r="E28" s="18">
        <v>84171</v>
      </c>
      <c r="F28" s="18">
        <v>86431</v>
      </c>
      <c r="G28" s="18">
        <v>103915</v>
      </c>
    </row>
    <row r="29" spans="1:7" x14ac:dyDescent="0.3">
      <c r="A29" s="11" t="s">
        <v>88</v>
      </c>
      <c r="B29" s="18">
        <v>30707</v>
      </c>
      <c r="C29" s="7">
        <v>32091</v>
      </c>
      <c r="D29" s="7">
        <v>33907</v>
      </c>
      <c r="E29" s="7">
        <v>34857</v>
      </c>
      <c r="F29" s="7">
        <v>37812</v>
      </c>
      <c r="G29" s="7">
        <v>45951</v>
      </c>
    </row>
    <row r="30" spans="1:7" x14ac:dyDescent="0.3">
      <c r="A30" s="11" t="s">
        <v>80</v>
      </c>
      <c r="B30" s="18">
        <v>25920</v>
      </c>
      <c r="C30" s="18">
        <v>27012</v>
      </c>
      <c r="D30" s="18">
        <v>28418</v>
      </c>
      <c r="E30" s="18">
        <v>29682</v>
      </c>
      <c r="F30" s="18">
        <v>31858</v>
      </c>
      <c r="G30" s="18">
        <v>35415</v>
      </c>
    </row>
    <row r="31" spans="1:7" x14ac:dyDescent="0.3">
      <c r="A31" s="11" t="s">
        <v>69</v>
      </c>
      <c r="B31" s="18">
        <v>26463</v>
      </c>
      <c r="C31" s="18">
        <v>27549</v>
      </c>
      <c r="D31" s="18">
        <v>29098</v>
      </c>
      <c r="E31" s="18">
        <v>29621</v>
      </c>
      <c r="F31" s="18">
        <v>32033</v>
      </c>
      <c r="G31" s="18">
        <v>34181</v>
      </c>
    </row>
    <row r="32" spans="1:7" x14ac:dyDescent="0.3">
      <c r="A32" s="11" t="s">
        <v>33</v>
      </c>
      <c r="B32" s="18">
        <v>29668</v>
      </c>
      <c r="C32" s="18">
        <v>31341</v>
      </c>
      <c r="D32" s="18">
        <v>32371</v>
      </c>
      <c r="E32" s="18">
        <v>33235</v>
      </c>
      <c r="F32" s="18">
        <v>36855</v>
      </c>
      <c r="G32" s="18">
        <v>38952</v>
      </c>
    </row>
    <row r="33" spans="1:7" x14ac:dyDescent="0.3">
      <c r="A33" s="11" t="s">
        <v>30</v>
      </c>
      <c r="B33" s="18">
        <v>39273</v>
      </c>
      <c r="C33" s="18">
        <v>41588</v>
      </c>
      <c r="D33" s="18">
        <v>44261</v>
      </c>
      <c r="E33" s="18">
        <v>46621</v>
      </c>
      <c r="F33" s="18">
        <v>51183</v>
      </c>
      <c r="G33" s="18">
        <v>62390</v>
      </c>
    </row>
    <row r="34" spans="1:7" x14ac:dyDescent="0.3">
      <c r="A34" s="11" t="s">
        <v>52</v>
      </c>
      <c r="B34" s="18">
        <v>25757</v>
      </c>
      <c r="C34" s="18">
        <v>25616</v>
      </c>
      <c r="D34" s="18">
        <v>26193</v>
      </c>
      <c r="E34" s="18">
        <v>26431</v>
      </c>
      <c r="F34" s="18">
        <v>29300</v>
      </c>
      <c r="G34" s="18">
        <v>33715</v>
      </c>
    </row>
    <row r="35" spans="1:7" x14ac:dyDescent="0.3">
      <c r="A35" s="11" t="s">
        <v>31</v>
      </c>
      <c r="B35" s="18">
        <v>23285</v>
      </c>
      <c r="C35" s="18">
        <v>23880</v>
      </c>
      <c r="D35" s="18">
        <v>25525</v>
      </c>
      <c r="E35" s="18">
        <v>26444</v>
      </c>
      <c r="F35" s="18">
        <v>29355</v>
      </c>
      <c r="G35" s="18">
        <v>33081</v>
      </c>
    </row>
    <row r="36" spans="1:7" x14ac:dyDescent="0.3">
      <c r="A36" s="11" t="s">
        <v>32</v>
      </c>
      <c r="B36" s="18">
        <v>42338</v>
      </c>
      <c r="C36" s="18">
        <v>45137</v>
      </c>
      <c r="D36" s="18">
        <v>47472</v>
      </c>
      <c r="E36" s="18">
        <v>49375</v>
      </c>
      <c r="F36" s="18">
        <v>57928</v>
      </c>
      <c r="G36" s="18">
        <v>63492</v>
      </c>
    </row>
    <row r="37" spans="1:7" x14ac:dyDescent="0.3">
      <c r="A37" s="11" t="s">
        <v>98</v>
      </c>
      <c r="B37" s="18">
        <v>27348</v>
      </c>
      <c r="C37" s="18">
        <v>28650</v>
      </c>
      <c r="D37" s="18">
        <v>30204</v>
      </c>
      <c r="E37" s="18">
        <v>30910</v>
      </c>
      <c r="F37" s="18">
        <v>34994</v>
      </c>
      <c r="G37" s="18">
        <v>39252</v>
      </c>
    </row>
    <row r="38" spans="1:7" x14ac:dyDescent="0.3">
      <c r="A38" s="11" t="s">
        <v>26</v>
      </c>
      <c r="B38" s="18">
        <v>26478</v>
      </c>
      <c r="C38" s="18">
        <v>27590</v>
      </c>
      <c r="D38" s="18">
        <v>29139</v>
      </c>
      <c r="E38" s="18">
        <v>30320</v>
      </c>
      <c r="F38" s="18">
        <v>34901</v>
      </c>
      <c r="G38" s="18">
        <v>36340</v>
      </c>
    </row>
    <row r="39" spans="1:7" x14ac:dyDescent="0.3">
      <c r="A39" s="11" t="s">
        <v>27</v>
      </c>
      <c r="B39" s="18">
        <v>16261</v>
      </c>
      <c r="C39" s="18">
        <v>17082</v>
      </c>
      <c r="D39" s="18">
        <v>18508</v>
      </c>
      <c r="E39" s="18">
        <v>19816</v>
      </c>
      <c r="F39" s="18">
        <v>21319</v>
      </c>
      <c r="G39" s="18">
        <v>23533</v>
      </c>
    </row>
    <row r="40" spans="1:7" x14ac:dyDescent="0.3">
      <c r="A40" s="11" t="s">
        <v>89</v>
      </c>
      <c r="B40" s="18">
        <v>19818</v>
      </c>
      <c r="C40" s="18">
        <v>21526</v>
      </c>
      <c r="D40" s="18">
        <v>22366</v>
      </c>
      <c r="E40" s="18">
        <v>23033</v>
      </c>
      <c r="F40" s="18">
        <v>26381</v>
      </c>
      <c r="G40" s="18">
        <v>28697</v>
      </c>
    </row>
    <row r="41" spans="1:7" x14ac:dyDescent="0.3">
      <c r="A41" s="11" t="s">
        <v>28</v>
      </c>
      <c r="B41" s="18">
        <v>33403</v>
      </c>
      <c r="C41" s="18">
        <v>34861</v>
      </c>
      <c r="D41" s="18">
        <v>36604</v>
      </c>
      <c r="E41" s="18">
        <v>37352</v>
      </c>
      <c r="F41" s="18">
        <v>43255</v>
      </c>
      <c r="G41" s="18">
        <v>48279</v>
      </c>
    </row>
    <row r="42" spans="1:7" x14ac:dyDescent="0.3">
      <c r="A42" s="11" t="s">
        <v>25</v>
      </c>
      <c r="B42" s="18">
        <v>22884</v>
      </c>
      <c r="C42" s="18">
        <v>23770</v>
      </c>
      <c r="D42" s="18">
        <v>24971</v>
      </c>
      <c r="E42" s="18">
        <v>25206</v>
      </c>
      <c r="F42" s="18">
        <v>26833</v>
      </c>
      <c r="G42" s="18">
        <v>31084</v>
      </c>
    </row>
    <row r="43" spans="1:7" x14ac:dyDescent="0.3">
      <c r="A43" s="11" t="s">
        <v>22</v>
      </c>
      <c r="B43" s="18">
        <v>22037</v>
      </c>
      <c r="C43" s="18">
        <v>22813</v>
      </c>
      <c r="D43" s="18">
        <v>24160</v>
      </c>
      <c r="E43" s="18">
        <v>24995</v>
      </c>
      <c r="F43" s="18">
        <v>27680</v>
      </c>
      <c r="G43" s="18">
        <v>31292</v>
      </c>
    </row>
    <row r="44" spans="1:7" x14ac:dyDescent="0.3">
      <c r="A44" s="11" t="s">
        <v>29</v>
      </c>
      <c r="B44" s="18">
        <v>27741</v>
      </c>
      <c r="C44" s="18">
        <v>29097</v>
      </c>
      <c r="D44" s="18">
        <v>30866</v>
      </c>
      <c r="E44" s="18">
        <v>31519</v>
      </c>
      <c r="F44" s="18">
        <v>35050</v>
      </c>
      <c r="G44" s="18">
        <v>40008</v>
      </c>
    </row>
    <row r="45" spans="1:7" x14ac:dyDescent="0.3">
      <c r="A45" s="11" t="s">
        <v>90</v>
      </c>
      <c r="B45" s="18">
        <v>28130</v>
      </c>
      <c r="C45" s="18">
        <v>28834</v>
      </c>
      <c r="D45" s="18">
        <v>30261</v>
      </c>
      <c r="E45" s="18">
        <v>29969</v>
      </c>
      <c r="F45" s="18">
        <v>33048</v>
      </c>
      <c r="G45" s="18">
        <v>35155</v>
      </c>
    </row>
    <row r="46" spans="1:7" x14ac:dyDescent="0.3">
      <c r="A46" s="11" t="s">
        <v>99</v>
      </c>
      <c r="B46" s="18">
        <v>23018</v>
      </c>
      <c r="C46" s="18">
        <v>23263</v>
      </c>
      <c r="D46" s="18">
        <v>24406</v>
      </c>
      <c r="E46" s="18">
        <v>24525</v>
      </c>
      <c r="F46" s="18">
        <v>26772</v>
      </c>
      <c r="G46" s="18">
        <v>29551</v>
      </c>
    </row>
    <row r="47" spans="1:7" x14ac:dyDescent="0.3">
      <c r="A47" s="11" t="s">
        <v>63</v>
      </c>
      <c r="B47" s="18">
        <v>26483</v>
      </c>
      <c r="C47" s="18">
        <v>25757</v>
      </c>
      <c r="D47" s="18">
        <v>27410</v>
      </c>
      <c r="E47" s="18">
        <v>27666</v>
      </c>
      <c r="F47" s="18">
        <v>30260</v>
      </c>
      <c r="G47" s="18">
        <v>33329</v>
      </c>
    </row>
    <row r="48" spans="1:7" x14ac:dyDescent="0.3">
      <c r="A48" s="11" t="s">
        <v>81</v>
      </c>
      <c r="B48" s="18">
        <v>15801</v>
      </c>
      <c r="C48" s="18">
        <v>16163</v>
      </c>
      <c r="D48" s="18">
        <v>16614</v>
      </c>
      <c r="E48" s="18">
        <v>16877</v>
      </c>
      <c r="F48" s="18">
        <v>18139</v>
      </c>
      <c r="G48" s="18">
        <v>20766</v>
      </c>
    </row>
    <row r="49" spans="1:7" x14ac:dyDescent="0.3">
      <c r="A49" s="11" t="s">
        <v>91</v>
      </c>
      <c r="B49" s="18">
        <v>20439</v>
      </c>
      <c r="C49" s="18">
        <v>20806</v>
      </c>
      <c r="D49" s="18">
        <v>21474</v>
      </c>
      <c r="E49" s="18">
        <v>22016</v>
      </c>
      <c r="F49" s="18">
        <v>25929</v>
      </c>
      <c r="G49" s="18">
        <v>30167</v>
      </c>
    </row>
    <row r="50" spans="1:7" x14ac:dyDescent="0.3">
      <c r="A50" s="11" t="s">
        <v>92</v>
      </c>
      <c r="B50" s="18">
        <v>17932</v>
      </c>
      <c r="C50" s="18">
        <v>18099</v>
      </c>
      <c r="D50" s="18">
        <v>18977</v>
      </c>
      <c r="E50" s="18">
        <v>19101</v>
      </c>
      <c r="F50" s="18">
        <v>20470</v>
      </c>
      <c r="G50" s="18">
        <v>22190</v>
      </c>
    </row>
    <row r="51" spans="1:7" x14ac:dyDescent="0.3">
      <c r="A51" s="11" t="s">
        <v>47</v>
      </c>
      <c r="B51" s="18">
        <v>22702</v>
      </c>
      <c r="C51" s="18">
        <v>23332</v>
      </c>
      <c r="D51" s="18">
        <v>24522</v>
      </c>
      <c r="E51" s="18">
        <v>23963</v>
      </c>
      <c r="F51" s="18">
        <v>25885</v>
      </c>
      <c r="G51" s="18">
        <v>29170</v>
      </c>
    </row>
    <row r="52" spans="1:7" x14ac:dyDescent="0.3">
      <c r="A52" s="11" t="s">
        <v>93</v>
      </c>
      <c r="B52" s="18">
        <v>22484</v>
      </c>
      <c r="C52" s="18">
        <v>23200</v>
      </c>
      <c r="D52" s="18">
        <v>24153</v>
      </c>
      <c r="E52" s="18">
        <v>24625</v>
      </c>
      <c r="F52" s="18">
        <v>26397</v>
      </c>
      <c r="G52" s="18">
        <v>30335</v>
      </c>
    </row>
    <row r="53" spans="1:7" x14ac:dyDescent="0.3">
      <c r="A53" s="11" t="s">
        <v>11</v>
      </c>
      <c r="B53" s="18">
        <v>22485</v>
      </c>
      <c r="C53" s="18">
        <v>23408</v>
      </c>
      <c r="D53" s="18">
        <v>24393</v>
      </c>
      <c r="E53" s="18">
        <v>24187</v>
      </c>
      <c r="F53" s="18">
        <v>26186</v>
      </c>
      <c r="G53" s="18">
        <v>27620</v>
      </c>
    </row>
    <row r="54" spans="1:7" x14ac:dyDescent="0.3">
      <c r="A54" s="11" t="s">
        <v>100</v>
      </c>
      <c r="B54" s="18">
        <v>25987</v>
      </c>
      <c r="C54" s="18">
        <v>26697</v>
      </c>
      <c r="D54" s="18">
        <v>28292</v>
      </c>
      <c r="E54" s="18">
        <v>28625</v>
      </c>
      <c r="F54" s="18">
        <v>31310</v>
      </c>
      <c r="G54" s="18">
        <v>35450</v>
      </c>
    </row>
    <row r="55" spans="1:7" x14ac:dyDescent="0.3">
      <c r="A55" s="11" t="s">
        <v>83</v>
      </c>
      <c r="B55" s="18">
        <v>28468</v>
      </c>
      <c r="C55" s="18">
        <v>28972</v>
      </c>
      <c r="D55" s="18">
        <v>30603</v>
      </c>
      <c r="E55" s="18">
        <v>30409</v>
      </c>
      <c r="F55" s="18">
        <v>32621</v>
      </c>
      <c r="G55" s="18">
        <v>35251</v>
      </c>
    </row>
    <row r="56" spans="1:7" x14ac:dyDescent="0.3">
      <c r="A56" s="11" t="s">
        <v>42</v>
      </c>
      <c r="B56" s="18">
        <v>19331</v>
      </c>
      <c r="C56" s="18">
        <v>19811</v>
      </c>
      <c r="D56" s="18">
        <v>20877</v>
      </c>
      <c r="E56" s="18">
        <v>21271</v>
      </c>
      <c r="F56" s="18">
        <v>23184</v>
      </c>
      <c r="G56" s="18">
        <v>25497</v>
      </c>
    </row>
    <row r="57" spans="1:7" x14ac:dyDescent="0.3">
      <c r="A57" s="11" t="s">
        <v>34</v>
      </c>
      <c r="B57" s="18">
        <v>18255</v>
      </c>
      <c r="C57" s="18">
        <v>18651</v>
      </c>
      <c r="D57" s="18">
        <v>19748</v>
      </c>
      <c r="E57" s="18">
        <v>20635</v>
      </c>
      <c r="F57" s="18">
        <v>22906</v>
      </c>
      <c r="G57" s="18">
        <v>25497</v>
      </c>
    </row>
    <row r="58" spans="1:7" x14ac:dyDescent="0.3">
      <c r="A58" s="11" t="s">
        <v>35</v>
      </c>
      <c r="B58" s="18">
        <v>32436</v>
      </c>
      <c r="C58" s="18">
        <v>33731</v>
      </c>
      <c r="D58" s="18">
        <v>35733</v>
      </c>
      <c r="E58" s="18">
        <v>35694</v>
      </c>
      <c r="F58" s="18">
        <v>39679</v>
      </c>
      <c r="G58" s="18">
        <v>44925</v>
      </c>
    </row>
    <row r="59" spans="1:7" x14ac:dyDescent="0.3">
      <c r="A59" s="11" t="s">
        <v>94</v>
      </c>
      <c r="B59" s="18">
        <v>23995</v>
      </c>
      <c r="C59" s="18">
        <v>23827</v>
      </c>
      <c r="D59" s="18">
        <v>25066</v>
      </c>
      <c r="E59" s="18">
        <v>25460</v>
      </c>
      <c r="F59" s="18">
        <v>27700</v>
      </c>
      <c r="G59" s="18">
        <v>31935</v>
      </c>
    </row>
    <row r="60" spans="1:7" x14ac:dyDescent="0.3">
      <c r="A60" s="11" t="s">
        <v>46</v>
      </c>
      <c r="B60" s="18">
        <v>17952</v>
      </c>
      <c r="C60" s="18">
        <v>18462</v>
      </c>
      <c r="D60" s="18">
        <v>20162</v>
      </c>
      <c r="E60" s="18">
        <v>21164</v>
      </c>
      <c r="F60" s="18">
        <v>23651</v>
      </c>
      <c r="G60" s="18">
        <v>27206</v>
      </c>
    </row>
    <row r="61" spans="1:7" x14ac:dyDescent="0.3">
      <c r="A61" s="11" t="s">
        <v>44</v>
      </c>
      <c r="B61" s="18">
        <v>28340</v>
      </c>
      <c r="C61" s="18">
        <v>28737</v>
      </c>
      <c r="D61" s="18">
        <v>30618</v>
      </c>
      <c r="E61" s="18">
        <v>30237</v>
      </c>
      <c r="F61" s="18">
        <v>32750</v>
      </c>
      <c r="G61" s="18">
        <v>37246</v>
      </c>
    </row>
    <row r="62" spans="1:7" x14ac:dyDescent="0.3">
      <c r="A62" s="11" t="s">
        <v>36</v>
      </c>
      <c r="B62" s="18">
        <v>21795</v>
      </c>
      <c r="C62" s="18">
        <v>22310</v>
      </c>
      <c r="D62" s="18">
        <v>23684</v>
      </c>
      <c r="E62" s="18">
        <v>24292</v>
      </c>
      <c r="F62" s="18">
        <v>26649</v>
      </c>
      <c r="G62" s="18">
        <v>32141</v>
      </c>
    </row>
    <row r="63" spans="1:7" x14ac:dyDescent="0.3">
      <c r="A63" s="11" t="s">
        <v>54</v>
      </c>
      <c r="B63" s="18">
        <v>30326</v>
      </c>
      <c r="C63" s="18">
        <v>31416</v>
      </c>
      <c r="D63" s="18">
        <v>33874</v>
      </c>
      <c r="E63" s="18">
        <v>33814</v>
      </c>
      <c r="F63" s="18">
        <v>37525</v>
      </c>
      <c r="G63" s="18">
        <v>43214</v>
      </c>
    </row>
    <row r="64" spans="1:7" x14ac:dyDescent="0.3">
      <c r="A64" s="11" t="s">
        <v>23</v>
      </c>
      <c r="B64" s="18">
        <v>22910</v>
      </c>
      <c r="C64" s="18">
        <v>23387</v>
      </c>
      <c r="D64" s="18">
        <v>24497</v>
      </c>
      <c r="E64" s="18">
        <v>24731</v>
      </c>
      <c r="F64" s="18">
        <v>26514</v>
      </c>
      <c r="G64" s="18">
        <v>30250</v>
      </c>
    </row>
    <row r="65" spans="1:7" x14ac:dyDescent="0.3">
      <c r="A65" s="11" t="s">
        <v>49</v>
      </c>
      <c r="B65" s="18">
        <v>21364</v>
      </c>
      <c r="C65" s="18">
        <v>21821</v>
      </c>
      <c r="D65" s="18">
        <v>22990</v>
      </c>
      <c r="E65" s="18">
        <v>24135</v>
      </c>
      <c r="F65" s="18">
        <v>26416</v>
      </c>
      <c r="G65" s="18">
        <v>30107</v>
      </c>
    </row>
    <row r="66" spans="1:7" x14ac:dyDescent="0.3">
      <c r="A66" s="11" t="s">
        <v>24</v>
      </c>
      <c r="B66" s="18">
        <v>27094</v>
      </c>
      <c r="C66" s="18">
        <v>28182</v>
      </c>
      <c r="D66" s="18">
        <v>29422</v>
      </c>
      <c r="E66" s="18">
        <v>29973</v>
      </c>
      <c r="F66" s="18">
        <v>32664</v>
      </c>
      <c r="G66" s="18">
        <v>37052</v>
      </c>
    </row>
    <row r="67" spans="1:7" x14ac:dyDescent="0.3">
      <c r="A67" s="11" t="s">
        <v>68</v>
      </c>
      <c r="B67" s="18">
        <v>20244</v>
      </c>
      <c r="C67" s="18">
        <v>21424</v>
      </c>
      <c r="D67" s="18">
        <v>22760</v>
      </c>
      <c r="E67" s="18">
        <v>24095</v>
      </c>
      <c r="F67" s="18">
        <v>26228</v>
      </c>
      <c r="G67" s="18">
        <v>28795</v>
      </c>
    </row>
    <row r="68" spans="1:7" x14ac:dyDescent="0.3">
      <c r="A68" s="11" t="s">
        <v>41</v>
      </c>
      <c r="B68" s="18">
        <v>23284</v>
      </c>
      <c r="C68" s="18">
        <v>22797</v>
      </c>
      <c r="D68" s="18">
        <v>23710</v>
      </c>
      <c r="E68" s="18">
        <v>24596</v>
      </c>
      <c r="F68" s="18">
        <v>26849</v>
      </c>
      <c r="G68" s="18">
        <v>31001</v>
      </c>
    </row>
    <row r="69" spans="1:7" x14ac:dyDescent="0.3">
      <c r="A69" s="11" t="s">
        <v>101</v>
      </c>
      <c r="B69" s="18">
        <v>33643</v>
      </c>
      <c r="C69" s="18">
        <v>35095</v>
      </c>
      <c r="D69" s="18">
        <v>37038</v>
      </c>
      <c r="E69" s="18">
        <v>37351</v>
      </c>
      <c r="F69" s="18">
        <v>40219</v>
      </c>
      <c r="G69" s="18">
        <v>45377</v>
      </c>
    </row>
    <row r="70" spans="1:7" x14ac:dyDescent="0.3">
      <c r="A70" s="11" t="s">
        <v>55</v>
      </c>
      <c r="B70" s="18">
        <v>20660</v>
      </c>
      <c r="C70" s="18">
        <v>20335</v>
      </c>
      <c r="D70" s="18">
        <v>21304</v>
      </c>
      <c r="E70" s="18">
        <v>21865</v>
      </c>
      <c r="F70" s="18">
        <v>23746</v>
      </c>
      <c r="G70" s="18">
        <v>28401</v>
      </c>
    </row>
    <row r="71" spans="1:7" x14ac:dyDescent="0.3">
      <c r="A71" s="11" t="s">
        <v>16</v>
      </c>
      <c r="B71" s="18">
        <v>35210</v>
      </c>
      <c r="C71" s="18">
        <v>36737</v>
      </c>
      <c r="D71" s="18">
        <v>39095</v>
      </c>
      <c r="E71" s="18">
        <v>37447</v>
      </c>
      <c r="F71" s="18">
        <v>40275</v>
      </c>
      <c r="G71" s="18">
        <v>46187</v>
      </c>
    </row>
    <row r="72" spans="1:7" x14ac:dyDescent="0.3">
      <c r="A72" s="11" t="s">
        <v>19</v>
      </c>
      <c r="B72" s="18">
        <v>44241</v>
      </c>
      <c r="C72" s="18">
        <v>46584</v>
      </c>
      <c r="D72" s="18">
        <v>48933</v>
      </c>
      <c r="E72" s="18">
        <v>50440</v>
      </c>
      <c r="F72" s="18">
        <v>53382</v>
      </c>
      <c r="G72" s="18">
        <v>58818</v>
      </c>
    </row>
    <row r="73" spans="1:7" x14ac:dyDescent="0.3">
      <c r="A73" s="11" t="s">
        <v>17</v>
      </c>
      <c r="B73" s="18">
        <v>48834</v>
      </c>
      <c r="C73" s="18">
        <v>50831</v>
      </c>
      <c r="D73" s="18">
        <v>53493</v>
      </c>
      <c r="E73" s="18">
        <v>54588</v>
      </c>
      <c r="F73" s="18">
        <v>57012</v>
      </c>
      <c r="G73" s="18">
        <v>62796</v>
      </c>
    </row>
    <row r="74" spans="1:7" x14ac:dyDescent="0.3">
      <c r="A74" s="11" t="s">
        <v>60</v>
      </c>
      <c r="B74" s="18">
        <v>76027</v>
      </c>
      <c r="C74" s="18">
        <v>79543</v>
      </c>
      <c r="D74" s="18">
        <v>84273</v>
      </c>
      <c r="E74" s="18">
        <v>90130</v>
      </c>
      <c r="F74" s="18">
        <v>96814</v>
      </c>
      <c r="G74" s="18">
        <v>116257</v>
      </c>
    </row>
    <row r="75" spans="1:7" x14ac:dyDescent="0.3">
      <c r="A75" s="11" t="s">
        <v>95</v>
      </c>
      <c r="B75" s="18">
        <v>27672</v>
      </c>
      <c r="C75" s="18">
        <v>30117</v>
      </c>
      <c r="D75" s="18">
        <v>31394</v>
      </c>
      <c r="E75" s="18">
        <v>31851</v>
      </c>
      <c r="F75" s="18">
        <v>33984</v>
      </c>
      <c r="G75" s="18">
        <v>36242</v>
      </c>
    </row>
    <row r="76" spans="1:7" x14ac:dyDescent="0.3">
      <c r="A76" s="11" t="s">
        <v>82</v>
      </c>
      <c r="B76" s="18">
        <v>23719</v>
      </c>
      <c r="C76" s="7">
        <v>24392</v>
      </c>
      <c r="D76" s="7">
        <v>25432</v>
      </c>
      <c r="E76" s="7">
        <v>26647</v>
      </c>
      <c r="F76" s="7">
        <v>29498</v>
      </c>
      <c r="G76" s="7">
        <v>33068</v>
      </c>
    </row>
    <row r="77" spans="1:7" x14ac:dyDescent="0.3">
      <c r="A77" s="11" t="s">
        <v>102</v>
      </c>
      <c r="B77" s="18">
        <v>24532</v>
      </c>
      <c r="C77" s="18">
        <v>0</v>
      </c>
      <c r="D77" s="18" t="s">
        <v>86</v>
      </c>
      <c r="E77" s="18" t="s">
        <v>86</v>
      </c>
      <c r="F77" s="18" t="s">
        <v>86</v>
      </c>
      <c r="G77" s="18" t="s">
        <v>86</v>
      </c>
    </row>
    <row r="78" spans="1:7" x14ac:dyDescent="0.3">
      <c r="A78" s="11" t="s">
        <v>102</v>
      </c>
      <c r="B78" s="18">
        <v>0</v>
      </c>
      <c r="C78" s="18">
        <v>25665</v>
      </c>
      <c r="D78" s="18">
        <v>27217</v>
      </c>
      <c r="E78" s="18">
        <v>27999</v>
      </c>
      <c r="F78" s="18">
        <v>30778</v>
      </c>
      <c r="G78" s="18">
        <v>35386</v>
      </c>
    </row>
    <row r="79" spans="1:7" x14ac:dyDescent="0.3">
      <c r="A79" s="11" t="s">
        <v>58</v>
      </c>
      <c r="B79" s="18">
        <v>18584</v>
      </c>
      <c r="C79" s="18">
        <v>19503</v>
      </c>
      <c r="D79" s="7">
        <v>20256</v>
      </c>
      <c r="E79" s="7">
        <v>21683</v>
      </c>
      <c r="F79" s="7">
        <v>23798</v>
      </c>
      <c r="G79" s="7">
        <v>27358</v>
      </c>
    </row>
    <row r="80" spans="1:7" x14ac:dyDescent="0.3">
      <c r="A80" s="11" t="s">
        <v>14</v>
      </c>
      <c r="B80" s="18">
        <v>15011</v>
      </c>
      <c r="C80" s="18">
        <v>15610</v>
      </c>
      <c r="D80" s="18">
        <v>16618</v>
      </c>
      <c r="E80" s="18">
        <v>18975</v>
      </c>
      <c r="F80" s="18">
        <v>20651</v>
      </c>
      <c r="G80" s="18">
        <v>21776</v>
      </c>
    </row>
    <row r="81" spans="1:7" x14ac:dyDescent="0.3">
      <c r="A81" s="11" t="s">
        <v>77</v>
      </c>
      <c r="B81" s="18">
        <v>20251</v>
      </c>
      <c r="C81" s="18">
        <v>21571</v>
      </c>
      <c r="D81" s="18">
        <v>22691</v>
      </c>
      <c r="E81" s="18">
        <v>23843</v>
      </c>
      <c r="F81" s="18">
        <v>26068</v>
      </c>
      <c r="G81" s="18">
        <v>28772</v>
      </c>
    </row>
    <row r="82" spans="1:7" x14ac:dyDescent="0.3">
      <c r="A82" s="11" t="s">
        <v>12</v>
      </c>
      <c r="B82" s="18">
        <v>22139</v>
      </c>
      <c r="C82" s="18">
        <v>22882</v>
      </c>
      <c r="D82" s="18">
        <v>23993</v>
      </c>
      <c r="E82" s="18">
        <v>23917</v>
      </c>
      <c r="F82" s="18">
        <v>26010</v>
      </c>
      <c r="G82" s="18">
        <v>31142</v>
      </c>
    </row>
    <row r="83" spans="1:7" x14ac:dyDescent="0.3">
      <c r="A83" s="11" t="s">
        <v>61</v>
      </c>
      <c r="B83" s="18">
        <v>28819</v>
      </c>
      <c r="C83" s="18">
        <v>30023</v>
      </c>
      <c r="D83" s="18">
        <v>31755</v>
      </c>
      <c r="E83" s="18">
        <v>32872</v>
      </c>
      <c r="F83" s="18">
        <v>36090</v>
      </c>
      <c r="G83" s="18">
        <v>41509</v>
      </c>
    </row>
    <row r="84" spans="1:7" x14ac:dyDescent="0.3">
      <c r="A84" s="11" t="s">
        <v>72</v>
      </c>
      <c r="B84" s="18">
        <v>23507</v>
      </c>
      <c r="C84" s="18">
        <v>24500</v>
      </c>
      <c r="D84" s="18">
        <v>26355</v>
      </c>
      <c r="E84" s="18">
        <v>27577</v>
      </c>
      <c r="F84" s="18">
        <v>30347</v>
      </c>
      <c r="G84" s="18">
        <v>34760</v>
      </c>
    </row>
    <row r="85" spans="1:7" x14ac:dyDescent="0.3">
      <c r="A85" s="11" t="s">
        <v>76</v>
      </c>
      <c r="B85" s="18">
        <v>22141</v>
      </c>
      <c r="C85" s="18">
        <v>23175</v>
      </c>
      <c r="D85" s="18">
        <v>24890</v>
      </c>
      <c r="E85" s="18">
        <v>25441</v>
      </c>
      <c r="F85" s="18">
        <v>28048</v>
      </c>
      <c r="G85" s="18">
        <v>32417</v>
      </c>
    </row>
    <row r="86" spans="1:7" x14ac:dyDescent="0.3">
      <c r="A86" s="11" t="s">
        <v>6</v>
      </c>
      <c r="B86" s="18">
        <v>27698</v>
      </c>
      <c r="C86" s="18">
        <v>28871</v>
      </c>
      <c r="D86" s="18">
        <v>30566</v>
      </c>
      <c r="E86" s="18">
        <v>31606</v>
      </c>
      <c r="F86" s="18">
        <v>35277</v>
      </c>
      <c r="G86" s="18">
        <v>39843</v>
      </c>
    </row>
    <row r="87" spans="1:7" x14ac:dyDescent="0.3">
      <c r="A87" s="11" t="s">
        <v>64</v>
      </c>
      <c r="B87" s="18">
        <v>24707</v>
      </c>
      <c r="C87" s="18">
        <v>25434</v>
      </c>
      <c r="D87" s="18">
        <v>26970</v>
      </c>
      <c r="E87" s="18">
        <v>27377</v>
      </c>
      <c r="F87" s="18">
        <v>29976</v>
      </c>
      <c r="G87" s="18">
        <v>34725</v>
      </c>
    </row>
    <row r="88" spans="1:7" x14ac:dyDescent="0.3">
      <c r="A88" s="11" t="s">
        <v>5</v>
      </c>
      <c r="B88" s="18">
        <v>26697</v>
      </c>
      <c r="C88" s="18">
        <v>27296</v>
      </c>
      <c r="D88" s="18">
        <v>28381</v>
      </c>
      <c r="E88" s="18">
        <v>28871</v>
      </c>
      <c r="F88" s="18">
        <v>31054</v>
      </c>
      <c r="G88" s="18">
        <v>34748</v>
      </c>
    </row>
    <row r="89" spans="1:7" x14ac:dyDescent="0.3">
      <c r="A89" s="11" t="s">
        <v>103</v>
      </c>
      <c r="B89" s="18">
        <v>36947</v>
      </c>
      <c r="C89" s="18">
        <v>0</v>
      </c>
      <c r="D89" s="18" t="s">
        <v>86</v>
      </c>
      <c r="E89" s="18" t="s">
        <v>86</v>
      </c>
      <c r="F89" s="18" t="s">
        <v>86</v>
      </c>
      <c r="G89" s="18" t="s">
        <v>86</v>
      </c>
    </row>
    <row r="90" spans="1:7" x14ac:dyDescent="0.3">
      <c r="A90" s="11" t="s">
        <v>103</v>
      </c>
      <c r="B90" s="18">
        <v>0</v>
      </c>
      <c r="C90" s="18">
        <v>35518</v>
      </c>
      <c r="D90" s="18">
        <v>37962</v>
      </c>
      <c r="E90" s="18">
        <v>39086</v>
      </c>
      <c r="F90" s="18">
        <v>42454</v>
      </c>
      <c r="G90" s="18">
        <v>48342</v>
      </c>
    </row>
    <row r="91" spans="1:7" x14ac:dyDescent="0.3">
      <c r="A91" s="11" t="s">
        <v>1</v>
      </c>
      <c r="B91" s="18">
        <v>23860</v>
      </c>
      <c r="C91" s="18">
        <v>24105</v>
      </c>
      <c r="D91" s="7">
        <v>25302</v>
      </c>
      <c r="E91" s="7">
        <v>26222</v>
      </c>
      <c r="F91" s="7">
        <v>28314</v>
      </c>
      <c r="G91" s="7">
        <v>32726</v>
      </c>
    </row>
    <row r="92" spans="1:7" x14ac:dyDescent="0.3">
      <c r="A92" s="12" t="s">
        <v>57</v>
      </c>
      <c r="B92" s="18">
        <v>22714</v>
      </c>
      <c r="C92" s="18">
        <v>23992</v>
      </c>
      <c r="D92" s="18">
        <v>25750</v>
      </c>
      <c r="E92" s="18">
        <v>27048</v>
      </c>
      <c r="F92" s="18">
        <v>29833</v>
      </c>
      <c r="G92" s="18">
        <v>35429</v>
      </c>
    </row>
    <row r="93" spans="1:7" x14ac:dyDescent="0.3">
      <c r="A93" s="12" t="s">
        <v>62</v>
      </c>
      <c r="B93" s="18">
        <v>40554</v>
      </c>
      <c r="C93" s="18">
        <v>42891</v>
      </c>
      <c r="D93" s="18">
        <v>45528</v>
      </c>
      <c r="E93" s="18">
        <v>46344</v>
      </c>
      <c r="F93" s="18">
        <v>50369</v>
      </c>
      <c r="G93" s="18">
        <v>57276</v>
      </c>
    </row>
    <row r="94" spans="1:7" x14ac:dyDescent="0.3">
      <c r="A94" s="12" t="s">
        <v>9</v>
      </c>
      <c r="B94" s="18">
        <v>45320</v>
      </c>
      <c r="C94" s="18">
        <v>48765</v>
      </c>
      <c r="D94" s="18">
        <v>52674</v>
      </c>
      <c r="E94" s="18">
        <v>55381</v>
      </c>
      <c r="F94" s="18">
        <v>60792</v>
      </c>
      <c r="G94" s="18">
        <v>70653</v>
      </c>
    </row>
    <row r="95" spans="1:7" x14ac:dyDescent="0.3">
      <c r="A95" s="12" t="s">
        <v>10</v>
      </c>
      <c r="B95" s="18">
        <v>32269</v>
      </c>
      <c r="C95" s="18">
        <v>34662</v>
      </c>
      <c r="D95" s="18">
        <v>36884</v>
      </c>
      <c r="E95" s="18">
        <v>37349</v>
      </c>
      <c r="F95" s="18">
        <v>40843</v>
      </c>
      <c r="G95" s="18">
        <v>45536</v>
      </c>
    </row>
    <row r="96" spans="1:7" x14ac:dyDescent="0.3">
      <c r="A96" s="12" t="s">
        <v>75</v>
      </c>
      <c r="B96" s="18">
        <v>37098</v>
      </c>
      <c r="C96" s="18">
        <v>39084</v>
      </c>
      <c r="D96" s="18">
        <v>41460</v>
      </c>
      <c r="E96" s="18">
        <v>41751</v>
      </c>
      <c r="F96" s="18">
        <v>44101</v>
      </c>
      <c r="G96" s="18">
        <v>49523</v>
      </c>
    </row>
    <row r="97" spans="1:7" x14ac:dyDescent="0.3">
      <c r="A97" s="12" t="s">
        <v>73</v>
      </c>
      <c r="B97" s="18">
        <v>29213</v>
      </c>
      <c r="C97" s="18">
        <v>30937</v>
      </c>
      <c r="D97" s="18">
        <v>33304</v>
      </c>
      <c r="E97" s="18">
        <v>35508</v>
      </c>
      <c r="F97" s="18">
        <v>39626</v>
      </c>
      <c r="G97" s="18">
        <v>44891</v>
      </c>
    </row>
    <row r="98" spans="1:7" x14ac:dyDescent="0.3">
      <c r="A98" s="12" t="s">
        <v>8</v>
      </c>
      <c r="B98" s="18">
        <v>54849</v>
      </c>
      <c r="C98" s="18">
        <v>59783</v>
      </c>
      <c r="D98" s="18">
        <v>65367</v>
      </c>
      <c r="E98" s="18">
        <v>70982</v>
      </c>
      <c r="F98" s="18">
        <v>80979</v>
      </c>
      <c r="G98" s="18">
        <v>93707</v>
      </c>
    </row>
    <row r="99" spans="1:7" x14ac:dyDescent="0.3">
      <c r="A99" s="12" t="s">
        <v>3</v>
      </c>
      <c r="B99" s="18">
        <v>50502</v>
      </c>
      <c r="C99" s="18">
        <v>53784</v>
      </c>
      <c r="D99" s="18">
        <v>59016</v>
      </c>
      <c r="E99" s="18">
        <v>60797</v>
      </c>
      <c r="F99" s="18">
        <v>63854</v>
      </c>
      <c r="G99" s="18">
        <v>73617</v>
      </c>
    </row>
    <row r="100" spans="1:7" x14ac:dyDescent="0.3">
      <c r="A100" s="12" t="s">
        <v>74</v>
      </c>
      <c r="B100" s="18">
        <v>23679</v>
      </c>
      <c r="C100" s="18">
        <v>24696</v>
      </c>
      <c r="D100" s="18">
        <v>26602</v>
      </c>
      <c r="E100" s="18">
        <v>28126</v>
      </c>
      <c r="F100" s="18">
        <v>30297</v>
      </c>
      <c r="G100" s="18">
        <v>34969</v>
      </c>
    </row>
    <row r="101" spans="1:7" x14ac:dyDescent="0.3">
      <c r="A101" s="12" t="s">
        <v>18</v>
      </c>
      <c r="B101" s="18">
        <v>73019</v>
      </c>
      <c r="C101" s="18">
        <v>78812</v>
      </c>
      <c r="D101" s="18">
        <v>83385</v>
      </c>
      <c r="E101" s="18">
        <v>89548</v>
      </c>
      <c r="F101" s="18">
        <v>99912</v>
      </c>
      <c r="G101" s="18">
        <v>113097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3DAD5-9207-42AA-88B6-0F14E1B76915}">
  <sheetPr codeName="Лист19">
    <tabColor theme="0" tint="-0.14999847407452621"/>
    <pageSetUpPr fitToPage="1"/>
  </sheetPr>
  <dimension ref="A1:Y99"/>
  <sheetViews>
    <sheetView showGridLines="0" topLeftCell="A7" workbookViewId="0">
      <selection activeCell="B27" sqref="B27:G27"/>
    </sheetView>
  </sheetViews>
  <sheetFormatPr defaultRowHeight="16.5" x14ac:dyDescent="0.3"/>
  <cols>
    <col min="1" max="1" width="108.5703125" style="9" customWidth="1"/>
    <col min="2" max="2" width="10.85546875" style="4" customWidth="1"/>
    <col min="3" max="7" width="10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5" x14ac:dyDescent="0.3">
      <c r="A1" s="8" t="s">
        <v>143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12.75" customHeight="1" x14ac:dyDescent="0.3"/>
    <row r="3" spans="1:25" x14ac:dyDescent="0.3">
      <c r="A3" s="10"/>
      <c r="B3" s="5">
        <v>2017</v>
      </c>
      <c r="C3" s="6">
        <v>2018</v>
      </c>
      <c r="D3" s="6">
        <v>2019</v>
      </c>
      <c r="E3" s="6">
        <v>2020</v>
      </c>
      <c r="F3" s="6">
        <v>2021</v>
      </c>
      <c r="G3" s="6">
        <v>2022</v>
      </c>
    </row>
    <row r="4" spans="1:25" x14ac:dyDescent="0.3">
      <c r="A4" s="11" t="s">
        <v>87</v>
      </c>
      <c r="B4" s="18">
        <v>10573</v>
      </c>
      <c r="C4" s="18">
        <v>11069</v>
      </c>
      <c r="D4" s="18">
        <v>11510</v>
      </c>
      <c r="E4" s="18">
        <v>12273</v>
      </c>
      <c r="F4" s="18">
        <v>11653</v>
      </c>
      <c r="G4" s="18">
        <v>13919</v>
      </c>
    </row>
    <row r="5" spans="1:25" x14ac:dyDescent="0.3">
      <c r="A5" s="11" t="s">
        <v>96</v>
      </c>
      <c r="B5" s="18">
        <v>0</v>
      </c>
      <c r="C5" s="18">
        <v>0</v>
      </c>
      <c r="D5" s="18">
        <v>0</v>
      </c>
      <c r="E5" s="18" t="s">
        <v>86</v>
      </c>
      <c r="F5" s="18" t="s">
        <v>86</v>
      </c>
      <c r="G5" s="18">
        <v>0</v>
      </c>
    </row>
    <row r="6" spans="1:25" x14ac:dyDescent="0.3">
      <c r="A6" s="11" t="s">
        <v>50</v>
      </c>
      <c r="B6" s="18">
        <v>8914</v>
      </c>
      <c r="C6" s="18">
        <v>9129</v>
      </c>
      <c r="D6" s="18">
        <v>9971</v>
      </c>
      <c r="E6" s="18">
        <v>10403</v>
      </c>
      <c r="F6" s="18">
        <v>9720</v>
      </c>
      <c r="G6" s="18">
        <v>11692</v>
      </c>
    </row>
    <row r="7" spans="1:25" x14ac:dyDescent="0.3">
      <c r="A7" s="11" t="s">
        <v>48</v>
      </c>
      <c r="B7" s="18">
        <v>9943</v>
      </c>
      <c r="C7" s="18">
        <v>10358</v>
      </c>
      <c r="D7" s="18">
        <v>11092</v>
      </c>
      <c r="E7" s="18">
        <v>11760</v>
      </c>
      <c r="F7" s="18">
        <v>11280</v>
      </c>
      <c r="G7" s="18">
        <v>13127</v>
      </c>
    </row>
    <row r="8" spans="1:25" x14ac:dyDescent="0.3">
      <c r="A8" s="11" t="s">
        <v>20</v>
      </c>
      <c r="B8" s="18">
        <v>9898</v>
      </c>
      <c r="C8" s="18">
        <v>10385</v>
      </c>
      <c r="D8" s="18">
        <v>10809</v>
      </c>
      <c r="E8" s="18">
        <v>11800</v>
      </c>
      <c r="F8" s="18">
        <v>11093</v>
      </c>
      <c r="G8" s="18">
        <v>13501</v>
      </c>
    </row>
    <row r="9" spans="1:25" x14ac:dyDescent="0.3">
      <c r="A9" s="11" t="s">
        <v>4</v>
      </c>
      <c r="B9" s="18">
        <v>8700</v>
      </c>
      <c r="C9" s="18">
        <v>9296</v>
      </c>
      <c r="D9" s="18">
        <v>9689</v>
      </c>
      <c r="E9" s="18">
        <v>9834</v>
      </c>
      <c r="F9" s="18">
        <v>9747</v>
      </c>
      <c r="G9" s="18">
        <v>11832</v>
      </c>
    </row>
    <row r="10" spans="1:25" x14ac:dyDescent="0.3">
      <c r="A10" s="11" t="s">
        <v>45</v>
      </c>
      <c r="B10" s="18">
        <v>10289</v>
      </c>
      <c r="C10" s="18">
        <v>10769</v>
      </c>
      <c r="D10" s="18">
        <v>10716</v>
      </c>
      <c r="E10" s="18">
        <v>11535</v>
      </c>
      <c r="F10" s="18">
        <v>10761</v>
      </c>
      <c r="G10" s="18">
        <v>12806</v>
      </c>
    </row>
    <row r="11" spans="1:25" x14ac:dyDescent="0.3">
      <c r="A11" s="11" t="s">
        <v>40</v>
      </c>
      <c r="B11" s="18">
        <v>10327</v>
      </c>
      <c r="C11" s="18">
        <v>11039</v>
      </c>
      <c r="D11" s="18">
        <v>11393</v>
      </c>
      <c r="E11" s="18">
        <v>11518</v>
      </c>
      <c r="F11" s="18">
        <v>11618</v>
      </c>
      <c r="G11" s="18">
        <v>13363</v>
      </c>
    </row>
    <row r="12" spans="1:25" x14ac:dyDescent="0.3">
      <c r="A12" s="11" t="s">
        <v>37</v>
      </c>
      <c r="B12" s="18">
        <v>10092</v>
      </c>
      <c r="C12" s="18">
        <v>10534</v>
      </c>
      <c r="D12" s="18">
        <v>11052</v>
      </c>
      <c r="E12" s="18">
        <v>11993</v>
      </c>
      <c r="F12" s="18">
        <v>11241</v>
      </c>
      <c r="G12" s="18">
        <v>12860</v>
      </c>
    </row>
    <row r="13" spans="1:25" x14ac:dyDescent="0.3">
      <c r="A13" s="11" t="s">
        <v>56</v>
      </c>
      <c r="B13" s="18">
        <v>9116</v>
      </c>
      <c r="C13" s="18">
        <v>9741</v>
      </c>
      <c r="D13" s="18">
        <v>10156</v>
      </c>
      <c r="E13" s="18">
        <v>10748</v>
      </c>
      <c r="F13" s="18">
        <v>10459</v>
      </c>
      <c r="G13" s="18">
        <v>12110</v>
      </c>
    </row>
    <row r="14" spans="1:25" x14ac:dyDescent="0.3">
      <c r="A14" s="11" t="s">
        <v>51</v>
      </c>
      <c r="B14" s="18">
        <v>8962</v>
      </c>
      <c r="C14" s="18">
        <v>9424</v>
      </c>
      <c r="D14" s="18">
        <v>9914</v>
      </c>
      <c r="E14" s="18">
        <v>10627</v>
      </c>
      <c r="F14" s="18">
        <v>9945</v>
      </c>
      <c r="G14" s="18">
        <v>11553</v>
      </c>
    </row>
    <row r="15" spans="1:25" x14ac:dyDescent="0.3">
      <c r="A15" s="11" t="s">
        <v>21</v>
      </c>
      <c r="B15" s="18">
        <v>12581</v>
      </c>
      <c r="C15" s="18">
        <v>13038</v>
      </c>
      <c r="D15" s="18">
        <v>13598</v>
      </c>
      <c r="E15" s="18">
        <v>14586</v>
      </c>
      <c r="F15" s="18">
        <v>13580</v>
      </c>
      <c r="G15" s="18">
        <v>16223</v>
      </c>
    </row>
    <row r="16" spans="1:25" x14ac:dyDescent="0.3">
      <c r="A16" s="11" t="s">
        <v>70</v>
      </c>
      <c r="B16" s="18">
        <v>9577</v>
      </c>
      <c r="C16" s="18">
        <v>10215</v>
      </c>
      <c r="D16" s="18">
        <v>10527</v>
      </c>
      <c r="E16" s="18">
        <v>11132</v>
      </c>
      <c r="F16" s="18">
        <v>10722</v>
      </c>
      <c r="G16" s="18">
        <v>12945</v>
      </c>
    </row>
    <row r="17" spans="1:7" x14ac:dyDescent="0.3">
      <c r="A17" s="11" t="s">
        <v>59</v>
      </c>
      <c r="B17" s="18">
        <v>9620</v>
      </c>
      <c r="C17" s="18">
        <v>10260</v>
      </c>
      <c r="D17" s="18">
        <v>10406</v>
      </c>
      <c r="E17" s="18">
        <v>11643</v>
      </c>
      <c r="F17" s="18">
        <v>10785</v>
      </c>
      <c r="G17" s="18">
        <v>12388</v>
      </c>
    </row>
    <row r="18" spans="1:7" x14ac:dyDescent="0.3">
      <c r="A18" s="11" t="s">
        <v>43</v>
      </c>
      <c r="B18" s="18">
        <v>10376</v>
      </c>
      <c r="C18" s="18">
        <v>10909</v>
      </c>
      <c r="D18" s="18">
        <v>11110</v>
      </c>
      <c r="E18" s="18">
        <v>11572</v>
      </c>
      <c r="F18" s="18">
        <v>11201</v>
      </c>
      <c r="G18" s="18">
        <v>13363</v>
      </c>
    </row>
    <row r="19" spans="1:7" x14ac:dyDescent="0.3">
      <c r="A19" s="11" t="s">
        <v>15</v>
      </c>
      <c r="B19" s="18">
        <v>8967</v>
      </c>
      <c r="C19" s="18">
        <v>9515</v>
      </c>
      <c r="D19" s="18">
        <v>10608</v>
      </c>
      <c r="E19" s="18">
        <v>10998</v>
      </c>
      <c r="F19" s="18">
        <v>10221</v>
      </c>
      <c r="G19" s="18">
        <v>12210</v>
      </c>
    </row>
    <row r="20" spans="1:7" x14ac:dyDescent="0.3">
      <c r="A20" s="11" t="s">
        <v>38</v>
      </c>
      <c r="B20" s="18">
        <v>10405</v>
      </c>
      <c r="C20" s="18">
        <v>10984</v>
      </c>
      <c r="D20" s="18">
        <v>11234</v>
      </c>
      <c r="E20" s="18">
        <v>12041</v>
      </c>
      <c r="F20" s="18">
        <v>11234.14</v>
      </c>
      <c r="G20" s="18">
        <v>13363</v>
      </c>
    </row>
    <row r="21" spans="1:7" x14ac:dyDescent="0.3">
      <c r="A21" s="11" t="s">
        <v>39</v>
      </c>
      <c r="B21" s="18">
        <v>9732</v>
      </c>
      <c r="C21" s="18">
        <v>10529</v>
      </c>
      <c r="D21" s="18">
        <v>11100</v>
      </c>
      <c r="E21" s="18">
        <v>11814</v>
      </c>
      <c r="F21" s="18">
        <v>11134</v>
      </c>
      <c r="G21" s="18">
        <v>13641</v>
      </c>
    </row>
    <row r="22" spans="1:7" x14ac:dyDescent="0.3">
      <c r="A22" s="11" t="s">
        <v>78</v>
      </c>
      <c r="B22" s="18">
        <v>9841</v>
      </c>
      <c r="C22" s="18">
        <v>10368</v>
      </c>
      <c r="D22" s="18">
        <v>10753</v>
      </c>
      <c r="E22" s="18">
        <v>11689</v>
      </c>
      <c r="F22" s="18">
        <v>10742</v>
      </c>
      <c r="G22" s="18">
        <v>13085</v>
      </c>
    </row>
    <row r="23" spans="1:7" x14ac:dyDescent="0.3">
      <c r="A23" s="11" t="s">
        <v>13</v>
      </c>
      <c r="B23" s="18">
        <v>17560</v>
      </c>
      <c r="C23" s="18">
        <v>18376</v>
      </c>
      <c r="D23" s="18">
        <v>19233</v>
      </c>
      <c r="E23" s="18">
        <v>20260</v>
      </c>
      <c r="F23" s="18">
        <v>18029</v>
      </c>
      <c r="G23" s="18">
        <v>20585</v>
      </c>
    </row>
    <row r="24" spans="1:7" x14ac:dyDescent="0.3">
      <c r="A24" s="11" t="s">
        <v>97</v>
      </c>
      <c r="B24" s="18">
        <v>0</v>
      </c>
      <c r="C24" s="18">
        <v>0</v>
      </c>
      <c r="D24" s="18">
        <v>0</v>
      </c>
      <c r="E24" s="18" t="s">
        <v>86</v>
      </c>
      <c r="F24" s="18" t="s">
        <v>86</v>
      </c>
      <c r="G24" s="18">
        <v>0</v>
      </c>
    </row>
    <row r="25" spans="1:7" x14ac:dyDescent="0.3">
      <c r="A25" s="11" t="s">
        <v>71</v>
      </c>
      <c r="B25" s="18">
        <v>13298</v>
      </c>
      <c r="C25" s="18">
        <v>13975</v>
      </c>
      <c r="D25" s="18">
        <v>14495</v>
      </c>
      <c r="E25" s="18">
        <v>15438</v>
      </c>
      <c r="F25" s="18">
        <v>14467</v>
      </c>
      <c r="G25" s="18">
        <v>16614</v>
      </c>
    </row>
    <row r="26" spans="1:7" x14ac:dyDescent="0.3">
      <c r="A26" s="11" t="s">
        <v>65</v>
      </c>
      <c r="B26" s="18">
        <v>13420</v>
      </c>
      <c r="C26" s="18">
        <v>13892</v>
      </c>
      <c r="D26" s="18">
        <v>14868</v>
      </c>
      <c r="E26" s="18">
        <v>15715</v>
      </c>
      <c r="F26" s="18">
        <v>14567</v>
      </c>
      <c r="G26" s="18">
        <v>16905</v>
      </c>
    </row>
    <row r="27" spans="1:7" x14ac:dyDescent="0.3">
      <c r="A27" s="11" t="s">
        <v>53</v>
      </c>
      <c r="B27" s="18">
        <f>(B28*Population!B28+Population!B30*Livable_wage!B29)/Population!B27</f>
        <v>12717.405536923725</v>
      </c>
      <c r="C27" s="18">
        <f>(C28*Population!C28+Population!C30*Livable_wage!C29)/Population!C27</f>
        <v>13223.450402687729</v>
      </c>
      <c r="D27" s="18">
        <f>(D28*Population!D28+Population!D30*Livable_wage!D29)/Population!D27</f>
        <v>13792.176913732083</v>
      </c>
      <c r="E27" s="18">
        <f>(E28*Population!E28+Population!E30*Livable_wage!E29)/Population!E27</f>
        <v>14843.361110925283</v>
      </c>
      <c r="F27" s="18">
        <f>(F28*Population!F28+Population!F30*Livable_wage!F29)/Population!F27</f>
        <v>14194.964058068135</v>
      </c>
      <c r="G27" s="18">
        <f>(G28*Population!G28+Population!G30*Livable_wage!G29)/Population!G27</f>
        <v>16526.783095367406</v>
      </c>
    </row>
    <row r="28" spans="1:7" x14ac:dyDescent="0.3">
      <c r="A28" s="11" t="s">
        <v>7</v>
      </c>
      <c r="B28" s="18">
        <v>21664</v>
      </c>
      <c r="C28" s="18">
        <v>21360</v>
      </c>
      <c r="D28" s="18">
        <v>21606</v>
      </c>
      <c r="E28" s="18">
        <v>22971</v>
      </c>
      <c r="F28" s="18">
        <v>22219</v>
      </c>
      <c r="G28" s="18">
        <v>25419</v>
      </c>
    </row>
    <row r="29" spans="1:7" x14ac:dyDescent="0.3">
      <c r="A29" s="11" t="s">
        <v>88</v>
      </c>
      <c r="B29" s="18">
        <v>12361</v>
      </c>
      <c r="C29" s="7">
        <v>12896</v>
      </c>
      <c r="D29" s="7">
        <v>13474</v>
      </c>
      <c r="E29" s="7">
        <v>14507</v>
      </c>
      <c r="F29" s="7">
        <v>13857</v>
      </c>
      <c r="G29" s="7">
        <v>16147</v>
      </c>
    </row>
    <row r="30" spans="1:7" x14ac:dyDescent="0.3">
      <c r="A30" s="11" t="s">
        <v>80</v>
      </c>
      <c r="B30" s="18">
        <v>11059</v>
      </c>
      <c r="C30" s="18">
        <v>11633</v>
      </c>
      <c r="D30" s="18">
        <v>11659</v>
      </c>
      <c r="E30" s="18">
        <v>12438</v>
      </c>
      <c r="F30" s="18">
        <v>11767</v>
      </c>
      <c r="G30" s="18">
        <v>14059</v>
      </c>
    </row>
    <row r="31" spans="1:7" x14ac:dyDescent="0.3">
      <c r="A31" s="11" t="s">
        <v>69</v>
      </c>
      <c r="B31" s="18">
        <v>11094</v>
      </c>
      <c r="C31" s="18">
        <v>11718</v>
      </c>
      <c r="D31" s="18">
        <v>12259</v>
      </c>
      <c r="E31" s="18">
        <v>12943</v>
      </c>
      <c r="F31" s="18">
        <v>12067</v>
      </c>
      <c r="G31" s="18">
        <v>14337</v>
      </c>
    </row>
    <row r="32" spans="1:7" x14ac:dyDescent="0.3">
      <c r="A32" s="11" t="s">
        <v>33</v>
      </c>
      <c r="B32" s="18">
        <v>10248</v>
      </c>
      <c r="C32" s="18">
        <v>11088</v>
      </c>
      <c r="D32" s="18">
        <v>11944</v>
      </c>
      <c r="E32" s="18">
        <v>12231</v>
      </c>
      <c r="F32" s="18">
        <v>11289</v>
      </c>
      <c r="G32" s="18">
        <v>14059</v>
      </c>
    </row>
    <row r="33" spans="1:7" x14ac:dyDescent="0.3">
      <c r="A33" s="11" t="s">
        <v>30</v>
      </c>
      <c r="B33" s="18">
        <v>14374</v>
      </c>
      <c r="C33" s="18">
        <v>15307</v>
      </c>
      <c r="D33" s="18">
        <v>17379</v>
      </c>
      <c r="E33" s="18">
        <v>18438</v>
      </c>
      <c r="F33" s="18">
        <v>18625</v>
      </c>
      <c r="G33" s="18">
        <v>22250</v>
      </c>
    </row>
    <row r="34" spans="1:7" x14ac:dyDescent="0.3">
      <c r="A34" s="11" t="s">
        <v>52</v>
      </c>
      <c r="B34" s="18">
        <v>10751</v>
      </c>
      <c r="C34" s="18">
        <v>11328</v>
      </c>
      <c r="D34" s="18">
        <v>11618</v>
      </c>
      <c r="E34" s="18">
        <v>12346</v>
      </c>
      <c r="F34" s="18">
        <v>11408</v>
      </c>
      <c r="G34" s="18">
        <v>13641</v>
      </c>
    </row>
    <row r="35" spans="1:7" x14ac:dyDescent="0.3">
      <c r="A35" s="11" t="s">
        <v>31</v>
      </c>
      <c r="B35" s="18">
        <v>11050</v>
      </c>
      <c r="C35" s="18">
        <v>11536</v>
      </c>
      <c r="D35" s="18">
        <v>11565</v>
      </c>
      <c r="E35" s="18">
        <v>12425</v>
      </c>
      <c r="F35" s="18">
        <v>11807</v>
      </c>
      <c r="G35" s="18">
        <v>13780</v>
      </c>
    </row>
    <row r="36" spans="1:7" x14ac:dyDescent="0.3">
      <c r="A36" s="11" t="s">
        <v>32</v>
      </c>
      <c r="B36" s="18">
        <v>11868</v>
      </c>
      <c r="C36" s="18">
        <v>12118</v>
      </c>
      <c r="D36" s="18">
        <v>12622</v>
      </c>
      <c r="E36" s="18">
        <v>13074</v>
      </c>
      <c r="F36" s="18">
        <v>11910.4</v>
      </c>
      <c r="G36" s="18">
        <v>14476</v>
      </c>
    </row>
    <row r="37" spans="1:7" x14ac:dyDescent="0.3">
      <c r="A37" s="11" t="s">
        <v>98</v>
      </c>
      <c r="B37" s="18">
        <v>0</v>
      </c>
      <c r="C37" s="18">
        <v>0</v>
      </c>
      <c r="D37" s="18">
        <v>0</v>
      </c>
      <c r="E37" s="18" t="s">
        <v>86</v>
      </c>
      <c r="F37" s="18" t="s">
        <v>86</v>
      </c>
      <c r="G37" s="18">
        <v>0</v>
      </c>
    </row>
    <row r="38" spans="1:7" x14ac:dyDescent="0.3">
      <c r="A38" s="11" t="s">
        <v>26</v>
      </c>
      <c r="B38" s="18">
        <v>9168</v>
      </c>
      <c r="C38" s="18">
        <v>9634</v>
      </c>
      <c r="D38" s="18">
        <v>9726</v>
      </c>
      <c r="E38" s="18">
        <v>10520</v>
      </c>
      <c r="F38" s="18">
        <v>9779</v>
      </c>
      <c r="G38" s="18">
        <v>11970</v>
      </c>
    </row>
    <row r="39" spans="1:7" x14ac:dyDescent="0.3">
      <c r="A39" s="11" t="s">
        <v>27</v>
      </c>
      <c r="B39" s="18">
        <v>8954</v>
      </c>
      <c r="C39" s="18">
        <v>9548</v>
      </c>
      <c r="D39" s="18">
        <v>10159</v>
      </c>
      <c r="E39" s="18">
        <v>10914</v>
      </c>
      <c r="F39" s="18">
        <v>10631</v>
      </c>
      <c r="G39" s="18">
        <v>12945</v>
      </c>
    </row>
    <row r="40" spans="1:7" x14ac:dyDescent="0.3">
      <c r="A40" s="11" t="s">
        <v>89</v>
      </c>
      <c r="B40" s="18">
        <v>9765</v>
      </c>
      <c r="C40" s="18">
        <v>10545</v>
      </c>
      <c r="D40" s="18">
        <v>10982</v>
      </c>
      <c r="E40" s="18">
        <v>11846</v>
      </c>
      <c r="F40" s="18">
        <v>10998</v>
      </c>
      <c r="G40" s="18">
        <v>13501</v>
      </c>
    </row>
    <row r="41" spans="1:7" x14ac:dyDescent="0.3">
      <c r="A41" s="11" t="s">
        <v>28</v>
      </c>
      <c r="B41" s="18">
        <v>10737</v>
      </c>
      <c r="C41" s="18">
        <v>11075</v>
      </c>
      <c r="D41" s="18">
        <v>11507</v>
      </c>
      <c r="E41" s="18">
        <v>12191</v>
      </c>
      <c r="F41" s="18">
        <v>11397</v>
      </c>
      <c r="G41" s="18">
        <v>13363</v>
      </c>
    </row>
    <row r="42" spans="1:7" x14ac:dyDescent="0.3">
      <c r="A42" s="11" t="s">
        <v>25</v>
      </c>
      <c r="B42" s="18">
        <v>9525</v>
      </c>
      <c r="C42" s="18">
        <v>10047</v>
      </c>
      <c r="D42" s="18">
        <v>10604</v>
      </c>
      <c r="E42" s="18">
        <v>11287</v>
      </c>
      <c r="F42" s="18">
        <v>11069</v>
      </c>
      <c r="G42" s="18">
        <v>13501</v>
      </c>
    </row>
    <row r="43" spans="1:7" x14ac:dyDescent="0.3">
      <c r="A43" s="11" t="s">
        <v>22</v>
      </c>
      <c r="B43" s="18">
        <v>9357</v>
      </c>
      <c r="C43" s="18">
        <v>9865</v>
      </c>
      <c r="D43" s="18">
        <v>10026</v>
      </c>
      <c r="E43" s="18">
        <v>10604</v>
      </c>
      <c r="F43" s="18">
        <v>10158</v>
      </c>
      <c r="G43" s="18">
        <v>11970</v>
      </c>
    </row>
    <row r="44" spans="1:7" x14ac:dyDescent="0.3">
      <c r="A44" s="11" t="s">
        <v>29</v>
      </c>
      <c r="B44" s="18">
        <v>9857</v>
      </c>
      <c r="C44" s="18">
        <v>10292</v>
      </c>
      <c r="D44" s="18">
        <v>10699</v>
      </c>
      <c r="E44" s="18">
        <v>11493</v>
      </c>
      <c r="F44" s="18">
        <v>11053</v>
      </c>
      <c r="G44" s="18">
        <v>13085</v>
      </c>
    </row>
    <row r="45" spans="1:7" x14ac:dyDescent="0.3">
      <c r="A45" s="11" t="s">
        <v>90</v>
      </c>
      <c r="B45" s="18">
        <v>10391</v>
      </c>
      <c r="C45" s="18">
        <v>11178</v>
      </c>
      <c r="D45" s="18">
        <v>11483</v>
      </c>
      <c r="E45" s="18">
        <v>12201</v>
      </c>
      <c r="F45" s="18">
        <v>11380</v>
      </c>
      <c r="G45" s="18">
        <v>13919</v>
      </c>
    </row>
    <row r="46" spans="1:7" x14ac:dyDescent="0.3">
      <c r="A46" s="11" t="s">
        <v>99</v>
      </c>
      <c r="B46" s="18">
        <v>0</v>
      </c>
      <c r="C46" s="18">
        <v>0</v>
      </c>
      <c r="D46" s="18">
        <v>0</v>
      </c>
      <c r="E46" s="18" t="s">
        <v>86</v>
      </c>
      <c r="F46" s="18" t="s">
        <v>86</v>
      </c>
      <c r="G46" s="18">
        <v>0</v>
      </c>
    </row>
    <row r="47" spans="1:7" x14ac:dyDescent="0.3">
      <c r="A47" s="11" t="s">
        <v>63</v>
      </c>
      <c r="B47" s="18">
        <v>9516</v>
      </c>
      <c r="C47" s="18">
        <v>9604</v>
      </c>
      <c r="D47" s="18">
        <v>10058</v>
      </c>
      <c r="E47" s="18">
        <v>10775</v>
      </c>
      <c r="F47" s="18">
        <v>10628</v>
      </c>
      <c r="G47" s="18">
        <v>12667</v>
      </c>
    </row>
    <row r="48" spans="1:7" x14ac:dyDescent="0.3">
      <c r="A48" s="11" t="s">
        <v>81</v>
      </c>
      <c r="B48" s="18">
        <v>9370</v>
      </c>
      <c r="C48" s="18">
        <v>9596</v>
      </c>
      <c r="D48" s="18">
        <v>10534</v>
      </c>
      <c r="E48" s="18">
        <v>10580</v>
      </c>
      <c r="F48" s="18">
        <v>10964</v>
      </c>
      <c r="G48" s="18">
        <v>13085</v>
      </c>
    </row>
    <row r="49" spans="1:7" x14ac:dyDescent="0.3">
      <c r="A49" s="11" t="s">
        <v>91</v>
      </c>
      <c r="B49" s="18">
        <v>10553</v>
      </c>
      <c r="C49" s="18">
        <v>10899</v>
      </c>
      <c r="D49" s="18">
        <v>11330</v>
      </c>
      <c r="E49" s="18">
        <v>11819</v>
      </c>
      <c r="F49" s="18">
        <v>12576</v>
      </c>
      <c r="G49" s="18">
        <v>14894</v>
      </c>
    </row>
    <row r="50" spans="1:7" x14ac:dyDescent="0.3">
      <c r="A50" s="11" t="s">
        <v>92</v>
      </c>
      <c r="B50" s="18">
        <v>9208</v>
      </c>
      <c r="C50" s="18">
        <v>9790</v>
      </c>
      <c r="D50" s="18">
        <v>10203</v>
      </c>
      <c r="E50" s="18">
        <v>10926</v>
      </c>
      <c r="F50" s="18">
        <v>10451</v>
      </c>
      <c r="G50" s="18">
        <v>12667</v>
      </c>
    </row>
    <row r="51" spans="1:7" x14ac:dyDescent="0.3">
      <c r="A51" s="11" t="s">
        <v>47</v>
      </c>
      <c r="B51" s="18">
        <v>9173</v>
      </c>
      <c r="C51" s="18">
        <v>9532</v>
      </c>
      <c r="D51" s="18">
        <v>9794</v>
      </c>
      <c r="E51" s="18">
        <v>10433</v>
      </c>
      <c r="F51" s="18">
        <v>10596</v>
      </c>
      <c r="G51" s="18">
        <v>12528</v>
      </c>
    </row>
    <row r="52" spans="1:7" x14ac:dyDescent="0.3">
      <c r="A52" s="11" t="s">
        <v>93</v>
      </c>
      <c r="B52" s="18">
        <v>10299</v>
      </c>
      <c r="C52" s="18">
        <v>10927</v>
      </c>
      <c r="D52" s="18">
        <v>11430</v>
      </c>
      <c r="E52" s="18">
        <v>11572</v>
      </c>
      <c r="F52" s="18">
        <v>11240</v>
      </c>
      <c r="G52" s="18">
        <v>13363</v>
      </c>
    </row>
    <row r="53" spans="1:7" x14ac:dyDescent="0.3">
      <c r="A53" s="11" t="s">
        <v>11</v>
      </c>
      <c r="B53" s="18">
        <v>8766</v>
      </c>
      <c r="C53" s="18">
        <v>9183</v>
      </c>
      <c r="D53" s="18">
        <v>9623</v>
      </c>
      <c r="E53" s="18">
        <v>10464</v>
      </c>
      <c r="F53" s="18">
        <v>10081</v>
      </c>
      <c r="G53" s="18">
        <v>12528</v>
      </c>
    </row>
    <row r="54" spans="1:7" x14ac:dyDescent="0.3">
      <c r="A54" s="11" t="s">
        <v>100</v>
      </c>
      <c r="B54" s="18">
        <v>0</v>
      </c>
      <c r="C54" s="18">
        <v>0</v>
      </c>
      <c r="D54" s="18">
        <v>0</v>
      </c>
      <c r="E54" s="18" t="s">
        <v>86</v>
      </c>
      <c r="F54" s="18" t="s">
        <v>86</v>
      </c>
      <c r="G54" s="18">
        <v>0</v>
      </c>
    </row>
    <row r="55" spans="1:7" x14ac:dyDescent="0.3">
      <c r="A55" s="11" t="s">
        <v>83</v>
      </c>
      <c r="B55" s="18">
        <v>8850</v>
      </c>
      <c r="C55" s="18">
        <v>9355</v>
      </c>
      <c r="D55" s="18">
        <v>9816</v>
      </c>
      <c r="E55" s="18">
        <v>10477</v>
      </c>
      <c r="F55" s="18">
        <v>10015</v>
      </c>
      <c r="G55" s="18">
        <v>12110</v>
      </c>
    </row>
    <row r="56" spans="1:7" x14ac:dyDescent="0.3">
      <c r="A56" s="11" t="s">
        <v>42</v>
      </c>
      <c r="B56" s="18">
        <v>9319</v>
      </c>
      <c r="C56" s="18">
        <v>9447</v>
      </c>
      <c r="D56" s="18">
        <v>9894</v>
      </c>
      <c r="E56" s="18">
        <v>10568</v>
      </c>
      <c r="F56" s="18">
        <v>10184</v>
      </c>
      <c r="G56" s="18">
        <v>12250</v>
      </c>
    </row>
    <row r="57" spans="1:7" x14ac:dyDescent="0.3">
      <c r="A57" s="11" t="s">
        <v>34</v>
      </c>
      <c r="B57" s="18">
        <v>8410</v>
      </c>
      <c r="C57" s="18">
        <v>9132</v>
      </c>
      <c r="D57" s="18">
        <v>9914</v>
      </c>
      <c r="E57" s="18">
        <v>10079</v>
      </c>
      <c r="F57" s="18">
        <v>9716</v>
      </c>
      <c r="G57" s="18">
        <v>11832</v>
      </c>
    </row>
    <row r="58" spans="1:7" x14ac:dyDescent="0.3">
      <c r="A58" s="11" t="s">
        <v>35</v>
      </c>
      <c r="B58" s="18">
        <v>8877</v>
      </c>
      <c r="C58" s="18">
        <v>9276</v>
      </c>
      <c r="D58" s="18">
        <v>9534</v>
      </c>
      <c r="E58" s="18">
        <v>10231</v>
      </c>
      <c r="F58" s="18">
        <v>9955</v>
      </c>
      <c r="G58" s="18">
        <v>11832</v>
      </c>
    </row>
    <row r="59" spans="1:7" x14ac:dyDescent="0.3">
      <c r="A59" s="11" t="s">
        <v>94</v>
      </c>
      <c r="B59" s="18">
        <v>8943</v>
      </c>
      <c r="C59" s="18">
        <v>9524</v>
      </c>
      <c r="D59" s="18">
        <v>10029</v>
      </c>
      <c r="E59" s="18">
        <v>10930</v>
      </c>
      <c r="F59" s="18">
        <v>10465</v>
      </c>
      <c r="G59" s="18">
        <v>12388</v>
      </c>
    </row>
    <row r="60" spans="1:7" x14ac:dyDescent="0.3">
      <c r="A60" s="11" t="s">
        <v>46</v>
      </c>
      <c r="B60" s="18">
        <v>8719</v>
      </c>
      <c r="C60" s="18">
        <v>9193</v>
      </c>
      <c r="D60" s="18">
        <v>9875</v>
      </c>
      <c r="E60" s="18">
        <v>10414</v>
      </c>
      <c r="F60" s="18">
        <v>9804</v>
      </c>
      <c r="G60" s="18">
        <v>11832</v>
      </c>
    </row>
    <row r="61" spans="1:7" x14ac:dyDescent="0.3">
      <c r="A61" s="11" t="s">
        <v>44</v>
      </c>
      <c r="B61" s="18">
        <v>10804</v>
      </c>
      <c r="C61" s="18">
        <v>10804</v>
      </c>
      <c r="D61" s="18">
        <v>11338</v>
      </c>
      <c r="E61" s="18">
        <v>11633</v>
      </c>
      <c r="F61" s="18">
        <v>10844</v>
      </c>
      <c r="G61" s="18">
        <v>12806</v>
      </c>
    </row>
    <row r="62" spans="1:7" x14ac:dyDescent="0.3">
      <c r="A62" s="11" t="s">
        <v>36</v>
      </c>
      <c r="B62" s="18">
        <v>10286</v>
      </c>
      <c r="C62" s="18">
        <v>10572</v>
      </c>
      <c r="D62" s="18">
        <v>11054</v>
      </c>
      <c r="E62" s="18">
        <v>11441</v>
      </c>
      <c r="F62" s="18">
        <v>10710</v>
      </c>
      <c r="G62" s="18">
        <v>12388</v>
      </c>
    </row>
    <row r="63" spans="1:7" x14ac:dyDescent="0.3">
      <c r="A63" s="11" t="s">
        <v>54</v>
      </c>
      <c r="B63" s="18">
        <v>9388</v>
      </c>
      <c r="C63" s="18">
        <v>9952</v>
      </c>
      <c r="D63" s="18">
        <v>10450</v>
      </c>
      <c r="E63" s="18">
        <v>11228</v>
      </c>
      <c r="F63" s="18">
        <v>10833</v>
      </c>
      <c r="G63" s="18">
        <v>13085</v>
      </c>
    </row>
    <row r="64" spans="1:7" x14ac:dyDescent="0.3">
      <c r="A64" s="11" t="s">
        <v>23</v>
      </c>
      <c r="B64" s="18">
        <v>8716</v>
      </c>
      <c r="C64" s="18">
        <v>9217</v>
      </c>
      <c r="D64" s="18">
        <v>9608</v>
      </c>
      <c r="E64" s="18">
        <v>10438</v>
      </c>
      <c r="F64" s="18">
        <v>9938</v>
      </c>
      <c r="G64" s="18">
        <v>12110</v>
      </c>
    </row>
    <row r="65" spans="1:7" x14ac:dyDescent="0.3">
      <c r="A65" s="11" t="s">
        <v>49</v>
      </c>
      <c r="B65" s="18">
        <v>8961</v>
      </c>
      <c r="C65" s="18">
        <v>9486</v>
      </c>
      <c r="D65" s="18">
        <v>9953</v>
      </c>
      <c r="E65" s="18">
        <v>10396</v>
      </c>
      <c r="F65" s="18">
        <v>9610</v>
      </c>
      <c r="G65" s="18">
        <v>11692</v>
      </c>
    </row>
    <row r="66" spans="1:7" x14ac:dyDescent="0.3">
      <c r="A66" s="11" t="s">
        <v>24</v>
      </c>
      <c r="B66" s="18">
        <v>10333</v>
      </c>
      <c r="C66" s="18">
        <v>10876</v>
      </c>
      <c r="D66" s="18">
        <v>11261</v>
      </c>
      <c r="E66" s="18">
        <v>12151</v>
      </c>
      <c r="F66" s="18">
        <v>10979</v>
      </c>
      <c r="G66" s="18">
        <v>13085</v>
      </c>
    </row>
    <row r="67" spans="1:7" x14ac:dyDescent="0.3">
      <c r="A67" s="11" t="s">
        <v>68</v>
      </c>
      <c r="B67" s="18">
        <v>8834</v>
      </c>
      <c r="C67" s="18">
        <v>9269</v>
      </c>
      <c r="D67" s="18">
        <v>9509</v>
      </c>
      <c r="E67" s="18">
        <v>10409</v>
      </c>
      <c r="F67" s="18">
        <v>9844</v>
      </c>
      <c r="G67" s="18">
        <v>11692</v>
      </c>
    </row>
    <row r="68" spans="1:7" x14ac:dyDescent="0.3">
      <c r="A68" s="11" t="s">
        <v>41</v>
      </c>
      <c r="B68" s="18">
        <v>9732</v>
      </c>
      <c r="C68" s="18">
        <v>10051</v>
      </c>
      <c r="D68" s="18">
        <v>10351</v>
      </c>
      <c r="E68" s="18">
        <v>11088</v>
      </c>
      <c r="F68" s="18">
        <v>10642</v>
      </c>
      <c r="G68" s="18">
        <v>12388</v>
      </c>
    </row>
    <row r="69" spans="1:7" x14ac:dyDescent="0.3">
      <c r="A69" s="11" t="s">
        <v>101</v>
      </c>
      <c r="B69" s="18">
        <v>0</v>
      </c>
      <c r="C69" s="18">
        <v>0</v>
      </c>
      <c r="D69" s="18">
        <v>0</v>
      </c>
      <c r="E69" s="18" t="s">
        <v>86</v>
      </c>
      <c r="F69" s="18" t="s">
        <v>86</v>
      </c>
      <c r="G69" s="18">
        <v>0</v>
      </c>
    </row>
    <row r="70" spans="1:7" x14ac:dyDescent="0.3">
      <c r="A70" s="11" t="s">
        <v>55</v>
      </c>
      <c r="B70" s="18">
        <v>9831</v>
      </c>
      <c r="C70" s="18">
        <v>10023</v>
      </c>
      <c r="D70" s="18">
        <v>10466</v>
      </c>
      <c r="E70" s="18">
        <v>11204</v>
      </c>
      <c r="F70" s="18">
        <v>10696</v>
      </c>
      <c r="G70" s="18">
        <v>13085</v>
      </c>
    </row>
    <row r="71" spans="1:7" x14ac:dyDescent="0.3">
      <c r="A71" s="11" t="s">
        <v>16</v>
      </c>
      <c r="B71" s="18">
        <v>10708</v>
      </c>
      <c r="C71" s="18">
        <v>10933</v>
      </c>
      <c r="D71" s="18">
        <v>10871</v>
      </c>
      <c r="E71" s="18">
        <v>11550</v>
      </c>
      <c r="F71" s="18">
        <v>11206</v>
      </c>
      <c r="G71" s="18">
        <v>13501</v>
      </c>
    </row>
    <row r="72" spans="1:7" x14ac:dyDescent="0.3">
      <c r="A72" s="11" t="s">
        <v>19</v>
      </c>
      <c r="B72" s="18">
        <f>(B73*Population!B74+Livable_wage!B74*Population!B75+Livable_wage!B75*Population!B77)/Population!B73</f>
        <v>13583.039589288523</v>
      </c>
      <c r="C72" s="18">
        <f>(C73*Population!C74+Livable_wage!C74*Population!C75+Livable_wage!C75*Population!C77)/Population!C73</f>
        <v>13796.024145205502</v>
      </c>
      <c r="D72" s="18">
        <f>(D73*Population!D74+Livable_wage!D74*Population!D75+Livable_wage!D75*Population!D77)/Population!D73</f>
        <v>14177.083097192428</v>
      </c>
      <c r="E72" s="18">
        <f>(E73*Population!E74+Livable_wage!E74*Population!E75+Livable_wage!E75*Population!E77)/Population!E73</f>
        <v>15181.382378344588</v>
      </c>
      <c r="F72" s="18">
        <f>(F73*Population!F74+Livable_wage!F74*Population!F75+Livable_wage!F75*Population!F77)/Population!F73</f>
        <v>14483.177393316741</v>
      </c>
      <c r="G72" s="18">
        <f>(G73*Population!G74+Livable_wage!G74*Population!G75+Livable_wage!G75*Population!G77)/Population!G73</f>
        <v>16817.943767815024</v>
      </c>
    </row>
    <row r="73" spans="1:7" x14ac:dyDescent="0.3">
      <c r="A73" s="11" t="s">
        <v>17</v>
      </c>
      <c r="B73" s="18">
        <v>15261</v>
      </c>
      <c r="C73" s="18">
        <v>15615</v>
      </c>
      <c r="D73" s="18">
        <v>15889</v>
      </c>
      <c r="E73" s="18">
        <v>17140</v>
      </c>
      <c r="F73" s="18">
        <v>16281</v>
      </c>
      <c r="G73" s="18">
        <v>18625</v>
      </c>
    </row>
    <row r="74" spans="1:7" x14ac:dyDescent="0.3">
      <c r="A74" s="11" t="s">
        <v>60</v>
      </c>
      <c r="B74" s="18">
        <v>16569</v>
      </c>
      <c r="C74" s="18">
        <v>16260</v>
      </c>
      <c r="D74" s="18">
        <v>16434</v>
      </c>
      <c r="E74" s="18">
        <v>17403</v>
      </c>
      <c r="F74" s="18">
        <v>17029</v>
      </c>
      <c r="G74" s="18">
        <v>19832</v>
      </c>
    </row>
    <row r="75" spans="1:7" x14ac:dyDescent="0.3">
      <c r="A75" s="11" t="s">
        <v>95</v>
      </c>
      <c r="B75" s="18">
        <v>10744</v>
      </c>
      <c r="C75" s="18">
        <v>11015</v>
      </c>
      <c r="D75" s="18">
        <v>11609</v>
      </c>
      <c r="E75" s="18">
        <v>12376</v>
      </c>
      <c r="F75" s="18">
        <v>11748</v>
      </c>
      <c r="G75" s="18">
        <v>13919</v>
      </c>
    </row>
    <row r="76" spans="1:7" x14ac:dyDescent="0.3">
      <c r="A76" s="11" t="s">
        <v>82</v>
      </c>
      <c r="B76" s="18">
        <v>9581</v>
      </c>
      <c r="C76" s="7">
        <v>10002</v>
      </c>
      <c r="D76" s="7">
        <v>10777</v>
      </c>
      <c r="E76" s="7">
        <v>12056</v>
      </c>
      <c r="F76" s="7">
        <v>11430</v>
      </c>
      <c r="G76" s="7">
        <v>13076</v>
      </c>
    </row>
    <row r="77" spans="1:7" x14ac:dyDescent="0.3">
      <c r="A77" s="11" t="s">
        <v>102</v>
      </c>
      <c r="B77" s="18">
        <v>0</v>
      </c>
      <c r="C77" s="18" t="s">
        <v>86</v>
      </c>
      <c r="D77" s="18" t="s">
        <v>86</v>
      </c>
      <c r="E77" s="18" t="s">
        <v>86</v>
      </c>
      <c r="F77" s="18"/>
      <c r="G77" s="18"/>
    </row>
    <row r="78" spans="1:7" x14ac:dyDescent="0.3">
      <c r="A78" s="11" t="s">
        <v>58</v>
      </c>
      <c r="B78" s="18">
        <v>9797</v>
      </c>
      <c r="C78" s="18">
        <v>10154</v>
      </c>
      <c r="D78" s="18">
        <v>10380</v>
      </c>
      <c r="E78" s="18">
        <v>11138</v>
      </c>
      <c r="F78" s="18">
        <v>10838</v>
      </c>
      <c r="G78" s="18">
        <v>13085</v>
      </c>
    </row>
    <row r="79" spans="1:7" x14ac:dyDescent="0.3">
      <c r="A79" s="11" t="s">
        <v>14</v>
      </c>
      <c r="B79" s="18">
        <v>9614</v>
      </c>
      <c r="C79" s="18">
        <v>10267</v>
      </c>
      <c r="D79" s="7">
        <v>10694</v>
      </c>
      <c r="E79" s="7">
        <v>11594</v>
      </c>
      <c r="F79" s="7">
        <v>11494</v>
      </c>
      <c r="G79" s="7">
        <v>14059</v>
      </c>
    </row>
    <row r="80" spans="1:7" x14ac:dyDescent="0.3">
      <c r="A80" s="11" t="s">
        <v>77</v>
      </c>
      <c r="B80" s="18">
        <v>9625</v>
      </c>
      <c r="C80" s="18">
        <v>10416</v>
      </c>
      <c r="D80" s="18">
        <v>11397</v>
      </c>
      <c r="E80" s="18">
        <v>12428</v>
      </c>
      <c r="F80" s="18">
        <v>11784</v>
      </c>
      <c r="G80" s="18">
        <v>14198</v>
      </c>
    </row>
    <row r="81" spans="1:7" x14ac:dyDescent="0.3">
      <c r="A81" s="11" t="s">
        <v>12</v>
      </c>
      <c r="B81" s="18">
        <v>9196</v>
      </c>
      <c r="C81" s="18">
        <v>9761</v>
      </c>
      <c r="D81" s="18">
        <v>10365</v>
      </c>
      <c r="E81" s="18">
        <v>10904</v>
      </c>
      <c r="F81" s="18">
        <v>10665</v>
      </c>
      <c r="G81" s="18">
        <v>12388</v>
      </c>
    </row>
    <row r="82" spans="1:7" x14ac:dyDescent="0.3">
      <c r="A82" s="11" t="s">
        <v>61</v>
      </c>
      <c r="B82" s="18">
        <v>11693</v>
      </c>
      <c r="C82" s="18">
        <v>12332</v>
      </c>
      <c r="D82" s="18">
        <v>13028</v>
      </c>
      <c r="E82" s="18">
        <v>13839</v>
      </c>
      <c r="F82" s="18">
        <v>13409</v>
      </c>
      <c r="G82" s="18">
        <v>15451</v>
      </c>
    </row>
    <row r="83" spans="1:7" x14ac:dyDescent="0.3">
      <c r="A83" s="11" t="s">
        <v>72</v>
      </c>
      <c r="B83" s="18">
        <v>10413</v>
      </c>
      <c r="C83" s="18">
        <v>11327</v>
      </c>
      <c r="D83" s="18">
        <v>12098</v>
      </c>
      <c r="E83" s="18">
        <v>12745</v>
      </c>
      <c r="F83" s="18">
        <v>12243</v>
      </c>
      <c r="G83" s="18">
        <v>14754</v>
      </c>
    </row>
    <row r="84" spans="1:7" x14ac:dyDescent="0.3">
      <c r="A84" s="11" t="s">
        <v>76</v>
      </c>
      <c r="B84" s="18">
        <v>9391</v>
      </c>
      <c r="C84" s="18">
        <v>9645</v>
      </c>
      <c r="D84" s="18">
        <v>10356</v>
      </c>
      <c r="E84" s="18">
        <v>11023</v>
      </c>
      <c r="F84" s="18">
        <v>10727</v>
      </c>
      <c r="G84" s="18">
        <v>12667</v>
      </c>
    </row>
    <row r="85" spans="1:7" x14ac:dyDescent="0.3">
      <c r="A85" s="11" t="s">
        <v>6</v>
      </c>
      <c r="B85" s="18">
        <v>10938</v>
      </c>
      <c r="C85" s="18">
        <v>11217</v>
      </c>
      <c r="D85" s="18">
        <v>11713</v>
      </c>
      <c r="E85" s="18">
        <v>12598</v>
      </c>
      <c r="F85" s="18">
        <v>12284</v>
      </c>
      <c r="G85" s="18">
        <v>14053</v>
      </c>
    </row>
    <row r="86" spans="1:7" x14ac:dyDescent="0.3">
      <c r="A86" s="11" t="s">
        <v>64</v>
      </c>
      <c r="B86" s="18">
        <v>8968</v>
      </c>
      <c r="C86" s="18">
        <v>9481</v>
      </c>
      <c r="D86" s="18">
        <v>10155</v>
      </c>
      <c r="E86" s="18">
        <v>10956</v>
      </c>
      <c r="F86" s="18">
        <v>10635</v>
      </c>
      <c r="G86" s="18">
        <v>12436</v>
      </c>
    </row>
    <row r="87" spans="1:7" x14ac:dyDescent="0.3">
      <c r="A87" s="11" t="s">
        <v>5</v>
      </c>
      <c r="B87" s="18">
        <v>10932</v>
      </c>
      <c r="C87" s="18">
        <v>11175</v>
      </c>
      <c r="D87" s="18">
        <v>11858</v>
      </c>
      <c r="E87" s="18">
        <v>12566</v>
      </c>
      <c r="F87" s="18">
        <v>12218</v>
      </c>
      <c r="G87" s="18">
        <v>14004</v>
      </c>
    </row>
    <row r="88" spans="1:7" x14ac:dyDescent="0.3">
      <c r="A88" s="11" t="s">
        <v>103</v>
      </c>
      <c r="B88" s="18">
        <v>0</v>
      </c>
      <c r="C88" s="18" t="s">
        <v>86</v>
      </c>
      <c r="D88" s="18" t="s">
        <v>86</v>
      </c>
      <c r="E88" s="18" t="s">
        <v>86</v>
      </c>
      <c r="F88" s="18"/>
      <c r="G88" s="18"/>
    </row>
    <row r="89" spans="1:7" x14ac:dyDescent="0.3">
      <c r="A89" s="11" t="s">
        <v>1</v>
      </c>
      <c r="B89" s="18">
        <v>9942</v>
      </c>
      <c r="C89" s="18">
        <v>10815</v>
      </c>
      <c r="D89" s="18">
        <v>11726</v>
      </c>
      <c r="E89" s="18">
        <v>12803</v>
      </c>
      <c r="F89" s="18">
        <v>12810</v>
      </c>
      <c r="G89" s="18">
        <v>15172</v>
      </c>
    </row>
    <row r="90" spans="1:7" x14ac:dyDescent="0.3">
      <c r="A90" s="11" t="s">
        <v>57</v>
      </c>
      <c r="B90" s="18">
        <v>11040</v>
      </c>
      <c r="C90" s="18">
        <v>11751</v>
      </c>
      <c r="D90" s="18">
        <v>12828</v>
      </c>
      <c r="E90" s="18">
        <v>13518</v>
      </c>
      <c r="F90" s="18">
        <v>13613.32</v>
      </c>
      <c r="G90" s="18">
        <v>16286</v>
      </c>
    </row>
    <row r="91" spans="1:7" x14ac:dyDescent="0.3">
      <c r="A91" s="11" t="s">
        <v>62</v>
      </c>
      <c r="B91" s="18">
        <v>17628</v>
      </c>
      <c r="C91" s="18">
        <v>17729</v>
      </c>
      <c r="D91" s="7">
        <v>18327</v>
      </c>
      <c r="E91" s="7">
        <v>18853</v>
      </c>
      <c r="F91" s="7">
        <v>18368</v>
      </c>
      <c r="G91" s="7">
        <v>21019</v>
      </c>
    </row>
    <row r="92" spans="1:7" x14ac:dyDescent="0.3">
      <c r="A92" s="12" t="s">
        <v>9</v>
      </c>
      <c r="B92" s="18">
        <v>20093</v>
      </c>
      <c r="C92" s="18">
        <v>20886</v>
      </c>
      <c r="D92" s="18">
        <v>21635</v>
      </c>
      <c r="E92" s="18">
        <v>22535</v>
      </c>
      <c r="F92" s="18">
        <v>21797</v>
      </c>
      <c r="G92" s="18">
        <v>25223</v>
      </c>
    </row>
    <row r="93" spans="1:7" x14ac:dyDescent="0.3">
      <c r="A93" s="12" t="s">
        <v>10</v>
      </c>
      <c r="B93" s="18">
        <v>12796</v>
      </c>
      <c r="C93" s="18">
        <v>13310</v>
      </c>
      <c r="D93" s="18">
        <v>14044</v>
      </c>
      <c r="E93" s="18">
        <v>14872</v>
      </c>
      <c r="F93" s="18">
        <v>13963</v>
      </c>
      <c r="G93" s="18">
        <v>16564</v>
      </c>
    </row>
    <row r="94" spans="1:7" x14ac:dyDescent="0.3">
      <c r="A94" s="12" t="s">
        <v>75</v>
      </c>
      <c r="B94" s="18">
        <v>13807</v>
      </c>
      <c r="C94" s="18">
        <v>14330</v>
      </c>
      <c r="D94" s="18">
        <v>15328</v>
      </c>
      <c r="E94" s="18">
        <v>16510</v>
      </c>
      <c r="F94" s="18">
        <v>16222</v>
      </c>
      <c r="G94" s="18">
        <v>18558</v>
      </c>
    </row>
    <row r="95" spans="1:7" x14ac:dyDescent="0.3">
      <c r="A95" s="12" t="s">
        <v>73</v>
      </c>
      <c r="B95" s="18">
        <v>11861</v>
      </c>
      <c r="C95" s="18">
        <v>11894</v>
      </c>
      <c r="D95" s="18">
        <v>13161</v>
      </c>
      <c r="E95" s="18">
        <v>14331</v>
      </c>
      <c r="F95" s="18">
        <v>14017</v>
      </c>
      <c r="G95" s="18">
        <v>16174</v>
      </c>
    </row>
    <row r="96" spans="1:7" x14ac:dyDescent="0.3">
      <c r="A96" s="12" t="s">
        <v>8</v>
      </c>
      <c r="B96" s="18">
        <v>18494</v>
      </c>
      <c r="C96" s="18">
        <v>19881</v>
      </c>
      <c r="D96" s="18">
        <v>20814</v>
      </c>
      <c r="E96" s="18">
        <v>22027</v>
      </c>
      <c r="F96" s="18">
        <v>21102</v>
      </c>
      <c r="G96" s="18">
        <v>24220</v>
      </c>
    </row>
    <row r="97" spans="1:7" x14ac:dyDescent="0.3">
      <c r="A97" s="12" t="s">
        <v>3</v>
      </c>
      <c r="B97" s="18">
        <v>13991</v>
      </c>
      <c r="C97" s="18">
        <v>14790</v>
      </c>
      <c r="D97" s="18">
        <v>15854</v>
      </c>
      <c r="E97" s="18">
        <v>17178</v>
      </c>
      <c r="F97" s="18">
        <v>15906</v>
      </c>
      <c r="G97" s="18">
        <v>18930</v>
      </c>
    </row>
    <row r="98" spans="1:7" x14ac:dyDescent="0.3">
      <c r="A98" s="12" t="s">
        <v>74</v>
      </c>
      <c r="B98" s="18">
        <v>12858</v>
      </c>
      <c r="C98" s="18">
        <v>13844</v>
      </c>
      <c r="D98" s="18">
        <v>15245</v>
      </c>
      <c r="E98" s="18">
        <v>16336</v>
      </c>
      <c r="F98" s="18">
        <v>16386</v>
      </c>
      <c r="G98" s="18">
        <v>18758</v>
      </c>
    </row>
    <row r="99" spans="1:7" x14ac:dyDescent="0.3">
      <c r="A99" s="12" t="s">
        <v>18</v>
      </c>
      <c r="B99" s="18">
        <v>20600</v>
      </c>
      <c r="C99" s="18">
        <v>22146</v>
      </c>
      <c r="D99" s="18">
        <v>22669</v>
      </c>
      <c r="E99" s="18">
        <v>24711</v>
      </c>
      <c r="F99" s="18">
        <v>24164</v>
      </c>
      <c r="G99" s="18">
        <v>31736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085DA-187D-445C-B24A-A0669F3B44F7}">
  <sheetPr codeName="Лист2">
    <tabColor theme="0" tint="-0.14999847407452621"/>
    <pageSetUpPr fitToPage="1"/>
  </sheetPr>
  <dimension ref="A1:Y101"/>
  <sheetViews>
    <sheetView showGridLines="0" workbookViewId="0">
      <selection sqref="A1:J1048576"/>
    </sheetView>
  </sheetViews>
  <sheetFormatPr defaultRowHeight="16.5" x14ac:dyDescent="0.3"/>
  <cols>
    <col min="1" max="1" width="108.5703125" style="9" customWidth="1"/>
    <col min="2" max="2" width="10.85546875" style="4" customWidth="1"/>
    <col min="3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5" x14ac:dyDescent="0.3">
      <c r="A1" s="8" t="s">
        <v>85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3" spans="1:25" x14ac:dyDescent="0.3">
      <c r="A3" s="10" t="s">
        <v>129</v>
      </c>
      <c r="B3" s="5">
        <v>2017</v>
      </c>
      <c r="C3" s="6">
        <v>2018</v>
      </c>
      <c r="D3" s="6">
        <v>2019</v>
      </c>
      <c r="E3" s="6">
        <v>2020</v>
      </c>
      <c r="F3" s="6">
        <v>2021</v>
      </c>
      <c r="G3" s="6">
        <v>2022</v>
      </c>
    </row>
    <row r="4" spans="1:25" x14ac:dyDescent="0.3">
      <c r="A4" s="11" t="s">
        <v>87</v>
      </c>
      <c r="B4" s="7">
        <v>0.41099999999999998</v>
      </c>
      <c r="C4" s="7">
        <v>0.41399999999999998</v>
      </c>
      <c r="D4" s="7">
        <v>0.41199999999999998</v>
      </c>
      <c r="E4" s="7">
        <v>0.40600000000000003</v>
      </c>
      <c r="F4" s="7">
        <v>0.40899999999999997</v>
      </c>
      <c r="G4" s="7">
        <v>0.39500000000000002</v>
      </c>
    </row>
    <row r="5" spans="1:25" x14ac:dyDescent="0.3">
      <c r="A5" s="11" t="s">
        <v>96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</row>
    <row r="6" spans="1:25" x14ac:dyDescent="0.3">
      <c r="A6" s="11" t="s">
        <v>50</v>
      </c>
      <c r="B6" s="7">
        <v>0.39400000000000002</v>
      </c>
      <c r="C6" s="7">
        <v>0.39300000000000002</v>
      </c>
      <c r="D6" s="7">
        <v>0.38800000000000001</v>
      </c>
      <c r="E6" s="7">
        <v>0.377</v>
      </c>
      <c r="F6" s="7">
        <v>0.377</v>
      </c>
      <c r="G6" s="7">
        <v>0.36799999999999999</v>
      </c>
    </row>
    <row r="7" spans="1:25" x14ac:dyDescent="0.3">
      <c r="A7" s="11" t="s">
        <v>48</v>
      </c>
      <c r="B7" s="7">
        <v>0.373</v>
      </c>
      <c r="C7" s="7">
        <v>0.378</v>
      </c>
      <c r="D7" s="7">
        <v>0.375</v>
      </c>
      <c r="E7" s="7">
        <v>0.36499999999999999</v>
      </c>
      <c r="F7" s="7">
        <v>0.375</v>
      </c>
      <c r="G7" s="7">
        <v>0.36</v>
      </c>
    </row>
    <row r="8" spans="1:25" x14ac:dyDescent="0.3">
      <c r="A8" s="11" t="s">
        <v>20</v>
      </c>
      <c r="B8" s="7">
        <v>0.34899999999999998</v>
      </c>
      <c r="C8" s="7">
        <v>0.34399999999999997</v>
      </c>
      <c r="D8" s="7">
        <v>0.34</v>
      </c>
      <c r="E8" s="7">
        <v>0.33200000000000002</v>
      </c>
      <c r="F8" s="7">
        <v>0.33800000000000002</v>
      </c>
      <c r="G8" s="7">
        <v>0.32500000000000001</v>
      </c>
    </row>
    <row r="9" spans="1:25" x14ac:dyDescent="0.3">
      <c r="A9" s="11" t="s">
        <v>4</v>
      </c>
      <c r="B9" s="7">
        <v>0.4</v>
      </c>
      <c r="C9" s="7">
        <v>0.39800000000000002</v>
      </c>
      <c r="D9" s="7">
        <v>0.39500000000000002</v>
      </c>
      <c r="E9" s="7">
        <v>0.39300000000000002</v>
      </c>
      <c r="F9" s="7">
        <v>0.39600000000000002</v>
      </c>
      <c r="G9" s="7">
        <v>0.38500000000000001</v>
      </c>
    </row>
    <row r="10" spans="1:25" x14ac:dyDescent="0.3">
      <c r="A10" s="11" t="s">
        <v>45</v>
      </c>
      <c r="B10" s="7">
        <v>0.36299999999999999</v>
      </c>
      <c r="C10" s="7">
        <v>0.35799999999999998</v>
      </c>
      <c r="D10" s="7">
        <v>0.36099999999999999</v>
      </c>
      <c r="E10" s="7">
        <v>0.35199999999999998</v>
      </c>
      <c r="F10" s="7">
        <v>0.35399999999999998</v>
      </c>
      <c r="G10" s="7">
        <v>0.33500000000000002</v>
      </c>
    </row>
    <row r="11" spans="1:25" x14ac:dyDescent="0.3">
      <c r="A11" s="11" t="s">
        <v>40</v>
      </c>
      <c r="B11" s="7">
        <v>0.36599999999999999</v>
      </c>
      <c r="C11" s="7">
        <v>0.35899999999999999</v>
      </c>
      <c r="D11" s="7">
        <v>0.36299999999999999</v>
      </c>
      <c r="E11" s="7">
        <v>0.35899999999999999</v>
      </c>
      <c r="F11" s="7">
        <v>0.36199999999999999</v>
      </c>
      <c r="G11" s="7">
        <v>0.33</v>
      </c>
    </row>
    <row r="12" spans="1:25" x14ac:dyDescent="0.3">
      <c r="A12" s="11" t="s">
        <v>37</v>
      </c>
      <c r="B12" s="7">
        <v>0.35299999999999998</v>
      </c>
      <c r="C12" s="7">
        <v>0.33800000000000002</v>
      </c>
      <c r="D12" s="7">
        <v>0.33800000000000002</v>
      </c>
      <c r="E12" s="7">
        <v>0.32900000000000001</v>
      </c>
      <c r="F12" s="7">
        <v>0.33300000000000002</v>
      </c>
      <c r="G12" s="7">
        <v>0.32</v>
      </c>
    </row>
    <row r="13" spans="1:25" x14ac:dyDescent="0.3">
      <c r="A13" s="11" t="s">
        <v>56</v>
      </c>
      <c r="B13" s="7">
        <v>0.372</v>
      </c>
      <c r="C13" s="7">
        <v>0.37</v>
      </c>
      <c r="D13" s="7">
        <v>0.36699999999999999</v>
      </c>
      <c r="E13" s="7">
        <v>0.36199999999999999</v>
      </c>
      <c r="F13" s="7">
        <v>0.36799999999999999</v>
      </c>
      <c r="G13" s="7">
        <v>0.35599999999999998</v>
      </c>
    </row>
    <row r="14" spans="1:25" x14ac:dyDescent="0.3">
      <c r="A14" s="11" t="s">
        <v>51</v>
      </c>
      <c r="B14" s="7">
        <v>0.38700000000000001</v>
      </c>
      <c r="C14" s="7">
        <v>0.39100000000000001</v>
      </c>
      <c r="D14" s="7">
        <v>0.39100000000000001</v>
      </c>
      <c r="E14" s="7">
        <v>0.379</v>
      </c>
      <c r="F14" s="7">
        <v>0.38100000000000001</v>
      </c>
      <c r="G14" s="7">
        <v>0.36699999999999999</v>
      </c>
    </row>
    <row r="15" spans="1:25" x14ac:dyDescent="0.3">
      <c r="A15" s="11" t="s">
        <v>21</v>
      </c>
      <c r="B15" s="7">
        <v>0.39400000000000002</v>
      </c>
      <c r="C15" s="7">
        <v>0.39400000000000002</v>
      </c>
      <c r="D15" s="7">
        <v>0.39400000000000002</v>
      </c>
      <c r="E15" s="7">
        <v>0.378</v>
      </c>
      <c r="F15" s="7">
        <v>0.38500000000000001</v>
      </c>
      <c r="G15" s="7">
        <v>0.372</v>
      </c>
    </row>
    <row r="16" spans="1:25" x14ac:dyDescent="0.3">
      <c r="A16" s="11" t="s">
        <v>70</v>
      </c>
      <c r="B16" s="7">
        <v>0.36699999999999999</v>
      </c>
      <c r="C16" s="7">
        <v>0.36499999999999999</v>
      </c>
      <c r="D16" s="7">
        <v>0.36399999999999999</v>
      </c>
      <c r="E16" s="7">
        <v>0.35599999999999998</v>
      </c>
      <c r="F16" s="7">
        <v>0.36399999999999999</v>
      </c>
      <c r="G16" s="7">
        <v>0.35699999999999998</v>
      </c>
    </row>
    <row r="17" spans="1:7" x14ac:dyDescent="0.3">
      <c r="A17" s="11" t="s">
        <v>59</v>
      </c>
      <c r="B17" s="7">
        <v>0.36699999999999999</v>
      </c>
      <c r="C17" s="7">
        <v>0.36599999999999999</v>
      </c>
      <c r="D17" s="7">
        <v>0.36599999999999999</v>
      </c>
      <c r="E17" s="7">
        <v>0.35799999999999998</v>
      </c>
      <c r="F17" s="7">
        <v>0.36199999999999999</v>
      </c>
      <c r="G17" s="7">
        <v>0.34899999999999998</v>
      </c>
    </row>
    <row r="18" spans="1:7" x14ac:dyDescent="0.3">
      <c r="A18" s="11" t="s">
        <v>43</v>
      </c>
      <c r="B18" s="7">
        <v>0.377</v>
      </c>
      <c r="C18" s="7">
        <v>0.38200000000000001</v>
      </c>
      <c r="D18" s="7">
        <v>0.38</v>
      </c>
      <c r="E18" s="7">
        <v>0.38100000000000001</v>
      </c>
      <c r="F18" s="7">
        <v>0.38300000000000001</v>
      </c>
      <c r="G18" s="7">
        <v>0.36499999999999999</v>
      </c>
    </row>
    <row r="19" spans="1:7" x14ac:dyDescent="0.3">
      <c r="A19" s="11" t="s">
        <v>15</v>
      </c>
      <c r="B19" s="7">
        <v>0.379</v>
      </c>
      <c r="C19" s="7">
        <v>0.376</v>
      </c>
      <c r="D19" s="7">
        <v>0.36899999999999999</v>
      </c>
      <c r="E19" s="7">
        <v>0.35499999999999998</v>
      </c>
      <c r="F19" s="7">
        <v>0.35699999999999998</v>
      </c>
      <c r="G19" s="7">
        <v>0.35199999999999998</v>
      </c>
    </row>
    <row r="20" spans="1:7" x14ac:dyDescent="0.3">
      <c r="A20" s="11" t="s">
        <v>38</v>
      </c>
      <c r="B20" s="7">
        <v>0.33600000000000002</v>
      </c>
      <c r="C20" s="7">
        <v>0.33800000000000002</v>
      </c>
      <c r="D20" s="7">
        <v>0.34200000000000003</v>
      </c>
      <c r="E20" s="7">
        <v>0.33500000000000002</v>
      </c>
      <c r="F20" s="7">
        <v>0.34100000000000003</v>
      </c>
      <c r="G20" s="7">
        <v>0.32900000000000001</v>
      </c>
    </row>
    <row r="21" spans="1:7" x14ac:dyDescent="0.3">
      <c r="A21" s="11" t="s">
        <v>39</v>
      </c>
      <c r="B21" s="7">
        <v>0.36299999999999999</v>
      </c>
      <c r="C21" s="7">
        <v>0.35299999999999998</v>
      </c>
      <c r="D21" s="7">
        <v>0.34699999999999998</v>
      </c>
      <c r="E21" s="7">
        <v>0.34200000000000003</v>
      </c>
      <c r="F21" s="7">
        <v>0.34699999999999998</v>
      </c>
      <c r="G21" s="7">
        <v>0.34399999999999997</v>
      </c>
    </row>
    <row r="22" spans="1:7" x14ac:dyDescent="0.3">
      <c r="A22" s="11" t="s">
        <v>78</v>
      </c>
      <c r="B22" s="7">
        <v>0.37</v>
      </c>
      <c r="C22" s="7">
        <v>0.35799999999999998</v>
      </c>
      <c r="D22" s="7">
        <v>0.35699999999999998</v>
      </c>
      <c r="E22" s="7">
        <v>0.35</v>
      </c>
      <c r="F22" s="7">
        <v>0.35499999999999998</v>
      </c>
      <c r="G22" s="7">
        <v>0.35</v>
      </c>
    </row>
    <row r="23" spans="1:7" x14ac:dyDescent="0.3">
      <c r="A23" s="11" t="s">
        <v>13</v>
      </c>
      <c r="B23" s="7">
        <v>0.41699999999999998</v>
      </c>
      <c r="C23" s="7">
        <v>0.41699999999999998</v>
      </c>
      <c r="D23" s="7">
        <v>0.41799999999999998</v>
      </c>
      <c r="E23" s="7">
        <v>0.41299999999999998</v>
      </c>
      <c r="F23" s="7">
        <v>0.42399999999999999</v>
      </c>
      <c r="G23" s="7">
        <v>0.41199999999999998</v>
      </c>
    </row>
    <row r="24" spans="1:7" x14ac:dyDescent="0.3">
      <c r="A24" s="11" t="s">
        <v>97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</row>
    <row r="25" spans="1:7" x14ac:dyDescent="0.3">
      <c r="A25" s="11" t="s">
        <v>71</v>
      </c>
      <c r="B25" s="7">
        <v>0.33800000000000002</v>
      </c>
      <c r="C25" s="7">
        <v>0.34100000000000003</v>
      </c>
      <c r="D25" s="7">
        <v>0.34100000000000003</v>
      </c>
      <c r="E25" s="7">
        <v>0.34200000000000003</v>
      </c>
      <c r="F25" s="7">
        <v>0.34300000000000003</v>
      </c>
      <c r="G25" s="7">
        <v>0.32400000000000001</v>
      </c>
    </row>
    <row r="26" spans="1:7" x14ac:dyDescent="0.3">
      <c r="A26" s="11" t="s">
        <v>65</v>
      </c>
      <c r="B26" s="7">
        <v>0.38300000000000001</v>
      </c>
      <c r="C26" s="7">
        <v>0.38300000000000001</v>
      </c>
      <c r="D26" s="7">
        <v>0.379</v>
      </c>
      <c r="E26" s="7">
        <v>0.374</v>
      </c>
      <c r="F26" s="7">
        <v>0.375</v>
      </c>
      <c r="G26" s="7">
        <v>0.35299999999999998</v>
      </c>
    </row>
    <row r="27" spans="1:7" x14ac:dyDescent="0.3">
      <c r="A27" s="11" t="s">
        <v>53</v>
      </c>
      <c r="B27" s="7">
        <v>0.379</v>
      </c>
      <c r="C27" s="7">
        <v>0.38200000000000001</v>
      </c>
      <c r="D27" s="7">
        <v>0.38</v>
      </c>
      <c r="E27" s="7">
        <v>0.36599999999999999</v>
      </c>
      <c r="F27" s="7">
        <v>0.37</v>
      </c>
      <c r="G27" s="7">
        <v>0.35499999999999998</v>
      </c>
    </row>
    <row r="28" spans="1:7" x14ac:dyDescent="0.3">
      <c r="A28" s="11" t="s">
        <v>7</v>
      </c>
      <c r="B28" s="7">
        <v>0.41399999999999998</v>
      </c>
      <c r="C28" s="7">
        <v>0.42599999999999999</v>
      </c>
      <c r="D28" s="7">
        <v>0.435</v>
      </c>
      <c r="E28" s="7">
        <v>0.42399999999999999</v>
      </c>
      <c r="F28" s="7">
        <v>0.42399999999999999</v>
      </c>
      <c r="G28" s="7">
        <v>0.41899999999999998</v>
      </c>
    </row>
    <row r="29" spans="1:7" x14ac:dyDescent="0.3">
      <c r="A29" s="11" t="s">
        <v>88</v>
      </c>
      <c r="B29" s="7">
        <v>0.37</v>
      </c>
      <c r="C29" s="7">
        <v>0.36599999999999999</v>
      </c>
      <c r="D29" s="7">
        <v>0.36399999999999999</v>
      </c>
      <c r="E29" s="7">
        <v>0.35299999999999998</v>
      </c>
      <c r="F29" s="7">
        <v>0.35599999999999998</v>
      </c>
      <c r="G29" s="7">
        <v>0.33900000000000002</v>
      </c>
    </row>
    <row r="30" spans="1:7" x14ac:dyDescent="0.3">
      <c r="A30" s="11" t="s">
        <v>80</v>
      </c>
      <c r="B30" s="7">
        <v>0.35</v>
      </c>
      <c r="C30" s="7">
        <v>0.35399999999999998</v>
      </c>
      <c r="D30" s="7">
        <v>0.35599999999999998</v>
      </c>
      <c r="E30" s="7">
        <v>0.35699999999999998</v>
      </c>
      <c r="F30" s="7">
        <v>0.35899999999999999</v>
      </c>
      <c r="G30" s="7">
        <v>0.33800000000000002</v>
      </c>
    </row>
    <row r="31" spans="1:7" x14ac:dyDescent="0.3">
      <c r="A31" s="11" t="s">
        <v>69</v>
      </c>
      <c r="B31" s="7">
        <v>0.35699999999999998</v>
      </c>
      <c r="C31" s="7">
        <v>0.35799999999999998</v>
      </c>
      <c r="D31" s="7">
        <v>0.35799999999999998</v>
      </c>
      <c r="E31" s="7">
        <v>0.35299999999999998</v>
      </c>
      <c r="F31" s="7">
        <v>0.35299999999999998</v>
      </c>
      <c r="G31" s="7">
        <v>0.32500000000000001</v>
      </c>
    </row>
    <row r="32" spans="1:7" x14ac:dyDescent="0.3">
      <c r="A32" s="11" t="s">
        <v>33</v>
      </c>
      <c r="B32" s="7">
        <v>0.371</v>
      </c>
      <c r="C32" s="7">
        <v>0.36599999999999999</v>
      </c>
      <c r="D32" s="7">
        <v>0.35799999999999998</v>
      </c>
      <c r="E32" s="7">
        <v>0.35499999999999998</v>
      </c>
      <c r="F32" s="7">
        <v>0.35799999999999998</v>
      </c>
      <c r="G32" s="7">
        <v>0.34499999999999997</v>
      </c>
    </row>
    <row r="33" spans="1:7" x14ac:dyDescent="0.3">
      <c r="A33" s="11" t="s">
        <v>30</v>
      </c>
      <c r="B33" s="7">
        <v>0.36099999999999999</v>
      </c>
      <c r="C33" s="7">
        <v>0.35599999999999998</v>
      </c>
      <c r="D33" s="7">
        <v>0.34200000000000003</v>
      </c>
      <c r="E33" s="7">
        <v>0.33700000000000002</v>
      </c>
      <c r="F33" s="7">
        <v>0.34200000000000003</v>
      </c>
      <c r="G33" s="7">
        <v>0.32300000000000001</v>
      </c>
    </row>
    <row r="34" spans="1:7" x14ac:dyDescent="0.3">
      <c r="A34" s="11" t="s">
        <v>52</v>
      </c>
      <c r="B34" s="7">
        <v>0.36</v>
      </c>
      <c r="C34" s="7">
        <v>0.34899999999999998</v>
      </c>
      <c r="D34" s="7">
        <v>0.34300000000000003</v>
      </c>
      <c r="E34" s="7">
        <v>0.33400000000000002</v>
      </c>
      <c r="F34" s="7">
        <v>0.34399999999999997</v>
      </c>
      <c r="G34" s="7">
        <v>0.34</v>
      </c>
    </row>
    <row r="35" spans="1:7" x14ac:dyDescent="0.3">
      <c r="A35" s="11" t="s">
        <v>31</v>
      </c>
      <c r="B35" s="7">
        <v>0.35</v>
      </c>
      <c r="C35" s="7">
        <v>0.35099999999999998</v>
      </c>
      <c r="D35" s="7">
        <v>0.35199999999999998</v>
      </c>
      <c r="E35" s="7">
        <v>0.35199999999999998</v>
      </c>
      <c r="F35" s="7">
        <v>0.35599999999999998</v>
      </c>
      <c r="G35" s="7">
        <v>0.34399999999999997</v>
      </c>
    </row>
    <row r="36" spans="1:7" x14ac:dyDescent="0.3">
      <c r="A36" s="11" t="s">
        <v>32</v>
      </c>
      <c r="B36" s="7">
        <v>0.40600000000000003</v>
      </c>
      <c r="C36" s="7">
        <v>0.40500000000000003</v>
      </c>
      <c r="D36" s="7">
        <v>0.40600000000000003</v>
      </c>
      <c r="E36" s="7">
        <v>0.40200000000000002</v>
      </c>
      <c r="F36" s="7">
        <v>0.40899999999999997</v>
      </c>
      <c r="G36" s="7">
        <v>0.40200000000000002</v>
      </c>
    </row>
    <row r="37" spans="1:7" x14ac:dyDescent="0.3">
      <c r="A37" s="11" t="s">
        <v>98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</row>
    <row r="38" spans="1:7" x14ac:dyDescent="0.3">
      <c r="A38" s="11" t="s">
        <v>26</v>
      </c>
      <c r="B38" s="7">
        <v>0.39600000000000002</v>
      </c>
      <c r="C38" s="7">
        <v>0.40300000000000002</v>
      </c>
      <c r="D38" s="7">
        <v>0.40500000000000003</v>
      </c>
      <c r="E38" s="7">
        <v>0.40400000000000003</v>
      </c>
      <c r="F38" s="7">
        <v>0.41199999999999998</v>
      </c>
      <c r="G38" s="7">
        <v>0.40400000000000003</v>
      </c>
    </row>
    <row r="39" spans="1:7" x14ac:dyDescent="0.3">
      <c r="A39" s="11" t="s">
        <v>27</v>
      </c>
      <c r="B39" s="7">
        <v>0.34300000000000003</v>
      </c>
      <c r="C39" s="7">
        <v>0.34</v>
      </c>
      <c r="D39" s="7">
        <v>0.33700000000000002</v>
      </c>
      <c r="E39" s="7">
        <v>0.33700000000000002</v>
      </c>
      <c r="F39" s="7">
        <v>0.33700000000000002</v>
      </c>
      <c r="G39" s="7">
        <v>0.313</v>
      </c>
    </row>
    <row r="40" spans="1:7" x14ac:dyDescent="0.3">
      <c r="A40" s="11" t="s">
        <v>89</v>
      </c>
      <c r="B40" s="7">
        <v>0.34</v>
      </c>
      <c r="C40" s="7">
        <v>0.34799999999999998</v>
      </c>
      <c r="D40" s="7">
        <v>0.33600000000000002</v>
      </c>
      <c r="E40" s="7">
        <v>0.33300000000000002</v>
      </c>
      <c r="F40" s="7">
        <v>0.34599999999999997</v>
      </c>
      <c r="G40" s="7">
        <v>0.32200000000000001</v>
      </c>
    </row>
    <row r="41" spans="1:7" x14ac:dyDescent="0.3">
      <c r="A41" s="11" t="s">
        <v>28</v>
      </c>
      <c r="B41" s="7">
        <v>0.40400000000000003</v>
      </c>
      <c r="C41" s="7">
        <v>0.40500000000000003</v>
      </c>
      <c r="D41" s="7">
        <v>0.40300000000000002</v>
      </c>
      <c r="E41" s="7">
        <v>0.40100000000000002</v>
      </c>
      <c r="F41" s="7">
        <v>0.41299999999999998</v>
      </c>
      <c r="G41" s="7">
        <v>0.40799999999999997</v>
      </c>
    </row>
    <row r="42" spans="1:7" x14ac:dyDescent="0.3">
      <c r="A42" s="11" t="s">
        <v>25</v>
      </c>
      <c r="B42" s="7">
        <v>0.36299999999999999</v>
      </c>
      <c r="C42" s="7">
        <v>0.36499999999999999</v>
      </c>
      <c r="D42" s="7">
        <v>0.35899999999999999</v>
      </c>
      <c r="E42" s="7">
        <v>0.35199999999999998</v>
      </c>
      <c r="F42" s="7">
        <v>0.35299999999999998</v>
      </c>
      <c r="G42" s="7">
        <v>0.33500000000000002</v>
      </c>
    </row>
    <row r="43" spans="1:7" x14ac:dyDescent="0.3">
      <c r="A43" s="11" t="s">
        <v>22</v>
      </c>
      <c r="B43" s="7">
        <v>0.34499999999999997</v>
      </c>
      <c r="C43" s="7">
        <v>0.35099999999999998</v>
      </c>
      <c r="D43" s="7">
        <v>0.34699999999999998</v>
      </c>
      <c r="E43" s="7">
        <v>0.34300000000000003</v>
      </c>
      <c r="F43" s="7">
        <v>0.35199999999999998</v>
      </c>
      <c r="G43" s="7">
        <v>0.34200000000000003</v>
      </c>
    </row>
    <row r="44" spans="1:7" x14ac:dyDescent="0.3">
      <c r="A44" s="11" t="s">
        <v>29</v>
      </c>
      <c r="B44" s="7">
        <v>0.39500000000000002</v>
      </c>
      <c r="C44" s="7">
        <v>0.40100000000000002</v>
      </c>
      <c r="D44" s="7">
        <v>0.4</v>
      </c>
      <c r="E44" s="7">
        <v>0.39100000000000001</v>
      </c>
      <c r="F44" s="7">
        <v>0.39600000000000002</v>
      </c>
      <c r="G44" s="7">
        <v>0.38600000000000001</v>
      </c>
    </row>
    <row r="45" spans="1:7" x14ac:dyDescent="0.3">
      <c r="A45" s="11" t="s">
        <v>90</v>
      </c>
      <c r="B45" s="7">
        <v>0.35899999999999999</v>
      </c>
      <c r="C45" s="7">
        <v>0.36399999999999999</v>
      </c>
      <c r="D45" s="7">
        <v>0.36</v>
      </c>
      <c r="E45" s="7">
        <v>0.34899999999999998</v>
      </c>
      <c r="F45" s="7">
        <v>0.35099999999999998</v>
      </c>
      <c r="G45" s="7">
        <v>0.33</v>
      </c>
    </row>
    <row r="46" spans="1:7" x14ac:dyDescent="0.3">
      <c r="A46" s="11" t="s">
        <v>99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</row>
    <row r="47" spans="1:7" x14ac:dyDescent="0.3">
      <c r="A47" s="11" t="s">
        <v>63</v>
      </c>
      <c r="B47" s="7">
        <v>0.39500000000000002</v>
      </c>
      <c r="C47" s="7">
        <v>0.39300000000000002</v>
      </c>
      <c r="D47" s="7">
        <v>0.39400000000000002</v>
      </c>
      <c r="E47" s="7">
        <v>0.38300000000000001</v>
      </c>
      <c r="F47" s="7">
        <v>0.38300000000000001</v>
      </c>
      <c r="G47" s="7">
        <v>0.37</v>
      </c>
    </row>
    <row r="48" spans="1:7" x14ac:dyDescent="0.3">
      <c r="A48" s="11" t="s">
        <v>81</v>
      </c>
      <c r="B48" s="7">
        <v>0.35599999999999998</v>
      </c>
      <c r="C48" s="7">
        <v>0.34200000000000003</v>
      </c>
      <c r="D48" s="7">
        <v>0.33400000000000002</v>
      </c>
      <c r="E48" s="7">
        <v>0.32800000000000001</v>
      </c>
      <c r="F48" s="7">
        <v>0.32900000000000001</v>
      </c>
      <c r="G48" s="7">
        <v>0.311</v>
      </c>
    </row>
    <row r="49" spans="1:7" x14ac:dyDescent="0.3">
      <c r="A49" s="11" t="s">
        <v>91</v>
      </c>
      <c r="B49" s="7">
        <v>0.35099999999999998</v>
      </c>
      <c r="C49" s="7">
        <v>0.35799999999999998</v>
      </c>
      <c r="D49" s="7">
        <v>0.33800000000000002</v>
      </c>
      <c r="E49" s="7">
        <v>0.34</v>
      </c>
      <c r="F49" s="7">
        <v>0.34699999999999998</v>
      </c>
      <c r="G49" s="7">
        <v>0.35499999999999998</v>
      </c>
    </row>
    <row r="50" spans="1:7" x14ac:dyDescent="0.3">
      <c r="A50" s="11" t="s">
        <v>92</v>
      </c>
      <c r="B50" s="7">
        <v>0.35599999999999998</v>
      </c>
      <c r="C50" s="7">
        <v>0.34799999999999998</v>
      </c>
      <c r="D50" s="7">
        <v>0.34399999999999997</v>
      </c>
      <c r="E50" s="7">
        <v>0.33200000000000002</v>
      </c>
      <c r="F50" s="7">
        <v>0.33300000000000002</v>
      </c>
      <c r="G50" s="7">
        <v>0.31900000000000001</v>
      </c>
    </row>
    <row r="51" spans="1:7" x14ac:dyDescent="0.3">
      <c r="A51" s="11" t="s">
        <v>47</v>
      </c>
      <c r="B51" s="7">
        <v>0.36199999999999999</v>
      </c>
      <c r="C51" s="7">
        <v>0.36699999999999999</v>
      </c>
      <c r="D51" s="7">
        <v>0.36499999999999999</v>
      </c>
      <c r="E51" s="7">
        <v>0.34899999999999998</v>
      </c>
      <c r="F51" s="7">
        <v>0.35099999999999998</v>
      </c>
      <c r="G51" s="7">
        <v>0.34499999999999997</v>
      </c>
    </row>
    <row r="52" spans="1:7" x14ac:dyDescent="0.3">
      <c r="A52" s="11" t="s">
        <v>93</v>
      </c>
      <c r="B52" s="7">
        <v>0.38700000000000001</v>
      </c>
      <c r="C52" s="7">
        <v>0.378</v>
      </c>
      <c r="D52" s="7">
        <v>0.374</v>
      </c>
      <c r="E52" s="7">
        <v>0.36799999999999999</v>
      </c>
      <c r="F52" s="7">
        <v>0.371</v>
      </c>
      <c r="G52" s="7">
        <v>0.372</v>
      </c>
    </row>
    <row r="53" spans="1:7" x14ac:dyDescent="0.3">
      <c r="A53" s="11" t="s">
        <v>11</v>
      </c>
      <c r="B53" s="7">
        <v>0.374</v>
      </c>
      <c r="C53" s="7">
        <v>0.378</v>
      </c>
      <c r="D53" s="7">
        <v>0.373</v>
      </c>
      <c r="E53" s="7">
        <v>0.35199999999999998</v>
      </c>
      <c r="F53" s="7">
        <v>0.35299999999999998</v>
      </c>
      <c r="G53" s="7">
        <v>0.33500000000000002</v>
      </c>
    </row>
    <row r="54" spans="1:7" x14ac:dyDescent="0.3">
      <c r="A54" s="11" t="s">
        <v>100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</row>
    <row r="55" spans="1:7" x14ac:dyDescent="0.3">
      <c r="A55" s="11" t="s">
        <v>83</v>
      </c>
      <c r="B55" s="7">
        <v>0.41599999999999998</v>
      </c>
      <c r="C55" s="7">
        <v>0.41099999999999998</v>
      </c>
      <c r="D55" s="7">
        <v>0.40799999999999997</v>
      </c>
      <c r="E55" s="7">
        <v>0.39400000000000002</v>
      </c>
      <c r="F55" s="7">
        <v>0.39600000000000002</v>
      </c>
      <c r="G55" s="7">
        <v>0.375</v>
      </c>
    </row>
    <row r="56" spans="1:7" x14ac:dyDescent="0.3">
      <c r="A56" s="11" t="s">
        <v>42</v>
      </c>
      <c r="B56" s="7">
        <v>0.36799999999999999</v>
      </c>
      <c r="C56" s="7">
        <v>0.371</v>
      </c>
      <c r="D56" s="7">
        <v>0.36399999999999999</v>
      </c>
      <c r="E56" s="7">
        <v>0.35499999999999998</v>
      </c>
      <c r="F56" s="7">
        <v>0.35699999999999998</v>
      </c>
      <c r="G56" s="7">
        <v>0.33600000000000002</v>
      </c>
    </row>
    <row r="57" spans="1:7" x14ac:dyDescent="0.3">
      <c r="A57" s="11" t="s">
        <v>34</v>
      </c>
      <c r="B57" s="7">
        <v>0.35799999999999998</v>
      </c>
      <c r="C57" s="7">
        <v>0.35099999999999998</v>
      </c>
      <c r="D57" s="7">
        <v>0.34599999999999997</v>
      </c>
      <c r="E57" s="7">
        <v>0.34899999999999998</v>
      </c>
      <c r="F57" s="7">
        <v>0.35799999999999998</v>
      </c>
      <c r="G57" s="7">
        <v>0.34599999999999997</v>
      </c>
    </row>
    <row r="58" spans="1:7" x14ac:dyDescent="0.3">
      <c r="A58" s="11" t="s">
        <v>35</v>
      </c>
      <c r="B58" s="7">
        <v>0.39800000000000002</v>
      </c>
      <c r="C58" s="7">
        <v>0.39800000000000002</v>
      </c>
      <c r="D58" s="7">
        <v>0.39700000000000002</v>
      </c>
      <c r="E58" s="7">
        <v>0.38500000000000001</v>
      </c>
      <c r="F58" s="7">
        <v>0.39100000000000001</v>
      </c>
      <c r="G58" s="7">
        <v>0.379</v>
      </c>
    </row>
    <row r="59" spans="1:7" x14ac:dyDescent="0.3">
      <c r="A59" s="11" t="s">
        <v>94</v>
      </c>
      <c r="B59" s="7">
        <v>0.36699999999999999</v>
      </c>
      <c r="C59" s="7">
        <v>0.35699999999999998</v>
      </c>
      <c r="D59" s="7">
        <v>0.35199999999999998</v>
      </c>
      <c r="E59" s="7">
        <v>0.33800000000000002</v>
      </c>
      <c r="F59" s="7">
        <v>0.34100000000000003</v>
      </c>
      <c r="G59" s="7">
        <v>0.32500000000000001</v>
      </c>
    </row>
    <row r="60" spans="1:7" x14ac:dyDescent="0.3">
      <c r="A60" s="11" t="s">
        <v>46</v>
      </c>
      <c r="B60" s="7">
        <v>0.33800000000000002</v>
      </c>
      <c r="C60" s="7">
        <v>0.33900000000000002</v>
      </c>
      <c r="D60" s="7">
        <v>0.34</v>
      </c>
      <c r="E60" s="7">
        <v>0.34</v>
      </c>
      <c r="F60" s="7">
        <v>0.34699999999999998</v>
      </c>
      <c r="G60" s="7">
        <v>0.33600000000000002</v>
      </c>
    </row>
    <row r="61" spans="1:7" x14ac:dyDescent="0.3">
      <c r="A61" s="11" t="s">
        <v>44</v>
      </c>
      <c r="B61" s="7">
        <v>0.40200000000000002</v>
      </c>
      <c r="C61" s="7">
        <v>0.40100000000000002</v>
      </c>
      <c r="D61" s="7">
        <v>0.39900000000000002</v>
      </c>
      <c r="E61" s="7">
        <v>0.38300000000000001</v>
      </c>
      <c r="F61" s="7">
        <v>0.38500000000000001</v>
      </c>
      <c r="G61" s="7">
        <v>0.36699999999999999</v>
      </c>
    </row>
    <row r="62" spans="1:7" x14ac:dyDescent="0.3">
      <c r="A62" s="11" t="s">
        <v>36</v>
      </c>
      <c r="B62" s="7">
        <v>0.34300000000000003</v>
      </c>
      <c r="C62" s="7">
        <v>0.34</v>
      </c>
      <c r="D62" s="7">
        <v>0.34</v>
      </c>
      <c r="E62" s="7">
        <v>0.33200000000000002</v>
      </c>
      <c r="F62" s="7">
        <v>0.33500000000000002</v>
      </c>
      <c r="G62" s="7">
        <v>0.32200000000000001</v>
      </c>
    </row>
    <row r="63" spans="1:7" x14ac:dyDescent="0.3">
      <c r="A63" s="11" t="s">
        <v>54</v>
      </c>
      <c r="B63" s="7">
        <v>0.39600000000000002</v>
      </c>
      <c r="C63" s="7">
        <v>0.39200000000000002</v>
      </c>
      <c r="D63" s="7">
        <v>0.39300000000000002</v>
      </c>
      <c r="E63" s="7">
        <v>0.38400000000000001</v>
      </c>
      <c r="F63" s="7">
        <v>0.38700000000000001</v>
      </c>
      <c r="G63" s="7">
        <v>0.38400000000000001</v>
      </c>
    </row>
    <row r="64" spans="1:7" x14ac:dyDescent="0.3">
      <c r="A64" s="11" t="s">
        <v>23</v>
      </c>
      <c r="B64" s="7">
        <v>0.38</v>
      </c>
      <c r="C64" s="7">
        <v>0.38</v>
      </c>
      <c r="D64" s="7">
        <v>0.375</v>
      </c>
      <c r="E64" s="7">
        <v>0.36299999999999999</v>
      </c>
      <c r="F64" s="7">
        <v>0.36399999999999999</v>
      </c>
      <c r="G64" s="7">
        <v>0.34799999999999998</v>
      </c>
    </row>
    <row r="65" spans="1:7" x14ac:dyDescent="0.3">
      <c r="A65" s="11" t="s">
        <v>49</v>
      </c>
      <c r="B65" s="7">
        <v>0.35399999999999998</v>
      </c>
      <c r="C65" s="7">
        <v>0.34899999999999998</v>
      </c>
      <c r="D65" s="7">
        <v>0.34899999999999998</v>
      </c>
      <c r="E65" s="7">
        <v>0.35299999999999998</v>
      </c>
      <c r="F65" s="7">
        <v>0.35099999999999998</v>
      </c>
      <c r="G65" s="7">
        <v>0.34300000000000003</v>
      </c>
    </row>
    <row r="66" spans="1:7" x14ac:dyDescent="0.3">
      <c r="A66" s="11" t="s">
        <v>24</v>
      </c>
      <c r="B66" s="7">
        <v>0.379</v>
      </c>
      <c r="C66" s="7">
        <v>0.38</v>
      </c>
      <c r="D66" s="7">
        <v>0.379</v>
      </c>
      <c r="E66" s="7">
        <v>0.37</v>
      </c>
      <c r="F66" s="7">
        <v>0.371</v>
      </c>
      <c r="G66" s="7">
        <v>0.36499999999999999</v>
      </c>
    </row>
    <row r="67" spans="1:7" x14ac:dyDescent="0.3">
      <c r="A67" s="11" t="s">
        <v>68</v>
      </c>
      <c r="B67" s="7">
        <v>0.35899999999999999</v>
      </c>
      <c r="C67" s="7">
        <v>0.36599999999999999</v>
      </c>
      <c r="D67" s="7">
        <v>0.36599999999999999</v>
      </c>
      <c r="E67" s="7">
        <v>0.36499999999999999</v>
      </c>
      <c r="F67" s="7">
        <v>0.36699999999999999</v>
      </c>
      <c r="G67" s="7">
        <v>0.35899999999999999</v>
      </c>
    </row>
    <row r="68" spans="1:7" x14ac:dyDescent="0.3">
      <c r="A68" s="11" t="s">
        <v>41</v>
      </c>
      <c r="B68" s="7">
        <v>0.36199999999999999</v>
      </c>
      <c r="C68" s="7">
        <v>0.35599999999999998</v>
      </c>
      <c r="D68" s="7">
        <v>0.35399999999999998</v>
      </c>
      <c r="E68" s="7">
        <v>0.34899999999999998</v>
      </c>
      <c r="F68" s="7">
        <v>0.35199999999999998</v>
      </c>
      <c r="G68" s="7">
        <v>0.34200000000000003</v>
      </c>
    </row>
    <row r="69" spans="1:7" x14ac:dyDescent="0.3">
      <c r="A69" s="11" t="s">
        <v>101</v>
      </c>
      <c r="B69" s="7">
        <v>0</v>
      </c>
      <c r="C69" s="7">
        <v>0</v>
      </c>
      <c r="D69" s="7">
        <v>0</v>
      </c>
      <c r="E69" s="7">
        <v>0</v>
      </c>
      <c r="F69" s="7">
        <v>0</v>
      </c>
      <c r="G69" s="7">
        <v>0</v>
      </c>
    </row>
    <row r="70" spans="1:7" x14ac:dyDescent="0.3">
      <c r="A70" s="11" t="s">
        <v>55</v>
      </c>
      <c r="B70" s="7">
        <v>0.35899999999999999</v>
      </c>
      <c r="C70" s="7">
        <v>0.35199999999999998</v>
      </c>
      <c r="D70" s="7">
        <v>0.35199999999999998</v>
      </c>
      <c r="E70" s="7">
        <v>0.34699999999999998</v>
      </c>
      <c r="F70" s="7">
        <v>0.34799999999999998</v>
      </c>
      <c r="G70" s="7">
        <v>0.33700000000000002</v>
      </c>
    </row>
    <row r="71" spans="1:7" x14ac:dyDescent="0.3">
      <c r="A71" s="11" t="s">
        <v>16</v>
      </c>
      <c r="B71" s="7">
        <v>0.40500000000000003</v>
      </c>
      <c r="C71" s="7">
        <v>0.40300000000000002</v>
      </c>
      <c r="D71" s="7">
        <v>0.40500000000000003</v>
      </c>
      <c r="E71" s="7">
        <v>0.39400000000000002</v>
      </c>
      <c r="F71" s="7">
        <v>0.39600000000000002</v>
      </c>
      <c r="G71" s="7">
        <v>0.39500000000000002</v>
      </c>
    </row>
    <row r="72" spans="1:7" x14ac:dyDescent="0.3">
      <c r="A72" s="11" t="s">
        <v>19</v>
      </c>
      <c r="B72" s="7">
        <v>0.42599999999999999</v>
      </c>
      <c r="C72" s="7">
        <v>0.432</v>
      </c>
      <c r="D72" s="7">
        <v>0.43099999999999999</v>
      </c>
      <c r="E72" s="7">
        <v>0.42599999999999999</v>
      </c>
      <c r="F72" s="7">
        <v>0.42799999999999999</v>
      </c>
      <c r="G72" s="7">
        <v>0.42599999999999999</v>
      </c>
    </row>
    <row r="73" spans="1:7" x14ac:dyDescent="0.3">
      <c r="A73" s="11" t="s">
        <v>17</v>
      </c>
      <c r="B73" s="7">
        <v>0.39300000000000002</v>
      </c>
      <c r="C73" s="7">
        <v>0.39900000000000002</v>
      </c>
      <c r="D73" s="7">
        <v>0.39900000000000002</v>
      </c>
      <c r="E73" s="7">
        <v>0.38500000000000001</v>
      </c>
      <c r="F73" s="7">
        <v>0.38600000000000001</v>
      </c>
      <c r="G73" s="7">
        <v>0.38300000000000001</v>
      </c>
    </row>
    <row r="74" spans="1:7" x14ac:dyDescent="0.3">
      <c r="A74" s="11" t="s">
        <v>60</v>
      </c>
      <c r="B74" s="7">
        <v>0.42899999999999999</v>
      </c>
      <c r="C74" s="7">
        <v>0.435</v>
      </c>
      <c r="D74" s="7">
        <v>0.438</v>
      </c>
      <c r="E74" s="7">
        <v>0.438</v>
      </c>
      <c r="F74" s="7">
        <v>0.44</v>
      </c>
      <c r="G74" s="7">
        <v>0.44</v>
      </c>
    </row>
    <row r="75" spans="1:7" x14ac:dyDescent="0.3">
      <c r="A75" s="11" t="s">
        <v>95</v>
      </c>
      <c r="B75" s="7">
        <v>0.38400000000000001</v>
      </c>
      <c r="C75" s="7">
        <v>0.39400000000000002</v>
      </c>
      <c r="D75" s="7">
        <v>0.39200000000000002</v>
      </c>
      <c r="E75" s="7">
        <v>0.379</v>
      </c>
      <c r="F75" s="7">
        <v>0.379</v>
      </c>
      <c r="G75" s="7">
        <v>0.373</v>
      </c>
    </row>
    <row r="76" spans="1:7" x14ac:dyDescent="0.3">
      <c r="A76" s="11" t="s">
        <v>82</v>
      </c>
      <c r="B76" s="7">
        <v>0.35199999999999998</v>
      </c>
      <c r="C76" s="7">
        <v>0.35499999999999998</v>
      </c>
      <c r="D76" s="7">
        <v>0.34799999999999998</v>
      </c>
      <c r="E76" s="7">
        <v>0.33400000000000002</v>
      </c>
      <c r="F76" s="7">
        <v>0.34200000000000003</v>
      </c>
      <c r="G76" s="7">
        <v>0.33800000000000002</v>
      </c>
    </row>
    <row r="77" spans="1:7" x14ac:dyDescent="0.3">
      <c r="A77" s="11" t="s">
        <v>102</v>
      </c>
      <c r="B77" s="7">
        <v>0</v>
      </c>
      <c r="C77" s="7" t="s">
        <v>86</v>
      </c>
      <c r="D77" s="7" t="s">
        <v>86</v>
      </c>
      <c r="E77" s="7" t="s">
        <v>86</v>
      </c>
      <c r="F77" s="7" t="s">
        <v>86</v>
      </c>
      <c r="G77" s="7" t="s">
        <v>86</v>
      </c>
    </row>
    <row r="78" spans="1:7" x14ac:dyDescent="0.3">
      <c r="A78" s="11" t="s">
        <v>102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</row>
    <row r="79" spans="1:7" x14ac:dyDescent="0.3">
      <c r="A79" s="11" t="s">
        <v>58</v>
      </c>
      <c r="B79" s="7">
        <v>0.36</v>
      </c>
      <c r="C79" s="7">
        <v>0.371</v>
      </c>
      <c r="D79" s="7">
        <v>0.36699999999999999</v>
      </c>
      <c r="E79" s="7">
        <v>0.36899999999999999</v>
      </c>
      <c r="F79" s="7">
        <v>0.374</v>
      </c>
      <c r="G79" s="7">
        <v>0.34300000000000003</v>
      </c>
    </row>
    <row r="80" spans="1:7" x14ac:dyDescent="0.3">
      <c r="A80" s="11" t="s">
        <v>14</v>
      </c>
      <c r="B80" s="7">
        <v>0.35099999999999998</v>
      </c>
      <c r="C80" s="7">
        <v>0.34599999999999997</v>
      </c>
      <c r="D80" s="7">
        <v>0.34499999999999997</v>
      </c>
      <c r="E80" s="7">
        <v>0.36499999999999999</v>
      </c>
      <c r="F80" s="7">
        <v>0.36699999999999999</v>
      </c>
      <c r="G80" s="7">
        <v>0.36299999999999999</v>
      </c>
    </row>
    <row r="81" spans="1:7" x14ac:dyDescent="0.3">
      <c r="A81" s="11" t="s">
        <v>77</v>
      </c>
      <c r="B81" s="7">
        <v>0.35399999999999998</v>
      </c>
      <c r="C81" s="7">
        <v>0.35399999999999998</v>
      </c>
      <c r="D81" s="7">
        <v>0.34</v>
      </c>
      <c r="E81" s="7">
        <v>0.32900000000000001</v>
      </c>
      <c r="F81" s="7">
        <v>0.33200000000000002</v>
      </c>
      <c r="G81" s="7">
        <v>0.32</v>
      </c>
    </row>
    <row r="82" spans="1:7" x14ac:dyDescent="0.3">
      <c r="A82" s="11" t="s">
        <v>12</v>
      </c>
      <c r="B82" s="7">
        <v>0.377</v>
      </c>
      <c r="C82" s="7">
        <v>0.378</v>
      </c>
      <c r="D82" s="7">
        <v>0.375</v>
      </c>
      <c r="E82" s="7">
        <v>0.36399999999999999</v>
      </c>
      <c r="F82" s="7">
        <v>0.36599999999999999</v>
      </c>
      <c r="G82" s="7">
        <v>0.35299999999999998</v>
      </c>
    </row>
    <row r="83" spans="1:7" x14ac:dyDescent="0.3">
      <c r="A83" s="11" t="s">
        <v>61</v>
      </c>
      <c r="B83" s="7">
        <v>0.39200000000000002</v>
      </c>
      <c r="C83" s="7">
        <v>0.39200000000000002</v>
      </c>
      <c r="D83" s="7">
        <v>0.39</v>
      </c>
      <c r="E83" s="7">
        <v>0.38400000000000001</v>
      </c>
      <c r="F83" s="7">
        <v>0.38600000000000001</v>
      </c>
      <c r="G83" s="7">
        <v>0.379</v>
      </c>
    </row>
    <row r="84" spans="1:7" x14ac:dyDescent="0.3">
      <c r="A84" s="11" t="s">
        <v>72</v>
      </c>
      <c r="B84" s="7">
        <v>0.37</v>
      </c>
      <c r="C84" s="7">
        <v>0.36699999999999999</v>
      </c>
      <c r="D84" s="7">
        <v>0.36399999999999999</v>
      </c>
      <c r="E84" s="7">
        <v>0.35899999999999999</v>
      </c>
      <c r="F84" s="7">
        <v>0.36599999999999999</v>
      </c>
      <c r="G84" s="7">
        <v>0.35299999999999998</v>
      </c>
    </row>
    <row r="85" spans="1:7" x14ac:dyDescent="0.3">
      <c r="A85" s="11" t="s">
        <v>76</v>
      </c>
      <c r="B85" s="7">
        <v>0.35299999999999998</v>
      </c>
      <c r="C85" s="7">
        <v>0.35599999999999998</v>
      </c>
      <c r="D85" s="7">
        <v>0.35</v>
      </c>
      <c r="E85" s="7">
        <v>0.34100000000000003</v>
      </c>
      <c r="F85" s="7">
        <v>0.35099999999999998</v>
      </c>
      <c r="G85" s="7">
        <v>0.34200000000000003</v>
      </c>
    </row>
    <row r="86" spans="1:7" x14ac:dyDescent="0.3">
      <c r="A86" s="11" t="s">
        <v>6</v>
      </c>
      <c r="B86" s="7">
        <v>0.375</v>
      </c>
      <c r="C86" s="7">
        <v>0.378</v>
      </c>
      <c r="D86" s="7">
        <v>0.377</v>
      </c>
      <c r="E86" s="7">
        <v>0.372</v>
      </c>
      <c r="F86" s="7">
        <v>0.38300000000000001</v>
      </c>
      <c r="G86" s="7">
        <v>0.36799999999999999</v>
      </c>
    </row>
    <row r="87" spans="1:7" x14ac:dyDescent="0.3">
      <c r="A87" s="11" t="s">
        <v>64</v>
      </c>
      <c r="B87" s="7">
        <v>0.38900000000000001</v>
      </c>
      <c r="C87" s="7">
        <v>0.38400000000000001</v>
      </c>
      <c r="D87" s="7">
        <v>0.38100000000000001</v>
      </c>
      <c r="E87" s="7">
        <v>0.37</v>
      </c>
      <c r="F87" s="7">
        <v>0.373</v>
      </c>
      <c r="G87" s="7">
        <v>0.36599999999999999</v>
      </c>
    </row>
    <row r="88" spans="1:7" x14ac:dyDescent="0.3">
      <c r="A88" s="11" t="s">
        <v>5</v>
      </c>
      <c r="B88" s="7">
        <v>0.36199999999999999</v>
      </c>
      <c r="C88" s="7">
        <v>0.36299999999999999</v>
      </c>
      <c r="D88" s="7">
        <v>0.36099999999999999</v>
      </c>
      <c r="E88" s="7">
        <v>0.35</v>
      </c>
      <c r="F88" s="7">
        <v>0.35399999999999998</v>
      </c>
      <c r="G88" s="7">
        <v>0.34</v>
      </c>
    </row>
    <row r="89" spans="1:7" x14ac:dyDescent="0.3">
      <c r="A89" s="11" t="s">
        <v>103</v>
      </c>
      <c r="B89" s="7">
        <v>0</v>
      </c>
      <c r="C89" s="7" t="s">
        <v>86</v>
      </c>
      <c r="D89" s="7" t="s">
        <v>86</v>
      </c>
      <c r="E89" s="7" t="s">
        <v>86</v>
      </c>
      <c r="F89" s="7" t="s">
        <v>86</v>
      </c>
      <c r="G89" s="7" t="s">
        <v>86</v>
      </c>
    </row>
    <row r="90" spans="1:7" x14ac:dyDescent="0.3">
      <c r="A90" s="11" t="s">
        <v>103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</row>
    <row r="91" spans="1:7" x14ac:dyDescent="0.3">
      <c r="A91" s="11" t="s">
        <v>1</v>
      </c>
      <c r="B91" s="7">
        <v>0.39100000000000001</v>
      </c>
      <c r="C91" s="7">
        <v>0.378</v>
      </c>
      <c r="D91" s="7">
        <v>0.37</v>
      </c>
      <c r="E91" s="7">
        <v>0.35599999999999998</v>
      </c>
      <c r="F91" s="7">
        <v>0.35899999999999999</v>
      </c>
      <c r="G91" s="7">
        <v>0.35499999999999998</v>
      </c>
    </row>
    <row r="92" spans="1:7" x14ac:dyDescent="0.3">
      <c r="A92" s="12" t="s">
        <v>57</v>
      </c>
      <c r="B92" s="7">
        <v>0.36899999999999999</v>
      </c>
      <c r="C92" s="7">
        <v>0.36899999999999999</v>
      </c>
      <c r="D92" s="7">
        <v>0.36399999999999999</v>
      </c>
      <c r="E92" s="7">
        <v>0.35</v>
      </c>
      <c r="F92" s="7">
        <v>0.35699999999999998</v>
      </c>
      <c r="G92" s="7">
        <v>0.34799999999999998</v>
      </c>
    </row>
    <row r="93" spans="1:7" x14ac:dyDescent="0.3">
      <c r="A93" s="12" t="s">
        <v>62</v>
      </c>
      <c r="B93" s="7">
        <v>0.39700000000000002</v>
      </c>
      <c r="C93" s="7">
        <v>0.40600000000000003</v>
      </c>
      <c r="D93" s="7">
        <v>0.40600000000000003</v>
      </c>
      <c r="E93" s="7">
        <v>0.39700000000000002</v>
      </c>
      <c r="F93" s="7">
        <v>0.40100000000000002</v>
      </c>
      <c r="G93" s="7">
        <v>0.40400000000000003</v>
      </c>
    </row>
    <row r="94" spans="1:7" x14ac:dyDescent="0.3">
      <c r="A94" s="12" t="s">
        <v>9</v>
      </c>
      <c r="B94" s="7">
        <v>0.35899999999999999</v>
      </c>
      <c r="C94" s="7">
        <v>0.372</v>
      </c>
      <c r="D94" s="7">
        <v>0.373</v>
      </c>
      <c r="E94" s="7">
        <v>0.373</v>
      </c>
      <c r="F94" s="7">
        <v>0.38</v>
      </c>
      <c r="G94" s="7">
        <v>0.36199999999999999</v>
      </c>
    </row>
    <row r="95" spans="1:7" x14ac:dyDescent="0.3">
      <c r="A95" s="12" t="s">
        <v>10</v>
      </c>
      <c r="B95" s="7">
        <v>0.376</v>
      </c>
      <c r="C95" s="7">
        <v>0.38600000000000001</v>
      </c>
      <c r="D95" s="7">
        <v>0.38500000000000001</v>
      </c>
      <c r="E95" s="7">
        <v>0.36899999999999999</v>
      </c>
      <c r="F95" s="7">
        <v>0.373</v>
      </c>
      <c r="G95" s="7">
        <v>0.36099999999999999</v>
      </c>
    </row>
    <row r="96" spans="1:7" x14ac:dyDescent="0.3">
      <c r="A96" s="12" t="s">
        <v>75</v>
      </c>
      <c r="B96" s="7">
        <v>0.38100000000000001</v>
      </c>
      <c r="C96" s="7">
        <v>0.38500000000000001</v>
      </c>
      <c r="D96" s="7">
        <v>0.38200000000000001</v>
      </c>
      <c r="E96" s="7">
        <v>0.36399999999999999</v>
      </c>
      <c r="F96" s="7">
        <v>0.36399999999999999</v>
      </c>
      <c r="G96" s="7">
        <v>0.35099999999999998</v>
      </c>
    </row>
    <row r="97" spans="1:7" x14ac:dyDescent="0.3">
      <c r="A97" s="12" t="s">
        <v>73</v>
      </c>
      <c r="B97" s="7">
        <v>0.38800000000000001</v>
      </c>
      <c r="C97" s="7">
        <v>0.39900000000000002</v>
      </c>
      <c r="D97" s="7">
        <v>0.39800000000000002</v>
      </c>
      <c r="E97" s="7">
        <v>0.39100000000000001</v>
      </c>
      <c r="F97" s="7">
        <v>0.39200000000000002</v>
      </c>
      <c r="G97" s="7">
        <v>0.38400000000000001</v>
      </c>
    </row>
    <row r="98" spans="1:7" x14ac:dyDescent="0.3">
      <c r="A98" s="12" t="s">
        <v>8</v>
      </c>
      <c r="B98" s="7">
        <v>0.38600000000000001</v>
      </c>
      <c r="C98" s="7">
        <v>0.38800000000000001</v>
      </c>
      <c r="D98" s="7">
        <v>0.38800000000000001</v>
      </c>
      <c r="E98" s="7">
        <v>0.39</v>
      </c>
      <c r="F98" s="7">
        <v>0.39900000000000002</v>
      </c>
      <c r="G98" s="7">
        <v>0.39700000000000002</v>
      </c>
    </row>
    <row r="99" spans="1:7" x14ac:dyDescent="0.3">
      <c r="A99" s="12" t="s">
        <v>3</v>
      </c>
      <c r="B99" s="7">
        <v>0.41199999999999998</v>
      </c>
      <c r="C99" s="7">
        <v>0.41799999999999998</v>
      </c>
      <c r="D99" s="7">
        <v>0.41899999999999998</v>
      </c>
      <c r="E99" s="7">
        <v>0.40200000000000002</v>
      </c>
      <c r="F99" s="7">
        <v>0.4</v>
      </c>
      <c r="G99" s="7">
        <v>0.39300000000000002</v>
      </c>
    </row>
    <row r="100" spans="1:7" x14ac:dyDescent="0.3">
      <c r="A100" s="12" t="s">
        <v>74</v>
      </c>
      <c r="B100" s="7">
        <v>0.34699999999999998</v>
      </c>
      <c r="C100" s="7">
        <v>0.34899999999999998</v>
      </c>
      <c r="D100" s="7">
        <v>0.34</v>
      </c>
      <c r="E100" s="7">
        <v>0.32700000000000001</v>
      </c>
      <c r="F100" s="7">
        <v>0.32900000000000001</v>
      </c>
      <c r="G100" s="7">
        <v>0.31</v>
      </c>
    </row>
    <row r="101" spans="1:7" x14ac:dyDescent="0.3">
      <c r="A101" s="12" t="s">
        <v>18</v>
      </c>
      <c r="B101" s="7">
        <v>0.4</v>
      </c>
      <c r="C101" s="7">
        <v>0.40500000000000003</v>
      </c>
      <c r="D101" s="7">
        <v>0.40799999999999997</v>
      </c>
      <c r="E101" s="7">
        <v>0.40699999999999997</v>
      </c>
      <c r="F101" s="7">
        <v>0.41</v>
      </c>
      <c r="G101" s="7">
        <v>0.41</v>
      </c>
    </row>
  </sheetData>
  <autoFilter ref="A4:B91" xr:uid="{DD7085DA-187D-445C-B24A-A0669F3B44F7}"/>
  <pageMargins left="0.75" right="0.75" top="1" bottom="1" header="0.5" footer="0.5"/>
  <pageSetup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EA558-5040-4D39-8996-8C5F7DC27907}">
  <sheetPr codeName="Лист3">
    <tabColor theme="0" tint="-0.14999847407452621"/>
  </sheetPr>
  <dimension ref="A1:G97"/>
  <sheetViews>
    <sheetView showGridLines="0" workbookViewId="0"/>
  </sheetViews>
  <sheetFormatPr defaultRowHeight="16.5" x14ac:dyDescent="0.3"/>
  <cols>
    <col min="1" max="1" width="103.28515625" style="1" bestFit="1" customWidth="1"/>
    <col min="2" max="2" width="13.140625" style="1" customWidth="1"/>
    <col min="3" max="16384" width="9.140625" style="1"/>
  </cols>
  <sheetData>
    <row r="1" spans="1:7" x14ac:dyDescent="0.3">
      <c r="A1" s="2" t="s">
        <v>106</v>
      </c>
    </row>
    <row r="3" spans="1:7" x14ac:dyDescent="0.3">
      <c r="A3" s="17" t="s">
        <v>105</v>
      </c>
      <c r="B3" s="17">
        <v>2017</v>
      </c>
      <c r="C3" s="17">
        <v>2018</v>
      </c>
      <c r="D3" s="17">
        <v>2019</v>
      </c>
      <c r="E3" s="17">
        <v>2020</v>
      </c>
      <c r="F3" s="17">
        <v>2021</v>
      </c>
      <c r="G3" s="17">
        <v>2022</v>
      </c>
    </row>
    <row r="4" spans="1:7" x14ac:dyDescent="0.3">
      <c r="A4" s="21" t="s">
        <v>87</v>
      </c>
      <c r="B4" s="22">
        <v>1.7517495682926931E-2</v>
      </c>
      <c r="C4" s="22">
        <v>1.708376083562254E-2</v>
      </c>
      <c r="D4" s="22">
        <v>1.6764107834915866E-2</v>
      </c>
      <c r="E4" s="22">
        <v>1.5921730959815184E-2</v>
      </c>
      <c r="F4" s="22">
        <v>1.580331044255897E-2</v>
      </c>
      <c r="G4" s="22">
        <v>1.5721924248182039E-2</v>
      </c>
    </row>
    <row r="5" spans="1:7" x14ac:dyDescent="0.3">
      <c r="A5" s="21" t="s">
        <v>96</v>
      </c>
      <c r="B5" s="22">
        <v>2.9392674997791978E-2</v>
      </c>
      <c r="C5" s="22">
        <v>2.8535485417653796E-2</v>
      </c>
      <c r="D5" s="22">
        <v>2.803404933885802E-2</v>
      </c>
      <c r="E5" s="22">
        <v>2.6438750818059228E-2</v>
      </c>
      <c r="F5" s="22">
        <v>2.6344876799801301E-2</v>
      </c>
      <c r="G5" s="22">
        <v>2.6823376355530001E-2</v>
      </c>
    </row>
    <row r="6" spans="1:7" x14ac:dyDescent="0.3">
      <c r="A6" s="21" t="s">
        <v>50</v>
      </c>
      <c r="B6" s="22">
        <v>9.6876787677767362E-3</v>
      </c>
      <c r="C6" s="22">
        <v>9.5740806517604637E-3</v>
      </c>
      <c r="D6" s="22">
        <v>9.3958671617528668E-3</v>
      </c>
      <c r="E6" s="22">
        <v>8.4550868070116577E-3</v>
      </c>
      <c r="F6" s="22">
        <v>8.4599478481155368E-3</v>
      </c>
      <c r="G6" s="22">
        <v>7.9967567280322758E-3</v>
      </c>
    </row>
    <row r="7" spans="1:7" x14ac:dyDescent="0.3">
      <c r="A7" s="21" t="s">
        <v>48</v>
      </c>
      <c r="B7" s="22">
        <v>9.7647013882394169E-3</v>
      </c>
      <c r="C7" s="22">
        <v>9.6378882122689861E-3</v>
      </c>
      <c r="D7" s="22">
        <v>9.317508538219145E-3</v>
      </c>
      <c r="E7" s="22">
        <v>9.5256791493028344E-3</v>
      </c>
      <c r="F7" s="22">
        <v>9.0433637232366533E-3</v>
      </c>
      <c r="G7" s="22">
        <v>8.518474082034001E-3</v>
      </c>
    </row>
    <row r="8" spans="1:7" x14ac:dyDescent="0.3">
      <c r="A8" s="21" t="s">
        <v>20</v>
      </c>
      <c r="B8" s="22">
        <v>9.7716677787099849E-3</v>
      </c>
      <c r="C8" s="22">
        <v>1.0091774486891171E-2</v>
      </c>
      <c r="D8" s="22">
        <v>1.0068371967493328E-2</v>
      </c>
      <c r="E8" s="22">
        <v>9.4153311513840796E-3</v>
      </c>
      <c r="F8" s="22">
        <v>9.2560715100483224E-3</v>
      </c>
      <c r="G8" s="22">
        <v>8.8950296952179462E-3</v>
      </c>
    </row>
    <row r="9" spans="1:7" x14ac:dyDescent="0.3">
      <c r="A9" s="21" t="s">
        <v>4</v>
      </c>
      <c r="B9" s="22">
        <v>1.1927023818973585E-2</v>
      </c>
      <c r="C9" s="22">
        <v>1.1745968307890674E-2</v>
      </c>
      <c r="D9" s="22">
        <v>1.3143925449700283E-2</v>
      </c>
      <c r="E9" s="22">
        <v>1.2717659466663409E-2</v>
      </c>
      <c r="F9" s="22">
        <v>1.2433019091761201E-2</v>
      </c>
      <c r="G9" s="22">
        <v>1.2618923832261054E-2</v>
      </c>
    </row>
    <row r="10" spans="1:7" x14ac:dyDescent="0.3">
      <c r="A10" s="21" t="s">
        <v>45</v>
      </c>
      <c r="B10" s="22">
        <v>1.2851620493133027E-2</v>
      </c>
      <c r="C10" s="22">
        <v>1.2235042905485214E-2</v>
      </c>
      <c r="D10" s="22">
        <v>1.1620347179188129E-2</v>
      </c>
      <c r="E10" s="22">
        <v>1.1682706071483627E-2</v>
      </c>
      <c r="F10" s="22">
        <v>1.1283754543550031E-2</v>
      </c>
      <c r="G10" s="22">
        <v>1.1068586190145417E-2</v>
      </c>
    </row>
    <row r="11" spans="1:7" x14ac:dyDescent="0.3">
      <c r="A11" s="21" t="s">
        <v>40</v>
      </c>
      <c r="B11" s="22">
        <v>1.0353098847878894E-2</v>
      </c>
      <c r="C11" s="22">
        <v>1.1027809063573564E-2</v>
      </c>
      <c r="D11" s="22">
        <v>9.5839107816399639E-3</v>
      </c>
      <c r="E11" s="22">
        <v>1.0115663538494793E-2</v>
      </c>
      <c r="F11" s="22">
        <v>1.0096615756105442E-2</v>
      </c>
      <c r="G11" s="22">
        <v>9.5843276936776484E-3</v>
      </c>
    </row>
    <row r="12" spans="1:7" x14ac:dyDescent="0.3">
      <c r="A12" s="21" t="s">
        <v>37</v>
      </c>
      <c r="B12" s="22">
        <v>1.2750282442965508E-2</v>
      </c>
      <c r="C12" s="22">
        <v>1.2925387133111907E-2</v>
      </c>
      <c r="D12" s="22">
        <v>1.2946927374301675E-2</v>
      </c>
      <c r="E12" s="22">
        <v>1.2719402757181558E-2</v>
      </c>
      <c r="F12" s="22">
        <v>1.2080891646558657E-2</v>
      </c>
      <c r="G12" s="22">
        <v>1.1781777895613969E-2</v>
      </c>
    </row>
    <row r="13" spans="1:7" x14ac:dyDescent="0.3">
      <c r="A13" s="21" t="s">
        <v>56</v>
      </c>
      <c r="B13" s="22">
        <v>8.487918320041107E-3</v>
      </c>
      <c r="C13" s="22">
        <v>8.6103815075029514E-3</v>
      </c>
      <c r="D13" s="22">
        <v>9.0204590074463003E-3</v>
      </c>
      <c r="E13" s="22">
        <v>8.4252006000142855E-3</v>
      </c>
      <c r="F13" s="22">
        <v>8.2456203070599803E-3</v>
      </c>
      <c r="G13" s="22">
        <v>7.3557033007318369E-3</v>
      </c>
    </row>
    <row r="14" spans="1:7" x14ac:dyDescent="0.3">
      <c r="A14" s="21" t="s">
        <v>51</v>
      </c>
      <c r="B14" s="22">
        <v>1.1181195586719333E-2</v>
      </c>
      <c r="C14" s="22">
        <v>1.0778519815246903E-2</v>
      </c>
      <c r="D14" s="22">
        <v>1.009013739389166E-2</v>
      </c>
      <c r="E14" s="22">
        <v>9.9431277175281874E-3</v>
      </c>
      <c r="F14" s="22">
        <v>9.7928257570485521E-3</v>
      </c>
      <c r="G14" s="22">
        <v>9.7401172725665695E-3</v>
      </c>
    </row>
    <row r="15" spans="1:7" x14ac:dyDescent="0.3">
      <c r="A15" s="21" t="s">
        <v>21</v>
      </c>
      <c r="B15" s="22">
        <v>7.9951266321453603E-3</v>
      </c>
      <c r="C15" s="22">
        <v>7.3379748667432385E-3</v>
      </c>
      <c r="D15" s="22">
        <v>8.12438482471123E-3</v>
      </c>
      <c r="E15" s="22">
        <v>8.8089243370922631E-3</v>
      </c>
      <c r="F15" s="22">
        <v>9.0924671496185813E-3</v>
      </c>
      <c r="G15" s="22">
        <v>8.9861040584125751E-3</v>
      </c>
    </row>
    <row r="16" spans="1:7" x14ac:dyDescent="0.3">
      <c r="A16" s="21" t="s">
        <v>70</v>
      </c>
      <c r="B16" s="22">
        <v>1.1634952379066589E-2</v>
      </c>
      <c r="C16" s="22">
        <v>1.1406994758091676E-2</v>
      </c>
      <c r="D16" s="22">
        <v>1.155812907299719E-2</v>
      </c>
      <c r="E16" s="22">
        <v>1.2449693224765581E-2</v>
      </c>
      <c r="F16" s="22">
        <v>1.2531307535371294E-2</v>
      </c>
      <c r="G16" s="22">
        <v>1.2067657584588377E-2</v>
      </c>
    </row>
    <row r="17" spans="1:7" x14ac:dyDescent="0.3">
      <c r="A17" s="21" t="s">
        <v>59</v>
      </c>
      <c r="B17" s="22">
        <v>1.3861891193586554E-2</v>
      </c>
      <c r="C17" s="22">
        <v>1.3203280261324439E-2</v>
      </c>
      <c r="D17" s="22">
        <v>1.211758599809694E-2</v>
      </c>
      <c r="E17" s="22">
        <v>1.179472885849827E-2</v>
      </c>
      <c r="F17" s="22">
        <v>1.1525576419582783E-2</v>
      </c>
      <c r="G17" s="22">
        <v>1.1473370838923663E-2</v>
      </c>
    </row>
    <row r="18" spans="1:7" x14ac:dyDescent="0.3">
      <c r="A18" s="21" t="s">
        <v>43</v>
      </c>
      <c r="B18" s="22">
        <v>9.7021506486903043E-3</v>
      </c>
      <c r="C18" s="22">
        <v>8.4070980476210286E-3</v>
      </c>
      <c r="D18" s="22">
        <v>8.0444910603214865E-3</v>
      </c>
      <c r="E18" s="22">
        <v>9.0642640906426417E-3</v>
      </c>
      <c r="F18" s="22">
        <v>8.2328967069984337E-3</v>
      </c>
      <c r="G18" s="22">
        <v>7.9107823460475811E-3</v>
      </c>
    </row>
    <row r="19" spans="1:7" x14ac:dyDescent="0.3">
      <c r="A19" s="21" t="s">
        <v>15</v>
      </c>
      <c r="B19" s="22">
        <v>8.1883579685484709E-3</v>
      </c>
      <c r="C19" s="22">
        <v>9.154489550983037E-3</v>
      </c>
      <c r="D19" s="22">
        <v>8.7441281791573282E-3</v>
      </c>
      <c r="E19" s="22">
        <v>8.6664732769367071E-3</v>
      </c>
      <c r="F19" s="22">
        <v>8.4782236455436099E-3</v>
      </c>
      <c r="G19" s="22">
        <v>8.4299346997247296E-3</v>
      </c>
    </row>
    <row r="20" spans="1:7" x14ac:dyDescent="0.3">
      <c r="A20" s="21" t="s">
        <v>38</v>
      </c>
      <c r="B20" s="22">
        <v>1.060096830073585E-2</v>
      </c>
      <c r="C20" s="22">
        <v>1.0505082530087959E-2</v>
      </c>
      <c r="D20" s="22">
        <v>1.0680026855266667E-2</v>
      </c>
      <c r="E20" s="22">
        <v>1.0925736742319657E-2</v>
      </c>
      <c r="F20" s="22">
        <v>1.027796455585466E-2</v>
      </c>
      <c r="G20" s="22">
        <v>9.9470680052298425E-3</v>
      </c>
    </row>
    <row r="21" spans="1:7" x14ac:dyDescent="0.3">
      <c r="A21" s="21" t="s">
        <v>39</v>
      </c>
      <c r="B21" s="22">
        <v>1.1250674932936942E-2</v>
      </c>
      <c r="C21" s="22">
        <v>1.0862474527794718E-2</v>
      </c>
      <c r="D21" s="22">
        <v>1.083196098706803E-2</v>
      </c>
      <c r="E21" s="22">
        <v>1.0483507838236445E-2</v>
      </c>
      <c r="F21" s="22">
        <v>1.0408924936181212E-2</v>
      </c>
      <c r="G21" s="22">
        <v>1.0169075467256341E-2</v>
      </c>
    </row>
    <row r="22" spans="1:7" x14ac:dyDescent="0.3">
      <c r="A22" s="21" t="s">
        <v>78</v>
      </c>
      <c r="B22" s="22">
        <v>1.4206524702389967E-2</v>
      </c>
      <c r="C22" s="22">
        <v>1.3901469040216673E-2</v>
      </c>
      <c r="D22" s="22">
        <v>1.4024852444888013E-2</v>
      </c>
      <c r="E22" s="22">
        <v>1.4021619306691199E-2</v>
      </c>
      <c r="F22" s="22">
        <v>1.3895132208536866E-2</v>
      </c>
      <c r="G22" s="22">
        <v>1.3448225019459123E-2</v>
      </c>
    </row>
    <row r="23" spans="1:7" x14ac:dyDescent="0.3">
      <c r="A23" s="21" t="s">
        <v>13</v>
      </c>
      <c r="B23" s="22">
        <v>6.2123374839832962E-2</v>
      </c>
      <c r="C23" s="22">
        <v>6.0089125057623961E-2</v>
      </c>
      <c r="D23" s="22">
        <v>5.8604805431064534E-2</v>
      </c>
      <c r="E23" s="22">
        <v>5.5332943436537427E-2</v>
      </c>
      <c r="F23" s="22">
        <v>5.576355700069794E-2</v>
      </c>
      <c r="G23" s="22">
        <v>5.7453054664423894E-2</v>
      </c>
    </row>
    <row r="24" spans="1:7" x14ac:dyDescent="0.3">
      <c r="A24" s="21" t="s">
        <v>97</v>
      </c>
      <c r="B24" s="22">
        <v>1.5600381591587543E-2</v>
      </c>
      <c r="C24" s="22">
        <v>1.5255750434727806E-2</v>
      </c>
      <c r="D24" s="22">
        <v>1.4980609616992335E-2</v>
      </c>
      <c r="E24" s="22">
        <v>1.4466623061052685E-2</v>
      </c>
      <c r="F24" s="22">
        <v>1.4341205120679776E-2</v>
      </c>
      <c r="G24" s="22">
        <v>1.3812364428091067E-2</v>
      </c>
    </row>
    <row r="25" spans="1:7" x14ac:dyDescent="0.3">
      <c r="A25" s="21" t="s">
        <v>71</v>
      </c>
      <c r="B25" s="22">
        <v>1.2594726723720157E-2</v>
      </c>
      <c r="C25" s="22">
        <v>1.0853417974299236E-2</v>
      </c>
      <c r="D25" s="22">
        <v>1.1149412016955023E-2</v>
      </c>
      <c r="E25" s="22">
        <v>1.038247133267981E-2</v>
      </c>
      <c r="F25" s="22">
        <v>1.0455846585848793E-2</v>
      </c>
      <c r="G25" s="22">
        <v>1.0126035958763787E-2</v>
      </c>
    </row>
    <row r="26" spans="1:7" x14ac:dyDescent="0.3">
      <c r="A26" s="21" t="s">
        <v>65</v>
      </c>
      <c r="B26" s="22">
        <v>1.1936758745424585E-2</v>
      </c>
      <c r="C26" s="22">
        <v>1.1338443262384515E-2</v>
      </c>
      <c r="D26" s="22">
        <v>1.1595626181009464E-2</v>
      </c>
      <c r="E26" s="22">
        <v>1.104041768362519E-2</v>
      </c>
      <c r="F26" s="22">
        <v>1.07595608816829E-2</v>
      </c>
      <c r="G26" s="22">
        <v>1.0017576477998924E-2</v>
      </c>
    </row>
    <row r="27" spans="1:7" x14ac:dyDescent="0.3">
      <c r="A27" s="21" t="s">
        <v>53</v>
      </c>
      <c r="B27" s="22">
        <v>1.1448316946474343E-2</v>
      </c>
      <c r="C27" s="22">
        <v>1.1305913557949973E-2</v>
      </c>
      <c r="D27" s="22">
        <v>1.2285869312456399E-2</v>
      </c>
      <c r="E27" s="22">
        <v>1.1727413715473683E-2</v>
      </c>
      <c r="F27" s="22">
        <v>1.1356345619553943E-2</v>
      </c>
      <c r="G27" s="22">
        <v>1.0834301191858846E-2</v>
      </c>
    </row>
    <row r="28" spans="1:7" x14ac:dyDescent="0.3">
      <c r="A28" s="21" t="s">
        <v>7</v>
      </c>
      <c r="B28" s="22">
        <v>5.7832603793606576E-3</v>
      </c>
      <c r="C28" s="22">
        <v>5.3099730458221021E-3</v>
      </c>
      <c r="D28" s="22">
        <v>6.0155697098372256E-3</v>
      </c>
      <c r="E28" s="22">
        <v>5.285718042443527E-3</v>
      </c>
      <c r="F28" s="22">
        <v>6.4093822446474836E-3</v>
      </c>
      <c r="G28" s="22">
        <v>5.3108568710862154E-3</v>
      </c>
    </row>
    <row r="29" spans="1:7" x14ac:dyDescent="0.3">
      <c r="A29" s="21" t="s">
        <v>88</v>
      </c>
      <c r="B29" s="22">
        <v>1.1748671540731448E-2</v>
      </c>
      <c r="C29" s="22">
        <v>1.1625800217417562E-2</v>
      </c>
      <c r="D29" s="22">
        <v>1.2634941416786378E-2</v>
      </c>
      <c r="E29" s="22">
        <v>1.208681732883978E-2</v>
      </c>
      <c r="F29" s="22">
        <v>1.1626676523234724E-2</v>
      </c>
      <c r="G29" s="22">
        <v>1.1150007853181747E-2</v>
      </c>
    </row>
    <row r="30" spans="1:7" x14ac:dyDescent="0.3">
      <c r="A30" s="21" t="s">
        <v>80</v>
      </c>
      <c r="B30" s="22">
        <v>1.1429626715677283E-2</v>
      </c>
      <c r="C30" s="22">
        <v>1.0149829042489497E-2</v>
      </c>
      <c r="D30" s="22">
        <v>9.9900940018624769E-3</v>
      </c>
      <c r="E30" s="22">
        <v>9.5662820201924612E-3</v>
      </c>
      <c r="F30" s="22">
        <v>9.8537485663784102E-3</v>
      </c>
      <c r="G30" s="22">
        <v>9.8827125944034363E-3</v>
      </c>
    </row>
    <row r="31" spans="1:7" x14ac:dyDescent="0.3">
      <c r="A31" s="21" t="s">
        <v>69</v>
      </c>
      <c r="B31" s="22">
        <v>1.374713263190705E-2</v>
      </c>
      <c r="C31" s="22">
        <v>1.2748849600387503E-2</v>
      </c>
      <c r="D31" s="22">
        <v>1.2613471167824261E-2</v>
      </c>
      <c r="E31" s="22">
        <v>1.2362668460560743E-2</v>
      </c>
      <c r="F31" s="22">
        <v>1.2621189417109038E-2</v>
      </c>
      <c r="G31" s="22">
        <v>1.2332451764140169E-2</v>
      </c>
    </row>
    <row r="32" spans="1:7" x14ac:dyDescent="0.3">
      <c r="A32" s="21" t="s">
        <v>33</v>
      </c>
      <c r="B32" s="22">
        <v>5.9191250023406467E-3</v>
      </c>
      <c r="C32" s="22">
        <v>5.7537950043268227E-3</v>
      </c>
      <c r="D32" s="22">
        <v>5.4331562182040657E-3</v>
      </c>
      <c r="E32" s="22">
        <v>5.7703164355403722E-3</v>
      </c>
      <c r="F32" s="22">
        <v>6.1708418125270828E-3</v>
      </c>
      <c r="G32" s="22">
        <v>5.8927900631784097E-3</v>
      </c>
    </row>
    <row r="33" spans="1:7" x14ac:dyDescent="0.3">
      <c r="A33" s="21" t="s">
        <v>30</v>
      </c>
      <c r="B33" s="22">
        <v>1.1609422985575815E-2</v>
      </c>
      <c r="C33" s="22">
        <v>1.098192133813407E-2</v>
      </c>
      <c r="D33" s="22">
        <v>1.0790302567528873E-2</v>
      </c>
      <c r="E33" s="22">
        <v>1.0645958382859933E-2</v>
      </c>
      <c r="F33" s="22">
        <v>9.9884349520376458E-3</v>
      </c>
      <c r="G33" s="22">
        <v>9.7204640150797324E-3</v>
      </c>
    </row>
    <row r="34" spans="1:7" x14ac:dyDescent="0.3">
      <c r="A34" s="21" t="s">
        <v>52</v>
      </c>
      <c r="B34" s="22">
        <v>1.1949385333164867E-2</v>
      </c>
      <c r="C34" s="22">
        <v>1.1742844607324438E-2</v>
      </c>
      <c r="D34" s="22">
        <v>1.2082365389995013E-2</v>
      </c>
      <c r="E34" s="22">
        <v>1.1428300927817586E-2</v>
      </c>
      <c r="F34" s="22">
        <v>1.1171188924880837E-2</v>
      </c>
      <c r="G34" s="22">
        <v>1.0511497864090912E-2</v>
      </c>
    </row>
    <row r="35" spans="1:7" x14ac:dyDescent="0.3">
      <c r="A35" s="21" t="s">
        <v>31</v>
      </c>
      <c r="B35" s="22">
        <v>8.2069756941831589E-3</v>
      </c>
      <c r="C35" s="22">
        <v>8.2377778697685974E-3</v>
      </c>
      <c r="D35" s="22">
        <v>8.205333129790186E-3</v>
      </c>
      <c r="E35" s="22">
        <v>8.6037465219621356E-3</v>
      </c>
      <c r="F35" s="22">
        <v>8.0383529257240429E-3</v>
      </c>
      <c r="G35" s="22">
        <v>7.5508878787200213E-3</v>
      </c>
    </row>
    <row r="36" spans="1:7" x14ac:dyDescent="0.3">
      <c r="A36" s="21" t="s">
        <v>32</v>
      </c>
      <c r="B36" s="22">
        <v>2.2996310556478446E-2</v>
      </c>
      <c r="C36" s="22">
        <v>2.3028239387097967E-2</v>
      </c>
      <c r="D36" s="22">
        <v>2.21711186599267E-2</v>
      </c>
      <c r="E36" s="22">
        <v>2.1395075884891434E-2</v>
      </c>
      <c r="F36" s="22">
        <v>2.0916498333221494E-2</v>
      </c>
      <c r="G36" s="22">
        <v>2.0235938163623634E-2</v>
      </c>
    </row>
    <row r="37" spans="1:7" x14ac:dyDescent="0.3">
      <c r="A37" s="21" t="s">
        <v>98</v>
      </c>
      <c r="B37" s="22">
        <v>1.1634910879535583E-2</v>
      </c>
      <c r="C37" s="22">
        <v>1.12894983236453E-2</v>
      </c>
      <c r="D37" s="22">
        <v>1.0730075241566226E-2</v>
      </c>
      <c r="E37" s="22">
        <v>1.025425828476546E-2</v>
      </c>
      <c r="F37" s="22">
        <v>1.0139970261996898E-2</v>
      </c>
      <c r="G37" s="22">
        <v>1.0098111422972107E-2</v>
      </c>
    </row>
    <row r="38" spans="1:7" x14ac:dyDescent="0.3">
      <c r="A38" s="21" t="s">
        <v>26</v>
      </c>
      <c r="B38" s="22">
        <v>7.9276482973934508E-3</v>
      </c>
      <c r="C38" s="22">
        <v>8.0079670404627438E-3</v>
      </c>
      <c r="D38" s="22">
        <v>7.5555555555555558E-3</v>
      </c>
      <c r="E38" s="22">
        <v>7.4948734704914704E-3</v>
      </c>
      <c r="F38" s="22">
        <v>7.3536656366160599E-3</v>
      </c>
      <c r="G38" s="22">
        <v>7.0529620651716947E-3</v>
      </c>
    </row>
    <row r="39" spans="1:7" x14ac:dyDescent="0.3">
      <c r="A39" s="21" t="s">
        <v>27</v>
      </c>
      <c r="B39" s="22">
        <v>9.1614399922207643E-3</v>
      </c>
      <c r="C39" s="22">
        <v>8.5407683936467704E-3</v>
      </c>
      <c r="D39" s="22">
        <v>7.1990647368888831E-3</v>
      </c>
      <c r="E39" s="22">
        <v>6.9662861196247176E-3</v>
      </c>
      <c r="F39" s="22">
        <v>6.8757659060047034E-3</v>
      </c>
      <c r="G39" s="22">
        <v>7.023926829884535E-3</v>
      </c>
    </row>
    <row r="40" spans="1:7" x14ac:dyDescent="0.3">
      <c r="A40" s="21" t="s">
        <v>89</v>
      </c>
      <c r="B40" s="22">
        <v>7.9474052456572439E-3</v>
      </c>
      <c r="C40" s="22">
        <v>7.6289876135167177E-3</v>
      </c>
      <c r="D40" s="22">
        <v>7.5346661415174043E-3</v>
      </c>
      <c r="E40" s="22">
        <v>7.2995104282179294E-3</v>
      </c>
      <c r="F40" s="22">
        <v>7.1679760274410299E-3</v>
      </c>
      <c r="G40" s="22">
        <v>7.1040671204360296E-3</v>
      </c>
    </row>
    <row r="41" spans="1:7" x14ac:dyDescent="0.3">
      <c r="A41" s="21" t="s">
        <v>28</v>
      </c>
      <c r="B41" s="22">
        <v>1.2967452911656425E-2</v>
      </c>
      <c r="C41" s="22">
        <v>1.2949721738532708E-2</v>
      </c>
      <c r="D41" s="22">
        <v>1.1639812516340756E-2</v>
      </c>
      <c r="E41" s="22">
        <v>1.1154210601160447E-2</v>
      </c>
      <c r="F41" s="22">
        <v>1.1901025424161589E-2</v>
      </c>
      <c r="G41" s="22">
        <v>1.206968516036612E-2</v>
      </c>
    </row>
    <row r="42" spans="1:7" x14ac:dyDescent="0.3">
      <c r="A42" s="21" t="s">
        <v>25</v>
      </c>
      <c r="B42" s="22">
        <v>1.2999514007556398E-2</v>
      </c>
      <c r="C42" s="22">
        <v>1.2885494118366861E-2</v>
      </c>
      <c r="D42" s="22">
        <v>1.215707863106707E-2</v>
      </c>
      <c r="E42" s="22">
        <v>1.1208389699794626E-2</v>
      </c>
      <c r="F42" s="22">
        <v>1.0691621061401653E-2</v>
      </c>
      <c r="G42" s="22">
        <v>1.0512108985266506E-2</v>
      </c>
    </row>
    <row r="43" spans="1:7" x14ac:dyDescent="0.3">
      <c r="A43" s="21" t="s">
        <v>22</v>
      </c>
      <c r="B43" s="22">
        <v>1.0127837517112144E-2</v>
      </c>
      <c r="C43" s="22">
        <v>9.8292154416461212E-3</v>
      </c>
      <c r="D43" s="22">
        <v>9.9429605021624859E-3</v>
      </c>
      <c r="E43" s="22">
        <v>9.5666914498141256E-3</v>
      </c>
      <c r="F43" s="22">
        <v>9.2338644404874777E-3</v>
      </c>
      <c r="G43" s="22">
        <v>9.435522927685366E-3</v>
      </c>
    </row>
    <row r="44" spans="1:7" x14ac:dyDescent="0.3">
      <c r="A44" s="21" t="s">
        <v>29</v>
      </c>
      <c r="B44" s="22">
        <v>1.2632744125446708E-2</v>
      </c>
      <c r="C44" s="22">
        <v>1.1768481141724619E-2</v>
      </c>
      <c r="D44" s="22">
        <v>1.1661715643344299E-2</v>
      </c>
      <c r="E44" s="22">
        <v>1.1030371411971742E-2</v>
      </c>
      <c r="F44" s="22">
        <v>9.9312111130784309E-3</v>
      </c>
      <c r="G44" s="22">
        <v>9.5659269488208073E-3</v>
      </c>
    </row>
    <row r="45" spans="1:7" x14ac:dyDescent="0.3">
      <c r="A45" s="21" t="s">
        <v>90</v>
      </c>
      <c r="B45" s="22">
        <v>8.7067744735279343E-3</v>
      </c>
      <c r="C45" s="22">
        <v>8.5162396031644369E-3</v>
      </c>
      <c r="D45" s="22">
        <v>8.5066566404046959E-3</v>
      </c>
      <c r="E45" s="22">
        <v>8.568398169737557E-3</v>
      </c>
      <c r="F45" s="22">
        <v>9.2074509526170415E-3</v>
      </c>
      <c r="G45" s="22">
        <v>8.05278919692194E-3</v>
      </c>
    </row>
    <row r="46" spans="1:7" x14ac:dyDescent="0.3">
      <c r="A46" s="21" t="s">
        <v>99</v>
      </c>
      <c r="B46" s="22">
        <v>7.443952921561782E-3</v>
      </c>
      <c r="C46" s="22">
        <v>7.2992332230821843E-3</v>
      </c>
      <c r="D46" s="22">
        <v>7.1208384960037086E-3</v>
      </c>
      <c r="E46" s="22">
        <v>6.8141150374156859E-3</v>
      </c>
      <c r="F46" s="22">
        <v>7.296458035534417E-3</v>
      </c>
      <c r="G46" s="22">
        <v>7.181239178886344E-3</v>
      </c>
    </row>
    <row r="47" spans="1:7" x14ac:dyDescent="0.3">
      <c r="A47" s="21" t="s">
        <v>63</v>
      </c>
      <c r="B47" s="22">
        <v>5.8187107217746257E-3</v>
      </c>
      <c r="C47" s="22">
        <v>5.5784378757860976E-3</v>
      </c>
      <c r="D47" s="22">
        <v>5.2968296533024879E-3</v>
      </c>
      <c r="E47" s="22">
        <v>5.1044325613459783E-3</v>
      </c>
      <c r="F47" s="22">
        <v>4.9961347543668669E-3</v>
      </c>
      <c r="G47" s="22">
        <v>4.6257274013466517E-3</v>
      </c>
    </row>
    <row r="48" spans="1:7" x14ac:dyDescent="0.3">
      <c r="A48" s="21" t="s">
        <v>81</v>
      </c>
      <c r="B48" s="22">
        <v>7.2503947319783072E-3</v>
      </c>
      <c r="C48" s="22">
        <v>7.0250537684804744E-3</v>
      </c>
      <c r="D48" s="22">
        <v>6.5551985402038954E-3</v>
      </c>
      <c r="E48" s="22">
        <v>6.2811721485853469E-3</v>
      </c>
      <c r="F48" s="22">
        <v>5.8924292581969068E-3</v>
      </c>
      <c r="G48" s="22">
        <v>5.5039735437693625E-3</v>
      </c>
    </row>
    <row r="49" spans="1:7" x14ac:dyDescent="0.3">
      <c r="A49" s="21" t="s">
        <v>91</v>
      </c>
      <c r="B49" s="22">
        <v>5.5303002529603698E-3</v>
      </c>
      <c r="C49" s="22">
        <v>5.464817966405521E-3</v>
      </c>
      <c r="D49" s="22">
        <v>5.4001826290160544E-3</v>
      </c>
      <c r="E49" s="22">
        <v>5.6367829791406972E-3</v>
      </c>
      <c r="F49" s="22">
        <v>5.4962314511593441E-3</v>
      </c>
      <c r="G49" s="22">
        <v>5.2232131541689753E-3</v>
      </c>
    </row>
    <row r="50" spans="1:7" x14ac:dyDescent="0.3">
      <c r="A50" s="21" t="s">
        <v>92</v>
      </c>
      <c r="B50" s="22">
        <v>7.242883379247016E-3</v>
      </c>
      <c r="C50" s="22">
        <v>7.2245998378612768E-3</v>
      </c>
      <c r="D50" s="22">
        <v>5.7774370174175013E-3</v>
      </c>
      <c r="E50" s="22">
        <v>5.734370680462857E-3</v>
      </c>
      <c r="F50" s="22">
        <v>5.719195553526837E-3</v>
      </c>
      <c r="G50" s="22">
        <v>5.5812372043897536E-3</v>
      </c>
    </row>
    <row r="51" spans="1:7" x14ac:dyDescent="0.3">
      <c r="A51" s="21" t="s">
        <v>47</v>
      </c>
      <c r="B51" s="22">
        <v>8.6792923216962008E-3</v>
      </c>
      <c r="C51" s="22">
        <v>8.5558709378439433E-3</v>
      </c>
      <c r="D51" s="22">
        <v>7.6645447572130151E-3</v>
      </c>
      <c r="E51" s="22">
        <v>7.7405518409717593E-3</v>
      </c>
      <c r="F51" s="22">
        <v>8.1393271807085436E-3</v>
      </c>
      <c r="G51" s="22">
        <v>8.1679944569189328E-3</v>
      </c>
    </row>
    <row r="52" spans="1:7" x14ac:dyDescent="0.3">
      <c r="A52" s="21" t="s">
        <v>93</v>
      </c>
      <c r="B52" s="22">
        <v>8.6235591655771399E-3</v>
      </c>
      <c r="C52" s="22">
        <v>6.9928096633045918E-3</v>
      </c>
      <c r="D52" s="22">
        <v>7.8114482704560598E-3</v>
      </c>
      <c r="E52" s="22">
        <v>7.5028160222698932E-3</v>
      </c>
      <c r="F52" s="22">
        <v>7.409425319873081E-3</v>
      </c>
      <c r="G52" s="22">
        <v>7.2259545810999812E-3</v>
      </c>
    </row>
    <row r="53" spans="1:7" x14ac:dyDescent="0.3">
      <c r="A53" s="21" t="s">
        <v>11</v>
      </c>
      <c r="B53" s="22">
        <v>8.7296123174455034E-3</v>
      </c>
      <c r="C53" s="22">
        <v>9.1949452949855338E-3</v>
      </c>
      <c r="D53" s="22">
        <v>9.0716562269437442E-3</v>
      </c>
      <c r="E53" s="22">
        <v>8.3741800706253269E-3</v>
      </c>
      <c r="F53" s="22">
        <v>9.9647557587101334E-3</v>
      </c>
      <c r="G53" s="22">
        <v>1.0334629373700546E-2</v>
      </c>
    </row>
    <row r="54" spans="1:7" x14ac:dyDescent="0.3">
      <c r="A54" s="21" t="s">
        <v>100</v>
      </c>
      <c r="B54" s="22">
        <v>1.3564051983663911E-2</v>
      </c>
      <c r="C54" s="22">
        <v>1.3185183498909877E-2</v>
      </c>
      <c r="D54" s="22">
        <v>1.282272707210266E-2</v>
      </c>
      <c r="E54" s="22">
        <v>1.2394530017660926E-2</v>
      </c>
      <c r="F54" s="22">
        <v>1.2270779722803604E-2</v>
      </c>
      <c r="G54" s="22">
        <v>1.2061844770699758E-2</v>
      </c>
    </row>
    <row r="55" spans="1:7" x14ac:dyDescent="0.3">
      <c r="A55" s="21" t="s">
        <v>83</v>
      </c>
      <c r="B55" s="22">
        <v>1.0795037997230068E-2</v>
      </c>
      <c r="C55" s="22">
        <v>1.1473175970352753E-2</v>
      </c>
      <c r="D55" s="22">
        <v>1.1249765309699813E-2</v>
      </c>
      <c r="E55" s="22">
        <v>1.0431421158229776E-2</v>
      </c>
      <c r="F55" s="22">
        <v>1.0389258761605529E-2</v>
      </c>
      <c r="G55" s="22">
        <v>1.0188903763200951E-2</v>
      </c>
    </row>
    <row r="56" spans="1:7" x14ac:dyDescent="0.3">
      <c r="A56" s="21" t="s">
        <v>42</v>
      </c>
      <c r="B56" s="22">
        <v>1.0322480332219743E-2</v>
      </c>
      <c r="C56" s="22">
        <v>1.0410763154586932E-2</v>
      </c>
      <c r="D56" s="22">
        <v>9.7621977494746857E-3</v>
      </c>
      <c r="E56" s="22">
        <v>9.7245441691881859E-3</v>
      </c>
      <c r="F56" s="22">
        <v>9.3832834666272291E-3</v>
      </c>
      <c r="G56" s="22">
        <v>9.1748769877569459E-3</v>
      </c>
    </row>
    <row r="57" spans="1:7" x14ac:dyDescent="0.3">
      <c r="A57" s="21" t="s">
        <v>34</v>
      </c>
      <c r="B57" s="22">
        <v>1.2084516016393472E-2</v>
      </c>
      <c r="C57" s="22">
        <v>1.0707585541362774E-2</v>
      </c>
      <c r="D57" s="22">
        <v>1.0450031344955518E-2</v>
      </c>
      <c r="E57" s="22">
        <v>1.0104128559064181E-2</v>
      </c>
      <c r="F57" s="22">
        <v>1.0641235639249628E-2</v>
      </c>
      <c r="G57" s="22">
        <v>9.9981923952318103E-3</v>
      </c>
    </row>
    <row r="58" spans="1:7" x14ac:dyDescent="0.3">
      <c r="A58" s="21" t="s">
        <v>35</v>
      </c>
      <c r="B58" s="22">
        <v>1.6917561171257159E-2</v>
      </c>
      <c r="C58" s="22">
        <v>1.6329264576322836E-2</v>
      </c>
      <c r="D58" s="22">
        <v>1.671818861470278E-2</v>
      </c>
      <c r="E58" s="22">
        <v>1.4400679323731154E-2</v>
      </c>
      <c r="F58" s="22">
        <v>1.4409840414063632E-2</v>
      </c>
      <c r="G58" s="22">
        <v>1.4575485990267777E-2</v>
      </c>
    </row>
    <row r="59" spans="1:7" x14ac:dyDescent="0.3">
      <c r="A59" s="21" t="s">
        <v>94</v>
      </c>
      <c r="B59" s="22">
        <v>1.113777629702125E-2</v>
      </c>
      <c r="C59" s="22">
        <v>9.9375135199779099E-3</v>
      </c>
      <c r="D59" s="22">
        <v>9.9321813720978543E-3</v>
      </c>
      <c r="E59" s="22">
        <v>9.9206883369318821E-3</v>
      </c>
      <c r="F59" s="22">
        <v>9.7139143909225727E-3</v>
      </c>
      <c r="G59" s="22">
        <v>9.4016200679383332E-3</v>
      </c>
    </row>
    <row r="60" spans="1:7" x14ac:dyDescent="0.3">
      <c r="A60" s="21" t="s">
        <v>46</v>
      </c>
      <c r="B60" s="22">
        <v>1.2171148183548339E-2</v>
      </c>
      <c r="C60" s="22">
        <v>1.2358700868365895E-2</v>
      </c>
      <c r="D60" s="22">
        <v>1.2886283587848013E-2</v>
      </c>
      <c r="E60" s="22">
        <v>1.3145551971832797E-2</v>
      </c>
      <c r="F60" s="22">
        <v>1.3471430469526044E-2</v>
      </c>
      <c r="G60" s="22">
        <v>1.3549436085374351E-2</v>
      </c>
    </row>
    <row r="61" spans="1:7" x14ac:dyDescent="0.3">
      <c r="A61" s="21" t="s">
        <v>44</v>
      </c>
      <c r="B61" s="22">
        <v>1.2575250756310743E-2</v>
      </c>
      <c r="C61" s="22">
        <v>1.260163837719165E-2</v>
      </c>
      <c r="D61" s="22">
        <v>1.1812822415952783E-2</v>
      </c>
      <c r="E61" s="22">
        <v>1.1541293196528064E-2</v>
      </c>
      <c r="F61" s="22">
        <v>1.1360309082174806E-2</v>
      </c>
      <c r="G61" s="22">
        <v>1.1047918092073112E-2</v>
      </c>
    </row>
    <row r="62" spans="1:7" x14ac:dyDescent="0.3">
      <c r="A62" s="21" t="s">
        <v>36</v>
      </c>
      <c r="B62" s="22">
        <v>1.0242190863868031E-2</v>
      </c>
      <c r="C62" s="22">
        <v>9.9881484220574381E-3</v>
      </c>
      <c r="D62" s="22">
        <v>1.0110403125167273E-2</v>
      </c>
      <c r="E62" s="22">
        <v>9.6528069290953231E-3</v>
      </c>
      <c r="F62" s="22">
        <v>9.5378749790514493E-3</v>
      </c>
      <c r="G62" s="22">
        <v>9.2110013804821075E-3</v>
      </c>
    </row>
    <row r="63" spans="1:7" x14ac:dyDescent="0.3">
      <c r="A63" s="21" t="s">
        <v>54</v>
      </c>
      <c r="B63" s="22">
        <v>1.4824848210289706E-2</v>
      </c>
      <c r="C63" s="22">
        <v>1.387817208414655E-2</v>
      </c>
      <c r="D63" s="22">
        <v>1.3265925844986494E-2</v>
      </c>
      <c r="E63" s="22">
        <v>1.3204022178676002E-2</v>
      </c>
      <c r="F63" s="22">
        <v>1.3717246484085862E-2</v>
      </c>
      <c r="G63" s="22">
        <v>1.3473492547425475E-2</v>
      </c>
    </row>
    <row r="64" spans="1:7" x14ac:dyDescent="0.3">
      <c r="A64" s="21" t="s">
        <v>23</v>
      </c>
      <c r="B64" s="22">
        <v>9.7120664845975393E-3</v>
      </c>
      <c r="C64" s="22">
        <v>9.4929070964249011E-3</v>
      </c>
      <c r="D64" s="22">
        <v>8.1960108692181247E-3</v>
      </c>
      <c r="E64" s="22">
        <v>8.9185021351591478E-3</v>
      </c>
      <c r="F64" s="22">
        <v>9.3935440186092012E-3</v>
      </c>
      <c r="G64" s="22">
        <v>9.1475055422216515E-3</v>
      </c>
    </row>
    <row r="65" spans="1:7" x14ac:dyDescent="0.3">
      <c r="A65" s="21" t="s">
        <v>49</v>
      </c>
      <c r="B65" s="22">
        <v>9.8805916242358047E-3</v>
      </c>
      <c r="C65" s="22">
        <v>9.0257589817791598E-3</v>
      </c>
      <c r="D65" s="22">
        <v>9.0328646387478669E-3</v>
      </c>
      <c r="E65" s="22">
        <v>8.3959350666490701E-3</v>
      </c>
      <c r="F65" s="22">
        <v>8.6825805201968947E-3</v>
      </c>
      <c r="G65" s="22">
        <v>8.5025639523288524E-3</v>
      </c>
    </row>
    <row r="66" spans="1:7" x14ac:dyDescent="0.3">
      <c r="A66" s="21" t="s">
        <v>24</v>
      </c>
      <c r="B66" s="22">
        <v>1.9261751427889842E-2</v>
      </c>
      <c r="C66" s="22">
        <v>1.836694436026599E-2</v>
      </c>
      <c r="D66" s="22">
        <v>1.7805776020026007E-2</v>
      </c>
      <c r="E66" s="22">
        <v>1.8860491239786586E-2</v>
      </c>
      <c r="F66" s="22">
        <v>1.7373766086977119E-2</v>
      </c>
      <c r="G66" s="22">
        <v>1.7510270610995506E-2</v>
      </c>
    </row>
    <row r="67" spans="1:7" x14ac:dyDescent="0.3">
      <c r="A67" s="21" t="s">
        <v>68</v>
      </c>
      <c r="B67" s="22">
        <v>1.5316569152067163E-2</v>
      </c>
      <c r="C67" s="22">
        <v>1.4774393739898067E-2</v>
      </c>
      <c r="D67" s="22">
        <v>1.2451472818297723E-2</v>
      </c>
      <c r="E67" s="22">
        <v>1.2053557791844147E-2</v>
      </c>
      <c r="F67" s="22">
        <v>1.166035225084772E-2</v>
      </c>
      <c r="G67" s="22">
        <v>1.0800893129248739E-2</v>
      </c>
    </row>
    <row r="68" spans="1:7" x14ac:dyDescent="0.3">
      <c r="A68" s="21" t="s">
        <v>41</v>
      </c>
      <c r="B68" s="22">
        <v>1.3605368429040686E-2</v>
      </c>
      <c r="C68" s="22">
        <v>1.3487830822078226E-2</v>
      </c>
      <c r="D68" s="22">
        <v>1.4270720841050858E-2</v>
      </c>
      <c r="E68" s="22">
        <v>1.3579920476145337E-2</v>
      </c>
      <c r="F68" s="22">
        <v>1.315004923177273E-2</v>
      </c>
      <c r="G68" s="22">
        <v>1.2844101021725569E-2</v>
      </c>
    </row>
    <row r="69" spans="1:7" x14ac:dyDescent="0.3">
      <c r="A69" s="21" t="s">
        <v>101</v>
      </c>
      <c r="B69" s="22">
        <v>1.3753810225933539E-2</v>
      </c>
      <c r="C69" s="22">
        <v>1.3565000861368368E-2</v>
      </c>
      <c r="D69" s="22">
        <v>1.3312389577263739E-2</v>
      </c>
      <c r="E69" s="22">
        <v>1.2328286036642129E-2</v>
      </c>
      <c r="F69" s="22">
        <v>1.2223872077834912E-2</v>
      </c>
      <c r="G69" s="22">
        <v>1.2083710604254587E-2</v>
      </c>
    </row>
    <row r="70" spans="1:7" x14ac:dyDescent="0.3">
      <c r="A70" s="21" t="s">
        <v>55</v>
      </c>
      <c r="B70" s="22">
        <v>8.1778172372295298E-3</v>
      </c>
      <c r="C70" s="22">
        <v>7.2929538483294558E-3</v>
      </c>
      <c r="D70" s="22">
        <v>7.0838292749602254E-3</v>
      </c>
      <c r="E70" s="22">
        <v>7.519873952588985E-3</v>
      </c>
      <c r="F70" s="22">
        <v>7.0499092974976585E-3</v>
      </c>
      <c r="G70" s="22">
        <v>6.7421773352055346E-3</v>
      </c>
    </row>
    <row r="71" spans="1:7" x14ac:dyDescent="0.3">
      <c r="A71" s="21" t="s">
        <v>16</v>
      </c>
      <c r="B71" s="22">
        <v>1.6736577426348979E-2</v>
      </c>
      <c r="C71" s="22">
        <v>1.6746667440380232E-2</v>
      </c>
      <c r="D71" s="22">
        <v>1.6520837606466648E-2</v>
      </c>
      <c r="E71" s="22">
        <v>1.4469447392701397E-2</v>
      </c>
      <c r="F71" s="22">
        <v>1.4786926687725042E-2</v>
      </c>
      <c r="G71" s="22">
        <v>1.4874849724166601E-2</v>
      </c>
    </row>
    <row r="72" spans="1:7" x14ac:dyDescent="0.3">
      <c r="A72" s="21" t="s">
        <v>19</v>
      </c>
      <c r="B72" s="22">
        <v>1.3812053587428047E-2</v>
      </c>
      <c r="C72" s="22">
        <v>1.3228698024981446E-2</v>
      </c>
      <c r="D72" s="22">
        <v>1.291073187654884E-2</v>
      </c>
      <c r="E72" s="22">
        <v>1.2110401058981259E-2</v>
      </c>
      <c r="F72" s="22">
        <v>1.1603601452222549E-2</v>
      </c>
      <c r="G72" s="22">
        <v>1.0838788843515516E-2</v>
      </c>
    </row>
    <row r="73" spans="1:7" x14ac:dyDescent="0.3">
      <c r="A73" s="21" t="s">
        <v>17</v>
      </c>
      <c r="B73" s="22">
        <v>1.398697922657526E-2</v>
      </c>
      <c r="C73" s="22">
        <v>1.3514311803039074E-2</v>
      </c>
      <c r="D73" s="22">
        <v>1.3211336452488273E-2</v>
      </c>
      <c r="E73" s="22">
        <v>1.1879950328903209E-2</v>
      </c>
      <c r="F73" s="22">
        <v>1.171099871331212E-2</v>
      </c>
      <c r="G73" s="22">
        <v>1.1066553747072029E-2</v>
      </c>
    </row>
    <row r="74" spans="1:7" x14ac:dyDescent="0.3">
      <c r="A74" s="21" t="s">
        <v>60</v>
      </c>
      <c r="B74" s="22">
        <v>9.0786433623167954E-3</v>
      </c>
      <c r="C74" s="22">
        <v>8.8166519722467137E-3</v>
      </c>
      <c r="D74" s="22">
        <v>8.6264664099425497E-3</v>
      </c>
      <c r="E74" s="22">
        <v>8.2093672675054019E-3</v>
      </c>
      <c r="F74" s="22">
        <v>7.3593254391305972E-3</v>
      </c>
      <c r="G74" s="22">
        <v>6.6264766722330254E-3</v>
      </c>
    </row>
    <row r="75" spans="1:7" x14ac:dyDescent="0.3">
      <c r="A75" s="21" t="s">
        <v>95</v>
      </c>
      <c r="B75" s="22">
        <v>1.5762370191211524E-2</v>
      </c>
      <c r="C75" s="22">
        <v>1.4822570414350384E-2</v>
      </c>
      <c r="D75" s="22">
        <v>1.4428106953947688E-2</v>
      </c>
      <c r="E75" s="22">
        <v>1.4063525158901162E-2</v>
      </c>
      <c r="F75" s="22">
        <v>1.3386847706901829E-2</v>
      </c>
      <c r="G75" s="22">
        <v>1.2417890798900861E-2</v>
      </c>
    </row>
    <row r="76" spans="1:7" x14ac:dyDescent="0.3">
      <c r="A76" s="21" t="s">
        <v>82</v>
      </c>
      <c r="B76" s="22">
        <v>1.1604315216516869E-2</v>
      </c>
      <c r="C76" s="22">
        <v>1.1823070361973132E-2</v>
      </c>
      <c r="D76" s="22">
        <v>1.1498816472864012E-2</v>
      </c>
      <c r="E76" s="22">
        <v>1.1185962280702488E-2</v>
      </c>
      <c r="F76" s="22">
        <v>1.1089374752386838E-2</v>
      </c>
      <c r="G76" s="22">
        <v>1.1551164880536237E-2</v>
      </c>
    </row>
    <row r="77" spans="1:7" x14ac:dyDescent="0.3">
      <c r="A77" s="21" t="s">
        <v>58</v>
      </c>
      <c r="B77" s="22">
        <v>8.5756872915399469E-3</v>
      </c>
      <c r="C77" s="22">
        <v>8.2228429791084707E-3</v>
      </c>
      <c r="D77" s="22">
        <v>7.1652427209716639E-3</v>
      </c>
      <c r="E77" s="22">
        <v>7.4015947011764078E-3</v>
      </c>
      <c r="F77" s="22">
        <v>7.1294486731125284E-3</v>
      </c>
      <c r="G77" s="22">
        <v>5.7071913144276024E-3</v>
      </c>
    </row>
    <row r="78" spans="1:7" x14ac:dyDescent="0.3">
      <c r="A78" s="21" t="s">
        <v>14</v>
      </c>
      <c r="B78" s="22">
        <v>8.992365097969102E-3</v>
      </c>
      <c r="C78" s="22">
        <v>9.1716976255641191E-3</v>
      </c>
      <c r="D78" s="22">
        <v>8.6950079474123771E-3</v>
      </c>
      <c r="E78" s="22">
        <v>8.4553847803073949E-3</v>
      </c>
      <c r="F78" s="22">
        <v>7.6519916142557655E-3</v>
      </c>
      <c r="G78" s="22">
        <v>6.9299984749123071E-3</v>
      </c>
    </row>
    <row r="79" spans="1:7" x14ac:dyDescent="0.3">
      <c r="A79" s="21" t="s">
        <v>77</v>
      </c>
      <c r="B79" s="22">
        <v>1.0626143928001026E-2</v>
      </c>
      <c r="C79" s="22">
        <v>1.0937810480486625E-2</v>
      </c>
      <c r="D79" s="22">
        <v>1.0243207545443176E-2</v>
      </c>
      <c r="E79" s="22">
        <v>1.0371111624828599E-2</v>
      </c>
      <c r="F79" s="22">
        <v>9.5797754399207426E-3</v>
      </c>
      <c r="G79" s="22">
        <v>8.9265582452144054E-3</v>
      </c>
    </row>
    <row r="80" spans="1:7" x14ac:dyDescent="0.3">
      <c r="A80" s="21" t="s">
        <v>12</v>
      </c>
      <c r="B80" s="22">
        <v>1.04555802153256E-2</v>
      </c>
      <c r="C80" s="22">
        <v>9.3521135987300451E-3</v>
      </c>
      <c r="D80" s="22">
        <v>9.2986775035188689E-3</v>
      </c>
      <c r="E80" s="22">
        <v>9.2211500886764663E-3</v>
      </c>
      <c r="F80" s="22">
        <v>9.7964193028178409E-3</v>
      </c>
      <c r="G80" s="22">
        <v>9.6146618468077542E-3</v>
      </c>
    </row>
    <row r="81" spans="1:7" x14ac:dyDescent="0.3">
      <c r="A81" s="21" t="s">
        <v>61</v>
      </c>
      <c r="B81" s="22">
        <v>1.2685006180077963E-2</v>
      </c>
      <c r="C81" s="22">
        <v>1.217327150084317E-2</v>
      </c>
      <c r="D81" s="22">
        <v>1.2715946379497942E-2</v>
      </c>
      <c r="E81" s="22">
        <v>1.2165247617497642E-2</v>
      </c>
      <c r="F81" s="22">
        <v>1.1862591516755758E-2</v>
      </c>
      <c r="G81" s="22">
        <v>1.249897808468544E-2</v>
      </c>
    </row>
    <row r="82" spans="1:7" x14ac:dyDescent="0.3">
      <c r="A82" s="21" t="s">
        <v>72</v>
      </c>
      <c r="B82" s="22">
        <v>1.0232005992918791E-2</v>
      </c>
      <c r="C82" s="22">
        <v>9.8916386856845052E-3</v>
      </c>
      <c r="D82" s="22">
        <v>1.0151188864538052E-2</v>
      </c>
      <c r="E82" s="22">
        <v>9.3704654853263344E-3</v>
      </c>
      <c r="F82" s="22">
        <v>9.3011684592876984E-3</v>
      </c>
      <c r="G82" s="22">
        <v>8.8774851219925264E-3</v>
      </c>
    </row>
    <row r="83" spans="1:7" x14ac:dyDescent="0.3">
      <c r="A83" s="21" t="s">
        <v>76</v>
      </c>
      <c r="B83" s="22">
        <v>1.2585923299736786E-2</v>
      </c>
      <c r="C83" s="22">
        <v>1.1807135498113158E-2</v>
      </c>
      <c r="D83" s="22">
        <v>1.1557180567147376E-2</v>
      </c>
      <c r="E83" s="22">
        <v>1.065750280848962E-2</v>
      </c>
      <c r="F83" s="22">
        <v>1.0529301171850008E-2</v>
      </c>
      <c r="G83" s="22">
        <v>1.0504083825535668E-2</v>
      </c>
    </row>
    <row r="84" spans="1:7" x14ac:dyDescent="0.3">
      <c r="A84" s="21" t="s">
        <v>6</v>
      </c>
      <c r="B84" s="22">
        <v>1.7752684959030447E-2</v>
      </c>
      <c r="C84" s="22">
        <v>1.9670994648183754E-2</v>
      </c>
      <c r="D84" s="22">
        <v>1.943469507651021E-2</v>
      </c>
      <c r="E84" s="22">
        <v>1.8022160333033565E-2</v>
      </c>
      <c r="F84" s="22">
        <v>1.7864045038232083E-2</v>
      </c>
      <c r="G84" s="22">
        <v>1.7593845458098202E-2</v>
      </c>
    </row>
    <row r="85" spans="1:7" x14ac:dyDescent="0.3">
      <c r="A85" s="21" t="s">
        <v>64</v>
      </c>
      <c r="B85" s="22">
        <v>1.0601268790300902E-2</v>
      </c>
      <c r="C85" s="22">
        <v>1.0404986685694418E-2</v>
      </c>
      <c r="D85" s="22">
        <v>1.0493375713763325E-2</v>
      </c>
      <c r="E85" s="22">
        <v>1.0297294341707414E-2</v>
      </c>
      <c r="F85" s="22">
        <v>9.3473901984540281E-3</v>
      </c>
      <c r="G85" s="22">
        <v>9.4922308605711256E-3</v>
      </c>
    </row>
    <row r="86" spans="1:7" x14ac:dyDescent="0.3">
      <c r="A86" s="21" t="s">
        <v>5</v>
      </c>
      <c r="B86" s="22">
        <v>1.215733158168006E-2</v>
      </c>
      <c r="C86" s="22">
        <v>1.1620639596821618E-2</v>
      </c>
      <c r="D86" s="22">
        <v>1.1572114027660174E-2</v>
      </c>
      <c r="E86" s="22">
        <v>1.1532661541721822E-2</v>
      </c>
      <c r="F86" s="22">
        <v>1.0889202477147506E-2</v>
      </c>
      <c r="G86" s="22">
        <v>1.1317638197362529E-2</v>
      </c>
    </row>
    <row r="87" spans="1:7" x14ac:dyDescent="0.3">
      <c r="A87" s="21" t="s">
        <v>1</v>
      </c>
      <c r="B87" s="22">
        <v>1.1345167763278746E-2</v>
      </c>
      <c r="C87" s="22">
        <v>9.7613559097165792E-3</v>
      </c>
      <c r="D87" s="22">
        <v>9.7888119536651465E-3</v>
      </c>
      <c r="E87" s="22">
        <v>9.4374485278073024E-3</v>
      </c>
      <c r="F87" s="22">
        <v>9.0814022012010893E-3</v>
      </c>
      <c r="G87" s="22">
        <v>8.3507092453547257E-3</v>
      </c>
    </row>
    <row r="88" spans="1:7" x14ac:dyDescent="0.3">
      <c r="A88" s="21" t="s">
        <v>57</v>
      </c>
      <c r="B88" s="22">
        <v>1.0041942061431417E-2</v>
      </c>
      <c r="C88" s="22">
        <v>9.9688241473970731E-3</v>
      </c>
      <c r="D88" s="22">
        <v>1.0228957911079211E-2</v>
      </c>
      <c r="E88" s="22">
        <v>8.8339365542146452E-3</v>
      </c>
      <c r="F88" s="22">
        <v>8.1732175634971413E-3</v>
      </c>
      <c r="G88" s="22">
        <v>8.2099485645736447E-3</v>
      </c>
    </row>
    <row r="89" spans="1:7" x14ac:dyDescent="0.3">
      <c r="A89" s="21" t="s">
        <v>62</v>
      </c>
      <c r="B89" s="22">
        <v>1.2502471929863109E-2</v>
      </c>
      <c r="C89" s="22">
        <v>1.1860448482926117E-2</v>
      </c>
      <c r="D89" s="22">
        <v>1.1300099142671098E-2</v>
      </c>
      <c r="E89" s="22">
        <v>1.1120840906298923E-2</v>
      </c>
      <c r="F89" s="22">
        <v>1.130604717215291E-2</v>
      </c>
      <c r="G89" s="22">
        <v>1.0353105855349919E-2</v>
      </c>
    </row>
    <row r="90" spans="1:7" x14ac:dyDescent="0.3">
      <c r="A90" s="21" t="s">
        <v>9</v>
      </c>
      <c r="B90" s="22">
        <v>1.3163586922934305E-2</v>
      </c>
      <c r="C90" s="22">
        <v>1.2300370273403896E-2</v>
      </c>
      <c r="D90" s="22">
        <v>1.2277158741591229E-2</v>
      </c>
      <c r="E90" s="22">
        <v>1.1799368043496825E-2</v>
      </c>
      <c r="F90" s="22">
        <v>1.0747163942848414E-2</v>
      </c>
      <c r="G90" s="22">
        <v>1.0171740982112791E-2</v>
      </c>
    </row>
    <row r="91" spans="1:7" x14ac:dyDescent="0.3">
      <c r="A91" s="21" t="s">
        <v>10</v>
      </c>
      <c r="B91" s="22">
        <v>1.2042934846016727E-2</v>
      </c>
      <c r="C91" s="22">
        <v>1.1513473424707073E-2</v>
      </c>
      <c r="D91" s="22">
        <v>1.1212979292786506E-2</v>
      </c>
      <c r="E91" s="22">
        <v>1.0984942663026322E-2</v>
      </c>
      <c r="F91" s="22">
        <v>1.0600925933106374E-2</v>
      </c>
      <c r="G91" s="22">
        <v>1.0109500712063202E-2</v>
      </c>
    </row>
    <row r="92" spans="1:7" x14ac:dyDescent="0.3">
      <c r="A92" s="21" t="s">
        <v>75</v>
      </c>
      <c r="B92" s="22">
        <v>1.6145412553004057E-2</v>
      </c>
      <c r="C92" s="22">
        <v>1.6805625585248146E-2</v>
      </c>
      <c r="D92" s="22">
        <v>1.5359150402309764E-2</v>
      </c>
      <c r="E92" s="22">
        <v>1.4298204377785246E-2</v>
      </c>
      <c r="F92" s="22">
        <v>1.424027300878431E-2</v>
      </c>
      <c r="G92" s="22">
        <v>1.2391664890607369E-2</v>
      </c>
    </row>
    <row r="93" spans="1:7" x14ac:dyDescent="0.3">
      <c r="A93" s="21" t="s">
        <v>73</v>
      </c>
      <c r="B93" s="22">
        <v>1.4659561363157936E-2</v>
      </c>
      <c r="C93" s="22">
        <v>1.451655982905983E-2</v>
      </c>
      <c r="D93" s="22">
        <v>1.3744690110597074E-2</v>
      </c>
      <c r="E93" s="22">
        <v>1.2585803596381414E-2</v>
      </c>
      <c r="F93" s="22">
        <v>1.1739294303113323E-2</v>
      </c>
      <c r="G93" s="22">
        <v>1.0832204384943218E-2</v>
      </c>
    </row>
    <row r="94" spans="1:7" x14ac:dyDescent="0.3">
      <c r="A94" s="21" t="s">
        <v>8</v>
      </c>
      <c r="B94" s="22">
        <v>1.2931427841355016E-2</v>
      </c>
      <c r="C94" s="22">
        <v>1.1993474956437919E-2</v>
      </c>
      <c r="D94" s="22">
        <v>1.1559445221751664E-2</v>
      </c>
      <c r="E94" s="22">
        <v>1.0661613406452478E-2</v>
      </c>
      <c r="F94" s="22">
        <v>1.0033065658951346E-2</v>
      </c>
      <c r="G94" s="22">
        <v>9.7304289031954604E-3</v>
      </c>
    </row>
    <row r="95" spans="1:7" x14ac:dyDescent="0.3">
      <c r="A95" s="21" t="s">
        <v>3</v>
      </c>
      <c r="B95" s="22">
        <v>9.2946744262020192E-3</v>
      </c>
      <c r="C95" s="22">
        <v>8.9758464918222036E-3</v>
      </c>
      <c r="D95" s="22">
        <v>8.7597671551599265E-3</v>
      </c>
      <c r="E95" s="22">
        <v>8.7480761646061729E-3</v>
      </c>
      <c r="F95" s="22">
        <v>8.986518790384224E-3</v>
      </c>
      <c r="G95" s="22">
        <v>9.3963618846630275E-3</v>
      </c>
    </row>
    <row r="96" spans="1:7" x14ac:dyDescent="0.3">
      <c r="A96" s="21" t="s">
        <v>74</v>
      </c>
      <c r="B96" s="22">
        <v>9.4459470535202036E-3</v>
      </c>
      <c r="C96" s="22">
        <v>9.2378988628707918E-3</v>
      </c>
      <c r="D96" s="22">
        <v>8.9776855215360669E-3</v>
      </c>
      <c r="E96" s="22">
        <v>8.8320358257227855E-3</v>
      </c>
      <c r="F96" s="22">
        <v>7.8877323580965573E-3</v>
      </c>
      <c r="G96" s="22">
        <v>7.4893128168874064E-3</v>
      </c>
    </row>
    <row r="97" spans="1:7" x14ac:dyDescent="0.3">
      <c r="A97" s="21" t="s">
        <v>18</v>
      </c>
      <c r="B97" s="22">
        <v>1.1972212642262404E-2</v>
      </c>
      <c r="C97" s="22">
        <v>1.0900202040358185E-2</v>
      </c>
      <c r="D97" s="22">
        <v>1.1145030769976257E-2</v>
      </c>
      <c r="E97" s="22">
        <v>1.0529086601737299E-2</v>
      </c>
      <c r="F97" s="22">
        <v>9.439970883945225E-3</v>
      </c>
      <c r="G97" s="22">
        <v>8.6255433191451021E-3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D9E06-D7EE-48A2-879E-536E958B2025}">
  <sheetPr codeName="Лист4">
    <tabColor theme="0" tint="-0.14999847407452621"/>
    <pageSetUpPr fitToPage="1"/>
  </sheetPr>
  <dimension ref="A1:G101"/>
  <sheetViews>
    <sheetView showGridLines="0" workbookViewId="0"/>
  </sheetViews>
  <sheetFormatPr defaultRowHeight="16.5" x14ac:dyDescent="0.3"/>
  <cols>
    <col min="1" max="1" width="103.28515625" style="1" bestFit="1" customWidth="1"/>
    <col min="2" max="2" width="13.140625" style="1" customWidth="1"/>
    <col min="3" max="16384" width="9.140625" style="1"/>
  </cols>
  <sheetData>
    <row r="1" spans="1:7" x14ac:dyDescent="0.3">
      <c r="A1" s="2" t="s">
        <v>130</v>
      </c>
    </row>
    <row r="3" spans="1:7" x14ac:dyDescent="0.3">
      <c r="A3" s="17" t="s">
        <v>105</v>
      </c>
      <c r="B3" s="17">
        <v>2017</v>
      </c>
      <c r="C3" s="17">
        <v>2018</v>
      </c>
      <c r="D3" s="17">
        <v>2019</v>
      </c>
      <c r="E3" s="17">
        <v>2020</v>
      </c>
      <c r="F3" s="17">
        <v>2021</v>
      </c>
      <c r="G3" s="17">
        <v>2022</v>
      </c>
    </row>
    <row r="4" spans="1:7" x14ac:dyDescent="0.3">
      <c r="A4" s="1" t="s">
        <v>87</v>
      </c>
      <c r="B4" s="16">
        <v>9.8844617352531416E-2</v>
      </c>
      <c r="C4" s="16">
        <v>0.10206667084791976</v>
      </c>
      <c r="D4" s="16">
        <v>0.13408884028715101</v>
      </c>
      <c r="E4" s="16">
        <v>0.14940336090625481</v>
      </c>
      <c r="F4" s="16">
        <v>0.1461442119836103</v>
      </c>
      <c r="G4" s="16">
        <v>0.15940628822470085</v>
      </c>
    </row>
    <row r="5" spans="1:7" x14ac:dyDescent="0.3">
      <c r="A5" s="1" t="s">
        <v>96</v>
      </c>
      <c r="B5" s="16">
        <v>0.14215206444436676</v>
      </c>
      <c r="C5" s="16">
        <v>0.13629049531304147</v>
      </c>
      <c r="D5" s="16">
        <v>0.16866782350410761</v>
      </c>
      <c r="E5" s="16">
        <v>0.18795354111896953</v>
      </c>
      <c r="F5" s="16">
        <v>0.19344074349536891</v>
      </c>
      <c r="G5" s="16">
        <v>0.21555671897472808</v>
      </c>
    </row>
    <row r="6" spans="1:7" x14ac:dyDescent="0.3">
      <c r="A6" s="1" t="s">
        <v>50</v>
      </c>
      <c r="B6" s="16">
        <v>1.6847019643069078E-2</v>
      </c>
      <c r="C6" s="16">
        <v>1.567878719300287E-2</v>
      </c>
      <c r="D6" s="16">
        <v>1.5414805224152239E-2</v>
      </c>
      <c r="E6" s="16">
        <v>1.6168163713567413E-2</v>
      </c>
      <c r="F6" s="16">
        <v>1.1801798129139366E-2</v>
      </c>
      <c r="G6" s="16">
        <v>1.2839232618478512E-2</v>
      </c>
    </row>
    <row r="7" spans="1:7" x14ac:dyDescent="0.3">
      <c r="A7" s="1" t="s">
        <v>48</v>
      </c>
      <c r="B7" s="16">
        <v>5.6045393345812971E-3</v>
      </c>
      <c r="C7" s="16">
        <v>2.4355326150071574E-3</v>
      </c>
      <c r="D7" s="16">
        <v>2.5780140937660505E-3</v>
      </c>
      <c r="E7" s="16">
        <v>3.0053632392434905E-3</v>
      </c>
      <c r="F7" s="16">
        <v>2.1851943568400789E-3</v>
      </c>
      <c r="G7" s="16">
        <v>1.6289028886697623E-3</v>
      </c>
    </row>
    <row r="8" spans="1:7" x14ac:dyDescent="0.3">
      <c r="A8" s="1" t="s">
        <v>20</v>
      </c>
      <c r="B8" s="16">
        <v>2.1309434440154981E-2</v>
      </c>
      <c r="C8" s="16">
        <v>2.2339156369338625E-2</v>
      </c>
      <c r="D8" s="16">
        <v>1.9971326940941773E-2</v>
      </c>
      <c r="E8" s="16">
        <v>2.0040017867936608E-2</v>
      </c>
      <c r="F8" s="16">
        <v>2.0026225077323174E-2</v>
      </c>
      <c r="G8" s="16">
        <v>2.17086090481655E-2</v>
      </c>
    </row>
    <row r="9" spans="1:7" x14ac:dyDescent="0.3">
      <c r="A9" s="1" t="s">
        <v>4</v>
      </c>
      <c r="B9" s="16">
        <v>2.5634868099412202E-2</v>
      </c>
      <c r="C9" s="16">
        <v>3.5313370872305065E-2</v>
      </c>
      <c r="D9" s="16">
        <v>1.8304345114617648E-2</v>
      </c>
      <c r="E9" s="16">
        <v>2.0839104620510248E-2</v>
      </c>
      <c r="F9" s="16">
        <v>1.6799089615003808E-2</v>
      </c>
      <c r="G9" s="16">
        <v>2.1999593708587079E-2</v>
      </c>
    </row>
    <row r="10" spans="1:7" x14ac:dyDescent="0.3">
      <c r="A10" s="1" t="s">
        <v>45</v>
      </c>
      <c r="B10" s="16">
        <v>6.3065817803394014E-2</v>
      </c>
      <c r="C10" s="16">
        <v>1.4082340482757416E-2</v>
      </c>
      <c r="D10" s="16">
        <v>6.1489258211900724E-2</v>
      </c>
      <c r="E10" s="16">
        <v>1.7308071935731292E-2</v>
      </c>
      <c r="F10" s="16">
        <v>1.3385875231538735E-2</v>
      </c>
      <c r="G10" s="16">
        <v>1.1255967762388153E-2</v>
      </c>
    </row>
    <row r="11" spans="1:7" x14ac:dyDescent="0.3">
      <c r="A11" s="1" t="s">
        <v>40</v>
      </c>
      <c r="B11" s="16">
        <v>2.6347858380449871E-2</v>
      </c>
      <c r="C11" s="16">
        <v>2.5610588411264183E-2</v>
      </c>
      <c r="D11" s="16">
        <v>2.3200085760711982E-2</v>
      </c>
      <c r="E11" s="16">
        <v>2.5654377571968163E-2</v>
      </c>
      <c r="F11" s="16">
        <v>2.2530349431466527E-2</v>
      </c>
      <c r="G11" s="16">
        <v>2.4275593023286531E-2</v>
      </c>
    </row>
    <row r="12" spans="1:7" x14ac:dyDescent="0.3">
      <c r="A12" s="1" t="s">
        <v>37</v>
      </c>
      <c r="B12" s="16">
        <v>1.2834523017543937E-2</v>
      </c>
      <c r="C12" s="16">
        <v>1.1715998118981146E-2</v>
      </c>
      <c r="D12" s="16">
        <v>1.2606986128508864E-2</v>
      </c>
      <c r="E12" s="16">
        <v>1.9797046752470338E-2</v>
      </c>
      <c r="F12" s="16">
        <v>1.5268680233816298E-2</v>
      </c>
      <c r="G12" s="16">
        <v>1.2642100795478761E-2</v>
      </c>
    </row>
    <row r="13" spans="1:7" x14ac:dyDescent="0.3">
      <c r="A13" s="1" t="s">
        <v>56</v>
      </c>
      <c r="B13" s="16">
        <v>1.4125555626260824E-2</v>
      </c>
      <c r="C13" s="16">
        <v>1.2648086594609238E-2</v>
      </c>
      <c r="D13" s="16">
        <v>1.3665820573897961E-2</v>
      </c>
      <c r="E13" s="16">
        <v>1.2498470341554482E-2</v>
      </c>
      <c r="F13" s="16">
        <v>7.7692384085165682E-3</v>
      </c>
      <c r="G13" s="16">
        <v>4.6717956469472651E-3</v>
      </c>
    </row>
    <row r="14" spans="1:7" x14ac:dyDescent="0.3">
      <c r="A14" s="1" t="s">
        <v>51</v>
      </c>
      <c r="B14" s="16">
        <v>8.9318926611054034E-3</v>
      </c>
      <c r="C14" s="16">
        <v>2.9205966169338687E-3</v>
      </c>
      <c r="D14" s="16">
        <v>5.4738760212853467E-3</v>
      </c>
      <c r="E14" s="16">
        <v>5.4272725424679901E-3</v>
      </c>
      <c r="F14" s="16">
        <v>3.6714185783517628E-3</v>
      </c>
      <c r="G14" s="16">
        <v>3.6950391132624782E-3</v>
      </c>
    </row>
    <row r="15" spans="1:7" x14ac:dyDescent="0.3">
      <c r="A15" s="1" t="s">
        <v>21</v>
      </c>
      <c r="B15" s="16">
        <v>6.4382270590398569E-2</v>
      </c>
      <c r="C15" s="16">
        <v>8.9672756063445186E-2</v>
      </c>
      <c r="D15" s="16">
        <v>0.40240640804025729</v>
      </c>
      <c r="E15" s="16">
        <v>0.38592120886252512</v>
      </c>
      <c r="F15" s="16">
        <v>0.35828371192444991</v>
      </c>
      <c r="G15" s="16">
        <v>0.3066397934107371</v>
      </c>
    </row>
    <row r="16" spans="1:7" x14ac:dyDescent="0.3">
      <c r="A16" s="1" t="s">
        <v>70</v>
      </c>
      <c r="B16" s="16">
        <v>1.5796877043949643E-2</v>
      </c>
      <c r="C16" s="16">
        <v>1.8210219718036984E-2</v>
      </c>
      <c r="D16" s="16">
        <v>4.3643726043639891E-2</v>
      </c>
      <c r="E16" s="16">
        <v>3.7993943322540476E-2</v>
      </c>
      <c r="F16" s="16">
        <v>3.3029237917339208E-2</v>
      </c>
      <c r="G16" s="16">
        <v>1.8618874759858333E-2</v>
      </c>
    </row>
    <row r="17" spans="1:7" x14ac:dyDescent="0.3">
      <c r="A17" s="1" t="s">
        <v>59</v>
      </c>
      <c r="B17" s="16">
        <v>1.3660025714038812E-2</v>
      </c>
      <c r="C17" s="16">
        <v>1.4980229258086543E-2</v>
      </c>
      <c r="D17" s="16">
        <v>1.6598888053192602E-2</v>
      </c>
      <c r="E17" s="16">
        <v>1.3773070466542607E-2</v>
      </c>
      <c r="F17" s="16">
        <v>9.5114693543314876E-3</v>
      </c>
      <c r="G17" s="16">
        <v>1.0608060064367738E-2</v>
      </c>
    </row>
    <row r="18" spans="1:7" x14ac:dyDescent="0.3">
      <c r="A18" s="1" t="s">
        <v>43</v>
      </c>
      <c r="B18" s="16">
        <v>8.1742483791699787E-3</v>
      </c>
      <c r="C18" s="16">
        <v>9.0844963537720508E-3</v>
      </c>
      <c r="D18" s="16">
        <v>1.3150512636257376E-2</v>
      </c>
      <c r="E18" s="16">
        <v>1.0549453360026209E-2</v>
      </c>
      <c r="F18" s="16">
        <v>2.1689612961012576E-2</v>
      </c>
      <c r="G18" s="16">
        <v>2.1657731034928188E-2</v>
      </c>
    </row>
    <row r="19" spans="1:7" x14ac:dyDescent="0.3">
      <c r="A19" s="1" t="s">
        <v>15</v>
      </c>
      <c r="B19" s="16">
        <v>1.3220965044888795E-2</v>
      </c>
      <c r="C19" s="16">
        <v>9.8147911844801011E-3</v>
      </c>
      <c r="D19" s="16">
        <v>1.0954866898259429E-2</v>
      </c>
      <c r="E19" s="16">
        <v>9.8936982395180697E-3</v>
      </c>
      <c r="F19" s="16">
        <v>9.0365230827695268E-3</v>
      </c>
      <c r="G19" s="16">
        <v>7.2753525552162635E-2</v>
      </c>
    </row>
    <row r="20" spans="1:7" x14ac:dyDescent="0.3">
      <c r="A20" s="1" t="s">
        <v>38</v>
      </c>
      <c r="B20" s="16">
        <v>1.801507960172001E-2</v>
      </c>
      <c r="C20" s="16">
        <v>2.1119161977443818E-2</v>
      </c>
      <c r="D20" s="16">
        <v>2.5524660812599183E-2</v>
      </c>
      <c r="E20" s="16">
        <v>1.6578987978761638E-2</v>
      </c>
      <c r="F20" s="16">
        <v>1.7132725224707799E-2</v>
      </c>
      <c r="G20" s="16">
        <v>1.9699470223393335E-2</v>
      </c>
    </row>
    <row r="21" spans="1:7" x14ac:dyDescent="0.3">
      <c r="A21" s="1" t="s">
        <v>39</v>
      </c>
      <c r="B21" s="16">
        <v>9.4193859044689118E-3</v>
      </c>
      <c r="C21" s="16">
        <v>9.918041115549071E-3</v>
      </c>
      <c r="D21" s="16">
        <v>2.374744557106059E-2</v>
      </c>
      <c r="E21" s="16">
        <v>2.3062402224022099E-2</v>
      </c>
      <c r="F21" s="16">
        <v>1.9796988011843611E-2</v>
      </c>
      <c r="G21" s="16">
        <v>2.1796107428519361E-2</v>
      </c>
    </row>
    <row r="22" spans="1:7" x14ac:dyDescent="0.3">
      <c r="A22" s="1" t="s">
        <v>78</v>
      </c>
      <c r="B22" s="16">
        <v>5.6739005956751909E-2</v>
      </c>
      <c r="C22" s="16">
        <v>5.9439803370853445E-2</v>
      </c>
      <c r="D22" s="16">
        <v>8.7041162310983203E-2</v>
      </c>
      <c r="E22" s="16">
        <v>0.10217593018463281</v>
      </c>
      <c r="F22" s="16">
        <v>0.11066517717759493</v>
      </c>
      <c r="G22" s="16">
        <v>6.5031820502842938E-2</v>
      </c>
    </row>
    <row r="23" spans="1:7" x14ac:dyDescent="0.3">
      <c r="A23" s="1" t="s">
        <v>13</v>
      </c>
      <c r="B23" s="16">
        <v>0.16105532501611727</v>
      </c>
      <c r="C23" s="16">
        <v>0.15016917792061221</v>
      </c>
      <c r="D23" s="16">
        <v>0.15367747421523678</v>
      </c>
      <c r="E23" s="16">
        <v>0.17939840954052216</v>
      </c>
      <c r="F23" s="16">
        <v>0.18944364028378899</v>
      </c>
      <c r="G23" s="16">
        <v>0.22401996537582608</v>
      </c>
    </row>
    <row r="24" spans="1:7" x14ac:dyDescent="0.3">
      <c r="A24" s="1" t="s">
        <v>97</v>
      </c>
      <c r="B24" s="16">
        <v>4.2153592972132975E-2</v>
      </c>
      <c r="C24" s="16">
        <v>7.3382055920864719E-2</v>
      </c>
      <c r="D24" s="16">
        <v>0.10378148646374277</v>
      </c>
      <c r="E24" s="16">
        <v>0.14564661651679472</v>
      </c>
      <c r="F24" s="16">
        <v>0.12504790358579268</v>
      </c>
      <c r="G24" s="16">
        <v>0.1398316888454903</v>
      </c>
    </row>
    <row r="25" spans="1:7" x14ac:dyDescent="0.3">
      <c r="A25" s="1" t="s">
        <v>71</v>
      </c>
      <c r="B25" s="16">
        <v>6.8727309564312646E-3</v>
      </c>
      <c r="C25" s="16">
        <v>5.4164893528634381E-3</v>
      </c>
      <c r="D25" s="16">
        <v>3.4228946291356087E-3</v>
      </c>
      <c r="E25" s="16">
        <v>4.3817310068590045E-3</v>
      </c>
      <c r="F25" s="16">
        <v>5.064539880484103E-3</v>
      </c>
      <c r="G25" s="16">
        <v>4.4121547376609355E-3</v>
      </c>
    </row>
    <row r="26" spans="1:7" x14ac:dyDescent="0.3">
      <c r="A26" s="1" t="s">
        <v>65</v>
      </c>
      <c r="B26" s="16">
        <v>2.7669137163841119E-3</v>
      </c>
      <c r="C26" s="16">
        <v>2.7131943269110459E-3</v>
      </c>
      <c r="D26" s="16">
        <v>2.8768038795272516E-3</v>
      </c>
      <c r="E26" s="16">
        <v>4.4457951007177915E-3</v>
      </c>
      <c r="F26" s="16">
        <v>9.3062205126863608E-3</v>
      </c>
      <c r="G26" s="16">
        <v>2.9559736721153137E-3</v>
      </c>
    </row>
    <row r="27" spans="1:7" x14ac:dyDescent="0.3">
      <c r="A27" s="1" t="s">
        <v>53</v>
      </c>
      <c r="B27" s="16">
        <v>7.5779994857753247E-3</v>
      </c>
      <c r="C27" s="16">
        <v>8.0590746212863239E-3</v>
      </c>
      <c r="D27" s="16">
        <v>5.8122225475621386E-3</v>
      </c>
      <c r="E27" s="16">
        <v>6.6158924766657971E-3</v>
      </c>
      <c r="F27" s="16">
        <v>7.9746709761343987E-3</v>
      </c>
      <c r="G27" s="16">
        <v>4.9257898530860964E-3</v>
      </c>
    </row>
    <row r="28" spans="1:7" x14ac:dyDescent="0.3">
      <c r="A28" s="1" t="s">
        <v>7</v>
      </c>
      <c r="B28" s="16">
        <v>3.3007179597159225E-3</v>
      </c>
      <c r="C28" s="16">
        <v>2.5700001782416951E-3</v>
      </c>
      <c r="D28" s="16">
        <v>2.713926176379462E-3</v>
      </c>
      <c r="E28" s="16">
        <v>2.7072762973080326E-3</v>
      </c>
      <c r="F28" s="16">
        <v>2.4476132007310577E-2</v>
      </c>
      <c r="G28" s="16">
        <v>2.3407448530864249E-3</v>
      </c>
    </row>
    <row r="29" spans="1:7" x14ac:dyDescent="0.3">
      <c r="A29" s="1" t="s">
        <v>88</v>
      </c>
      <c r="B29" s="16">
        <v>8.47559204315999E-3</v>
      </c>
      <c r="C29" s="16">
        <v>9.1848044270234405E-3</v>
      </c>
      <c r="D29" s="16">
        <v>6.4518703215024889E-3</v>
      </c>
      <c r="E29" s="16">
        <v>7.3323506600555923E-3</v>
      </c>
      <c r="F29" s="16">
        <v>4.9166834619301459E-3</v>
      </c>
      <c r="G29" s="16">
        <v>5.3845922460227609E-3</v>
      </c>
    </row>
    <row r="30" spans="1:7" x14ac:dyDescent="0.3">
      <c r="A30" s="1" t="s">
        <v>80</v>
      </c>
      <c r="B30" s="16">
        <v>9.070191930222439E-2</v>
      </c>
      <c r="C30" s="16">
        <v>7.0230033486122542E-2</v>
      </c>
      <c r="D30" s="16">
        <v>0.3570508521044029</v>
      </c>
      <c r="E30" s="16">
        <v>0.3531985521197552</v>
      </c>
      <c r="F30" s="16">
        <v>0.34351291907954201</v>
      </c>
      <c r="G30" s="16">
        <v>0.40361464626819349</v>
      </c>
    </row>
    <row r="31" spans="1:7" x14ac:dyDescent="0.3">
      <c r="A31" s="1" t="s">
        <v>69</v>
      </c>
      <c r="B31" s="16">
        <v>2.3438443223219987E-2</v>
      </c>
      <c r="C31" s="16">
        <v>2.7190600840814063E-2</v>
      </c>
      <c r="D31" s="16">
        <v>0.29994544359018327</v>
      </c>
      <c r="E31" s="16">
        <v>0.6342121674024237</v>
      </c>
      <c r="F31" s="16">
        <v>0.63775420557694795</v>
      </c>
      <c r="G31" s="16">
        <v>0.6855458493157961</v>
      </c>
    </row>
    <row r="32" spans="1:7" x14ac:dyDescent="0.3">
      <c r="A32" s="1" t="s">
        <v>33</v>
      </c>
      <c r="B32" s="16">
        <v>2.32542378197153E-2</v>
      </c>
      <c r="C32" s="16">
        <v>3.2616067460051482E-2</v>
      </c>
      <c r="D32" s="16">
        <v>1.13718413255547E-2</v>
      </c>
      <c r="E32" s="16">
        <v>2.2140053612401445E-2</v>
      </c>
      <c r="F32" s="16">
        <v>1.6997634374740049E-2</v>
      </c>
      <c r="G32" s="16">
        <v>1.0355447415519279E-2</v>
      </c>
    </row>
    <row r="33" spans="1:7" x14ac:dyDescent="0.3">
      <c r="A33" s="1" t="s">
        <v>30</v>
      </c>
      <c r="B33" s="16">
        <v>2.9172876248190226E-2</v>
      </c>
      <c r="C33" s="16">
        <v>2.8021200890339385E-2</v>
      </c>
      <c r="D33" s="16">
        <v>2.2806251251401385E-2</v>
      </c>
      <c r="E33" s="16">
        <v>2.2347972827758054E-2</v>
      </c>
      <c r="F33" s="16">
        <v>2.1500926928597338E-2</v>
      </c>
      <c r="G33" s="16">
        <v>1.7472975513850443E-2</v>
      </c>
    </row>
    <row r="34" spans="1:7" x14ac:dyDescent="0.3">
      <c r="A34" s="1" t="s">
        <v>52</v>
      </c>
      <c r="B34" s="16">
        <v>2.1346125140443772E-2</v>
      </c>
      <c r="C34" s="16">
        <v>1.9186116468563934E-2</v>
      </c>
      <c r="D34" s="16">
        <v>3.9667905932520585E-2</v>
      </c>
      <c r="E34" s="16">
        <v>3.4734476941552378E-2</v>
      </c>
      <c r="F34" s="16">
        <v>2.8715037860258849E-2</v>
      </c>
      <c r="G34" s="16">
        <v>0.39649777120159846</v>
      </c>
    </row>
    <row r="35" spans="1:7" x14ac:dyDescent="0.3">
      <c r="A35" s="1" t="s">
        <v>31</v>
      </c>
      <c r="B35" s="16">
        <v>7.5217014028576071E-3</v>
      </c>
      <c r="C35" s="16">
        <v>8.0793937361068636E-3</v>
      </c>
      <c r="D35" s="16">
        <v>1.054281219230358E-2</v>
      </c>
      <c r="E35" s="16">
        <v>1.004653376657039E-2</v>
      </c>
      <c r="F35" s="16">
        <v>8.878577067212963E-3</v>
      </c>
      <c r="G35" s="16">
        <v>8.8937073887655552E-3</v>
      </c>
    </row>
    <row r="36" spans="1:7" x14ac:dyDescent="0.3">
      <c r="A36" s="1" t="s">
        <v>32</v>
      </c>
      <c r="B36" s="16">
        <v>4.9164877952224524E-2</v>
      </c>
      <c r="C36" s="16">
        <v>9.1930599485304576E-2</v>
      </c>
      <c r="D36" s="16">
        <v>9.9056789746164164E-2</v>
      </c>
      <c r="E36" s="16">
        <v>0.10609992131675586</v>
      </c>
      <c r="F36" s="16">
        <v>9.2818931940722091E-2</v>
      </c>
      <c r="G36" s="16">
        <v>8.7067425721114991E-2</v>
      </c>
    </row>
    <row r="37" spans="1:7" x14ac:dyDescent="0.3">
      <c r="A37" s="1" t="s">
        <v>98</v>
      </c>
      <c r="B37" s="16">
        <v>2.0772999541474942E-2</v>
      </c>
      <c r="C37" s="16">
        <v>2.0403162888210799E-2</v>
      </c>
      <c r="D37" s="16">
        <v>0.12487374060812879</v>
      </c>
      <c r="E37" s="16">
        <v>4.9361864190783061E-2</v>
      </c>
      <c r="F37" s="16">
        <v>4.5938569208687358E-2</v>
      </c>
      <c r="G37" s="16">
        <v>4.5300571246214137E-2</v>
      </c>
    </row>
    <row r="38" spans="1:7" x14ac:dyDescent="0.3">
      <c r="A38" s="1" t="s">
        <v>26</v>
      </c>
      <c r="B38" s="16">
        <v>2.8957559715163925E-2</v>
      </c>
      <c r="C38" s="16">
        <v>2.0696092354052387E-2</v>
      </c>
      <c r="D38" s="16">
        <v>2.1314105545822509E-2</v>
      </c>
      <c r="E38" s="16">
        <v>2.152655516261583E-2</v>
      </c>
      <c r="F38" s="16">
        <v>1.7132180288309852E-2</v>
      </c>
      <c r="G38" s="16">
        <v>6.9411026533149926E-3</v>
      </c>
    </row>
    <row r="39" spans="1:7" x14ac:dyDescent="0.3">
      <c r="A39" s="1" t="s">
        <v>27</v>
      </c>
      <c r="B39" s="16">
        <v>4.0217200959310915E-3</v>
      </c>
      <c r="C39" s="16">
        <v>1.1927456292847931E-2</v>
      </c>
      <c r="D39" s="16">
        <v>3.5137551613594773E-3</v>
      </c>
      <c r="E39" s="16">
        <v>1.4524337091562473E-3</v>
      </c>
      <c r="F39" s="16">
        <v>1.4709138003981465E-2</v>
      </c>
      <c r="G39" s="16">
        <v>4.3914474436045504E-3</v>
      </c>
    </row>
    <row r="40" spans="1:7" x14ac:dyDescent="0.3">
      <c r="A40" s="1" t="s">
        <v>89</v>
      </c>
      <c r="B40" s="16">
        <v>1.5697376879176658E-2</v>
      </c>
      <c r="C40" s="16">
        <v>5.0634477447809773E-2</v>
      </c>
      <c r="D40" s="16">
        <v>4.399213178961698E-2</v>
      </c>
      <c r="E40" s="16">
        <v>0.3066449456556522</v>
      </c>
      <c r="F40" s="16">
        <v>0.28284820384443043</v>
      </c>
      <c r="G40" s="16">
        <v>7.3884688103497284E-2</v>
      </c>
    </row>
    <row r="41" spans="1:7" x14ac:dyDescent="0.3">
      <c r="A41" s="1" t="s">
        <v>28</v>
      </c>
      <c r="B41" s="16">
        <v>2.3392560246526441E-2</v>
      </c>
      <c r="C41" s="16">
        <v>2.0520680667722131E-2</v>
      </c>
      <c r="D41" s="16">
        <v>0.19638055486549574</v>
      </c>
      <c r="E41" s="16">
        <v>2.2097706622227625E-2</v>
      </c>
      <c r="F41" s="16">
        <v>2.0510479116583425E-2</v>
      </c>
      <c r="G41" s="16">
        <v>2.2218050243156789E-2</v>
      </c>
    </row>
    <row r="42" spans="1:7" x14ac:dyDescent="0.3">
      <c r="A42" s="1" t="s">
        <v>25</v>
      </c>
      <c r="B42" s="16">
        <v>6.449144824295136E-3</v>
      </c>
      <c r="C42" s="16">
        <v>4.333857284880417E-3</v>
      </c>
      <c r="D42" s="16">
        <v>6.7291783567645187E-3</v>
      </c>
      <c r="E42" s="16">
        <v>7.1277932277558891E-3</v>
      </c>
      <c r="F42" s="16">
        <v>6.6796245951710621E-3</v>
      </c>
      <c r="G42" s="16">
        <v>5.5950872240320172E-3</v>
      </c>
    </row>
    <row r="43" spans="1:7" x14ac:dyDescent="0.3">
      <c r="A43" s="1" t="s">
        <v>22</v>
      </c>
      <c r="B43" s="16">
        <v>2.2374808659048128E-2</v>
      </c>
      <c r="C43" s="16">
        <v>1.6229766744833236E-2</v>
      </c>
      <c r="D43" s="16">
        <v>1.5721076089307794E-2</v>
      </c>
      <c r="E43" s="16">
        <v>1.0884573004458095E-2</v>
      </c>
      <c r="F43" s="16">
        <v>1.4797194716506326E-2</v>
      </c>
      <c r="G43" s="16">
        <v>1.3170248092527721E-2</v>
      </c>
    </row>
    <row r="44" spans="1:7" x14ac:dyDescent="0.3">
      <c r="A44" s="1" t="s">
        <v>29</v>
      </c>
      <c r="B44" s="16">
        <v>1.4186100943422417E-2</v>
      </c>
      <c r="C44" s="16">
        <v>1.6776304581116289E-2</v>
      </c>
      <c r="D44" s="16">
        <v>1.7316813929496976E-2</v>
      </c>
      <c r="E44" s="16">
        <v>1.2829502561081325E-2</v>
      </c>
      <c r="F44" s="16">
        <v>1.2726606366530913E-2</v>
      </c>
      <c r="G44" s="16">
        <v>7.9302612637474498E-2</v>
      </c>
    </row>
    <row r="45" spans="1:7" x14ac:dyDescent="0.3">
      <c r="A45" s="1" t="s">
        <v>90</v>
      </c>
      <c r="B45" s="16">
        <v>0.10779673230619718</v>
      </c>
      <c r="C45" s="16">
        <v>2.0783803422040791E-2</v>
      </c>
      <c r="D45" s="16">
        <v>9.3123288275386504E-3</v>
      </c>
      <c r="E45" s="16">
        <v>9.7273591073745447E-3</v>
      </c>
      <c r="F45" s="16">
        <v>1.0927541515284057E-2</v>
      </c>
      <c r="G45" s="16">
        <v>9.4284385682385646E-3</v>
      </c>
    </row>
    <row r="46" spans="1:7" x14ac:dyDescent="0.3">
      <c r="A46" s="1" t="s">
        <v>99</v>
      </c>
      <c r="B46" s="16">
        <v>2.199520865761289E-2</v>
      </c>
      <c r="C46" s="16">
        <v>2.3139557464403892E-2</v>
      </c>
      <c r="D46" s="16">
        <v>1.9450723711825858E-2</v>
      </c>
      <c r="E46" s="16">
        <v>2.9892998244745849E-2</v>
      </c>
      <c r="F46" s="16">
        <v>4.085695481667382E-2</v>
      </c>
      <c r="G46" s="16">
        <v>1.4881700494271044E-2</v>
      </c>
    </row>
    <row r="47" spans="1:7" x14ac:dyDescent="0.3">
      <c r="A47" s="1" t="s">
        <v>63</v>
      </c>
      <c r="B47" s="16">
        <v>3.9082057825015074E-2</v>
      </c>
      <c r="C47" s="16">
        <v>3.6840511157316951E-2</v>
      </c>
      <c r="D47" s="16">
        <v>3.3044592427955204E-2</v>
      </c>
      <c r="E47" s="16">
        <v>2.9016069262920996E-2</v>
      </c>
      <c r="F47" s="16">
        <v>3.2898579447190934E-2</v>
      </c>
      <c r="G47" s="16">
        <v>2.4054388646014571E-2</v>
      </c>
    </row>
    <row r="48" spans="1:7" x14ac:dyDescent="0.3">
      <c r="A48" s="1" t="s">
        <v>81</v>
      </c>
      <c r="B48" s="16">
        <v>3.349221901107877E-3</v>
      </c>
      <c r="C48" s="16">
        <v>5.3373694373656085E-2</v>
      </c>
      <c r="D48" s="16">
        <v>3.8362269907401811E-2</v>
      </c>
      <c r="E48" s="16">
        <v>3.1815036985794597E-2</v>
      </c>
      <c r="F48" s="16">
        <v>1.2927042008808884E-2</v>
      </c>
      <c r="G48" s="16">
        <v>1.3378030017482494E-2</v>
      </c>
    </row>
    <row r="49" spans="1:7" x14ac:dyDescent="0.3">
      <c r="A49" s="1" t="s">
        <v>91</v>
      </c>
      <c r="B49" s="16">
        <v>1.4701049130095409E-2</v>
      </c>
      <c r="C49" s="16">
        <v>1.0996174562410761E-2</v>
      </c>
      <c r="D49" s="16">
        <v>1.709874726865513E-2</v>
      </c>
      <c r="E49" s="16">
        <v>1.7376785056766264E-2</v>
      </c>
      <c r="F49" s="16">
        <v>1.874317541006805E-2</v>
      </c>
      <c r="G49" s="16">
        <v>8.6856405415479279E-4</v>
      </c>
    </row>
    <row r="50" spans="1:7" x14ac:dyDescent="0.3">
      <c r="A50" s="1" t="s">
        <v>92</v>
      </c>
      <c r="B50" s="16">
        <v>1.1858146243027098E-2</v>
      </c>
      <c r="C50" s="16">
        <v>2.4264548740658035E-2</v>
      </c>
      <c r="D50" s="16">
        <v>2.1335867893826681E-2</v>
      </c>
      <c r="E50" s="16">
        <v>9.493325391630409E-3</v>
      </c>
      <c r="F50" s="16">
        <v>1.0492601720024584E-2</v>
      </c>
      <c r="G50" s="16">
        <v>1.1254903845701365E-2</v>
      </c>
    </row>
    <row r="51" spans="1:7" x14ac:dyDescent="0.3">
      <c r="A51" s="1" t="s">
        <v>47</v>
      </c>
      <c r="B51" s="16">
        <v>4.8268722986109574E-3</v>
      </c>
      <c r="C51" s="16">
        <v>5.3142643560120592E-3</v>
      </c>
      <c r="D51" s="16">
        <v>4.7571195631101355E-3</v>
      </c>
      <c r="E51" s="16">
        <v>1.0079198444701379E-2</v>
      </c>
      <c r="F51" s="16">
        <v>9.8610255700488317E-3</v>
      </c>
      <c r="G51" s="16">
        <v>6.9659900018889352E-3</v>
      </c>
    </row>
    <row r="52" spans="1:7" x14ac:dyDescent="0.3">
      <c r="A52" s="1" t="s">
        <v>93</v>
      </c>
      <c r="B52" s="16">
        <v>2.2432582963895484E-2</v>
      </c>
      <c r="C52" s="16">
        <v>1.2361556715297423E-2</v>
      </c>
      <c r="D52" s="16">
        <v>1.0764681338333804E-2</v>
      </c>
      <c r="E52" s="16">
        <v>9.4314116540914608E-2</v>
      </c>
      <c r="F52" s="16">
        <v>0.14301713566432109</v>
      </c>
      <c r="G52" s="16">
        <v>0.14813016827946351</v>
      </c>
    </row>
    <row r="53" spans="1:7" x14ac:dyDescent="0.3">
      <c r="A53" s="1" t="s">
        <v>11</v>
      </c>
      <c r="B53" s="16">
        <v>2.2780160286458653E-2</v>
      </c>
      <c r="C53" s="16">
        <v>2.4987264557539121E-2</v>
      </c>
      <c r="D53" s="16">
        <v>1.9180109030065663E-2</v>
      </c>
      <c r="E53" s="16">
        <v>2.242798062963984E-2</v>
      </c>
      <c r="F53" s="16">
        <v>2.108651908587604E-2</v>
      </c>
      <c r="G53" s="16">
        <v>1.5269209385488806E-2</v>
      </c>
    </row>
    <row r="54" spans="1:7" x14ac:dyDescent="0.3">
      <c r="A54" s="1" t="s">
        <v>100</v>
      </c>
      <c r="B54" s="16">
        <v>4.5260296921266166E-2</v>
      </c>
      <c r="C54" s="16">
        <v>5.6958081213437574E-2</v>
      </c>
      <c r="D54" s="16">
        <v>8.6247229739582029E-2</v>
      </c>
      <c r="E54" s="16">
        <v>6.8962049179999096E-2</v>
      </c>
      <c r="F54" s="16">
        <v>7.5310022579350044E-2</v>
      </c>
      <c r="G54" s="16">
        <v>5.9530503440316213E-2</v>
      </c>
    </row>
    <row r="55" spans="1:7" x14ac:dyDescent="0.3">
      <c r="A55" s="1" t="s">
        <v>83</v>
      </c>
      <c r="B55" s="16">
        <v>4.0794803019982583E-2</v>
      </c>
      <c r="C55" s="16">
        <v>4.0289874774967177E-2</v>
      </c>
      <c r="D55" s="16">
        <v>3.0420471375885026E-2</v>
      </c>
      <c r="E55" s="16">
        <v>2.4577031504013264E-2</v>
      </c>
      <c r="F55" s="16">
        <v>2.0318852321054025E-2</v>
      </c>
      <c r="G55" s="16">
        <v>1.884187724340251E-2</v>
      </c>
    </row>
    <row r="56" spans="1:7" x14ac:dyDescent="0.3">
      <c r="A56" s="1" t="s">
        <v>42</v>
      </c>
      <c r="B56" s="16">
        <v>1.0613501791470085E-2</v>
      </c>
      <c r="C56" s="16">
        <v>8.162083504109097E-3</v>
      </c>
      <c r="D56" s="16">
        <v>1.0001798581741678E-2</v>
      </c>
      <c r="E56" s="16">
        <v>7.6429213090643371E-3</v>
      </c>
      <c r="F56" s="16">
        <v>7.0545728501398381E-3</v>
      </c>
      <c r="G56" s="16">
        <v>5.8490595017023708E-3</v>
      </c>
    </row>
    <row r="57" spans="1:7" x14ac:dyDescent="0.3">
      <c r="A57" s="1" t="s">
        <v>34</v>
      </c>
      <c r="B57" s="16">
        <v>8.8878833167185339E-2</v>
      </c>
      <c r="C57" s="16">
        <v>6.645864813975054E-2</v>
      </c>
      <c r="D57" s="16">
        <v>6.1352303695093723E-2</v>
      </c>
      <c r="E57" s="16">
        <v>5.2023364660664109E-2</v>
      </c>
      <c r="F57" s="16">
        <v>4.6793407997685776E-2</v>
      </c>
      <c r="G57" s="16">
        <v>4.0583767156805818E-2</v>
      </c>
    </row>
    <row r="58" spans="1:7" x14ac:dyDescent="0.3">
      <c r="A58" s="1" t="s">
        <v>35</v>
      </c>
      <c r="B58" s="16">
        <v>9.0649516640118624E-2</v>
      </c>
      <c r="C58" s="16">
        <v>0.11493073693922984</v>
      </c>
      <c r="D58" s="16">
        <v>0.19922438868260067</v>
      </c>
      <c r="E58" s="16">
        <v>0.17648529346194428</v>
      </c>
      <c r="F58" s="16">
        <v>0.17717178413745227</v>
      </c>
      <c r="G58" s="16">
        <v>0.13406700082882081</v>
      </c>
    </row>
    <row r="59" spans="1:7" x14ac:dyDescent="0.3">
      <c r="A59" s="1" t="s">
        <v>94</v>
      </c>
      <c r="B59" s="16">
        <v>3.8869362315470099E-2</v>
      </c>
      <c r="C59" s="16">
        <v>3.3321099973699954E-2</v>
      </c>
      <c r="D59" s="16">
        <v>1.908372386773885E-2</v>
      </c>
      <c r="E59" s="16">
        <v>1.7981640224064375E-2</v>
      </c>
      <c r="F59" s="16">
        <v>1.2273602930504784E-2</v>
      </c>
      <c r="G59" s="16">
        <v>1.1056725000144116E-2</v>
      </c>
    </row>
    <row r="60" spans="1:7" x14ac:dyDescent="0.3">
      <c r="A60" s="1" t="s">
        <v>46</v>
      </c>
      <c r="B60" s="16">
        <v>2.2379529090303257E-2</v>
      </c>
      <c r="C60" s="16">
        <v>1.8722770945318039E-2</v>
      </c>
      <c r="D60" s="16">
        <v>2.3681457541209434E-2</v>
      </c>
      <c r="E60" s="16">
        <v>2.1052808999497612E-2</v>
      </c>
      <c r="F60" s="16">
        <v>2.6307226047423301E-2</v>
      </c>
      <c r="G60" s="16">
        <v>1.7171126583507258E-2</v>
      </c>
    </row>
    <row r="61" spans="1:7" x14ac:dyDescent="0.3">
      <c r="A61" s="1" t="s">
        <v>44</v>
      </c>
      <c r="B61" s="16">
        <v>2.3081882667397899E-2</v>
      </c>
      <c r="C61" s="16">
        <v>2.312843426275038E-2</v>
      </c>
      <c r="D61" s="16">
        <v>9.2295370353489073E-2</v>
      </c>
      <c r="E61" s="16">
        <v>2.6035160638377804E-2</v>
      </c>
      <c r="F61" s="16">
        <v>2.4497685085669487E-2</v>
      </c>
      <c r="G61" s="16">
        <v>3.4003122385146509E-2</v>
      </c>
    </row>
    <row r="62" spans="1:7" x14ac:dyDescent="0.3">
      <c r="A62" s="1" t="s">
        <v>36</v>
      </c>
      <c r="B62" s="16">
        <v>8.2540009269257263E-3</v>
      </c>
      <c r="C62" s="16">
        <v>7.2101234994787645E-3</v>
      </c>
      <c r="D62" s="16">
        <v>7.1404626996976004E-3</v>
      </c>
      <c r="E62" s="16">
        <v>5.299850604649407E-3</v>
      </c>
      <c r="F62" s="16">
        <v>4.4661508734274461E-3</v>
      </c>
      <c r="G62" s="16">
        <v>3.2736973683031453E-3</v>
      </c>
    </row>
    <row r="63" spans="1:7" x14ac:dyDescent="0.3">
      <c r="A63" s="1" t="s">
        <v>54</v>
      </c>
      <c r="B63" s="16">
        <v>1.0936744260701502E-2</v>
      </c>
      <c r="C63" s="16">
        <v>9.6031901470552336E-3</v>
      </c>
      <c r="D63" s="16">
        <v>8.8039755165530247E-3</v>
      </c>
      <c r="E63" s="16">
        <v>7.5284028913776939E-3</v>
      </c>
      <c r="F63" s="16">
        <v>2.8516372311322105E-2</v>
      </c>
      <c r="G63" s="16">
        <v>3.1837722340707926E-2</v>
      </c>
    </row>
    <row r="64" spans="1:7" x14ac:dyDescent="0.3">
      <c r="A64" s="1" t="s">
        <v>23</v>
      </c>
      <c r="B64" s="16">
        <v>1.0808717167500244E-2</v>
      </c>
      <c r="C64" s="16">
        <v>9.4509178500098955E-3</v>
      </c>
      <c r="D64" s="16">
        <v>9.1680828960472808E-3</v>
      </c>
      <c r="E64" s="16">
        <v>9.7331854248641023E-3</v>
      </c>
      <c r="F64" s="16">
        <v>9.7367743720473444E-3</v>
      </c>
      <c r="G64" s="16">
        <v>7.0368331919011999E-3</v>
      </c>
    </row>
    <row r="65" spans="1:7" x14ac:dyDescent="0.3">
      <c r="A65" s="1" t="s">
        <v>49</v>
      </c>
      <c r="B65" s="16">
        <v>1.2865209067260725E-2</v>
      </c>
      <c r="C65" s="16">
        <v>1.2095199873281689E-2</v>
      </c>
      <c r="D65" s="16">
        <v>1.2818228376047373E-2</v>
      </c>
      <c r="E65" s="16">
        <v>1.1757318165099877E-2</v>
      </c>
      <c r="F65" s="16">
        <v>2.1500916222396173E-2</v>
      </c>
      <c r="G65" s="16">
        <v>2.1647975694085431E-2</v>
      </c>
    </row>
    <row r="66" spans="1:7" x14ac:dyDescent="0.3">
      <c r="A66" s="1" t="s">
        <v>24</v>
      </c>
      <c r="B66" s="16">
        <v>6.2892970767343209E-2</v>
      </c>
      <c r="C66" s="16">
        <v>8.2566336393282522E-2</v>
      </c>
      <c r="D66" s="16">
        <v>8.4652689037034226E-2</v>
      </c>
      <c r="E66" s="16">
        <v>7.7210008544249989E-2</v>
      </c>
      <c r="F66" s="16">
        <v>9.9971690671884744E-2</v>
      </c>
      <c r="G66" s="16">
        <v>6.3870959710022199E-2</v>
      </c>
    </row>
    <row r="67" spans="1:7" x14ac:dyDescent="0.3">
      <c r="A67" s="1" t="s">
        <v>68</v>
      </c>
      <c r="B67" s="16">
        <v>1.8653728506836584E-2</v>
      </c>
      <c r="C67" s="16">
        <v>2.5782291421214385E-2</v>
      </c>
      <c r="D67" s="16">
        <v>2.3580310664445606E-2</v>
      </c>
      <c r="E67" s="16">
        <v>1.5540108786168997E-2</v>
      </c>
      <c r="F67" s="16">
        <v>1.3622599014250792E-2</v>
      </c>
      <c r="G67" s="16">
        <v>1.5182838612387492E-2</v>
      </c>
    </row>
    <row r="68" spans="1:7" x14ac:dyDescent="0.3">
      <c r="A68" s="1" t="s">
        <v>41</v>
      </c>
      <c r="B68" s="16">
        <v>1.6485667166930441E-2</v>
      </c>
      <c r="C68" s="16">
        <v>0.12785190815631622</v>
      </c>
      <c r="D68" s="16">
        <v>0.1597140900129598</v>
      </c>
      <c r="E68" s="16">
        <v>0.14356508368916301</v>
      </c>
      <c r="F68" s="16">
        <v>0.14306765327367008</v>
      </c>
      <c r="G68" s="16">
        <v>8.5093768525184091E-2</v>
      </c>
    </row>
    <row r="69" spans="1:7" x14ac:dyDescent="0.3">
      <c r="A69" s="1" t="s">
        <v>101</v>
      </c>
      <c r="B69" s="16">
        <v>4.9506714080649446E-2</v>
      </c>
      <c r="C69" s="16">
        <v>6.0509178999851171E-2</v>
      </c>
      <c r="D69" s="16">
        <v>7.888813573685946E-2</v>
      </c>
      <c r="E69" s="16">
        <v>5.0134296642882825E-2</v>
      </c>
      <c r="F69" s="16">
        <v>4.8736599410944666E-2</v>
      </c>
      <c r="G69" s="16">
        <v>0.12950881909703366</v>
      </c>
    </row>
    <row r="70" spans="1:7" x14ac:dyDescent="0.3">
      <c r="A70" s="1" t="s">
        <v>55</v>
      </c>
      <c r="B70" s="16">
        <v>3.1426790524843477E-2</v>
      </c>
      <c r="C70" s="16">
        <v>3.1421527643811051E-2</v>
      </c>
      <c r="D70" s="16">
        <v>3.2266304688357929E-2</v>
      </c>
      <c r="E70" s="16">
        <v>2.5297684259186045E-2</v>
      </c>
      <c r="F70" s="16">
        <v>2.2614977211268233E-2</v>
      </c>
      <c r="G70" s="16">
        <v>2.9877467420597936E-2</v>
      </c>
    </row>
    <row r="71" spans="1:7" x14ac:dyDescent="0.3">
      <c r="A71" s="1" t="s">
        <v>16</v>
      </c>
      <c r="B71" s="16">
        <v>1.9614313653162619E-2</v>
      </c>
      <c r="C71" s="16">
        <v>1.7495016781710074E-2</v>
      </c>
      <c r="D71" s="16">
        <v>1.8706281869898367E-2</v>
      </c>
      <c r="E71" s="16">
        <v>2.0329831513415664E-2</v>
      </c>
      <c r="F71" s="16">
        <v>1.9330916048645022E-2</v>
      </c>
      <c r="G71" s="16">
        <v>1.5842096269963284E-2</v>
      </c>
    </row>
    <row r="72" spans="1:7" x14ac:dyDescent="0.3">
      <c r="A72" s="1" t="s">
        <v>19</v>
      </c>
      <c r="B72" s="16">
        <v>6.3444361924155326E-2</v>
      </c>
      <c r="C72" s="16">
        <v>7.8785946842834936E-2</v>
      </c>
      <c r="D72" s="16">
        <v>0.10046798809315398</v>
      </c>
      <c r="E72" s="16">
        <v>6.0952291165458958E-2</v>
      </c>
      <c r="F72" s="16">
        <v>5.7887708332808575E-2</v>
      </c>
      <c r="G72" s="16">
        <v>0.17433473218092815</v>
      </c>
    </row>
    <row r="73" spans="1:7" x14ac:dyDescent="0.3">
      <c r="A73" s="1" t="s">
        <v>17</v>
      </c>
      <c r="B73" s="16">
        <v>7.9580272038090788E-2</v>
      </c>
      <c r="C73" s="16">
        <v>9.4790717857220264E-2</v>
      </c>
      <c r="D73" s="16">
        <v>0.14145232777311992</v>
      </c>
      <c r="E73" s="16">
        <v>4.0865332053953429E-2</v>
      </c>
      <c r="F73" s="16">
        <v>3.8803491958758776E-2</v>
      </c>
      <c r="G73" s="16">
        <v>0.28416752014217922</v>
      </c>
    </row>
    <row r="74" spans="1:7" x14ac:dyDescent="0.3">
      <c r="A74" s="1" t="s">
        <v>60</v>
      </c>
      <c r="B74" s="16">
        <v>5.8555570959991518E-2</v>
      </c>
      <c r="C74" s="16">
        <v>8.3429001741918335E-2</v>
      </c>
      <c r="D74" s="16">
        <v>9.9241839124147413E-2</v>
      </c>
      <c r="E74" s="16">
        <v>0.10071832934746985</v>
      </c>
      <c r="F74" s="16">
        <v>9.7557265551705533E-2</v>
      </c>
      <c r="G74" s="16">
        <v>8.1941520513413593E-2</v>
      </c>
    </row>
    <row r="75" spans="1:7" x14ac:dyDescent="0.3">
      <c r="A75" s="1" t="s">
        <v>95</v>
      </c>
      <c r="B75" s="16">
        <v>3.4951869027170311E-2</v>
      </c>
      <c r="C75" s="16">
        <v>3.576483695781843E-2</v>
      </c>
      <c r="D75" s="16">
        <v>1.3126828774509743E-2</v>
      </c>
      <c r="E75" s="16">
        <v>3.887204880821174E-2</v>
      </c>
      <c r="F75" s="16">
        <v>3.2814687164687474E-2</v>
      </c>
      <c r="G75" s="16">
        <v>1.0439347367128839E-2</v>
      </c>
    </row>
    <row r="76" spans="1:7" x14ac:dyDescent="0.3">
      <c r="A76" s="1" t="s">
        <v>82</v>
      </c>
      <c r="B76" s="16">
        <v>1.7362325685498333E-2</v>
      </c>
      <c r="C76" s="16">
        <v>1.8611856537943103E-2</v>
      </c>
      <c r="D76" s="16">
        <v>4.2231344528871541E-2</v>
      </c>
      <c r="E76" s="16">
        <v>3.5918388507241397E-2</v>
      </c>
      <c r="F76" s="16">
        <v>4.8233179720807443E-2</v>
      </c>
      <c r="G76" s="16">
        <v>3.6478663393448921E-2</v>
      </c>
    </row>
    <row r="77" spans="1:7" x14ac:dyDescent="0.3">
      <c r="A77" s="1" t="s">
        <v>102</v>
      </c>
      <c r="B77" s="16">
        <v>1.9567329068228528E-2</v>
      </c>
      <c r="C77" s="16" t="e">
        <v>#VALUE!</v>
      </c>
      <c r="D77" s="16" t="e">
        <v>#VALUE!</v>
      </c>
      <c r="E77" s="16" t="e">
        <v>#VALUE!</v>
      </c>
      <c r="F77" s="16" t="e">
        <v>#VALUE!</v>
      </c>
      <c r="G77" s="16" t="e">
        <v>#VALUE!</v>
      </c>
    </row>
    <row r="78" spans="1:7" x14ac:dyDescent="0.3">
      <c r="A78" s="1" t="s">
        <v>102</v>
      </c>
      <c r="B78" s="16" t="e">
        <v>#VALUE!</v>
      </c>
      <c r="C78" s="16">
        <v>1.5054347121209517E-2</v>
      </c>
      <c r="D78" s="16">
        <v>2.3755103973378978E-2</v>
      </c>
      <c r="E78" s="16">
        <v>7.2978691113201322E-2</v>
      </c>
      <c r="F78" s="16">
        <v>2.9649700829281929E-2</v>
      </c>
      <c r="G78" s="16">
        <v>2.731441837107609E-2</v>
      </c>
    </row>
    <row r="79" spans="1:7" x14ac:dyDescent="0.3">
      <c r="A79" s="1" t="s">
        <v>58</v>
      </c>
      <c r="B79" s="16">
        <v>0.13414895615329686</v>
      </c>
      <c r="C79" s="16">
        <v>0.14259475767594001</v>
      </c>
      <c r="D79" s="16">
        <v>0.19676653929366067</v>
      </c>
      <c r="E79" s="16">
        <v>0.19715917852630901</v>
      </c>
      <c r="F79" s="16">
        <v>0.34374253952003586</v>
      </c>
      <c r="G79" s="16">
        <v>0.29111151510072975</v>
      </c>
    </row>
    <row r="80" spans="1:7" x14ac:dyDescent="0.3">
      <c r="A80" s="1" t="s">
        <v>14</v>
      </c>
      <c r="B80" s="16">
        <v>0.13903859724517104</v>
      </c>
      <c r="C80" s="16">
        <v>0.30259658556197622</v>
      </c>
      <c r="D80" s="16">
        <v>0.54657659172796247</v>
      </c>
      <c r="E80" s="16">
        <v>0.51154355433605148</v>
      </c>
      <c r="F80" s="16">
        <v>0.42539000002943889</v>
      </c>
      <c r="G80" s="16">
        <v>0.38899863769360321</v>
      </c>
    </row>
    <row r="81" spans="1:7" x14ac:dyDescent="0.3">
      <c r="A81" s="1" t="s">
        <v>77</v>
      </c>
      <c r="B81" s="16">
        <v>6.5519136871421441E-2</v>
      </c>
      <c r="C81" s="16">
        <v>5.7967102405868158E-2</v>
      </c>
      <c r="D81" s="16">
        <v>6.7307242738579048E-2</v>
      </c>
      <c r="E81" s="16">
        <v>1.7616334959526154E-2</v>
      </c>
      <c r="F81" s="16">
        <v>7.0804828649583809E-3</v>
      </c>
      <c r="G81" s="16">
        <v>8.1933448190674579E-3</v>
      </c>
    </row>
    <row r="82" spans="1:7" x14ac:dyDescent="0.3">
      <c r="A82" s="1" t="s">
        <v>12</v>
      </c>
      <c r="B82" s="16">
        <v>7.8956369063738294E-3</v>
      </c>
      <c r="C82" s="16">
        <v>7.4646752558282592E-3</v>
      </c>
      <c r="D82" s="16">
        <v>9.9929985132740876E-3</v>
      </c>
      <c r="E82" s="16">
        <v>8.0688880477224594E-3</v>
      </c>
      <c r="F82" s="16">
        <v>6.7674846039856565E-3</v>
      </c>
      <c r="G82" s="16">
        <v>7.3971822904580131E-3</v>
      </c>
    </row>
    <row r="83" spans="1:7" x14ac:dyDescent="0.3">
      <c r="A83" s="1" t="s">
        <v>61</v>
      </c>
      <c r="B83" s="16">
        <v>5.5494735685714331E-3</v>
      </c>
      <c r="C83" s="16">
        <v>4.7460688502475009E-3</v>
      </c>
      <c r="D83" s="16">
        <v>5.6857477497894967E-3</v>
      </c>
      <c r="E83" s="16">
        <v>0.12659294102353236</v>
      </c>
      <c r="F83" s="16">
        <v>6.0174596394126654E-3</v>
      </c>
      <c r="G83" s="16">
        <v>5.8545535095738165E-3</v>
      </c>
    </row>
    <row r="84" spans="1:7" x14ac:dyDescent="0.3">
      <c r="A84" s="1" t="s">
        <v>72</v>
      </c>
      <c r="B84" s="16">
        <v>7.4578070173387037E-3</v>
      </c>
      <c r="C84" s="16">
        <v>1.8581224115091732E-2</v>
      </c>
      <c r="D84" s="16">
        <v>1.8955751181249172E-2</v>
      </c>
      <c r="E84" s="16">
        <v>1.8562853435020829E-2</v>
      </c>
      <c r="F84" s="16">
        <v>3.2320638119620042E-2</v>
      </c>
      <c r="G84" s="16">
        <v>2.5724079041146465E-2</v>
      </c>
    </row>
    <row r="85" spans="1:7" x14ac:dyDescent="0.3">
      <c r="A85" s="1" t="s">
        <v>76</v>
      </c>
      <c r="B85" s="16">
        <v>1.0470846650025815E-2</v>
      </c>
      <c r="C85" s="16">
        <v>9.426161772629553E-3</v>
      </c>
      <c r="D85" s="16">
        <v>1.056183179259043E-2</v>
      </c>
      <c r="E85" s="16">
        <v>1.1744199835088247E-2</v>
      </c>
      <c r="F85" s="16">
        <v>1.1344469941389877E-2</v>
      </c>
      <c r="G85" s="16">
        <v>9.5907081075711012E-3</v>
      </c>
    </row>
    <row r="86" spans="1:7" x14ac:dyDescent="0.3">
      <c r="A86" s="1" t="s">
        <v>6</v>
      </c>
      <c r="B86" s="16">
        <v>6.7239781834990742E-2</v>
      </c>
      <c r="C86" s="16">
        <v>2.4566371660369509E-2</v>
      </c>
      <c r="D86" s="16">
        <v>5.2720921754191942E-2</v>
      </c>
      <c r="E86" s="16">
        <v>9.089776764212168E-2</v>
      </c>
      <c r="F86" s="16">
        <v>9.2542485359318999E-2</v>
      </c>
      <c r="G86" s="16">
        <v>8.6205403048932039E-2</v>
      </c>
    </row>
    <row r="87" spans="1:7" x14ac:dyDescent="0.3">
      <c r="A87" s="1" t="s">
        <v>64</v>
      </c>
      <c r="B87" s="16">
        <v>1.0850570541733696E-2</v>
      </c>
      <c r="C87" s="16">
        <v>1.0008529961270562E-2</v>
      </c>
      <c r="D87" s="16">
        <v>8.687031840861786E-3</v>
      </c>
      <c r="E87" s="16">
        <v>7.4200546027053463E-3</v>
      </c>
      <c r="F87" s="16">
        <v>6.1636074431652803E-3</v>
      </c>
      <c r="G87" s="16">
        <v>3.9295662516424705E-3</v>
      </c>
    </row>
    <row r="88" spans="1:7" x14ac:dyDescent="0.3">
      <c r="A88" s="1" t="s">
        <v>5</v>
      </c>
      <c r="B88" s="16">
        <v>2.1916609190612692E-2</v>
      </c>
      <c r="C88" s="16">
        <v>1.8483832600253613E-2</v>
      </c>
      <c r="D88" s="16">
        <v>4.0853154613453069E-2</v>
      </c>
      <c r="E88" s="16">
        <v>2.1117551127257165E-2</v>
      </c>
      <c r="F88" s="16">
        <v>4.954677766526884E-2</v>
      </c>
      <c r="G88" s="16">
        <v>4.2639889579505125E-2</v>
      </c>
    </row>
    <row r="89" spans="1:7" x14ac:dyDescent="0.3">
      <c r="A89" s="1" t="s">
        <v>103</v>
      </c>
      <c r="B89" s="16">
        <v>2.5811984257804843E-2</v>
      </c>
      <c r="C89" s="16" t="e">
        <v>#VALUE!</v>
      </c>
      <c r="D89" s="16" t="e">
        <v>#VALUE!</v>
      </c>
      <c r="E89" s="16" t="e">
        <v>#VALUE!</v>
      </c>
      <c r="F89" s="16" t="e">
        <v>#VALUE!</v>
      </c>
      <c r="G89" s="16" t="e">
        <v>#VALUE!</v>
      </c>
    </row>
    <row r="90" spans="1:7" x14ac:dyDescent="0.3">
      <c r="A90" s="1" t="s">
        <v>103</v>
      </c>
      <c r="B90" s="16" t="e">
        <v>#VALUE!</v>
      </c>
      <c r="C90" s="16">
        <v>2.9140761123985962E-2</v>
      </c>
      <c r="D90" s="16">
        <v>2.9487994162350734E-2</v>
      </c>
      <c r="E90" s="16">
        <v>6.7859692699587026E-2</v>
      </c>
      <c r="F90" s="16">
        <v>9.371936664978138E-2</v>
      </c>
      <c r="G90" s="16">
        <v>0.14148451307840618</v>
      </c>
    </row>
    <row r="91" spans="1:7" x14ac:dyDescent="0.3">
      <c r="A91" s="1" t="s">
        <v>1</v>
      </c>
      <c r="B91" s="16">
        <v>1.3181560892695048E-2</v>
      </c>
      <c r="C91" s="16">
        <v>1.0443829931553801E-2</v>
      </c>
      <c r="D91" s="16">
        <v>1.0013859392719468E-2</v>
      </c>
      <c r="E91" s="16">
        <v>5.9459913689911287E-3</v>
      </c>
      <c r="F91" s="16">
        <v>5.9610986237411054E-3</v>
      </c>
      <c r="G91" s="16">
        <v>1.5477518837554796E-3</v>
      </c>
    </row>
    <row r="92" spans="1:7" x14ac:dyDescent="0.3">
      <c r="A92" s="1" t="s">
        <v>57</v>
      </c>
      <c r="B92" s="16">
        <v>9.3621177516498375E-3</v>
      </c>
      <c r="C92" s="16">
        <v>8.1939647572966852E-3</v>
      </c>
      <c r="D92" s="16">
        <v>1.0599320806250541E-2</v>
      </c>
      <c r="E92" s="16">
        <v>9.5854933950608838E-3</v>
      </c>
      <c r="F92" s="16">
        <v>8.7925093170252797E-3</v>
      </c>
      <c r="G92" s="16">
        <v>8.8629572790594E-3</v>
      </c>
    </row>
    <row r="93" spans="1:7" x14ac:dyDescent="0.3">
      <c r="A93" s="1" t="s">
        <v>62</v>
      </c>
      <c r="B93" s="16">
        <v>4.2866591414867442E-2</v>
      </c>
      <c r="C93" s="16">
        <v>4.8025599427061277E-2</v>
      </c>
      <c r="D93" s="16">
        <v>2.649138897428566E-2</v>
      </c>
      <c r="E93" s="16">
        <v>0.17028968341219633</v>
      </c>
      <c r="F93" s="16">
        <v>1.4632109488443826E-2</v>
      </c>
      <c r="G93" s="16">
        <v>1.7553006481653921E-2</v>
      </c>
    </row>
    <row r="94" spans="1:7" x14ac:dyDescent="0.3">
      <c r="A94" s="1" t="s">
        <v>9</v>
      </c>
      <c r="B94" s="16">
        <v>3.0179074061174909E-2</v>
      </c>
      <c r="C94" s="16">
        <v>6.2679045660682456E-2</v>
      </c>
      <c r="D94" s="16">
        <v>7.239138887059994E-2</v>
      </c>
      <c r="E94" s="16">
        <v>5.3167904545804799E-2</v>
      </c>
      <c r="F94" s="16">
        <v>1.4821388835619226E-2</v>
      </c>
      <c r="G94" s="16">
        <v>2.060530673444631E-2</v>
      </c>
    </row>
    <row r="95" spans="1:7" x14ac:dyDescent="0.3">
      <c r="A95" s="1" t="s">
        <v>10</v>
      </c>
      <c r="B95" s="16">
        <v>3.6035074531652528E-2</v>
      </c>
      <c r="C95" s="16">
        <v>4.1288337298793117E-2</v>
      </c>
      <c r="D95" s="16">
        <v>5.2931042558874479E-2</v>
      </c>
      <c r="E95" s="16">
        <v>4.8784265923079655E-2</v>
      </c>
      <c r="F95" s="16">
        <v>0.31676432065210874</v>
      </c>
      <c r="G95" s="16">
        <v>0.40320942303479745</v>
      </c>
    </row>
    <row r="96" spans="1:7" x14ac:dyDescent="0.3">
      <c r="A96" s="1" t="s">
        <v>75</v>
      </c>
      <c r="B96" s="16">
        <v>1.1805332742353495E-2</v>
      </c>
      <c r="C96" s="16">
        <v>1.4271351327792349E-2</v>
      </c>
      <c r="D96" s="16">
        <v>1.1191368948072405E-2</v>
      </c>
      <c r="E96" s="16">
        <v>9.8209240307051034E-3</v>
      </c>
      <c r="F96" s="16">
        <v>8.697242597182582E-3</v>
      </c>
      <c r="G96" s="16">
        <v>7.9079829452230865E-3</v>
      </c>
    </row>
    <row r="97" spans="1:7" x14ac:dyDescent="0.3">
      <c r="A97" s="1" t="s">
        <v>73</v>
      </c>
      <c r="B97" s="16">
        <v>7.7365329679274534E-3</v>
      </c>
      <c r="C97" s="16">
        <v>7.6585093139961121E-3</v>
      </c>
      <c r="D97" s="16">
        <v>3.9598262022025963E-3</v>
      </c>
      <c r="E97" s="16">
        <v>2.962710126931228E-3</v>
      </c>
      <c r="F97" s="16">
        <v>2.5802807957538672E-3</v>
      </c>
      <c r="G97" s="16">
        <v>2.1781390105119363E-3</v>
      </c>
    </row>
    <row r="98" spans="1:7" x14ac:dyDescent="0.3">
      <c r="A98" s="1" t="s">
        <v>8</v>
      </c>
      <c r="B98" s="16">
        <v>2.080287465852444E-3</v>
      </c>
      <c r="C98" s="16">
        <v>1.9830158970414891E-3</v>
      </c>
      <c r="D98" s="16">
        <v>2.5821315533780262E-3</v>
      </c>
      <c r="E98" s="16">
        <v>2.3152687515458469E-3</v>
      </c>
      <c r="F98" s="16">
        <v>2.196646638749195E-3</v>
      </c>
      <c r="G98" s="16">
        <v>1.9276257413238119E-3</v>
      </c>
    </row>
    <row r="99" spans="1:7" x14ac:dyDescent="0.3">
      <c r="A99" s="1" t="s">
        <v>3</v>
      </c>
      <c r="B99" s="16">
        <v>2.4531136895125476E-2</v>
      </c>
      <c r="C99" s="16">
        <v>3.4359223793086639E-2</v>
      </c>
      <c r="D99" s="16">
        <v>7.7361586717842046E-2</v>
      </c>
      <c r="E99" s="16">
        <v>1.8068783951031332E-2</v>
      </c>
      <c r="F99" s="16">
        <v>8.3459039570943569E-3</v>
      </c>
      <c r="G99" s="16">
        <v>1.9843581215700349E-2</v>
      </c>
    </row>
    <row r="100" spans="1:7" x14ac:dyDescent="0.3">
      <c r="A100" s="1" t="s">
        <v>74</v>
      </c>
      <c r="B100" s="16">
        <v>1.4871802510360761E-2</v>
      </c>
      <c r="C100" s="16">
        <v>1.1861096150179258E-2</v>
      </c>
      <c r="D100" s="16">
        <v>1.8014250661610016E-2</v>
      </c>
      <c r="E100" s="16">
        <v>1.3323911007436748E-2</v>
      </c>
      <c r="F100" s="16">
        <v>1.39007004214664E-2</v>
      </c>
      <c r="G100" s="16">
        <v>1.4523309156427217E-2</v>
      </c>
    </row>
    <row r="101" spans="1:7" x14ac:dyDescent="0.3">
      <c r="A101" s="1" t="s">
        <v>18</v>
      </c>
      <c r="B101" s="16">
        <v>9.5822596213573068E-3</v>
      </c>
      <c r="C101" s="16">
        <v>7.8407277971935738E-3</v>
      </c>
      <c r="D101" s="16">
        <v>8.9776494565977707E-3</v>
      </c>
      <c r="E101" s="16">
        <v>6.0503693607243695E-3</v>
      </c>
      <c r="F101" s="16">
        <v>4.5373464635495636E-3</v>
      </c>
      <c r="G101" s="16">
        <v>2.5752859317310041E-3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3A116-736A-4762-8E13-A8315C50651B}">
  <sheetPr codeName="Лист16">
    <tabColor theme="0" tint="-0.14999847407452621"/>
    <pageSetUpPr fitToPage="1"/>
  </sheetPr>
  <dimension ref="A1:Y97"/>
  <sheetViews>
    <sheetView showGridLines="0" workbookViewId="0"/>
  </sheetViews>
  <sheetFormatPr defaultRowHeight="16.5" x14ac:dyDescent="0.3"/>
  <cols>
    <col min="1" max="1" width="108.5703125" style="9" customWidth="1"/>
    <col min="2" max="2" width="10.85546875" style="4" customWidth="1"/>
    <col min="3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5" x14ac:dyDescent="0.3">
      <c r="A1" s="8" t="s">
        <v>131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3" spans="1:25" x14ac:dyDescent="0.3">
      <c r="A3" s="10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5" x14ac:dyDescent="0.3">
      <c r="A4" s="11" t="s">
        <v>87</v>
      </c>
      <c r="B4" s="18">
        <v>105087</v>
      </c>
      <c r="C4" s="18">
        <v>109463</v>
      </c>
      <c r="D4" s="18">
        <v>104927</v>
      </c>
      <c r="E4" s="18">
        <v>105480</v>
      </c>
      <c r="F4" s="18">
        <v>117707</v>
      </c>
      <c r="G4" s="18">
        <v>111429</v>
      </c>
    </row>
    <row r="5" spans="1:25" x14ac:dyDescent="0.3">
      <c r="A5" s="11" t="s">
        <v>96</v>
      </c>
      <c r="B5" s="18">
        <v>26369</v>
      </c>
      <c r="C5" s="18">
        <v>28664</v>
      </c>
      <c r="D5" s="18">
        <v>27621</v>
      </c>
      <c r="E5" s="18">
        <v>26969</v>
      </c>
      <c r="F5" s="18">
        <v>28090</v>
      </c>
      <c r="G5" s="18">
        <v>27580</v>
      </c>
    </row>
    <row r="6" spans="1:25" x14ac:dyDescent="0.3">
      <c r="A6" s="11" t="s">
        <v>50</v>
      </c>
      <c r="B6" s="18">
        <v>783</v>
      </c>
      <c r="C6" s="18">
        <v>793</v>
      </c>
      <c r="D6" s="18">
        <v>724</v>
      </c>
      <c r="E6" s="18">
        <v>613</v>
      </c>
      <c r="F6" s="18">
        <v>674</v>
      </c>
      <c r="G6" s="18">
        <v>548</v>
      </c>
    </row>
    <row r="7" spans="1:25" x14ac:dyDescent="0.3">
      <c r="A7" s="11" t="s">
        <v>48</v>
      </c>
      <c r="B7" s="18">
        <v>611</v>
      </c>
      <c r="C7" s="18">
        <v>562</v>
      </c>
      <c r="D7" s="18">
        <v>782</v>
      </c>
      <c r="E7" s="18">
        <v>724</v>
      </c>
      <c r="F7" s="18">
        <v>975</v>
      </c>
      <c r="G7" s="18">
        <v>814</v>
      </c>
    </row>
    <row r="8" spans="1:25" x14ac:dyDescent="0.3">
      <c r="A8" s="11" t="s">
        <v>20</v>
      </c>
      <c r="B8" s="18">
        <v>921</v>
      </c>
      <c r="C8" s="18">
        <v>977</v>
      </c>
      <c r="D8" s="18">
        <v>901</v>
      </c>
      <c r="E8" s="18">
        <v>933</v>
      </c>
      <c r="F8" s="18">
        <v>938</v>
      </c>
      <c r="G8" s="18">
        <v>816</v>
      </c>
    </row>
    <row r="9" spans="1:25" x14ac:dyDescent="0.3">
      <c r="A9" s="11" t="s">
        <v>4</v>
      </c>
      <c r="B9" s="18">
        <v>1630</v>
      </c>
      <c r="C9" s="18">
        <v>1576</v>
      </c>
      <c r="D9" s="18">
        <v>1371</v>
      </c>
      <c r="E9" s="18">
        <v>1355</v>
      </c>
      <c r="F9" s="18">
        <v>1462</v>
      </c>
      <c r="G9" s="18">
        <v>1431</v>
      </c>
    </row>
    <row r="10" spans="1:25" x14ac:dyDescent="0.3">
      <c r="A10" s="11" t="s">
        <v>45</v>
      </c>
      <c r="B10" s="18">
        <v>667</v>
      </c>
      <c r="C10" s="18">
        <v>700</v>
      </c>
      <c r="D10" s="18">
        <v>719</v>
      </c>
      <c r="E10" s="18">
        <v>741</v>
      </c>
      <c r="F10" s="18">
        <v>571</v>
      </c>
      <c r="G10" s="18">
        <v>531</v>
      </c>
    </row>
    <row r="11" spans="1:25" x14ac:dyDescent="0.3">
      <c r="A11" s="11" t="s">
        <v>40</v>
      </c>
      <c r="B11" s="18">
        <v>857</v>
      </c>
      <c r="C11" s="18">
        <v>823</v>
      </c>
      <c r="D11" s="18">
        <v>730</v>
      </c>
      <c r="E11" s="18">
        <v>689</v>
      </c>
      <c r="F11" s="18">
        <v>726</v>
      </c>
      <c r="G11" s="18">
        <v>666</v>
      </c>
    </row>
    <row r="12" spans="1:25" x14ac:dyDescent="0.3">
      <c r="A12" s="11" t="s">
        <v>37</v>
      </c>
      <c r="B12" s="18">
        <v>455</v>
      </c>
      <c r="C12" s="18">
        <v>432</v>
      </c>
      <c r="D12" s="18">
        <v>397</v>
      </c>
      <c r="E12" s="18">
        <v>448</v>
      </c>
      <c r="F12" s="18">
        <v>481</v>
      </c>
      <c r="G12" s="18">
        <v>406</v>
      </c>
    </row>
    <row r="13" spans="1:25" x14ac:dyDescent="0.3">
      <c r="A13" s="11" t="s">
        <v>56</v>
      </c>
      <c r="B13" s="18">
        <v>637</v>
      </c>
      <c r="C13" s="18">
        <v>634</v>
      </c>
      <c r="D13" s="18">
        <v>688</v>
      </c>
      <c r="E13" s="18">
        <v>594</v>
      </c>
      <c r="F13" s="18">
        <v>790</v>
      </c>
      <c r="G13" s="18">
        <v>900</v>
      </c>
    </row>
    <row r="14" spans="1:25" x14ac:dyDescent="0.3">
      <c r="A14" s="11" t="s">
        <v>51</v>
      </c>
      <c r="B14" s="18">
        <v>573</v>
      </c>
      <c r="C14" s="18">
        <v>545</v>
      </c>
      <c r="D14" s="18">
        <v>537</v>
      </c>
      <c r="E14" s="18">
        <v>545</v>
      </c>
      <c r="F14" s="18">
        <v>629</v>
      </c>
      <c r="G14" s="18">
        <v>902</v>
      </c>
    </row>
    <row r="15" spans="1:25" x14ac:dyDescent="0.3">
      <c r="A15" s="11" t="s">
        <v>21</v>
      </c>
      <c r="B15" s="18">
        <v>4029</v>
      </c>
      <c r="C15" s="18">
        <v>3688</v>
      </c>
      <c r="D15" s="18">
        <v>3757</v>
      </c>
      <c r="E15" s="18">
        <v>3761</v>
      </c>
      <c r="F15" s="18">
        <v>4049</v>
      </c>
      <c r="G15" s="18">
        <v>3797</v>
      </c>
    </row>
    <row r="16" spans="1:25" x14ac:dyDescent="0.3">
      <c r="A16" s="11" t="s">
        <v>70</v>
      </c>
      <c r="B16" s="18">
        <v>479</v>
      </c>
      <c r="C16" s="18">
        <v>508</v>
      </c>
      <c r="D16" s="18">
        <v>487</v>
      </c>
      <c r="E16" s="18">
        <v>472</v>
      </c>
      <c r="F16" s="18">
        <v>577</v>
      </c>
      <c r="G16" s="18">
        <v>584</v>
      </c>
    </row>
    <row r="17" spans="1:7" x14ac:dyDescent="0.3">
      <c r="A17" s="11" t="s">
        <v>59</v>
      </c>
      <c r="B17" s="18">
        <v>696</v>
      </c>
      <c r="C17" s="18">
        <v>744</v>
      </c>
      <c r="D17" s="18">
        <v>641</v>
      </c>
      <c r="E17" s="18">
        <v>682</v>
      </c>
      <c r="F17" s="18">
        <v>827</v>
      </c>
      <c r="G17" s="18">
        <v>624</v>
      </c>
    </row>
    <row r="18" spans="1:7" x14ac:dyDescent="0.3">
      <c r="A18" s="11" t="s">
        <v>43</v>
      </c>
      <c r="B18" s="18">
        <v>828</v>
      </c>
      <c r="C18" s="18">
        <v>660</v>
      </c>
      <c r="D18" s="18">
        <v>586</v>
      </c>
      <c r="E18" s="18">
        <v>687</v>
      </c>
      <c r="F18" s="18">
        <v>765</v>
      </c>
      <c r="G18" s="18">
        <v>634</v>
      </c>
    </row>
    <row r="19" spans="1:7" x14ac:dyDescent="0.3">
      <c r="A19" s="11" t="s">
        <v>15</v>
      </c>
      <c r="B19" s="18">
        <v>414</v>
      </c>
      <c r="C19" s="18">
        <v>457</v>
      </c>
      <c r="D19" s="18">
        <v>500</v>
      </c>
      <c r="E19" s="18">
        <v>587</v>
      </c>
      <c r="F19" s="18">
        <v>672</v>
      </c>
      <c r="G19" s="18">
        <v>666</v>
      </c>
    </row>
    <row r="20" spans="1:7" x14ac:dyDescent="0.3">
      <c r="A20" s="11" t="s">
        <v>38</v>
      </c>
      <c r="B20" s="18">
        <v>835</v>
      </c>
      <c r="C20" s="18">
        <v>1001</v>
      </c>
      <c r="D20" s="18">
        <v>628</v>
      </c>
      <c r="E20" s="18">
        <v>703</v>
      </c>
      <c r="F20" s="18">
        <v>715</v>
      </c>
      <c r="G20" s="18">
        <v>1862</v>
      </c>
    </row>
    <row r="21" spans="1:7" x14ac:dyDescent="0.3">
      <c r="A21" s="11" t="s">
        <v>39</v>
      </c>
      <c r="B21" s="18">
        <v>872</v>
      </c>
      <c r="C21" s="18">
        <v>917</v>
      </c>
      <c r="D21" s="18">
        <v>958</v>
      </c>
      <c r="E21" s="18">
        <v>979</v>
      </c>
      <c r="F21" s="18">
        <v>1021</v>
      </c>
      <c r="G21" s="18">
        <v>926</v>
      </c>
    </row>
    <row r="22" spans="1:7" x14ac:dyDescent="0.3">
      <c r="A22" s="11" t="s">
        <v>78</v>
      </c>
      <c r="B22" s="18">
        <v>652</v>
      </c>
      <c r="C22" s="18">
        <v>650</v>
      </c>
      <c r="D22" s="18">
        <v>725</v>
      </c>
      <c r="E22" s="18">
        <v>712</v>
      </c>
      <c r="F22" s="18">
        <v>700</v>
      </c>
      <c r="G22" s="18">
        <v>764</v>
      </c>
    </row>
    <row r="23" spans="1:7" x14ac:dyDescent="0.3">
      <c r="A23" s="11" t="s">
        <v>13</v>
      </c>
      <c r="B23" s="18">
        <v>10430</v>
      </c>
      <c r="C23" s="18">
        <v>12997</v>
      </c>
      <c r="D23" s="18">
        <v>12490</v>
      </c>
      <c r="E23" s="18">
        <v>11744</v>
      </c>
      <c r="F23" s="18">
        <v>11518</v>
      </c>
      <c r="G23" s="18">
        <v>10709</v>
      </c>
    </row>
    <row r="24" spans="1:7" x14ac:dyDescent="0.3">
      <c r="A24" s="11" t="s">
        <v>97</v>
      </c>
      <c r="B24" s="18">
        <v>9335</v>
      </c>
      <c r="C24" s="18">
        <v>9780</v>
      </c>
      <c r="D24" s="18">
        <v>8502</v>
      </c>
      <c r="E24" s="18">
        <v>9080</v>
      </c>
      <c r="F24" s="18">
        <v>9334</v>
      </c>
      <c r="G24" s="18">
        <v>7806</v>
      </c>
    </row>
    <row r="25" spans="1:7" x14ac:dyDescent="0.3">
      <c r="A25" s="11" t="s">
        <v>71</v>
      </c>
      <c r="B25" s="18">
        <v>454</v>
      </c>
      <c r="C25" s="18">
        <v>469</v>
      </c>
      <c r="D25" s="18">
        <v>405</v>
      </c>
      <c r="E25" s="18">
        <v>440</v>
      </c>
      <c r="F25" s="18">
        <v>467</v>
      </c>
      <c r="G25" s="18">
        <v>431</v>
      </c>
    </row>
    <row r="26" spans="1:7" x14ac:dyDescent="0.3">
      <c r="A26" s="11" t="s">
        <v>65</v>
      </c>
      <c r="B26" s="18">
        <v>941</v>
      </c>
      <c r="C26" s="18">
        <v>799</v>
      </c>
      <c r="D26" s="18">
        <v>764</v>
      </c>
      <c r="E26" s="18">
        <v>627</v>
      </c>
      <c r="F26" s="18">
        <v>679</v>
      </c>
      <c r="G26" s="18">
        <v>409</v>
      </c>
    </row>
    <row r="27" spans="1:7" x14ac:dyDescent="0.3">
      <c r="A27" s="11" t="s">
        <v>53</v>
      </c>
      <c r="B27" s="18">
        <v>1039</v>
      </c>
      <c r="C27" s="18">
        <v>1182</v>
      </c>
      <c r="D27" s="18">
        <v>947</v>
      </c>
      <c r="E27" s="18">
        <v>1006</v>
      </c>
      <c r="F27" s="18">
        <v>1071</v>
      </c>
      <c r="G27" s="18">
        <v>837</v>
      </c>
    </row>
    <row r="28" spans="1:7" x14ac:dyDescent="0.3">
      <c r="A28" s="11" t="s">
        <v>132</v>
      </c>
      <c r="B28" s="18">
        <v>992</v>
      </c>
      <c r="C28" s="18">
        <v>1113</v>
      </c>
      <c r="D28" s="18">
        <v>884</v>
      </c>
      <c r="E28" s="18">
        <v>942</v>
      </c>
      <c r="F28" s="18">
        <v>872</v>
      </c>
      <c r="G28" s="18">
        <v>769</v>
      </c>
    </row>
    <row r="29" spans="1:7" x14ac:dyDescent="0.3">
      <c r="A29" s="11" t="s">
        <v>7</v>
      </c>
      <c r="B29" s="18">
        <v>47</v>
      </c>
      <c r="C29" s="18">
        <v>69</v>
      </c>
      <c r="D29" s="18">
        <v>63</v>
      </c>
      <c r="E29" s="18">
        <v>64</v>
      </c>
      <c r="F29" s="18">
        <v>199</v>
      </c>
      <c r="G29" s="18">
        <v>68</v>
      </c>
    </row>
    <row r="30" spans="1:7" x14ac:dyDescent="0.3">
      <c r="A30" s="11" t="s">
        <v>80</v>
      </c>
      <c r="B30" s="18">
        <v>861</v>
      </c>
      <c r="C30" s="18">
        <v>775</v>
      </c>
      <c r="D30" s="18">
        <v>676</v>
      </c>
      <c r="E30" s="18">
        <v>797</v>
      </c>
      <c r="F30" s="18">
        <v>1142</v>
      </c>
      <c r="G30" s="18">
        <v>741</v>
      </c>
    </row>
    <row r="31" spans="1:7" x14ac:dyDescent="0.3">
      <c r="A31" s="11" t="s">
        <v>69</v>
      </c>
      <c r="B31" s="18">
        <v>725</v>
      </c>
      <c r="C31" s="18">
        <v>608</v>
      </c>
      <c r="D31" s="18">
        <v>555</v>
      </c>
      <c r="E31" s="18">
        <v>496</v>
      </c>
      <c r="F31" s="18">
        <v>659</v>
      </c>
      <c r="G31" s="18">
        <v>552</v>
      </c>
    </row>
    <row r="32" spans="1:7" x14ac:dyDescent="0.3">
      <c r="A32" s="11" t="s">
        <v>117</v>
      </c>
      <c r="B32" s="18">
        <v>3958</v>
      </c>
      <c r="C32" s="18">
        <v>4422</v>
      </c>
      <c r="D32" s="18">
        <v>3895</v>
      </c>
      <c r="E32" s="18">
        <v>4565</v>
      </c>
      <c r="F32" s="18">
        <v>4000</v>
      </c>
      <c r="G32" s="18">
        <v>3783</v>
      </c>
    </row>
    <row r="33" spans="1:7" x14ac:dyDescent="0.3">
      <c r="A33" s="11" t="s">
        <v>33</v>
      </c>
      <c r="B33" s="18">
        <v>1028</v>
      </c>
      <c r="C33" s="18">
        <v>1226</v>
      </c>
      <c r="D33" s="18">
        <v>1203</v>
      </c>
      <c r="E33" s="18">
        <v>1654</v>
      </c>
      <c r="F33" s="18">
        <v>899</v>
      </c>
      <c r="G33" s="18">
        <v>744</v>
      </c>
    </row>
    <row r="34" spans="1:7" x14ac:dyDescent="0.3">
      <c r="A34" s="11" t="s">
        <v>30</v>
      </c>
      <c r="B34" s="18">
        <v>447</v>
      </c>
      <c r="C34" s="18">
        <v>463</v>
      </c>
      <c r="D34" s="18">
        <v>394</v>
      </c>
      <c r="E34" s="18">
        <v>329</v>
      </c>
      <c r="F34" s="18">
        <v>441</v>
      </c>
      <c r="G34" s="18">
        <v>357</v>
      </c>
    </row>
    <row r="35" spans="1:7" x14ac:dyDescent="0.3">
      <c r="A35" s="11" t="s">
        <v>52</v>
      </c>
      <c r="B35" s="18">
        <v>453</v>
      </c>
      <c r="C35" s="18">
        <v>472</v>
      </c>
      <c r="D35" s="18">
        <v>484</v>
      </c>
      <c r="E35" s="18">
        <v>370</v>
      </c>
      <c r="F35" s="18">
        <v>545</v>
      </c>
      <c r="G35" s="18">
        <v>414</v>
      </c>
    </row>
    <row r="36" spans="1:7" x14ac:dyDescent="0.3">
      <c r="A36" s="11" t="s">
        <v>31</v>
      </c>
      <c r="B36" s="18">
        <v>457</v>
      </c>
      <c r="C36" s="18">
        <v>590</v>
      </c>
      <c r="D36" s="18">
        <v>382</v>
      </c>
      <c r="E36" s="18">
        <v>450</v>
      </c>
      <c r="F36" s="18">
        <v>330</v>
      </c>
      <c r="G36" s="18">
        <v>282</v>
      </c>
    </row>
    <row r="37" spans="1:7" x14ac:dyDescent="0.3">
      <c r="A37" s="11" t="s">
        <v>32</v>
      </c>
      <c r="B37" s="18">
        <v>2930</v>
      </c>
      <c r="C37" s="18">
        <v>3196</v>
      </c>
      <c r="D37" s="18">
        <v>2692</v>
      </c>
      <c r="E37" s="18">
        <v>2911</v>
      </c>
      <c r="F37" s="18">
        <v>3101</v>
      </c>
      <c r="G37" s="18">
        <v>3039</v>
      </c>
    </row>
    <row r="38" spans="1:7" x14ac:dyDescent="0.3">
      <c r="A38" s="11" t="s">
        <v>99</v>
      </c>
      <c r="B38" s="18">
        <v>7689</v>
      </c>
      <c r="C38" s="18">
        <v>7121</v>
      </c>
      <c r="D38" s="18">
        <v>7258</v>
      </c>
      <c r="E38" s="18">
        <v>7300</v>
      </c>
      <c r="F38" s="18">
        <v>7762</v>
      </c>
      <c r="G38" s="18">
        <v>6933</v>
      </c>
    </row>
    <row r="39" spans="1:7" x14ac:dyDescent="0.3">
      <c r="A39" s="11" t="s">
        <v>63</v>
      </c>
      <c r="B39" s="18">
        <v>2226</v>
      </c>
      <c r="C39" s="18">
        <v>2117</v>
      </c>
      <c r="D39" s="18">
        <v>1943</v>
      </c>
      <c r="E39" s="18">
        <v>2011</v>
      </c>
      <c r="F39" s="18">
        <v>2242</v>
      </c>
      <c r="G39" s="18">
        <v>2172</v>
      </c>
    </row>
    <row r="40" spans="1:7" x14ac:dyDescent="0.3">
      <c r="A40" s="11" t="s">
        <v>81</v>
      </c>
      <c r="B40" s="18">
        <v>204</v>
      </c>
      <c r="C40" s="18">
        <v>198</v>
      </c>
      <c r="D40" s="18">
        <v>249</v>
      </c>
      <c r="E40" s="18">
        <v>232</v>
      </c>
      <c r="F40" s="18">
        <v>219</v>
      </c>
      <c r="G40" s="18">
        <v>219</v>
      </c>
    </row>
    <row r="41" spans="1:7" x14ac:dyDescent="0.3">
      <c r="A41" s="11" t="s">
        <v>91</v>
      </c>
      <c r="B41" s="18">
        <v>659</v>
      </c>
      <c r="C41" s="18">
        <v>697</v>
      </c>
      <c r="D41" s="18">
        <v>668</v>
      </c>
      <c r="E41" s="18">
        <v>657</v>
      </c>
      <c r="F41" s="18">
        <v>631</v>
      </c>
      <c r="G41" s="18">
        <v>627</v>
      </c>
    </row>
    <row r="42" spans="1:7" x14ac:dyDescent="0.3">
      <c r="A42" s="11" t="s">
        <v>92</v>
      </c>
      <c r="B42" s="18">
        <v>524</v>
      </c>
      <c r="C42" s="18">
        <v>493</v>
      </c>
      <c r="D42" s="18">
        <v>458</v>
      </c>
      <c r="E42" s="18">
        <v>440</v>
      </c>
      <c r="F42" s="18">
        <v>403</v>
      </c>
      <c r="G42" s="18">
        <v>389</v>
      </c>
    </row>
    <row r="43" spans="1:7" x14ac:dyDescent="0.3">
      <c r="A43" s="11" t="s">
        <v>47</v>
      </c>
      <c r="B43" s="18">
        <v>866</v>
      </c>
      <c r="C43" s="18">
        <v>781</v>
      </c>
      <c r="D43" s="18">
        <v>794</v>
      </c>
      <c r="E43" s="18">
        <v>662</v>
      </c>
      <c r="F43" s="18">
        <v>909</v>
      </c>
      <c r="G43" s="18">
        <v>750</v>
      </c>
    </row>
    <row r="44" spans="1:7" x14ac:dyDescent="0.3">
      <c r="A44" s="11" t="s">
        <v>93</v>
      </c>
      <c r="B44" s="18">
        <v>623</v>
      </c>
      <c r="C44" s="18">
        <v>621</v>
      </c>
      <c r="D44" s="18">
        <v>595</v>
      </c>
      <c r="E44" s="18">
        <v>568</v>
      </c>
      <c r="F44" s="18">
        <v>654</v>
      </c>
      <c r="G44" s="18">
        <v>426</v>
      </c>
    </row>
    <row r="45" spans="1:7" x14ac:dyDescent="0.3">
      <c r="A45" s="11" t="s">
        <v>11</v>
      </c>
      <c r="B45" s="18">
        <v>2587</v>
      </c>
      <c r="C45" s="18">
        <v>2214</v>
      </c>
      <c r="D45" s="18">
        <v>2551</v>
      </c>
      <c r="E45" s="18">
        <v>2730</v>
      </c>
      <c r="F45" s="18">
        <v>2704</v>
      </c>
      <c r="G45" s="18">
        <v>2350</v>
      </c>
    </row>
    <row r="46" spans="1:7" x14ac:dyDescent="0.3">
      <c r="A46" s="11" t="s">
        <v>26</v>
      </c>
      <c r="B46" s="18">
        <v>295</v>
      </c>
      <c r="C46" s="18">
        <v>305</v>
      </c>
      <c r="D46" s="18">
        <v>525</v>
      </c>
      <c r="E46" s="18">
        <v>344</v>
      </c>
      <c r="F46" s="18">
        <v>360</v>
      </c>
      <c r="G46" s="18">
        <v>235</v>
      </c>
    </row>
    <row r="47" spans="1:7" x14ac:dyDescent="0.3">
      <c r="A47" s="11" t="s">
        <v>27</v>
      </c>
      <c r="B47" s="18">
        <v>247</v>
      </c>
      <c r="C47" s="18">
        <v>195</v>
      </c>
      <c r="D47" s="18">
        <v>200</v>
      </c>
      <c r="E47" s="18">
        <v>281</v>
      </c>
      <c r="F47" s="18">
        <v>174</v>
      </c>
      <c r="G47" s="18">
        <v>218</v>
      </c>
    </row>
    <row r="48" spans="1:7" x14ac:dyDescent="0.3">
      <c r="A48" s="11" t="s">
        <v>28</v>
      </c>
      <c r="B48" s="18">
        <v>4098</v>
      </c>
      <c r="C48" s="18">
        <v>4048</v>
      </c>
      <c r="D48" s="18">
        <v>3793</v>
      </c>
      <c r="E48" s="18">
        <v>3575</v>
      </c>
      <c r="F48" s="18">
        <v>4964</v>
      </c>
      <c r="G48" s="18">
        <v>4530</v>
      </c>
    </row>
    <row r="49" spans="1:7" x14ac:dyDescent="0.3">
      <c r="A49" s="11" t="s">
        <v>25</v>
      </c>
      <c r="B49" s="18">
        <v>923</v>
      </c>
      <c r="C49" s="18">
        <v>905</v>
      </c>
      <c r="D49" s="18">
        <v>844</v>
      </c>
      <c r="E49" s="18">
        <v>730</v>
      </c>
      <c r="F49" s="18">
        <v>1055</v>
      </c>
      <c r="G49" s="18">
        <v>782</v>
      </c>
    </row>
    <row r="50" spans="1:7" x14ac:dyDescent="0.3">
      <c r="A50" s="11" t="s">
        <v>22</v>
      </c>
      <c r="B50" s="18">
        <v>1667</v>
      </c>
      <c r="C50" s="18">
        <v>1483</v>
      </c>
      <c r="D50" s="18">
        <v>1909</v>
      </c>
      <c r="E50" s="18">
        <v>1338</v>
      </c>
      <c r="F50" s="18">
        <v>2148</v>
      </c>
      <c r="G50" s="18">
        <v>2640</v>
      </c>
    </row>
    <row r="51" spans="1:7" x14ac:dyDescent="0.3">
      <c r="A51" s="11" t="s">
        <v>29</v>
      </c>
      <c r="B51" s="18">
        <v>2265</v>
      </c>
      <c r="C51" s="18">
        <v>2178</v>
      </c>
      <c r="D51" s="18">
        <v>2064</v>
      </c>
      <c r="E51" s="18">
        <v>1866</v>
      </c>
      <c r="F51" s="18">
        <v>3396</v>
      </c>
      <c r="G51" s="18">
        <v>3509</v>
      </c>
    </row>
    <row r="52" spans="1:7" x14ac:dyDescent="0.3">
      <c r="A52" s="11" t="s">
        <v>100</v>
      </c>
      <c r="B52" s="18">
        <v>18245</v>
      </c>
      <c r="C52" s="18">
        <v>19904</v>
      </c>
      <c r="D52" s="18">
        <v>20303</v>
      </c>
      <c r="E52" s="18">
        <v>21012</v>
      </c>
      <c r="F52" s="18">
        <v>22369</v>
      </c>
      <c r="G52" s="18">
        <v>22405</v>
      </c>
    </row>
    <row r="53" spans="1:7" x14ac:dyDescent="0.3">
      <c r="A53" s="11" t="s">
        <v>83</v>
      </c>
      <c r="B53" s="18">
        <v>2212</v>
      </c>
      <c r="C53" s="18">
        <v>2456</v>
      </c>
      <c r="D53" s="18">
        <v>2347</v>
      </c>
      <c r="E53" s="18">
        <v>2586</v>
      </c>
      <c r="F53" s="18">
        <v>2544</v>
      </c>
      <c r="G53" s="18">
        <v>2827</v>
      </c>
    </row>
    <row r="54" spans="1:7" x14ac:dyDescent="0.3">
      <c r="A54" s="11" t="s">
        <v>42</v>
      </c>
      <c r="B54" s="18">
        <v>411</v>
      </c>
      <c r="C54" s="18">
        <v>542</v>
      </c>
      <c r="D54" s="18">
        <v>456</v>
      </c>
      <c r="E54" s="18">
        <v>427</v>
      </c>
      <c r="F54" s="18">
        <v>463</v>
      </c>
      <c r="G54" s="18">
        <v>389</v>
      </c>
    </row>
    <row r="55" spans="1:7" x14ac:dyDescent="0.3">
      <c r="A55" s="11" t="s">
        <v>34</v>
      </c>
      <c r="B55" s="18">
        <v>700</v>
      </c>
      <c r="C55" s="18">
        <v>789</v>
      </c>
      <c r="D55" s="18">
        <v>846</v>
      </c>
      <c r="E55" s="18">
        <v>897</v>
      </c>
      <c r="F55" s="18">
        <v>852</v>
      </c>
      <c r="G55" s="18">
        <v>826</v>
      </c>
    </row>
    <row r="56" spans="1:7" x14ac:dyDescent="0.3">
      <c r="A56" s="11" t="s">
        <v>35</v>
      </c>
      <c r="B56" s="18">
        <v>2574</v>
      </c>
      <c r="C56" s="18">
        <v>2204</v>
      </c>
      <c r="D56" s="18">
        <v>2223</v>
      </c>
      <c r="E56" s="18">
        <v>2717</v>
      </c>
      <c r="F56" s="18">
        <v>2905</v>
      </c>
      <c r="G56" s="18">
        <v>2597</v>
      </c>
    </row>
    <row r="57" spans="1:7" x14ac:dyDescent="0.3">
      <c r="A57" s="11" t="s">
        <v>94</v>
      </c>
      <c r="B57" s="18">
        <v>921</v>
      </c>
      <c r="C57" s="18">
        <v>1245</v>
      </c>
      <c r="D57" s="18">
        <v>1166</v>
      </c>
      <c r="E57" s="18">
        <v>1152</v>
      </c>
      <c r="F57" s="18">
        <v>1269</v>
      </c>
      <c r="G57" s="18">
        <v>1344</v>
      </c>
    </row>
    <row r="58" spans="1:7" x14ac:dyDescent="0.3">
      <c r="A58" s="11" t="s">
        <v>46</v>
      </c>
      <c r="B58" s="18">
        <v>1032</v>
      </c>
      <c r="C58" s="18">
        <v>1018</v>
      </c>
      <c r="D58" s="18">
        <v>1125</v>
      </c>
      <c r="E58" s="18">
        <v>1115</v>
      </c>
      <c r="F58" s="18">
        <v>928</v>
      </c>
      <c r="G58" s="18">
        <v>943</v>
      </c>
    </row>
    <row r="59" spans="1:7" x14ac:dyDescent="0.3">
      <c r="A59" s="11" t="s">
        <v>44</v>
      </c>
      <c r="B59" s="18">
        <v>1770</v>
      </c>
      <c r="C59" s="18">
        <v>2065</v>
      </c>
      <c r="D59" s="18">
        <v>2077</v>
      </c>
      <c r="E59" s="18">
        <v>1633</v>
      </c>
      <c r="F59" s="18">
        <v>1844</v>
      </c>
      <c r="G59" s="18">
        <v>1852</v>
      </c>
    </row>
    <row r="60" spans="1:7" x14ac:dyDescent="0.3">
      <c r="A60" s="11" t="s">
        <v>36</v>
      </c>
      <c r="B60" s="18">
        <v>848</v>
      </c>
      <c r="C60" s="18">
        <v>786</v>
      </c>
      <c r="D60" s="18">
        <v>702</v>
      </c>
      <c r="E60" s="18">
        <v>743</v>
      </c>
      <c r="F60" s="18">
        <v>863</v>
      </c>
      <c r="G60" s="18">
        <v>936</v>
      </c>
    </row>
    <row r="61" spans="1:7" x14ac:dyDescent="0.3">
      <c r="A61" s="11" t="s">
        <v>54</v>
      </c>
      <c r="B61" s="18">
        <v>1537</v>
      </c>
      <c r="C61" s="18">
        <v>2145</v>
      </c>
      <c r="D61" s="18">
        <v>2526</v>
      </c>
      <c r="E61" s="18">
        <v>2647</v>
      </c>
      <c r="F61" s="18">
        <v>2589</v>
      </c>
      <c r="G61" s="18">
        <v>2532</v>
      </c>
    </row>
    <row r="62" spans="1:7" x14ac:dyDescent="0.3">
      <c r="A62" s="11" t="s">
        <v>23</v>
      </c>
      <c r="B62" s="18">
        <v>1130</v>
      </c>
      <c r="C62" s="18">
        <v>1299</v>
      </c>
      <c r="D62" s="18">
        <v>1347</v>
      </c>
      <c r="E62" s="18">
        <v>1186</v>
      </c>
      <c r="F62" s="18">
        <v>1198</v>
      </c>
      <c r="G62" s="18">
        <v>1059</v>
      </c>
    </row>
    <row r="63" spans="1:7" x14ac:dyDescent="0.3">
      <c r="A63" s="11" t="s">
        <v>49</v>
      </c>
      <c r="B63" s="18">
        <v>609</v>
      </c>
      <c r="C63" s="18">
        <v>686</v>
      </c>
      <c r="D63" s="18">
        <v>590</v>
      </c>
      <c r="E63" s="18">
        <v>639</v>
      </c>
      <c r="F63" s="18">
        <v>688</v>
      </c>
      <c r="G63" s="18">
        <v>789</v>
      </c>
    </row>
    <row r="64" spans="1:7" x14ac:dyDescent="0.3">
      <c r="A64" s="11" t="s">
        <v>24</v>
      </c>
      <c r="B64" s="18">
        <v>2164</v>
      </c>
      <c r="C64" s="18">
        <v>2246</v>
      </c>
      <c r="D64" s="18">
        <v>2517</v>
      </c>
      <c r="E64" s="18">
        <v>2949</v>
      </c>
      <c r="F64" s="18">
        <v>3512</v>
      </c>
      <c r="G64" s="18">
        <v>3664</v>
      </c>
    </row>
    <row r="65" spans="1:7" x14ac:dyDescent="0.3">
      <c r="A65" s="11" t="s">
        <v>68</v>
      </c>
      <c r="B65" s="18">
        <v>1598</v>
      </c>
      <c r="C65" s="18">
        <v>1597</v>
      </c>
      <c r="D65" s="18">
        <v>1605</v>
      </c>
      <c r="E65" s="18">
        <v>1647</v>
      </c>
      <c r="F65" s="18">
        <v>1831</v>
      </c>
      <c r="G65" s="18">
        <v>1874</v>
      </c>
    </row>
    <row r="66" spans="1:7" x14ac:dyDescent="0.3">
      <c r="A66" s="11" t="s">
        <v>41</v>
      </c>
      <c r="B66" s="18">
        <v>739</v>
      </c>
      <c r="C66" s="18">
        <v>826</v>
      </c>
      <c r="D66" s="18">
        <v>776</v>
      </c>
      <c r="E66" s="18">
        <v>674</v>
      </c>
      <c r="F66" s="18">
        <v>883</v>
      </c>
      <c r="G66" s="18">
        <v>773</v>
      </c>
    </row>
    <row r="67" spans="1:7" x14ac:dyDescent="0.3">
      <c r="A67" s="11" t="s">
        <v>101</v>
      </c>
      <c r="B67" s="18">
        <v>7923</v>
      </c>
      <c r="C67" s="18">
        <v>9184</v>
      </c>
      <c r="D67" s="18">
        <v>7694</v>
      </c>
      <c r="E67" s="18">
        <v>8320</v>
      </c>
      <c r="F67" s="18">
        <v>9152</v>
      </c>
      <c r="G67" s="18">
        <v>8375</v>
      </c>
    </row>
    <row r="68" spans="1:7" x14ac:dyDescent="0.3">
      <c r="A68" s="11" t="s">
        <v>55</v>
      </c>
      <c r="B68" s="18">
        <v>684</v>
      </c>
      <c r="C68" s="18">
        <v>655</v>
      </c>
      <c r="D68" s="18">
        <v>667</v>
      </c>
      <c r="E68" s="18">
        <v>772</v>
      </c>
      <c r="F68" s="18">
        <v>635</v>
      </c>
      <c r="G68" s="18">
        <v>719</v>
      </c>
    </row>
    <row r="69" spans="1:7" x14ac:dyDescent="0.3">
      <c r="A69" s="11" t="s">
        <v>16</v>
      </c>
      <c r="B69" s="18">
        <v>1856</v>
      </c>
      <c r="C69" s="18">
        <v>2528</v>
      </c>
      <c r="D69" s="18">
        <v>2224</v>
      </c>
      <c r="E69" s="18">
        <v>2643</v>
      </c>
      <c r="F69" s="18">
        <v>2744</v>
      </c>
      <c r="G69" s="18">
        <v>2205</v>
      </c>
    </row>
    <row r="70" spans="1:7" x14ac:dyDescent="0.3">
      <c r="A70" s="11" t="s">
        <v>19</v>
      </c>
      <c r="B70" s="18">
        <v>2621</v>
      </c>
      <c r="C70" s="18">
        <v>2864</v>
      </c>
      <c r="D70" s="18">
        <v>2455</v>
      </c>
      <c r="E70" s="18">
        <v>2462</v>
      </c>
      <c r="F70" s="18">
        <v>2913</v>
      </c>
      <c r="G70" s="18">
        <v>2596</v>
      </c>
    </row>
    <row r="71" spans="1:7" x14ac:dyDescent="0.3">
      <c r="A71" s="11" t="s">
        <v>133</v>
      </c>
      <c r="B71" s="18">
        <v>1214</v>
      </c>
      <c r="C71" s="18">
        <v>1202</v>
      </c>
      <c r="D71" s="18">
        <v>1153</v>
      </c>
      <c r="E71" s="18">
        <v>1239</v>
      </c>
      <c r="F71" s="18">
        <v>1364</v>
      </c>
      <c r="G71" s="18">
        <v>1217</v>
      </c>
    </row>
    <row r="72" spans="1:7" x14ac:dyDescent="0.3">
      <c r="A72" s="11" t="s">
        <v>17</v>
      </c>
      <c r="B72" s="18">
        <v>1039</v>
      </c>
      <c r="C72" s="18">
        <v>1326</v>
      </c>
      <c r="D72" s="18">
        <v>1028</v>
      </c>
      <c r="E72" s="18">
        <v>981</v>
      </c>
      <c r="F72" s="18">
        <v>1175</v>
      </c>
      <c r="G72" s="18">
        <v>1087</v>
      </c>
    </row>
    <row r="73" spans="1:7" x14ac:dyDescent="0.3">
      <c r="A73" s="11" t="s">
        <v>60</v>
      </c>
      <c r="B73" s="18">
        <v>368</v>
      </c>
      <c r="C73" s="18">
        <v>336</v>
      </c>
      <c r="D73" s="18">
        <v>274</v>
      </c>
      <c r="E73" s="18">
        <v>242</v>
      </c>
      <c r="F73" s="18">
        <v>374</v>
      </c>
      <c r="G73" s="18">
        <v>292</v>
      </c>
    </row>
    <row r="74" spans="1:7" x14ac:dyDescent="0.3">
      <c r="A74" s="11" t="s">
        <v>82</v>
      </c>
      <c r="B74" s="18">
        <v>2762</v>
      </c>
      <c r="C74" s="18">
        <v>3137</v>
      </c>
      <c r="D74" s="18">
        <v>2348</v>
      </c>
      <c r="E74" s="18">
        <v>2443</v>
      </c>
      <c r="F74" s="18">
        <v>2860</v>
      </c>
      <c r="G74" s="18">
        <v>2855</v>
      </c>
    </row>
    <row r="75" spans="1:7" x14ac:dyDescent="0.3">
      <c r="A75" s="11" t="s">
        <v>134</v>
      </c>
      <c r="B75" s="18">
        <v>11654</v>
      </c>
      <c r="C75" s="18" t="s">
        <v>86</v>
      </c>
      <c r="D75" s="18" t="s">
        <v>86</v>
      </c>
      <c r="E75" s="18" t="s">
        <v>86</v>
      </c>
      <c r="F75" s="18" t="s">
        <v>86</v>
      </c>
      <c r="G75" s="18" t="s">
        <v>86</v>
      </c>
    </row>
    <row r="76" spans="1:7" x14ac:dyDescent="0.3">
      <c r="A76" s="11" t="s">
        <v>58</v>
      </c>
      <c r="B76" s="18">
        <v>169</v>
      </c>
      <c r="C76" s="18">
        <v>172</v>
      </c>
      <c r="D76" s="18">
        <v>133</v>
      </c>
      <c r="E76" s="18">
        <v>154</v>
      </c>
      <c r="F76" s="18">
        <v>337</v>
      </c>
      <c r="G76" s="18">
        <v>277</v>
      </c>
    </row>
    <row r="77" spans="1:7" x14ac:dyDescent="0.3">
      <c r="A77" s="11" t="s">
        <v>1</v>
      </c>
      <c r="B77" s="26">
        <v>838</v>
      </c>
      <c r="C77" s="26">
        <v>730</v>
      </c>
      <c r="D77" s="26">
        <v>533</v>
      </c>
      <c r="E77" s="26">
        <v>529</v>
      </c>
      <c r="F77" s="26">
        <v>886</v>
      </c>
      <c r="G77" s="18">
        <v>498</v>
      </c>
    </row>
    <row r="78" spans="1:7" x14ac:dyDescent="0.3">
      <c r="A78" s="11" t="s">
        <v>14</v>
      </c>
      <c r="B78" s="18">
        <v>215</v>
      </c>
      <c r="C78" s="18">
        <v>172</v>
      </c>
      <c r="D78" s="18">
        <v>123</v>
      </c>
      <c r="E78" s="18">
        <v>178</v>
      </c>
      <c r="F78" s="18">
        <v>205</v>
      </c>
      <c r="G78" s="18">
        <v>188</v>
      </c>
    </row>
    <row r="79" spans="1:7" x14ac:dyDescent="0.3">
      <c r="A79" s="11" t="s">
        <v>77</v>
      </c>
      <c r="B79" s="18">
        <v>281</v>
      </c>
      <c r="C79" s="18">
        <v>338</v>
      </c>
      <c r="D79" s="18">
        <v>340</v>
      </c>
      <c r="E79" s="18">
        <v>277</v>
      </c>
      <c r="F79" s="18">
        <v>352</v>
      </c>
      <c r="G79" s="18">
        <v>303</v>
      </c>
    </row>
    <row r="80" spans="1:7" x14ac:dyDescent="0.3">
      <c r="A80" s="11" t="s">
        <v>12</v>
      </c>
      <c r="B80" s="18">
        <v>973</v>
      </c>
      <c r="C80" s="18">
        <v>1031</v>
      </c>
      <c r="D80" s="18">
        <v>979</v>
      </c>
      <c r="E80" s="18">
        <v>985</v>
      </c>
      <c r="F80" s="18">
        <v>1250</v>
      </c>
      <c r="G80" s="18">
        <v>1075</v>
      </c>
    </row>
    <row r="81" spans="1:7" x14ac:dyDescent="0.3">
      <c r="A81" s="11" t="s">
        <v>57</v>
      </c>
      <c r="B81" s="18">
        <v>938</v>
      </c>
      <c r="C81" s="18">
        <v>373</v>
      </c>
      <c r="D81" s="18">
        <v>520</v>
      </c>
      <c r="E81" s="18">
        <v>519</v>
      </c>
      <c r="F81" s="18">
        <v>666</v>
      </c>
      <c r="G81" s="18">
        <v>500</v>
      </c>
    </row>
    <row r="82" spans="1:7" x14ac:dyDescent="0.3">
      <c r="A82" s="11" t="s">
        <v>61</v>
      </c>
      <c r="B82" s="18">
        <v>1650</v>
      </c>
      <c r="C82" s="18">
        <v>1582</v>
      </c>
      <c r="D82" s="18">
        <v>1473</v>
      </c>
      <c r="E82" s="18">
        <v>1477</v>
      </c>
      <c r="F82" s="18">
        <v>1785</v>
      </c>
      <c r="G82" s="18">
        <v>1936</v>
      </c>
    </row>
    <row r="83" spans="1:7" x14ac:dyDescent="0.3">
      <c r="A83" s="11" t="s">
        <v>72</v>
      </c>
      <c r="B83" s="18">
        <v>1407</v>
      </c>
      <c r="C83" s="18">
        <v>2003</v>
      </c>
      <c r="D83" s="18">
        <v>1627</v>
      </c>
      <c r="E83" s="18">
        <v>1473</v>
      </c>
      <c r="F83" s="18">
        <v>1400</v>
      </c>
      <c r="G83" s="18">
        <v>1622</v>
      </c>
    </row>
    <row r="84" spans="1:7" x14ac:dyDescent="0.3">
      <c r="A84" s="11" t="s">
        <v>76</v>
      </c>
      <c r="B84" s="18">
        <v>1046</v>
      </c>
      <c r="C84" s="18">
        <v>1071</v>
      </c>
      <c r="D84" s="18">
        <v>1154</v>
      </c>
      <c r="E84" s="18">
        <v>1053</v>
      </c>
      <c r="F84" s="18">
        <v>1367</v>
      </c>
      <c r="G84" s="18">
        <v>1194</v>
      </c>
    </row>
    <row r="85" spans="1:7" x14ac:dyDescent="0.3">
      <c r="A85" s="11" t="s">
        <v>6</v>
      </c>
      <c r="B85" s="18">
        <v>1887</v>
      </c>
      <c r="C85" s="18">
        <v>2126</v>
      </c>
      <c r="D85" s="18">
        <v>1992</v>
      </c>
      <c r="E85" s="18">
        <v>2224</v>
      </c>
      <c r="F85" s="18">
        <v>2219</v>
      </c>
      <c r="G85" s="18">
        <v>2242</v>
      </c>
    </row>
    <row r="86" spans="1:7" x14ac:dyDescent="0.3">
      <c r="A86" s="11" t="s">
        <v>64</v>
      </c>
      <c r="B86" s="18">
        <v>1685</v>
      </c>
      <c r="C86" s="18">
        <v>1662</v>
      </c>
      <c r="D86" s="18">
        <v>1567</v>
      </c>
      <c r="E86" s="18">
        <v>1473</v>
      </c>
      <c r="F86" s="18">
        <v>1588</v>
      </c>
      <c r="G86" s="18">
        <v>1567</v>
      </c>
    </row>
    <row r="87" spans="1:7" x14ac:dyDescent="0.3">
      <c r="A87" s="11" t="s">
        <v>5</v>
      </c>
      <c r="B87" s="18">
        <v>565</v>
      </c>
      <c r="C87" s="18">
        <v>627</v>
      </c>
      <c r="D87" s="18">
        <v>684</v>
      </c>
      <c r="E87" s="18">
        <v>607</v>
      </c>
      <c r="F87" s="18">
        <v>913</v>
      </c>
      <c r="G87" s="18">
        <v>809</v>
      </c>
    </row>
    <row r="88" spans="1:7" x14ac:dyDescent="0.3">
      <c r="A88" s="11" t="s">
        <v>135</v>
      </c>
      <c r="B88" s="18">
        <v>4083</v>
      </c>
      <c r="C88" s="18" t="s">
        <v>86</v>
      </c>
      <c r="D88" s="18" t="s">
        <v>86</v>
      </c>
      <c r="E88" s="18" t="s">
        <v>86</v>
      </c>
      <c r="F88" s="18" t="s">
        <v>86</v>
      </c>
      <c r="G88" s="18" t="s">
        <v>86</v>
      </c>
    </row>
    <row r="89" spans="1:7" x14ac:dyDescent="0.3">
      <c r="A89" s="11" t="s">
        <v>62</v>
      </c>
      <c r="B89" s="18">
        <v>498</v>
      </c>
      <c r="C89" s="18">
        <v>590</v>
      </c>
      <c r="D89" s="18">
        <v>569</v>
      </c>
      <c r="E89" s="18">
        <v>626</v>
      </c>
      <c r="F89" s="18">
        <v>862</v>
      </c>
      <c r="G89" s="18">
        <v>699</v>
      </c>
    </row>
    <row r="90" spans="1:7" x14ac:dyDescent="0.3">
      <c r="A90" s="11" t="s">
        <v>9</v>
      </c>
      <c r="B90" s="18">
        <v>273</v>
      </c>
      <c r="C90" s="18">
        <v>297</v>
      </c>
      <c r="D90" s="18">
        <v>249</v>
      </c>
      <c r="E90" s="18">
        <v>240</v>
      </c>
      <c r="F90" s="18">
        <v>310</v>
      </c>
      <c r="G90" s="18">
        <v>257</v>
      </c>
    </row>
    <row r="91" spans="1:7" x14ac:dyDescent="0.3">
      <c r="A91" s="11" t="s">
        <v>10</v>
      </c>
      <c r="B91" s="18">
        <v>1178</v>
      </c>
      <c r="C91" s="18">
        <v>945</v>
      </c>
      <c r="D91" s="18">
        <v>1083</v>
      </c>
      <c r="E91" s="18">
        <v>994</v>
      </c>
      <c r="F91" s="18">
        <v>1512</v>
      </c>
      <c r="G91" s="18">
        <v>1148</v>
      </c>
    </row>
    <row r="92" spans="1:7" x14ac:dyDescent="0.3">
      <c r="A92" s="12" t="s">
        <v>75</v>
      </c>
      <c r="B92" s="18">
        <v>819</v>
      </c>
      <c r="C92" s="18">
        <v>710</v>
      </c>
      <c r="D92" s="18">
        <v>660</v>
      </c>
      <c r="E92" s="18">
        <v>627</v>
      </c>
      <c r="F92" s="18">
        <v>764</v>
      </c>
      <c r="G92" s="18">
        <v>584</v>
      </c>
    </row>
    <row r="93" spans="1:7" x14ac:dyDescent="0.3">
      <c r="A93" s="12" t="s">
        <v>73</v>
      </c>
      <c r="B93" s="18">
        <v>499</v>
      </c>
      <c r="C93" s="18">
        <v>448</v>
      </c>
      <c r="D93" s="18">
        <v>399</v>
      </c>
      <c r="E93" s="18">
        <v>400</v>
      </c>
      <c r="F93" s="18">
        <v>473</v>
      </c>
      <c r="G93" s="18">
        <v>369</v>
      </c>
    </row>
    <row r="94" spans="1:7" x14ac:dyDescent="0.3">
      <c r="A94" s="12" t="s">
        <v>8</v>
      </c>
      <c r="B94" s="18">
        <v>223</v>
      </c>
      <c r="C94" s="18">
        <v>222</v>
      </c>
      <c r="D94" s="18">
        <v>150</v>
      </c>
      <c r="E94" s="18">
        <v>206</v>
      </c>
      <c r="F94" s="18">
        <v>145</v>
      </c>
      <c r="G94" s="18">
        <v>131</v>
      </c>
    </row>
    <row r="95" spans="1:7" x14ac:dyDescent="0.3">
      <c r="A95" s="12" t="s">
        <v>3</v>
      </c>
      <c r="B95" s="18">
        <v>495</v>
      </c>
      <c r="C95" s="18">
        <v>305</v>
      </c>
      <c r="D95" s="18">
        <v>289</v>
      </c>
      <c r="E95" s="18">
        <v>337</v>
      </c>
      <c r="F95" s="18">
        <v>378</v>
      </c>
      <c r="G95" s="18">
        <v>411</v>
      </c>
    </row>
    <row r="96" spans="1:7" x14ac:dyDescent="0.3">
      <c r="A96" s="12" t="s">
        <v>74</v>
      </c>
      <c r="B96" s="18">
        <v>66</v>
      </c>
      <c r="C96" s="18">
        <v>96</v>
      </c>
      <c r="D96" s="18">
        <v>93</v>
      </c>
      <c r="E96" s="18">
        <v>74</v>
      </c>
      <c r="F96" s="18">
        <v>98</v>
      </c>
      <c r="G96" s="18">
        <v>102</v>
      </c>
    </row>
    <row r="97" spans="1:7" x14ac:dyDescent="0.3">
      <c r="A97" s="12" t="s">
        <v>18</v>
      </c>
      <c r="B97" s="18">
        <v>32</v>
      </c>
      <c r="C97" s="18">
        <v>34</v>
      </c>
      <c r="D97" s="18">
        <v>43</v>
      </c>
      <c r="E97" s="18">
        <v>52</v>
      </c>
      <c r="F97" s="18">
        <v>57</v>
      </c>
      <c r="G97" s="18">
        <v>51</v>
      </c>
    </row>
  </sheetData>
  <autoFilter ref="A3:G97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300D1-A014-4893-9529-D83CDF3D8D1A}">
  <sheetPr codeName="Лист17">
    <tabColor theme="0" tint="-0.14999847407452621"/>
    <pageSetUpPr fitToPage="1"/>
  </sheetPr>
  <dimension ref="A1:Z97"/>
  <sheetViews>
    <sheetView showGridLines="0" workbookViewId="0"/>
  </sheetViews>
  <sheetFormatPr defaultRowHeight="16.5" x14ac:dyDescent="0.3"/>
  <cols>
    <col min="1" max="1" width="108.5703125" style="9" customWidth="1"/>
    <col min="2" max="2" width="10.85546875" style="4" customWidth="1"/>
    <col min="3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25" t="s">
        <v>137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3" spans="1:26" x14ac:dyDescent="0.3">
      <c r="A3" s="10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6" x14ac:dyDescent="0.3">
      <c r="A4" s="11" t="s">
        <v>87</v>
      </c>
      <c r="B4" s="18">
        <v>788531</v>
      </c>
      <c r="C4" s="18">
        <v>756395</v>
      </c>
      <c r="D4" s="18">
        <v>774159</v>
      </c>
      <c r="E4" s="18">
        <v>751243</v>
      </c>
      <c r="F4" s="18">
        <v>733075</v>
      </c>
      <c r="G4" s="18">
        <v>697567</v>
      </c>
    </row>
    <row r="5" spans="1:26" x14ac:dyDescent="0.3">
      <c r="A5" s="11" t="s">
        <v>96</v>
      </c>
      <c r="B5" s="18">
        <v>189865</v>
      </c>
      <c r="C5" s="18">
        <v>182255</v>
      </c>
      <c r="D5" s="18">
        <v>186225</v>
      </c>
      <c r="E5" s="18">
        <v>175669</v>
      </c>
      <c r="F5" s="18">
        <v>172423</v>
      </c>
      <c r="G5" s="18">
        <v>166418</v>
      </c>
    </row>
    <row r="6" spans="1:26" x14ac:dyDescent="0.3">
      <c r="A6" s="11" t="s">
        <v>50</v>
      </c>
      <c r="B6" s="18">
        <v>5021</v>
      </c>
      <c r="C6" s="18">
        <v>4985</v>
      </c>
      <c r="D6" s="18">
        <v>5328</v>
      </c>
      <c r="E6" s="18">
        <v>5237</v>
      </c>
      <c r="F6" s="18">
        <v>4734</v>
      </c>
      <c r="G6" s="18">
        <v>4651</v>
      </c>
    </row>
    <row r="7" spans="1:26" x14ac:dyDescent="0.3">
      <c r="A7" s="11" t="s">
        <v>48</v>
      </c>
      <c r="B7" s="18">
        <v>5354</v>
      </c>
      <c r="C7" s="18">
        <v>5152</v>
      </c>
      <c r="D7" s="18">
        <v>4644</v>
      </c>
      <c r="E7" s="18">
        <v>4520</v>
      </c>
      <c r="F7" s="18">
        <v>3956</v>
      </c>
      <c r="G7" s="18">
        <v>3279</v>
      </c>
    </row>
    <row r="8" spans="1:26" x14ac:dyDescent="0.3">
      <c r="A8" s="11" t="s">
        <v>20</v>
      </c>
      <c r="B8" s="18">
        <v>7621</v>
      </c>
      <c r="C8" s="18">
        <v>6569</v>
      </c>
      <c r="D8" s="18">
        <v>6504</v>
      </c>
      <c r="E8" s="18">
        <v>6212</v>
      </c>
      <c r="F8" s="18">
        <v>5579</v>
      </c>
      <c r="G8" s="18">
        <v>5261</v>
      </c>
    </row>
    <row r="9" spans="1:26" x14ac:dyDescent="0.3">
      <c r="A9" s="11" t="s">
        <v>4</v>
      </c>
      <c r="B9" s="18">
        <v>15658</v>
      </c>
      <c r="C9" s="18">
        <v>13409</v>
      </c>
      <c r="D9" s="18">
        <v>15148</v>
      </c>
      <c r="E9" s="18">
        <v>13963</v>
      </c>
      <c r="F9" s="18">
        <v>14067</v>
      </c>
      <c r="G9" s="18">
        <v>14794</v>
      </c>
    </row>
    <row r="10" spans="1:26" x14ac:dyDescent="0.3">
      <c r="A10" s="11" t="s">
        <v>45</v>
      </c>
      <c r="B10" s="18">
        <v>6647</v>
      </c>
      <c r="C10" s="18">
        <v>5705</v>
      </c>
      <c r="D10" s="18">
        <v>5582</v>
      </c>
      <c r="E10" s="18">
        <v>5081</v>
      </c>
      <c r="F10" s="18">
        <v>4498</v>
      </c>
      <c r="G10" s="18">
        <v>4215</v>
      </c>
    </row>
    <row r="11" spans="1:26" x14ac:dyDescent="0.3">
      <c r="A11" s="11" t="s">
        <v>40</v>
      </c>
      <c r="B11" s="18">
        <v>6415</v>
      </c>
      <c r="C11" s="18">
        <v>5947</v>
      </c>
      <c r="D11" s="18">
        <v>6032</v>
      </c>
      <c r="E11" s="18">
        <v>6641</v>
      </c>
      <c r="F11" s="18">
        <v>5638</v>
      </c>
      <c r="G11" s="18">
        <v>5265</v>
      </c>
    </row>
    <row r="12" spans="1:26" x14ac:dyDescent="0.3">
      <c r="A12" s="11" t="s">
        <v>37</v>
      </c>
      <c r="B12" s="18">
        <v>3124</v>
      </c>
      <c r="C12" s="18">
        <v>2841</v>
      </c>
      <c r="D12" s="18">
        <v>2836</v>
      </c>
      <c r="E12" s="18">
        <v>3113</v>
      </c>
      <c r="F12" s="18">
        <v>2744</v>
      </c>
      <c r="G12" s="18">
        <v>2314</v>
      </c>
    </row>
    <row r="13" spans="1:26" x14ac:dyDescent="0.3">
      <c r="A13" s="11" t="s">
        <v>56</v>
      </c>
      <c r="B13" s="18">
        <v>4095</v>
      </c>
      <c r="C13" s="18">
        <v>4066</v>
      </c>
      <c r="D13" s="18">
        <v>5040</v>
      </c>
      <c r="E13" s="18">
        <v>5178</v>
      </c>
      <c r="F13" s="18">
        <v>5102</v>
      </c>
      <c r="G13" s="18">
        <v>4418</v>
      </c>
    </row>
    <row r="14" spans="1:26" x14ac:dyDescent="0.3">
      <c r="A14" s="11" t="s">
        <v>51</v>
      </c>
      <c r="B14" s="18">
        <v>4350</v>
      </c>
      <c r="C14" s="18">
        <v>4352</v>
      </c>
      <c r="D14" s="18">
        <v>4418</v>
      </c>
      <c r="E14" s="18">
        <v>4684</v>
      </c>
      <c r="F14" s="18">
        <v>4619</v>
      </c>
      <c r="G14" s="18">
        <v>5050</v>
      </c>
    </row>
    <row r="15" spans="1:26" x14ac:dyDescent="0.3">
      <c r="A15" s="11" t="s">
        <v>21</v>
      </c>
      <c r="B15" s="18">
        <v>34237</v>
      </c>
      <c r="C15" s="18">
        <v>31257</v>
      </c>
      <c r="D15" s="18">
        <v>28809</v>
      </c>
      <c r="E15" s="18">
        <v>25209</v>
      </c>
      <c r="F15" s="18">
        <v>24523</v>
      </c>
      <c r="G15" s="18">
        <v>23431</v>
      </c>
    </row>
    <row r="16" spans="1:26" x14ac:dyDescent="0.3">
      <c r="A16" s="11" t="s">
        <v>70</v>
      </c>
      <c r="B16" s="18">
        <v>3170</v>
      </c>
      <c r="C16" s="18">
        <v>3294</v>
      </c>
      <c r="D16" s="18">
        <v>3151</v>
      </c>
      <c r="E16" s="18">
        <v>2503</v>
      </c>
      <c r="F16" s="18">
        <v>2577</v>
      </c>
      <c r="G16" s="18">
        <v>2759</v>
      </c>
    </row>
    <row r="17" spans="1:7" x14ac:dyDescent="0.3">
      <c r="A17" s="11" t="s">
        <v>59</v>
      </c>
      <c r="B17" s="18">
        <v>3316</v>
      </c>
      <c r="C17" s="18">
        <v>3102</v>
      </c>
      <c r="D17" s="18">
        <v>3429</v>
      </c>
      <c r="E17" s="18">
        <v>2888</v>
      </c>
      <c r="F17" s="18">
        <v>2630</v>
      </c>
      <c r="G17" s="18">
        <v>2626</v>
      </c>
    </row>
    <row r="18" spans="1:7" x14ac:dyDescent="0.3">
      <c r="A18" s="11" t="s">
        <v>43</v>
      </c>
      <c r="B18" s="18">
        <v>4745</v>
      </c>
      <c r="C18" s="18">
        <v>4335</v>
      </c>
      <c r="D18" s="18">
        <v>5236</v>
      </c>
      <c r="E18" s="18">
        <v>5463</v>
      </c>
      <c r="F18" s="18">
        <v>4851</v>
      </c>
      <c r="G18" s="18">
        <v>4937</v>
      </c>
    </row>
    <row r="19" spans="1:7" x14ac:dyDescent="0.3">
      <c r="A19" s="11" t="s">
        <v>15</v>
      </c>
      <c r="B19" s="18">
        <v>3869</v>
      </c>
      <c r="C19" s="18">
        <v>3836</v>
      </c>
      <c r="D19" s="18">
        <v>4060</v>
      </c>
      <c r="E19" s="18">
        <v>4046</v>
      </c>
      <c r="F19" s="18">
        <v>3918</v>
      </c>
      <c r="G19" s="18">
        <v>4151</v>
      </c>
    </row>
    <row r="20" spans="1:7" x14ac:dyDescent="0.3">
      <c r="A20" s="11" t="s">
        <v>38</v>
      </c>
      <c r="B20" s="18">
        <v>8403</v>
      </c>
      <c r="C20" s="18">
        <v>7816</v>
      </c>
      <c r="D20" s="18">
        <v>8066</v>
      </c>
      <c r="E20" s="18">
        <v>9589</v>
      </c>
      <c r="F20" s="18">
        <v>9047</v>
      </c>
      <c r="G20" s="18">
        <v>8447</v>
      </c>
    </row>
    <row r="21" spans="1:7" x14ac:dyDescent="0.3">
      <c r="A21" s="11" t="s">
        <v>39</v>
      </c>
      <c r="B21" s="18">
        <v>4528</v>
      </c>
      <c r="C21" s="18">
        <v>5048</v>
      </c>
      <c r="D21" s="18">
        <v>4514</v>
      </c>
      <c r="E21" s="18">
        <v>4505</v>
      </c>
      <c r="F21" s="18">
        <v>6001</v>
      </c>
      <c r="G21" s="18">
        <v>5902</v>
      </c>
    </row>
    <row r="22" spans="1:7" x14ac:dyDescent="0.3">
      <c r="A22" s="11" t="s">
        <v>78</v>
      </c>
      <c r="B22" s="18">
        <v>7955</v>
      </c>
      <c r="C22" s="18">
        <v>7852</v>
      </c>
      <c r="D22" s="18">
        <v>7829</v>
      </c>
      <c r="E22" s="18">
        <v>6718</v>
      </c>
      <c r="F22" s="18">
        <v>6391</v>
      </c>
      <c r="G22" s="18">
        <v>7907</v>
      </c>
    </row>
    <row r="23" spans="1:7" x14ac:dyDescent="0.3">
      <c r="A23" s="11" t="s">
        <v>13</v>
      </c>
      <c r="B23" s="18">
        <v>61357</v>
      </c>
      <c r="C23" s="18">
        <v>62689</v>
      </c>
      <c r="D23" s="18">
        <v>65599</v>
      </c>
      <c r="E23" s="18">
        <v>60119</v>
      </c>
      <c r="F23" s="18">
        <v>61548</v>
      </c>
      <c r="G23" s="18">
        <v>57011</v>
      </c>
    </row>
    <row r="24" spans="1:7" x14ac:dyDescent="0.3">
      <c r="A24" s="11" t="s">
        <v>97</v>
      </c>
      <c r="B24" s="18">
        <v>72735</v>
      </c>
      <c r="C24" s="18">
        <v>68876</v>
      </c>
      <c r="D24" s="18">
        <v>71847</v>
      </c>
      <c r="E24" s="18">
        <v>77875</v>
      </c>
      <c r="F24" s="18">
        <v>75292</v>
      </c>
      <c r="G24" s="18">
        <v>73355</v>
      </c>
    </row>
    <row r="25" spans="1:7" x14ac:dyDescent="0.3">
      <c r="A25" s="11" t="s">
        <v>71</v>
      </c>
      <c r="B25" s="18">
        <v>4477</v>
      </c>
      <c r="C25" s="18">
        <v>4920</v>
      </c>
      <c r="D25" s="18">
        <v>5219</v>
      </c>
      <c r="E25" s="18">
        <v>5404</v>
      </c>
      <c r="F25" s="18">
        <v>5852</v>
      </c>
      <c r="G25" s="18">
        <v>4440</v>
      </c>
    </row>
    <row r="26" spans="1:7" x14ac:dyDescent="0.3">
      <c r="A26" s="11" t="s">
        <v>65</v>
      </c>
      <c r="B26" s="18">
        <v>5301</v>
      </c>
      <c r="C26" s="18">
        <v>4433</v>
      </c>
      <c r="D26" s="18">
        <v>4821</v>
      </c>
      <c r="E26" s="18">
        <v>5219</v>
      </c>
      <c r="F26" s="18">
        <v>4379</v>
      </c>
      <c r="G26" s="18">
        <v>3857</v>
      </c>
    </row>
    <row r="27" spans="1:7" x14ac:dyDescent="0.3">
      <c r="A27" s="11" t="s">
        <v>53</v>
      </c>
      <c r="B27" s="18">
        <v>7419</v>
      </c>
      <c r="C27" s="18">
        <v>6958</v>
      </c>
      <c r="D27" s="18">
        <v>7251</v>
      </c>
      <c r="E27" s="18">
        <v>7331</v>
      </c>
      <c r="F27" s="18">
        <v>6216</v>
      </c>
      <c r="G27" s="18">
        <v>5695</v>
      </c>
    </row>
    <row r="28" spans="1:7" x14ac:dyDescent="0.3">
      <c r="A28" s="11" t="s">
        <v>132</v>
      </c>
      <c r="B28" s="18">
        <v>7191</v>
      </c>
      <c r="C28" s="18">
        <v>6686</v>
      </c>
      <c r="D28" s="18">
        <v>7040</v>
      </c>
      <c r="E28" s="18">
        <v>7131</v>
      </c>
      <c r="F28" s="18">
        <v>6024</v>
      </c>
      <c r="G28" s="18">
        <v>5526</v>
      </c>
    </row>
    <row r="29" spans="1:7" x14ac:dyDescent="0.3">
      <c r="A29" s="11" t="s">
        <v>7</v>
      </c>
      <c r="B29" s="18">
        <v>228</v>
      </c>
      <c r="C29" s="18">
        <v>272</v>
      </c>
      <c r="D29" s="18">
        <v>211</v>
      </c>
      <c r="E29" s="18">
        <v>200</v>
      </c>
      <c r="F29" s="18">
        <v>192</v>
      </c>
      <c r="G29" s="18">
        <v>169</v>
      </c>
    </row>
    <row r="30" spans="1:7" x14ac:dyDescent="0.3">
      <c r="A30" s="11" t="s">
        <v>80</v>
      </c>
      <c r="B30" s="18">
        <v>8162</v>
      </c>
      <c r="C30" s="18">
        <v>6907</v>
      </c>
      <c r="D30" s="18">
        <v>6175</v>
      </c>
      <c r="E30" s="18">
        <v>5927</v>
      </c>
      <c r="F30" s="18">
        <v>6931</v>
      </c>
      <c r="G30" s="18">
        <v>6671</v>
      </c>
    </row>
    <row r="31" spans="1:7" x14ac:dyDescent="0.3">
      <c r="A31" s="11" t="s">
        <v>69</v>
      </c>
      <c r="B31" s="18">
        <v>8367</v>
      </c>
      <c r="C31" s="18">
        <v>6147</v>
      </c>
      <c r="D31" s="18">
        <v>6675</v>
      </c>
      <c r="E31" s="18">
        <v>5930</v>
      </c>
      <c r="F31" s="18">
        <v>5588</v>
      </c>
      <c r="G31" s="18">
        <v>5355</v>
      </c>
    </row>
    <row r="32" spans="1:7" x14ac:dyDescent="0.3">
      <c r="A32" s="11" t="s">
        <v>117</v>
      </c>
      <c r="B32" s="18">
        <v>26980</v>
      </c>
      <c r="C32" s="18">
        <v>28278</v>
      </c>
      <c r="D32" s="18">
        <v>30917</v>
      </c>
      <c r="E32" s="18">
        <v>36533</v>
      </c>
      <c r="F32" s="18">
        <v>35270</v>
      </c>
      <c r="G32" s="18">
        <v>36100</v>
      </c>
    </row>
    <row r="33" spans="1:7" x14ac:dyDescent="0.3">
      <c r="A33" s="11" t="s">
        <v>33</v>
      </c>
      <c r="B33" s="18">
        <v>7573</v>
      </c>
      <c r="C33" s="18">
        <v>9104</v>
      </c>
      <c r="D33" s="18">
        <v>11690</v>
      </c>
      <c r="E33" s="18">
        <v>13037</v>
      </c>
      <c r="F33" s="18">
        <v>12421</v>
      </c>
      <c r="G33" s="18">
        <v>12722</v>
      </c>
    </row>
    <row r="34" spans="1:7" x14ac:dyDescent="0.3">
      <c r="A34" s="11" t="s">
        <v>30</v>
      </c>
      <c r="B34" s="18">
        <v>4200</v>
      </c>
      <c r="C34" s="18">
        <v>3740</v>
      </c>
      <c r="D34" s="18">
        <v>3547</v>
      </c>
      <c r="E34" s="18">
        <v>3881</v>
      </c>
      <c r="F34" s="18">
        <v>3973</v>
      </c>
      <c r="G34" s="18">
        <v>3944</v>
      </c>
    </row>
    <row r="35" spans="1:7" x14ac:dyDescent="0.3">
      <c r="A35" s="11" t="s">
        <v>52</v>
      </c>
      <c r="B35" s="18">
        <v>4553</v>
      </c>
      <c r="C35" s="18">
        <v>4510</v>
      </c>
      <c r="D35" s="18">
        <v>4466</v>
      </c>
      <c r="E35" s="18">
        <v>4601</v>
      </c>
      <c r="F35" s="18">
        <v>4318</v>
      </c>
      <c r="G35" s="18">
        <v>4286</v>
      </c>
    </row>
    <row r="36" spans="1:7" x14ac:dyDescent="0.3">
      <c r="A36" s="11" t="s">
        <v>31</v>
      </c>
      <c r="B36" s="18">
        <v>3276</v>
      </c>
      <c r="C36" s="18">
        <v>2983</v>
      </c>
      <c r="D36" s="18">
        <v>2776</v>
      </c>
      <c r="E36" s="18">
        <v>3049</v>
      </c>
      <c r="F36" s="18">
        <v>2765</v>
      </c>
      <c r="G36" s="18">
        <v>3007</v>
      </c>
    </row>
    <row r="37" spans="1:7" x14ac:dyDescent="0.3">
      <c r="A37" s="11" t="s">
        <v>32</v>
      </c>
      <c r="B37" s="18">
        <v>19407</v>
      </c>
      <c r="C37" s="18">
        <v>19174</v>
      </c>
      <c r="D37" s="18">
        <v>19227</v>
      </c>
      <c r="E37" s="18">
        <v>23496</v>
      </c>
      <c r="F37" s="18">
        <v>22849</v>
      </c>
      <c r="G37" s="18">
        <v>23378</v>
      </c>
    </row>
    <row r="38" spans="1:7" x14ac:dyDescent="0.3">
      <c r="A38" s="11" t="s">
        <v>99</v>
      </c>
      <c r="B38" s="18">
        <v>17334</v>
      </c>
      <c r="C38" s="18">
        <v>18601</v>
      </c>
      <c r="D38" s="18">
        <v>19872</v>
      </c>
      <c r="E38" s="18">
        <v>18218</v>
      </c>
      <c r="F38" s="18">
        <v>18234</v>
      </c>
      <c r="G38" s="18">
        <v>16918</v>
      </c>
    </row>
    <row r="39" spans="1:7" x14ac:dyDescent="0.3">
      <c r="A39" s="11" t="s">
        <v>63</v>
      </c>
      <c r="B39" s="18">
        <v>2220</v>
      </c>
      <c r="C39" s="18">
        <v>1999</v>
      </c>
      <c r="D39" s="18">
        <v>1615</v>
      </c>
      <c r="E39" s="18">
        <v>1372</v>
      </c>
      <c r="F39" s="18">
        <v>1553</v>
      </c>
      <c r="G39" s="18">
        <v>1497</v>
      </c>
    </row>
    <row r="40" spans="1:7" x14ac:dyDescent="0.3">
      <c r="A40" s="11" t="s">
        <v>81</v>
      </c>
      <c r="B40" s="18">
        <v>339</v>
      </c>
      <c r="C40" s="18">
        <v>320</v>
      </c>
      <c r="D40" s="18">
        <v>265</v>
      </c>
      <c r="E40" s="18">
        <v>207</v>
      </c>
      <c r="F40" s="18">
        <v>245</v>
      </c>
      <c r="G40" s="18">
        <v>240</v>
      </c>
    </row>
    <row r="41" spans="1:7" x14ac:dyDescent="0.3">
      <c r="A41" s="11" t="s">
        <v>91</v>
      </c>
      <c r="B41" s="18">
        <v>1822</v>
      </c>
      <c r="C41" s="18">
        <v>1740</v>
      </c>
      <c r="D41" s="18">
        <v>1847</v>
      </c>
      <c r="E41" s="18">
        <v>1705</v>
      </c>
      <c r="F41" s="18">
        <v>1600</v>
      </c>
      <c r="G41" s="18">
        <v>1336</v>
      </c>
    </row>
    <row r="42" spans="1:7" x14ac:dyDescent="0.3">
      <c r="A42" s="11" t="s">
        <v>92</v>
      </c>
      <c r="B42" s="18">
        <v>757</v>
      </c>
      <c r="C42" s="18">
        <v>830</v>
      </c>
      <c r="D42" s="18">
        <v>930</v>
      </c>
      <c r="E42" s="18">
        <v>925</v>
      </c>
      <c r="F42" s="18">
        <v>1004</v>
      </c>
      <c r="G42" s="18">
        <v>978</v>
      </c>
    </row>
    <row r="43" spans="1:7" x14ac:dyDescent="0.3">
      <c r="A43" s="11" t="s">
        <v>47</v>
      </c>
      <c r="B43" s="18">
        <v>1341</v>
      </c>
      <c r="C43" s="18">
        <v>1431</v>
      </c>
      <c r="D43" s="18">
        <v>1375</v>
      </c>
      <c r="E43" s="18">
        <v>1327</v>
      </c>
      <c r="F43" s="18">
        <v>1606</v>
      </c>
      <c r="G43" s="18">
        <v>1449</v>
      </c>
    </row>
    <row r="44" spans="1:7" x14ac:dyDescent="0.3">
      <c r="A44" s="11" t="s">
        <v>93</v>
      </c>
      <c r="B44" s="18">
        <v>592</v>
      </c>
      <c r="C44" s="18">
        <v>593</v>
      </c>
      <c r="D44" s="18">
        <v>863</v>
      </c>
      <c r="E44" s="18">
        <v>716</v>
      </c>
      <c r="F44" s="18">
        <v>585</v>
      </c>
      <c r="G44" s="18">
        <v>332</v>
      </c>
    </row>
    <row r="45" spans="1:7" x14ac:dyDescent="0.3">
      <c r="A45" s="11" t="s">
        <v>11</v>
      </c>
      <c r="B45" s="18">
        <v>10263</v>
      </c>
      <c r="C45" s="18">
        <v>11688</v>
      </c>
      <c r="D45" s="18">
        <v>12977</v>
      </c>
      <c r="E45" s="18">
        <v>11966</v>
      </c>
      <c r="F45" s="18">
        <v>11641</v>
      </c>
      <c r="G45" s="18">
        <v>11086</v>
      </c>
    </row>
    <row r="46" spans="1:7" x14ac:dyDescent="0.3">
      <c r="A46" s="11" t="s">
        <v>26</v>
      </c>
      <c r="B46" s="18">
        <v>1508</v>
      </c>
      <c r="C46" s="18">
        <v>1321</v>
      </c>
      <c r="D46" s="18">
        <v>1375</v>
      </c>
      <c r="E46" s="18">
        <v>1184</v>
      </c>
      <c r="F46" s="18">
        <v>1290</v>
      </c>
      <c r="G46" s="18">
        <v>1373</v>
      </c>
    </row>
    <row r="47" spans="1:7" x14ac:dyDescent="0.3">
      <c r="A47" s="11" t="s">
        <v>27</v>
      </c>
      <c r="B47" s="18">
        <v>623</v>
      </c>
      <c r="C47" s="18">
        <v>559</v>
      </c>
      <c r="D47" s="18">
        <v>645</v>
      </c>
      <c r="E47" s="18">
        <v>636</v>
      </c>
      <c r="F47" s="18">
        <v>698</v>
      </c>
      <c r="G47" s="18">
        <v>560</v>
      </c>
    </row>
    <row r="48" spans="1:7" x14ac:dyDescent="0.3">
      <c r="A48" s="11" t="s">
        <v>28</v>
      </c>
      <c r="B48" s="18">
        <v>27491</v>
      </c>
      <c r="C48" s="18">
        <v>28029</v>
      </c>
      <c r="D48" s="18">
        <v>28953</v>
      </c>
      <c r="E48" s="18">
        <v>27142</v>
      </c>
      <c r="F48" s="18">
        <v>28899</v>
      </c>
      <c r="G48" s="18">
        <v>28591</v>
      </c>
    </row>
    <row r="49" spans="1:7" x14ac:dyDescent="0.3">
      <c r="A49" s="11" t="s">
        <v>25</v>
      </c>
      <c r="B49" s="18">
        <v>3508</v>
      </c>
      <c r="C49" s="18">
        <v>3458</v>
      </c>
      <c r="D49" s="18">
        <v>3315</v>
      </c>
      <c r="E49" s="18">
        <v>4083</v>
      </c>
      <c r="F49" s="18">
        <v>3813</v>
      </c>
      <c r="G49" s="18">
        <v>3358</v>
      </c>
    </row>
    <row r="50" spans="1:7" x14ac:dyDescent="0.3">
      <c r="A50" s="11" t="s">
        <v>22</v>
      </c>
      <c r="B50" s="18">
        <v>17188</v>
      </c>
      <c r="C50" s="18">
        <v>16926</v>
      </c>
      <c r="D50" s="18">
        <v>18491</v>
      </c>
      <c r="E50" s="18">
        <v>16794</v>
      </c>
      <c r="F50" s="18">
        <v>15943</v>
      </c>
      <c r="G50" s="18">
        <v>14894</v>
      </c>
    </row>
    <row r="51" spans="1:7" x14ac:dyDescent="0.3">
      <c r="A51" s="11" t="s">
        <v>29</v>
      </c>
      <c r="B51" s="18">
        <v>26281</v>
      </c>
      <c r="C51" s="18">
        <v>24671</v>
      </c>
      <c r="D51" s="18">
        <v>27031</v>
      </c>
      <c r="E51" s="18">
        <v>26909</v>
      </c>
      <c r="F51" s="18">
        <v>26804</v>
      </c>
      <c r="G51" s="18">
        <v>25616</v>
      </c>
    </row>
    <row r="52" spans="1:7" x14ac:dyDescent="0.3">
      <c r="A52" s="11" t="s">
        <v>100</v>
      </c>
      <c r="B52" s="18">
        <v>141085</v>
      </c>
      <c r="C52" s="18">
        <v>138921</v>
      </c>
      <c r="D52" s="18">
        <v>141827</v>
      </c>
      <c r="E52" s="18">
        <v>141351</v>
      </c>
      <c r="F52" s="18">
        <v>136650</v>
      </c>
      <c r="G52" s="18">
        <v>129093</v>
      </c>
    </row>
    <row r="53" spans="1:7" x14ac:dyDescent="0.3">
      <c r="A53" s="11" t="s">
        <v>83</v>
      </c>
      <c r="B53" s="18">
        <v>21489</v>
      </c>
      <c r="C53" s="18">
        <v>21138</v>
      </c>
      <c r="D53" s="18">
        <v>19945</v>
      </c>
      <c r="E53" s="18">
        <v>20428</v>
      </c>
      <c r="F53" s="18">
        <v>19823</v>
      </c>
      <c r="G53" s="18">
        <v>18502</v>
      </c>
    </row>
    <row r="54" spans="1:7" x14ac:dyDescent="0.3">
      <c r="A54" s="11" t="s">
        <v>42</v>
      </c>
      <c r="B54" s="18">
        <v>2410</v>
      </c>
      <c r="C54" s="18">
        <v>2418</v>
      </c>
      <c r="D54" s="18">
        <v>2724</v>
      </c>
      <c r="E54" s="18">
        <v>2754</v>
      </c>
      <c r="F54" s="18">
        <v>2536</v>
      </c>
      <c r="G54" s="18">
        <v>2474</v>
      </c>
    </row>
    <row r="55" spans="1:7" x14ac:dyDescent="0.3">
      <c r="A55" s="11" t="s">
        <v>34</v>
      </c>
      <c r="B55" s="18">
        <v>2089</v>
      </c>
      <c r="C55" s="18">
        <v>1819</v>
      </c>
      <c r="D55" s="18">
        <v>1911</v>
      </c>
      <c r="E55" s="18">
        <v>2059</v>
      </c>
      <c r="F55" s="18">
        <v>2268</v>
      </c>
      <c r="G55" s="18">
        <v>1989</v>
      </c>
    </row>
    <row r="56" spans="1:7" x14ac:dyDescent="0.3">
      <c r="A56" s="11" t="s">
        <v>35</v>
      </c>
      <c r="B56" s="18">
        <v>15872</v>
      </c>
      <c r="C56" s="18">
        <v>16377</v>
      </c>
      <c r="D56" s="18">
        <v>20008</v>
      </c>
      <c r="E56" s="18">
        <v>19219</v>
      </c>
      <c r="F56" s="18">
        <v>19385</v>
      </c>
      <c r="G56" s="18">
        <v>18429</v>
      </c>
    </row>
    <row r="57" spans="1:7" x14ac:dyDescent="0.3">
      <c r="A57" s="11" t="s">
        <v>94</v>
      </c>
      <c r="B57" s="18">
        <v>8034</v>
      </c>
      <c r="C57" s="18">
        <v>8605</v>
      </c>
      <c r="D57" s="18">
        <v>9694</v>
      </c>
      <c r="E57" s="18">
        <v>10892</v>
      </c>
      <c r="F57" s="18">
        <v>10342</v>
      </c>
      <c r="G57" s="18">
        <v>8890</v>
      </c>
    </row>
    <row r="58" spans="1:7" x14ac:dyDescent="0.3">
      <c r="A58" s="11" t="s">
        <v>46</v>
      </c>
      <c r="B58" s="18">
        <v>3559</v>
      </c>
      <c r="C58" s="18">
        <v>3354</v>
      </c>
      <c r="D58" s="18">
        <v>3339</v>
      </c>
      <c r="E58" s="18">
        <v>3735</v>
      </c>
      <c r="F58" s="18">
        <v>3369</v>
      </c>
      <c r="G58" s="18">
        <v>2835</v>
      </c>
    </row>
    <row r="59" spans="1:7" x14ac:dyDescent="0.3">
      <c r="A59" s="11" t="s">
        <v>44</v>
      </c>
      <c r="B59" s="18">
        <v>16729</v>
      </c>
      <c r="C59" s="18">
        <v>15709</v>
      </c>
      <c r="D59" s="18">
        <v>15662</v>
      </c>
      <c r="E59" s="18">
        <v>13903</v>
      </c>
      <c r="F59" s="18">
        <v>14395</v>
      </c>
      <c r="G59" s="18">
        <v>14571</v>
      </c>
    </row>
    <row r="60" spans="1:7" x14ac:dyDescent="0.3">
      <c r="A60" s="11" t="s">
        <v>36</v>
      </c>
      <c r="B60" s="18">
        <v>6797</v>
      </c>
      <c r="C60" s="18">
        <v>6817</v>
      </c>
      <c r="D60" s="18">
        <v>6694</v>
      </c>
      <c r="E60" s="18">
        <v>7121</v>
      </c>
      <c r="F60" s="18">
        <v>6886</v>
      </c>
      <c r="G60" s="18">
        <v>6084</v>
      </c>
    </row>
    <row r="61" spans="1:7" x14ac:dyDescent="0.3">
      <c r="A61" s="11" t="s">
        <v>54</v>
      </c>
      <c r="B61" s="18">
        <v>17349</v>
      </c>
      <c r="C61" s="18">
        <v>16208</v>
      </c>
      <c r="D61" s="18">
        <v>16430</v>
      </c>
      <c r="E61" s="18">
        <v>15261</v>
      </c>
      <c r="F61" s="18">
        <v>14412</v>
      </c>
      <c r="G61" s="18">
        <v>13598</v>
      </c>
    </row>
    <row r="62" spans="1:7" x14ac:dyDescent="0.3">
      <c r="A62" s="11" t="s">
        <v>23</v>
      </c>
      <c r="B62" s="18">
        <v>9476</v>
      </c>
      <c r="C62" s="18">
        <v>9102</v>
      </c>
      <c r="D62" s="18">
        <v>8972</v>
      </c>
      <c r="E62" s="18">
        <v>9307</v>
      </c>
      <c r="F62" s="18">
        <v>8046</v>
      </c>
      <c r="G62" s="18">
        <v>6781</v>
      </c>
    </row>
    <row r="63" spans="1:7" x14ac:dyDescent="0.3">
      <c r="A63" s="11" t="s">
        <v>49</v>
      </c>
      <c r="B63" s="18">
        <v>3645</v>
      </c>
      <c r="C63" s="18">
        <v>4349</v>
      </c>
      <c r="D63" s="18">
        <v>4331</v>
      </c>
      <c r="E63" s="18">
        <v>4415</v>
      </c>
      <c r="F63" s="18">
        <v>4577</v>
      </c>
      <c r="G63" s="18">
        <v>3720</v>
      </c>
    </row>
    <row r="64" spans="1:7" x14ac:dyDescent="0.3">
      <c r="A64" s="11" t="s">
        <v>24</v>
      </c>
      <c r="B64" s="18">
        <v>16854</v>
      </c>
      <c r="C64" s="18">
        <v>16587</v>
      </c>
      <c r="D64" s="18">
        <v>16557</v>
      </c>
      <c r="E64" s="18">
        <v>16617</v>
      </c>
      <c r="F64" s="18">
        <v>15971</v>
      </c>
      <c r="G64" s="18">
        <v>17471</v>
      </c>
    </row>
    <row r="65" spans="1:7" x14ac:dyDescent="0.3">
      <c r="A65" s="11" t="s">
        <v>68</v>
      </c>
      <c r="B65" s="18">
        <v>11303</v>
      </c>
      <c r="C65" s="18">
        <v>11418</v>
      </c>
      <c r="D65" s="18">
        <v>11337</v>
      </c>
      <c r="E65" s="18">
        <v>11466</v>
      </c>
      <c r="F65" s="18">
        <v>10782</v>
      </c>
      <c r="G65" s="18">
        <v>10094</v>
      </c>
    </row>
    <row r="66" spans="1:7" x14ac:dyDescent="0.3">
      <c r="A66" s="11" t="s">
        <v>41</v>
      </c>
      <c r="B66" s="18">
        <v>5479</v>
      </c>
      <c r="C66" s="18">
        <v>5020</v>
      </c>
      <c r="D66" s="18">
        <v>4223</v>
      </c>
      <c r="E66" s="18">
        <v>4174</v>
      </c>
      <c r="F66" s="18">
        <v>3858</v>
      </c>
      <c r="G66" s="18">
        <v>3655</v>
      </c>
    </row>
    <row r="67" spans="1:7" x14ac:dyDescent="0.3">
      <c r="A67" s="11" t="s">
        <v>101</v>
      </c>
      <c r="B67" s="18">
        <v>73726</v>
      </c>
      <c r="C67" s="18">
        <v>69429</v>
      </c>
      <c r="D67" s="18">
        <v>71890</v>
      </c>
      <c r="E67" s="18">
        <v>65721</v>
      </c>
      <c r="F67" s="18">
        <v>64926</v>
      </c>
      <c r="G67" s="18">
        <v>61018</v>
      </c>
    </row>
    <row r="68" spans="1:7" x14ac:dyDescent="0.3">
      <c r="A68" s="11" t="s">
        <v>55</v>
      </c>
      <c r="B68" s="18">
        <v>5642</v>
      </c>
      <c r="C68" s="18">
        <v>5616</v>
      </c>
      <c r="D68" s="18">
        <v>5624</v>
      </c>
      <c r="E68" s="18">
        <v>4610</v>
      </c>
      <c r="F68" s="18">
        <v>4407</v>
      </c>
      <c r="G68" s="18">
        <v>3860</v>
      </c>
    </row>
    <row r="69" spans="1:7" x14ac:dyDescent="0.3">
      <c r="A69" s="11" t="s">
        <v>16</v>
      </c>
      <c r="B69" s="18">
        <v>24747</v>
      </c>
      <c r="C69" s="18">
        <v>21895</v>
      </c>
      <c r="D69" s="18">
        <v>22004</v>
      </c>
      <c r="E69" s="18">
        <v>21560</v>
      </c>
      <c r="F69" s="18">
        <v>20417</v>
      </c>
      <c r="G69" s="18">
        <v>19908</v>
      </c>
    </row>
    <row r="70" spans="1:7" x14ac:dyDescent="0.3">
      <c r="A70" s="11" t="s">
        <v>19</v>
      </c>
      <c r="B70" s="18">
        <v>17196</v>
      </c>
      <c r="C70" s="18">
        <v>16975</v>
      </c>
      <c r="D70" s="18">
        <v>17439</v>
      </c>
      <c r="E70" s="18">
        <v>15472</v>
      </c>
      <c r="F70" s="18">
        <v>14654</v>
      </c>
      <c r="G70" s="18">
        <v>13955</v>
      </c>
    </row>
    <row r="71" spans="1:7" x14ac:dyDescent="0.3">
      <c r="A71" s="11" t="s">
        <v>133</v>
      </c>
      <c r="B71" s="18">
        <v>8594</v>
      </c>
      <c r="C71" s="18">
        <v>8908</v>
      </c>
      <c r="D71" s="18">
        <v>9277</v>
      </c>
      <c r="E71" s="18">
        <v>7756</v>
      </c>
      <c r="F71" s="18">
        <v>7451</v>
      </c>
      <c r="G71" s="18">
        <v>7035</v>
      </c>
    </row>
    <row r="72" spans="1:7" x14ac:dyDescent="0.3">
      <c r="A72" s="11" t="s">
        <v>17</v>
      </c>
      <c r="B72" s="18">
        <v>6178</v>
      </c>
      <c r="C72" s="18">
        <v>5943</v>
      </c>
      <c r="D72" s="18">
        <v>6031</v>
      </c>
      <c r="E72" s="18">
        <v>5518</v>
      </c>
      <c r="F72" s="18">
        <v>5516</v>
      </c>
      <c r="G72" s="18">
        <v>5394</v>
      </c>
    </row>
    <row r="73" spans="1:7" x14ac:dyDescent="0.3">
      <c r="A73" s="11" t="s">
        <v>60</v>
      </c>
      <c r="B73" s="18">
        <v>2424</v>
      </c>
      <c r="C73" s="18">
        <v>2124</v>
      </c>
      <c r="D73" s="18">
        <v>2131</v>
      </c>
      <c r="E73" s="18">
        <v>2198</v>
      </c>
      <c r="F73" s="18">
        <v>1687</v>
      </c>
      <c r="G73" s="18">
        <v>1526</v>
      </c>
    </row>
    <row r="74" spans="1:7" x14ac:dyDescent="0.3">
      <c r="A74" s="11" t="s">
        <v>82</v>
      </c>
      <c r="B74" s="18">
        <v>26141</v>
      </c>
      <c r="C74" s="18">
        <v>24943</v>
      </c>
      <c r="D74" s="18">
        <v>26823</v>
      </c>
      <c r="E74" s="18">
        <v>24079</v>
      </c>
      <c r="F74" s="18">
        <v>25448</v>
      </c>
      <c r="G74" s="18">
        <v>23295</v>
      </c>
    </row>
    <row r="75" spans="1:7" x14ac:dyDescent="0.3">
      <c r="A75" s="11" t="s">
        <v>134</v>
      </c>
      <c r="B75" s="18">
        <v>149147</v>
      </c>
      <c r="C75" s="18"/>
      <c r="D75" s="18"/>
      <c r="E75" s="18"/>
      <c r="F75" s="18"/>
      <c r="G75" s="18"/>
    </row>
    <row r="76" spans="1:7" x14ac:dyDescent="0.3">
      <c r="A76" s="11" t="s">
        <v>58</v>
      </c>
      <c r="B76" s="18">
        <v>1463</v>
      </c>
      <c r="C76" s="18">
        <v>1463</v>
      </c>
      <c r="D76" s="18">
        <v>1195</v>
      </c>
      <c r="E76" s="18">
        <v>1304</v>
      </c>
      <c r="F76" s="18">
        <v>1265</v>
      </c>
      <c r="G76" s="18">
        <v>1146</v>
      </c>
    </row>
    <row r="77" spans="1:7" x14ac:dyDescent="0.3">
      <c r="A77" s="11" t="s">
        <v>1</v>
      </c>
      <c r="B77" s="18">
        <v>10323</v>
      </c>
      <c r="C77" s="23">
        <f>B77*C4/B4</f>
        <v>9902.2937398783306</v>
      </c>
      <c r="D77" s="23">
        <f t="shared" ref="D77:G77" si="0">C77*D4/C4</f>
        <v>10134.84993868345</v>
      </c>
      <c r="E77" s="23">
        <f t="shared" si="0"/>
        <v>9834.8466819947462</v>
      </c>
      <c r="F77" s="23">
        <f t="shared" si="0"/>
        <v>9597.0015446444067</v>
      </c>
      <c r="G77" s="23">
        <f t="shared" si="0"/>
        <v>9132.1509756750202</v>
      </c>
    </row>
    <row r="78" spans="1:7" x14ac:dyDescent="0.3">
      <c r="A78" s="11" t="s">
        <v>14</v>
      </c>
      <c r="B78" s="18">
        <v>5466</v>
      </c>
      <c r="C78" s="18">
        <v>3945</v>
      </c>
      <c r="D78" s="18">
        <v>3626</v>
      </c>
      <c r="E78" s="18">
        <v>3285</v>
      </c>
      <c r="F78" s="18">
        <v>3369</v>
      </c>
      <c r="G78" s="18">
        <v>2350</v>
      </c>
    </row>
    <row r="79" spans="1:7" x14ac:dyDescent="0.3">
      <c r="A79" s="11" t="s">
        <v>77</v>
      </c>
      <c r="B79" s="18">
        <v>4652</v>
      </c>
      <c r="C79" s="18">
        <v>4086</v>
      </c>
      <c r="D79" s="18">
        <v>3584</v>
      </c>
      <c r="E79" s="18">
        <v>3455</v>
      </c>
      <c r="F79" s="18">
        <v>3736</v>
      </c>
      <c r="G79" s="18">
        <v>2988</v>
      </c>
    </row>
    <row r="80" spans="1:7" x14ac:dyDescent="0.3">
      <c r="A80" s="11" t="s">
        <v>12</v>
      </c>
      <c r="B80" s="18">
        <v>15347</v>
      </c>
      <c r="C80" s="18">
        <v>14624</v>
      </c>
      <c r="D80" s="18">
        <v>13787</v>
      </c>
      <c r="E80" s="18">
        <v>14440</v>
      </c>
      <c r="F80" s="18">
        <v>14561</v>
      </c>
      <c r="G80" s="18">
        <v>13316</v>
      </c>
    </row>
    <row r="81" spans="1:7" x14ac:dyDescent="0.3">
      <c r="A81" s="11" t="s">
        <v>57</v>
      </c>
      <c r="B81" s="18">
        <v>12036</v>
      </c>
      <c r="C81" s="23">
        <f>B81*C4/B4</f>
        <v>11545.481686832858</v>
      </c>
      <c r="D81" s="23">
        <f t="shared" ref="D81:G81" si="1">C81*D4/C4</f>
        <v>11816.628292356294</v>
      </c>
      <c r="E81" s="23">
        <f t="shared" si="1"/>
        <v>11466.842455147611</v>
      </c>
      <c r="F81" s="23">
        <f t="shared" si="1"/>
        <v>11189.529263909726</v>
      </c>
      <c r="G81" s="23">
        <f t="shared" si="1"/>
        <v>10647.541329383374</v>
      </c>
    </row>
    <row r="82" spans="1:7" x14ac:dyDescent="0.3">
      <c r="A82" s="11" t="s">
        <v>61</v>
      </c>
      <c r="B82" s="18">
        <v>21508</v>
      </c>
      <c r="C82" s="18">
        <v>19249</v>
      </c>
      <c r="D82" s="18">
        <v>19759</v>
      </c>
      <c r="E82" s="18">
        <v>20227</v>
      </c>
      <c r="F82" s="18">
        <v>17540</v>
      </c>
      <c r="G82" s="18">
        <v>16969</v>
      </c>
    </row>
    <row r="83" spans="1:7" x14ac:dyDescent="0.3">
      <c r="A83" s="11" t="s">
        <v>72</v>
      </c>
      <c r="B83" s="18">
        <v>18024</v>
      </c>
      <c r="C83" s="18">
        <v>17818</v>
      </c>
      <c r="D83" s="18">
        <v>19899</v>
      </c>
      <c r="E83" s="18">
        <v>17499</v>
      </c>
      <c r="F83" s="18">
        <v>15797</v>
      </c>
      <c r="G83" s="18">
        <v>14913</v>
      </c>
    </row>
    <row r="84" spans="1:7" x14ac:dyDescent="0.3">
      <c r="A84" s="11" t="s">
        <v>76</v>
      </c>
      <c r="B84" s="18">
        <v>20883</v>
      </c>
      <c r="C84" s="18">
        <v>19331</v>
      </c>
      <c r="D84" s="18">
        <v>20425</v>
      </c>
      <c r="E84" s="18">
        <v>20022</v>
      </c>
      <c r="F84" s="18">
        <v>20265</v>
      </c>
      <c r="G84" s="18">
        <v>19058</v>
      </c>
    </row>
    <row r="85" spans="1:7" x14ac:dyDescent="0.3">
      <c r="A85" s="11" t="s">
        <v>6</v>
      </c>
      <c r="B85" s="18">
        <v>20608</v>
      </c>
      <c r="C85" s="18">
        <v>21765</v>
      </c>
      <c r="D85" s="18">
        <v>24393</v>
      </c>
      <c r="E85" s="18">
        <v>26239</v>
      </c>
      <c r="F85" s="18">
        <v>23664</v>
      </c>
      <c r="G85" s="18">
        <v>21091</v>
      </c>
    </row>
    <row r="86" spans="1:7" x14ac:dyDescent="0.3">
      <c r="A86" s="11" t="s">
        <v>64</v>
      </c>
      <c r="B86" s="18">
        <v>11706</v>
      </c>
      <c r="C86" s="18">
        <v>10386</v>
      </c>
      <c r="D86" s="18">
        <v>8253</v>
      </c>
      <c r="E86" s="18">
        <v>8786</v>
      </c>
      <c r="F86" s="18">
        <v>8807</v>
      </c>
      <c r="G86" s="18">
        <v>8074</v>
      </c>
    </row>
    <row r="87" spans="1:7" x14ac:dyDescent="0.3">
      <c r="A87" s="11" t="s">
        <v>5</v>
      </c>
      <c r="B87" s="18">
        <v>7131</v>
      </c>
      <c r="C87" s="18">
        <v>6591</v>
      </c>
      <c r="D87" s="18">
        <v>6037</v>
      </c>
      <c r="E87" s="18">
        <v>6714</v>
      </c>
      <c r="F87" s="18">
        <v>5382</v>
      </c>
      <c r="G87" s="18">
        <v>5845</v>
      </c>
    </row>
    <row r="88" spans="1:7" x14ac:dyDescent="0.3">
      <c r="A88" s="11" t="s">
        <v>135</v>
      </c>
      <c r="B88" s="18">
        <v>43352</v>
      </c>
      <c r="C88" s="18"/>
      <c r="D88" s="18"/>
      <c r="E88" s="18"/>
      <c r="F88" s="18"/>
      <c r="G88" s="18"/>
    </row>
    <row r="89" spans="1:7" x14ac:dyDescent="0.3">
      <c r="A89" s="11" t="s">
        <v>62</v>
      </c>
      <c r="B89" s="18">
        <v>4127</v>
      </c>
      <c r="C89" s="18">
        <v>3706</v>
      </c>
      <c r="D89" s="18">
        <v>3745</v>
      </c>
      <c r="E89" s="18">
        <v>3059</v>
      </c>
      <c r="F89" s="18">
        <v>3384</v>
      </c>
      <c r="G89" s="18">
        <v>3357</v>
      </c>
    </row>
    <row r="90" spans="1:7" x14ac:dyDescent="0.3">
      <c r="A90" s="11" t="s">
        <v>9</v>
      </c>
      <c r="B90" s="18">
        <v>2174</v>
      </c>
      <c r="C90" s="18">
        <v>1944</v>
      </c>
      <c r="D90" s="18">
        <v>1721</v>
      </c>
      <c r="E90" s="18">
        <v>1659</v>
      </c>
      <c r="F90" s="18">
        <v>1871</v>
      </c>
      <c r="G90" s="18">
        <v>1450</v>
      </c>
    </row>
    <row r="91" spans="1:7" x14ac:dyDescent="0.3">
      <c r="A91" s="11" t="s">
        <v>10</v>
      </c>
      <c r="B91" s="18">
        <v>12876</v>
      </c>
      <c r="C91" s="18">
        <v>11142</v>
      </c>
      <c r="D91" s="18">
        <v>10445</v>
      </c>
      <c r="E91" s="18">
        <v>11361</v>
      </c>
      <c r="F91" s="18">
        <v>12201</v>
      </c>
      <c r="G91" s="18">
        <v>11590</v>
      </c>
    </row>
    <row r="92" spans="1:7" x14ac:dyDescent="0.3">
      <c r="A92" s="12" t="s">
        <v>75</v>
      </c>
      <c r="B92" s="18">
        <v>10074</v>
      </c>
      <c r="C92" s="18">
        <v>9672</v>
      </c>
      <c r="D92" s="18">
        <v>10431</v>
      </c>
      <c r="E92" s="18">
        <v>9039</v>
      </c>
      <c r="F92" s="18">
        <v>8347</v>
      </c>
      <c r="G92" s="18">
        <v>8173</v>
      </c>
    </row>
    <row r="93" spans="1:7" x14ac:dyDescent="0.3">
      <c r="A93" s="12" t="s">
        <v>73</v>
      </c>
      <c r="B93" s="18">
        <v>7773</v>
      </c>
      <c r="C93" s="18">
        <v>7231</v>
      </c>
      <c r="D93" s="18">
        <v>8216</v>
      </c>
      <c r="E93" s="18">
        <v>7524</v>
      </c>
      <c r="F93" s="18">
        <v>7071</v>
      </c>
      <c r="G93" s="18">
        <v>5840</v>
      </c>
    </row>
    <row r="94" spans="1:7" x14ac:dyDescent="0.3">
      <c r="A94" s="12" t="s">
        <v>8</v>
      </c>
      <c r="B94" s="18">
        <v>719</v>
      </c>
      <c r="C94" s="18">
        <v>775</v>
      </c>
      <c r="D94" s="18">
        <v>781</v>
      </c>
      <c r="E94" s="18">
        <v>781</v>
      </c>
      <c r="F94" s="18">
        <v>634</v>
      </c>
      <c r="G94" s="18">
        <v>598</v>
      </c>
    </row>
    <row r="95" spans="1:7" x14ac:dyDescent="0.3">
      <c r="A95" s="12" t="s">
        <v>3</v>
      </c>
      <c r="B95" s="18">
        <v>3928</v>
      </c>
      <c r="C95" s="18">
        <v>3492</v>
      </c>
      <c r="D95" s="18">
        <v>3244</v>
      </c>
      <c r="E95" s="18">
        <v>2866</v>
      </c>
      <c r="F95" s="18">
        <v>2604</v>
      </c>
      <c r="G95" s="18">
        <v>2282</v>
      </c>
    </row>
    <row r="96" spans="1:7" x14ac:dyDescent="0.3">
      <c r="A96" s="12" t="s">
        <v>74</v>
      </c>
      <c r="B96" s="18">
        <v>1484</v>
      </c>
      <c r="C96" s="18">
        <v>1490</v>
      </c>
      <c r="D96" s="18">
        <v>1383</v>
      </c>
      <c r="E96" s="18">
        <v>1429</v>
      </c>
      <c r="F96" s="18">
        <v>1114</v>
      </c>
      <c r="G96" s="18">
        <v>1016</v>
      </c>
    </row>
    <row r="97" spans="1:7" x14ac:dyDescent="0.3">
      <c r="A97" s="12" t="s">
        <v>18</v>
      </c>
      <c r="B97" s="18">
        <v>197</v>
      </c>
      <c r="C97" s="18">
        <v>192</v>
      </c>
      <c r="D97" s="18">
        <v>193</v>
      </c>
      <c r="E97" s="18">
        <v>221</v>
      </c>
      <c r="F97" s="18">
        <v>190</v>
      </c>
      <c r="G97" s="18">
        <v>183</v>
      </c>
    </row>
  </sheetData>
  <autoFilter ref="A3:G97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E4CBE-C658-40D9-BB09-40C51BD2D269}">
  <sheetPr codeName="Лист21">
    <tabColor theme="0" tint="-0.249977111117893"/>
    <pageSetUpPr fitToPage="1"/>
  </sheetPr>
  <dimension ref="A1:Z98"/>
  <sheetViews>
    <sheetView showGridLines="0" workbookViewId="0"/>
  </sheetViews>
  <sheetFormatPr defaultRowHeight="16.5" x14ac:dyDescent="0.3"/>
  <cols>
    <col min="1" max="1" width="108.5703125" style="9" customWidth="1"/>
    <col min="2" max="7" width="9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25" t="s">
        <v>165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3" spans="1:26" x14ac:dyDescent="0.3">
      <c r="A3" s="10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6" x14ac:dyDescent="0.3">
      <c r="A4" s="11" t="s">
        <v>12</v>
      </c>
      <c r="B4" s="18">
        <v>161</v>
      </c>
      <c r="C4" s="18">
        <v>148</v>
      </c>
      <c r="D4" s="18">
        <v>171</v>
      </c>
      <c r="E4" s="18">
        <v>161</v>
      </c>
      <c r="F4" s="18">
        <v>135</v>
      </c>
      <c r="G4" s="18">
        <v>127</v>
      </c>
    </row>
    <row r="5" spans="1:26" x14ac:dyDescent="0.3">
      <c r="A5" s="11" t="s">
        <v>73</v>
      </c>
      <c r="B5" s="18">
        <v>114</v>
      </c>
      <c r="C5" s="18">
        <v>118</v>
      </c>
      <c r="D5" s="18">
        <v>120</v>
      </c>
      <c r="E5" s="18">
        <v>102</v>
      </c>
      <c r="F5" s="18">
        <v>111</v>
      </c>
      <c r="G5" s="18">
        <v>97</v>
      </c>
    </row>
    <row r="6" spans="1:26" x14ac:dyDescent="0.3">
      <c r="A6" s="11" t="s">
        <v>53</v>
      </c>
      <c r="B6" s="18">
        <v>173</v>
      </c>
      <c r="C6" s="18">
        <v>121</v>
      </c>
      <c r="D6" s="18">
        <v>127</v>
      </c>
      <c r="E6" s="18">
        <v>114</v>
      </c>
      <c r="F6" s="18">
        <v>129</v>
      </c>
      <c r="G6" s="18">
        <v>113</v>
      </c>
    </row>
    <row r="7" spans="1:26" x14ac:dyDescent="0.3">
      <c r="A7" s="11" t="s">
        <v>25</v>
      </c>
      <c r="B7" s="18">
        <v>55</v>
      </c>
      <c r="C7" s="18">
        <v>49</v>
      </c>
      <c r="D7" s="18">
        <v>44</v>
      </c>
      <c r="E7" s="18">
        <v>41</v>
      </c>
      <c r="F7" s="18">
        <v>28</v>
      </c>
      <c r="G7" s="18">
        <v>29</v>
      </c>
    </row>
    <row r="8" spans="1:26" x14ac:dyDescent="0.3">
      <c r="A8" s="11" t="s">
        <v>50</v>
      </c>
      <c r="B8" s="18">
        <v>69</v>
      </c>
      <c r="C8" s="18">
        <v>64</v>
      </c>
      <c r="D8" s="18">
        <v>48</v>
      </c>
      <c r="E8" s="18">
        <v>46</v>
      </c>
      <c r="F8" s="18">
        <v>52</v>
      </c>
      <c r="G8" s="18">
        <v>102</v>
      </c>
    </row>
    <row r="9" spans="1:26" x14ac:dyDescent="0.3">
      <c r="A9" s="11" t="s">
        <v>48</v>
      </c>
      <c r="B9" s="18">
        <v>60</v>
      </c>
      <c r="C9" s="18">
        <v>46</v>
      </c>
      <c r="D9" s="18">
        <v>56</v>
      </c>
      <c r="E9" s="18">
        <v>52</v>
      </c>
      <c r="F9" s="18">
        <v>50</v>
      </c>
      <c r="G9" s="18">
        <v>58</v>
      </c>
    </row>
    <row r="10" spans="1:26" x14ac:dyDescent="0.3">
      <c r="A10" s="11" t="s">
        <v>20</v>
      </c>
      <c r="B10" s="18">
        <v>102</v>
      </c>
      <c r="C10" s="18">
        <v>76</v>
      </c>
      <c r="D10" s="18">
        <v>62</v>
      </c>
      <c r="E10" s="18">
        <v>70</v>
      </c>
      <c r="F10" s="18">
        <v>58</v>
      </c>
      <c r="G10" s="18">
        <v>54</v>
      </c>
    </row>
    <row r="11" spans="1:26" x14ac:dyDescent="0.3">
      <c r="A11" s="11" t="s">
        <v>22</v>
      </c>
      <c r="B11" s="18">
        <v>119</v>
      </c>
      <c r="C11" s="18">
        <v>122</v>
      </c>
      <c r="D11" s="18">
        <v>131</v>
      </c>
      <c r="E11" s="18">
        <v>124</v>
      </c>
      <c r="F11" s="18">
        <v>97</v>
      </c>
      <c r="G11" s="18">
        <v>95</v>
      </c>
    </row>
    <row r="12" spans="1:26" x14ac:dyDescent="0.3">
      <c r="A12" s="11" t="s">
        <v>80</v>
      </c>
      <c r="B12" s="18">
        <v>76</v>
      </c>
      <c r="C12" s="18">
        <v>83</v>
      </c>
      <c r="D12" s="18">
        <v>63</v>
      </c>
      <c r="E12" s="18">
        <v>73</v>
      </c>
      <c r="F12" s="18">
        <v>73</v>
      </c>
      <c r="G12" s="18">
        <v>76</v>
      </c>
    </row>
    <row r="13" spans="1:26" x14ac:dyDescent="0.3">
      <c r="A13" s="11" t="s">
        <v>4</v>
      </c>
      <c r="B13" s="18">
        <v>103</v>
      </c>
      <c r="C13" s="18">
        <v>84</v>
      </c>
      <c r="D13" s="18">
        <v>86</v>
      </c>
      <c r="E13" s="18">
        <v>86</v>
      </c>
      <c r="F13" s="18">
        <v>92</v>
      </c>
      <c r="G13" s="18">
        <v>87</v>
      </c>
    </row>
    <row r="14" spans="1:26" x14ac:dyDescent="0.3">
      <c r="A14" s="11" t="s">
        <v>13</v>
      </c>
      <c r="B14" s="18">
        <v>315</v>
      </c>
      <c r="C14" s="18">
        <v>339</v>
      </c>
      <c r="D14" s="18">
        <v>285</v>
      </c>
      <c r="E14" s="18">
        <v>222</v>
      </c>
      <c r="F14" s="18">
        <v>268</v>
      </c>
      <c r="G14" s="18">
        <v>413</v>
      </c>
    </row>
    <row r="15" spans="1:26" x14ac:dyDescent="0.3">
      <c r="A15" s="11" t="s">
        <v>32</v>
      </c>
      <c r="B15" s="18">
        <v>198</v>
      </c>
      <c r="C15" s="18">
        <v>190</v>
      </c>
      <c r="D15" s="18">
        <v>139</v>
      </c>
      <c r="E15" s="18">
        <v>149</v>
      </c>
      <c r="F15" s="18">
        <v>134</v>
      </c>
      <c r="G15" s="18">
        <v>134</v>
      </c>
    </row>
    <row r="16" spans="1:26" x14ac:dyDescent="0.3">
      <c r="A16" s="11" t="s">
        <v>123</v>
      </c>
      <c r="B16" s="18">
        <v>27</v>
      </c>
      <c r="C16" s="18">
        <v>12</v>
      </c>
      <c r="D16" s="18">
        <v>17</v>
      </c>
      <c r="E16" s="18">
        <v>14</v>
      </c>
      <c r="F16" s="18">
        <v>13</v>
      </c>
      <c r="G16" s="18">
        <v>19</v>
      </c>
    </row>
    <row r="17" spans="1:7" x14ac:dyDescent="0.3">
      <c r="A17" s="11" t="s">
        <v>156</v>
      </c>
      <c r="B17" s="18">
        <v>769</v>
      </c>
      <c r="C17" s="18">
        <v>1052</v>
      </c>
      <c r="D17" s="18">
        <v>984</v>
      </c>
      <c r="E17" s="18">
        <v>987</v>
      </c>
      <c r="F17" s="18">
        <v>910</v>
      </c>
      <c r="G17" s="18">
        <v>917</v>
      </c>
    </row>
    <row r="18" spans="1:7" x14ac:dyDescent="0.3">
      <c r="A18" s="11" t="s">
        <v>74</v>
      </c>
      <c r="B18" s="18">
        <v>26</v>
      </c>
      <c r="C18" s="18">
        <v>27</v>
      </c>
      <c r="D18" s="18">
        <v>27</v>
      </c>
      <c r="E18" s="18">
        <v>17</v>
      </c>
      <c r="F18" s="18">
        <v>28</v>
      </c>
      <c r="G18" s="18">
        <v>25</v>
      </c>
    </row>
    <row r="19" spans="1:7" x14ac:dyDescent="0.3">
      <c r="A19" s="11" t="s">
        <v>57</v>
      </c>
      <c r="B19" s="18">
        <v>176</v>
      </c>
      <c r="C19" s="18">
        <v>186</v>
      </c>
      <c r="D19" s="18">
        <v>167</v>
      </c>
      <c r="E19" s="18">
        <v>169</v>
      </c>
      <c r="F19" s="18">
        <v>155</v>
      </c>
      <c r="G19" s="18">
        <v>151</v>
      </c>
    </row>
    <row r="20" spans="1:7" x14ac:dyDescent="0.3">
      <c r="A20" s="11" t="s">
        <v>45</v>
      </c>
      <c r="B20" s="18">
        <v>73</v>
      </c>
      <c r="C20" s="18">
        <v>62</v>
      </c>
      <c r="D20" s="18">
        <v>54</v>
      </c>
      <c r="E20" s="18">
        <v>52</v>
      </c>
      <c r="F20" s="18">
        <v>49</v>
      </c>
      <c r="G20" s="18">
        <v>38</v>
      </c>
    </row>
    <row r="21" spans="1:7" x14ac:dyDescent="0.3">
      <c r="A21" s="11" t="s">
        <v>72</v>
      </c>
      <c r="B21" s="18">
        <v>269</v>
      </c>
      <c r="C21" s="18">
        <v>278</v>
      </c>
      <c r="D21" s="18">
        <v>250</v>
      </c>
      <c r="E21" s="18">
        <v>248</v>
      </c>
      <c r="F21" s="18">
        <v>232</v>
      </c>
      <c r="G21" s="18">
        <v>248</v>
      </c>
    </row>
    <row r="22" spans="1:7" x14ac:dyDescent="0.3">
      <c r="A22" s="11" t="s">
        <v>67</v>
      </c>
      <c r="B22" s="18">
        <v>26</v>
      </c>
      <c r="C22" s="18">
        <v>25</v>
      </c>
      <c r="D22" s="18">
        <v>34</v>
      </c>
      <c r="E22" s="18">
        <v>20</v>
      </c>
      <c r="F22" s="18">
        <v>25</v>
      </c>
      <c r="G22" s="18">
        <v>26</v>
      </c>
    </row>
    <row r="23" spans="1:7" x14ac:dyDescent="0.3">
      <c r="A23" s="11" t="s">
        <v>69</v>
      </c>
      <c r="B23" s="18">
        <v>59</v>
      </c>
      <c r="C23" s="18">
        <v>38</v>
      </c>
      <c r="D23" s="18">
        <v>46</v>
      </c>
      <c r="E23" s="18">
        <v>48</v>
      </c>
      <c r="F23" s="18">
        <v>35</v>
      </c>
      <c r="G23" s="18">
        <v>30</v>
      </c>
    </row>
    <row r="24" spans="1:7" x14ac:dyDescent="0.3">
      <c r="A24" s="11" t="s">
        <v>40</v>
      </c>
      <c r="B24" s="18">
        <v>68</v>
      </c>
      <c r="C24" s="18">
        <v>64</v>
      </c>
      <c r="D24" s="18">
        <v>49</v>
      </c>
      <c r="E24" s="18">
        <v>57</v>
      </c>
      <c r="F24" s="18">
        <v>53</v>
      </c>
      <c r="G24" s="18">
        <v>46</v>
      </c>
    </row>
    <row r="25" spans="1:7" x14ac:dyDescent="0.3">
      <c r="A25" s="11" t="s">
        <v>9</v>
      </c>
      <c r="B25" s="18">
        <v>28</v>
      </c>
      <c r="C25" s="18">
        <v>32</v>
      </c>
      <c r="D25" s="18">
        <v>25</v>
      </c>
      <c r="E25" s="18">
        <v>36</v>
      </c>
      <c r="F25" s="18">
        <v>32</v>
      </c>
      <c r="G25" s="18">
        <v>23</v>
      </c>
    </row>
    <row r="26" spans="1:7" x14ac:dyDescent="0.3">
      <c r="A26" s="11" t="s">
        <v>2</v>
      </c>
      <c r="B26" s="18">
        <v>30</v>
      </c>
      <c r="C26" s="18">
        <v>30</v>
      </c>
      <c r="D26" s="18">
        <v>19</v>
      </c>
      <c r="E26" s="18">
        <v>21</v>
      </c>
      <c r="F26" s="18">
        <v>23</v>
      </c>
      <c r="G26" s="18">
        <v>14</v>
      </c>
    </row>
    <row r="27" spans="1:7" x14ac:dyDescent="0.3">
      <c r="A27" s="11" t="s">
        <v>76</v>
      </c>
      <c r="B27" s="18">
        <v>302</v>
      </c>
      <c r="C27" s="18">
        <v>212</v>
      </c>
      <c r="D27" s="18">
        <v>186</v>
      </c>
      <c r="E27" s="18">
        <v>220</v>
      </c>
      <c r="F27" s="18">
        <v>198</v>
      </c>
      <c r="G27" s="18">
        <v>197</v>
      </c>
    </row>
    <row r="28" spans="1:7" x14ac:dyDescent="0.3">
      <c r="A28" s="11" t="s">
        <v>36</v>
      </c>
      <c r="B28" s="18">
        <v>106</v>
      </c>
      <c r="C28" s="18">
        <v>67</v>
      </c>
      <c r="D28" s="18">
        <v>80</v>
      </c>
      <c r="E28" s="18">
        <v>63</v>
      </c>
      <c r="F28" s="18">
        <v>45</v>
      </c>
      <c r="G28" s="18">
        <v>62</v>
      </c>
    </row>
    <row r="29" spans="1:7" x14ac:dyDescent="0.3">
      <c r="A29" s="11" t="s">
        <v>37</v>
      </c>
      <c r="B29" s="18">
        <v>29</v>
      </c>
      <c r="C29" s="18">
        <v>22</v>
      </c>
      <c r="D29" s="18">
        <v>31</v>
      </c>
      <c r="E29" s="18">
        <v>30</v>
      </c>
      <c r="F29" s="18">
        <v>28</v>
      </c>
      <c r="G29" s="18">
        <v>36</v>
      </c>
    </row>
    <row r="30" spans="1:7" x14ac:dyDescent="0.3">
      <c r="A30" s="11" t="s">
        <v>28</v>
      </c>
      <c r="B30" s="18">
        <v>276</v>
      </c>
      <c r="C30" s="18">
        <v>247</v>
      </c>
      <c r="D30" s="18">
        <v>215</v>
      </c>
      <c r="E30" s="18">
        <v>200</v>
      </c>
      <c r="F30" s="18">
        <v>220</v>
      </c>
      <c r="G30" s="18">
        <v>207</v>
      </c>
    </row>
    <row r="31" spans="1:7" x14ac:dyDescent="0.3">
      <c r="A31" s="11" t="s">
        <v>61</v>
      </c>
      <c r="B31" s="18">
        <v>288</v>
      </c>
      <c r="C31" s="18">
        <v>274</v>
      </c>
      <c r="D31" s="18">
        <v>232</v>
      </c>
      <c r="E31" s="18">
        <v>238</v>
      </c>
      <c r="F31" s="18">
        <v>237</v>
      </c>
      <c r="G31" s="18">
        <v>220</v>
      </c>
    </row>
    <row r="32" spans="1:7" x14ac:dyDescent="0.3">
      <c r="A32" s="11" t="s">
        <v>157</v>
      </c>
      <c r="B32" s="18">
        <v>111</v>
      </c>
      <c r="C32" s="18"/>
      <c r="D32" s="18"/>
      <c r="E32" s="18"/>
      <c r="F32" s="18"/>
      <c r="G32" s="18"/>
    </row>
    <row r="33" spans="1:7" x14ac:dyDescent="0.3">
      <c r="A33" s="11" t="s">
        <v>55</v>
      </c>
      <c r="B33" s="18">
        <v>104</v>
      </c>
      <c r="C33" s="18">
        <v>94</v>
      </c>
      <c r="D33" s="18">
        <v>98</v>
      </c>
      <c r="E33" s="18">
        <v>72</v>
      </c>
      <c r="F33" s="18">
        <v>73</v>
      </c>
      <c r="G33" s="18">
        <v>72</v>
      </c>
    </row>
    <row r="34" spans="1:7" x14ac:dyDescent="0.3">
      <c r="A34" s="11" t="s">
        <v>56</v>
      </c>
      <c r="B34" s="18">
        <v>39</v>
      </c>
      <c r="C34" s="18">
        <v>39</v>
      </c>
      <c r="D34" s="18">
        <v>32</v>
      </c>
      <c r="E34" s="18">
        <v>40</v>
      </c>
      <c r="F34" s="18">
        <v>58</v>
      </c>
      <c r="G34" s="18">
        <v>89</v>
      </c>
    </row>
    <row r="35" spans="1:7" x14ac:dyDescent="0.3">
      <c r="A35" s="11" t="s">
        <v>33</v>
      </c>
      <c r="B35" s="18">
        <v>141</v>
      </c>
      <c r="C35" s="18">
        <v>152</v>
      </c>
      <c r="D35" s="18">
        <v>142</v>
      </c>
      <c r="E35" s="18">
        <v>132</v>
      </c>
      <c r="F35" s="18">
        <v>141</v>
      </c>
      <c r="G35" s="18">
        <v>99</v>
      </c>
    </row>
    <row r="36" spans="1:7" x14ac:dyDescent="0.3">
      <c r="A36" s="11" t="s">
        <v>51</v>
      </c>
      <c r="B36" s="18">
        <v>45</v>
      </c>
      <c r="C36" s="18">
        <v>46</v>
      </c>
      <c r="D36" s="18">
        <v>48</v>
      </c>
      <c r="E36" s="18">
        <v>50</v>
      </c>
      <c r="F36" s="18">
        <v>38</v>
      </c>
      <c r="G36" s="18">
        <v>44</v>
      </c>
    </row>
    <row r="37" spans="1:7" x14ac:dyDescent="0.3">
      <c r="A37" s="11" t="s">
        <v>8</v>
      </c>
      <c r="B37" s="18">
        <v>32</v>
      </c>
      <c r="C37" s="18">
        <v>24</v>
      </c>
      <c r="D37" s="18">
        <v>34</v>
      </c>
      <c r="E37" s="18">
        <v>19</v>
      </c>
      <c r="F37" s="18">
        <v>11</v>
      </c>
      <c r="G37" s="18">
        <v>14</v>
      </c>
    </row>
    <row r="38" spans="1:7" x14ac:dyDescent="0.3">
      <c r="A38" s="11" t="s">
        <v>21</v>
      </c>
      <c r="B38" s="18">
        <v>421</v>
      </c>
      <c r="C38" s="18">
        <v>368</v>
      </c>
      <c r="D38" s="18">
        <v>368</v>
      </c>
      <c r="E38" s="18">
        <v>311</v>
      </c>
      <c r="F38" s="18">
        <v>332</v>
      </c>
      <c r="G38" s="18">
        <v>344</v>
      </c>
    </row>
    <row r="39" spans="1:7" x14ac:dyDescent="0.3">
      <c r="A39" s="11" t="s">
        <v>30</v>
      </c>
      <c r="B39" s="18">
        <v>45</v>
      </c>
      <c r="C39" s="18">
        <v>33</v>
      </c>
      <c r="D39" s="18">
        <v>35</v>
      </c>
      <c r="E39" s="18">
        <v>29</v>
      </c>
      <c r="F39" s="18">
        <v>30</v>
      </c>
      <c r="G39" s="18">
        <v>36</v>
      </c>
    </row>
    <row r="40" spans="1:7" x14ac:dyDescent="0.3">
      <c r="A40" s="11" t="s">
        <v>7</v>
      </c>
      <c r="B40" s="18">
        <v>5</v>
      </c>
      <c r="C40" s="18">
        <v>1</v>
      </c>
      <c r="D40" s="18">
        <v>3</v>
      </c>
      <c r="E40" s="18">
        <v>3</v>
      </c>
      <c r="F40" s="18">
        <v>6</v>
      </c>
      <c r="G40" s="18">
        <v>3</v>
      </c>
    </row>
    <row r="41" spans="1:7" x14ac:dyDescent="0.3">
      <c r="A41" s="11" t="s">
        <v>54</v>
      </c>
      <c r="B41" s="18">
        <v>278</v>
      </c>
      <c r="C41" s="18">
        <v>215</v>
      </c>
      <c r="D41" s="18">
        <v>181</v>
      </c>
      <c r="E41" s="18">
        <v>179</v>
      </c>
      <c r="F41" s="18">
        <v>156</v>
      </c>
      <c r="G41" s="18">
        <v>161</v>
      </c>
    </row>
    <row r="42" spans="1:7" x14ac:dyDescent="0.3">
      <c r="A42" s="11" t="s">
        <v>52</v>
      </c>
      <c r="B42" s="18">
        <v>42</v>
      </c>
      <c r="C42" s="18">
        <v>46</v>
      </c>
      <c r="D42" s="18">
        <v>40</v>
      </c>
      <c r="E42" s="18">
        <v>52</v>
      </c>
      <c r="F42" s="18">
        <v>45</v>
      </c>
      <c r="G42" s="18">
        <v>35</v>
      </c>
    </row>
    <row r="43" spans="1:7" x14ac:dyDescent="0.3">
      <c r="A43" s="11" t="s">
        <v>6</v>
      </c>
      <c r="B43" s="18">
        <v>217</v>
      </c>
      <c r="C43" s="18">
        <v>178</v>
      </c>
      <c r="D43" s="18">
        <v>137</v>
      </c>
      <c r="E43" s="18">
        <v>146</v>
      </c>
      <c r="F43" s="18">
        <v>133</v>
      </c>
      <c r="G43" s="18">
        <v>128</v>
      </c>
    </row>
    <row r="44" spans="1:7" x14ac:dyDescent="0.3">
      <c r="A44" s="11" t="s">
        <v>64</v>
      </c>
      <c r="B44" s="18">
        <v>114</v>
      </c>
      <c r="C44" s="18">
        <v>107</v>
      </c>
      <c r="D44" s="18">
        <v>89</v>
      </c>
      <c r="E44" s="18">
        <v>78</v>
      </c>
      <c r="F44" s="18">
        <v>75</v>
      </c>
      <c r="G44" s="18">
        <v>77</v>
      </c>
    </row>
    <row r="45" spans="1:7" x14ac:dyDescent="0.3">
      <c r="A45" s="11" t="s">
        <v>23</v>
      </c>
      <c r="B45" s="18">
        <v>132</v>
      </c>
      <c r="C45" s="18">
        <v>121</v>
      </c>
      <c r="D45" s="18">
        <v>113</v>
      </c>
      <c r="E45" s="18">
        <v>88</v>
      </c>
      <c r="F45" s="18">
        <v>78</v>
      </c>
      <c r="G45" s="18">
        <v>90</v>
      </c>
    </row>
    <row r="46" spans="1:7" x14ac:dyDescent="0.3">
      <c r="A46" s="11" t="s">
        <v>70</v>
      </c>
      <c r="B46" s="18">
        <v>41</v>
      </c>
      <c r="C46" s="18">
        <v>38</v>
      </c>
      <c r="D46" s="18">
        <v>50</v>
      </c>
      <c r="E46" s="18">
        <v>28</v>
      </c>
      <c r="F46" s="18">
        <v>30</v>
      </c>
      <c r="G46" s="18">
        <v>30</v>
      </c>
    </row>
    <row r="47" spans="1:7" x14ac:dyDescent="0.3">
      <c r="A47" s="11" t="s">
        <v>49</v>
      </c>
      <c r="B47" s="18">
        <v>37</v>
      </c>
      <c r="C47" s="18">
        <v>40</v>
      </c>
      <c r="D47" s="18">
        <v>38</v>
      </c>
      <c r="E47" s="18">
        <v>48</v>
      </c>
      <c r="F47" s="18">
        <v>49</v>
      </c>
      <c r="G47" s="18">
        <v>48</v>
      </c>
    </row>
    <row r="48" spans="1:7" x14ac:dyDescent="0.3">
      <c r="A48" s="11" t="s">
        <v>44</v>
      </c>
      <c r="B48" s="18">
        <v>233</v>
      </c>
      <c r="C48" s="18">
        <v>202</v>
      </c>
      <c r="D48" s="18">
        <v>174</v>
      </c>
      <c r="E48" s="18">
        <v>172</v>
      </c>
      <c r="F48" s="18">
        <v>164</v>
      </c>
      <c r="G48" s="18">
        <v>180</v>
      </c>
    </row>
    <row r="49" spans="1:7" x14ac:dyDescent="0.3">
      <c r="A49" s="11" t="s">
        <v>158</v>
      </c>
      <c r="B49" s="18">
        <v>2013</v>
      </c>
      <c r="C49" s="18">
        <v>1636</v>
      </c>
      <c r="D49" s="18">
        <v>1569</v>
      </c>
      <c r="E49" s="18">
        <v>1510</v>
      </c>
      <c r="F49" s="18">
        <v>1366</v>
      </c>
      <c r="G49" s="18">
        <v>1370</v>
      </c>
    </row>
    <row r="50" spans="1:7" x14ac:dyDescent="0.3">
      <c r="A50" s="11" t="s">
        <v>10</v>
      </c>
      <c r="B50" s="18">
        <v>200</v>
      </c>
      <c r="C50" s="18">
        <v>160</v>
      </c>
      <c r="D50" s="18">
        <v>152</v>
      </c>
      <c r="E50" s="18">
        <v>148</v>
      </c>
      <c r="F50" s="18">
        <v>132</v>
      </c>
      <c r="G50" s="18">
        <v>147</v>
      </c>
    </row>
    <row r="51" spans="1:7" x14ac:dyDescent="0.3">
      <c r="A51" s="11" t="s">
        <v>31</v>
      </c>
      <c r="B51" s="18">
        <v>59</v>
      </c>
      <c r="C51" s="18">
        <v>44</v>
      </c>
      <c r="D51" s="18">
        <v>32</v>
      </c>
      <c r="E51" s="18">
        <v>31</v>
      </c>
      <c r="F51" s="18">
        <v>32</v>
      </c>
      <c r="G51" s="18">
        <v>24</v>
      </c>
    </row>
    <row r="52" spans="1:7" x14ac:dyDescent="0.3">
      <c r="A52" s="11" t="s">
        <v>26</v>
      </c>
      <c r="B52" s="18">
        <v>14</v>
      </c>
      <c r="C52" s="18">
        <v>16</v>
      </c>
      <c r="D52" s="18">
        <v>21</v>
      </c>
      <c r="E52" s="18">
        <v>19</v>
      </c>
      <c r="F52" s="18">
        <v>15</v>
      </c>
      <c r="G52" s="18">
        <v>16</v>
      </c>
    </row>
    <row r="53" spans="1:7" x14ac:dyDescent="0.3">
      <c r="A53" s="11" t="s">
        <v>58</v>
      </c>
      <c r="B53" s="18">
        <v>38</v>
      </c>
      <c r="C53" s="18">
        <v>33</v>
      </c>
      <c r="D53" s="18">
        <v>22</v>
      </c>
      <c r="E53" s="18">
        <v>27</v>
      </c>
      <c r="F53" s="18">
        <v>20</v>
      </c>
      <c r="G53" s="18">
        <v>19</v>
      </c>
    </row>
    <row r="54" spans="1:7" x14ac:dyDescent="0.3">
      <c r="A54" s="11" t="s">
        <v>83</v>
      </c>
      <c r="B54" s="18">
        <v>326</v>
      </c>
      <c r="C54" s="18">
        <v>256</v>
      </c>
      <c r="D54" s="18">
        <v>240</v>
      </c>
      <c r="E54" s="18">
        <v>233</v>
      </c>
      <c r="F54" s="18">
        <v>212</v>
      </c>
      <c r="G54" s="18">
        <v>202</v>
      </c>
    </row>
    <row r="55" spans="1:7" x14ac:dyDescent="0.3">
      <c r="A55" s="11" t="s">
        <v>1</v>
      </c>
      <c r="B55" s="18">
        <v>292</v>
      </c>
      <c r="C55" s="18">
        <v>183</v>
      </c>
      <c r="D55" s="18">
        <v>164</v>
      </c>
      <c r="E55" s="18">
        <v>174</v>
      </c>
      <c r="F55" s="18">
        <v>134</v>
      </c>
      <c r="G55" s="18">
        <v>177</v>
      </c>
    </row>
    <row r="56" spans="1:7" x14ac:dyDescent="0.3">
      <c r="A56" s="11" t="s">
        <v>63</v>
      </c>
      <c r="B56" s="18">
        <v>71</v>
      </c>
      <c r="C56" s="18">
        <v>83</v>
      </c>
      <c r="D56" s="18">
        <v>69</v>
      </c>
      <c r="E56" s="18">
        <v>57</v>
      </c>
      <c r="F56" s="18">
        <v>63</v>
      </c>
      <c r="G56" s="18">
        <v>50</v>
      </c>
    </row>
    <row r="57" spans="1:7" x14ac:dyDescent="0.3">
      <c r="A57" s="11" t="s">
        <v>81</v>
      </c>
      <c r="B57" s="18">
        <v>25</v>
      </c>
      <c r="C57" s="18">
        <v>17</v>
      </c>
      <c r="D57" s="18">
        <v>13</v>
      </c>
      <c r="E57" s="18">
        <v>18</v>
      </c>
      <c r="F57" s="18">
        <v>11</v>
      </c>
      <c r="G57" s="18">
        <v>15</v>
      </c>
    </row>
    <row r="58" spans="1:7" x14ac:dyDescent="0.3">
      <c r="A58" s="11" t="s">
        <v>27</v>
      </c>
      <c r="B58" s="18">
        <v>23</v>
      </c>
      <c r="C58" s="18">
        <v>19</v>
      </c>
      <c r="D58" s="18">
        <v>21</v>
      </c>
      <c r="E58" s="18">
        <v>21</v>
      </c>
      <c r="F58" s="18">
        <v>15</v>
      </c>
      <c r="G58" s="18">
        <v>19</v>
      </c>
    </row>
    <row r="59" spans="1:7" x14ac:dyDescent="0.3">
      <c r="A59" s="11" t="s">
        <v>71</v>
      </c>
      <c r="B59" s="18">
        <v>53</v>
      </c>
      <c r="C59" s="18">
        <v>47</v>
      </c>
      <c r="D59" s="18">
        <v>44</v>
      </c>
      <c r="E59" s="18">
        <v>59</v>
      </c>
      <c r="F59" s="18">
        <v>59</v>
      </c>
      <c r="G59" s="18">
        <v>58</v>
      </c>
    </row>
    <row r="60" spans="1:7" x14ac:dyDescent="0.3">
      <c r="A60" s="11" t="s">
        <v>65</v>
      </c>
      <c r="B60" s="18">
        <v>84</v>
      </c>
      <c r="C60" s="18">
        <v>85</v>
      </c>
      <c r="D60" s="18">
        <v>66</v>
      </c>
      <c r="E60" s="18">
        <v>57</v>
      </c>
      <c r="F60" s="18">
        <v>54</v>
      </c>
      <c r="G60" s="18">
        <v>70</v>
      </c>
    </row>
    <row r="61" spans="1:7" x14ac:dyDescent="0.3">
      <c r="A61" s="11" t="s">
        <v>89</v>
      </c>
      <c r="B61" s="18">
        <v>84</v>
      </c>
      <c r="C61" s="18">
        <v>95</v>
      </c>
      <c r="D61" s="18">
        <v>73</v>
      </c>
      <c r="E61" s="18">
        <v>68</v>
      </c>
      <c r="F61" s="18">
        <v>66</v>
      </c>
      <c r="G61" s="18">
        <v>72</v>
      </c>
    </row>
    <row r="62" spans="1:7" x14ac:dyDescent="0.3">
      <c r="A62" s="11" t="s">
        <v>42</v>
      </c>
      <c r="B62" s="18">
        <v>49</v>
      </c>
      <c r="C62" s="18">
        <v>46</v>
      </c>
      <c r="D62" s="18">
        <v>49</v>
      </c>
      <c r="E62" s="18">
        <v>47</v>
      </c>
      <c r="F62" s="18">
        <v>44</v>
      </c>
      <c r="G62" s="18">
        <v>42</v>
      </c>
    </row>
    <row r="63" spans="1:7" x14ac:dyDescent="0.3">
      <c r="A63" s="11" t="s">
        <v>34</v>
      </c>
      <c r="B63" s="18">
        <v>45</v>
      </c>
      <c r="C63" s="18">
        <v>33</v>
      </c>
      <c r="D63" s="18">
        <v>28</v>
      </c>
      <c r="E63" s="18">
        <v>30</v>
      </c>
      <c r="F63" s="18">
        <v>31</v>
      </c>
      <c r="G63" s="18">
        <v>15</v>
      </c>
    </row>
    <row r="64" spans="1:7" x14ac:dyDescent="0.3">
      <c r="A64" s="11" t="s">
        <v>62</v>
      </c>
      <c r="B64" s="18">
        <v>137</v>
      </c>
      <c r="C64" s="18">
        <v>111</v>
      </c>
      <c r="D64" s="18">
        <v>106</v>
      </c>
      <c r="E64" s="18">
        <v>117</v>
      </c>
      <c r="F64" s="18">
        <v>103</v>
      </c>
      <c r="G64" s="18">
        <v>111</v>
      </c>
    </row>
    <row r="65" spans="1:7" x14ac:dyDescent="0.3">
      <c r="A65" s="11" t="s">
        <v>47</v>
      </c>
      <c r="B65" s="18">
        <v>11</v>
      </c>
      <c r="C65" s="18">
        <v>21</v>
      </c>
      <c r="D65" s="18">
        <v>24</v>
      </c>
      <c r="E65" s="18">
        <v>24</v>
      </c>
      <c r="F65" s="18">
        <v>14</v>
      </c>
      <c r="G65" s="18">
        <v>14</v>
      </c>
    </row>
    <row r="66" spans="1:7" x14ac:dyDescent="0.3">
      <c r="A66" s="11" t="s">
        <v>35</v>
      </c>
      <c r="B66" s="18">
        <v>276</v>
      </c>
      <c r="C66" s="18">
        <v>245</v>
      </c>
      <c r="D66" s="18">
        <v>208</v>
      </c>
      <c r="E66" s="18">
        <v>252</v>
      </c>
      <c r="F66" s="18">
        <v>209</v>
      </c>
      <c r="G66" s="18">
        <v>202</v>
      </c>
    </row>
    <row r="67" spans="1:7" x14ac:dyDescent="0.3">
      <c r="A67" s="11" t="s">
        <v>14</v>
      </c>
      <c r="B67" s="18">
        <v>83</v>
      </c>
      <c r="C67" s="18">
        <v>88</v>
      </c>
      <c r="D67" s="18">
        <v>115</v>
      </c>
      <c r="E67" s="18">
        <v>98</v>
      </c>
      <c r="F67" s="18">
        <v>114</v>
      </c>
      <c r="G67" s="18">
        <v>109</v>
      </c>
    </row>
    <row r="68" spans="1:7" x14ac:dyDescent="0.3">
      <c r="A68" s="11" t="s">
        <v>77</v>
      </c>
      <c r="B68" s="18">
        <v>75</v>
      </c>
      <c r="C68" s="18">
        <v>64</v>
      </c>
      <c r="D68" s="18">
        <v>47</v>
      </c>
      <c r="E68" s="18">
        <v>56</v>
      </c>
      <c r="F68" s="18">
        <v>40</v>
      </c>
      <c r="G68" s="18">
        <v>34</v>
      </c>
    </row>
    <row r="69" spans="1:7" x14ac:dyDescent="0.3">
      <c r="A69" s="11" t="s">
        <v>87</v>
      </c>
      <c r="B69" s="18">
        <v>9738</v>
      </c>
      <c r="C69" s="18">
        <v>8574</v>
      </c>
      <c r="D69" s="18">
        <v>7948</v>
      </c>
      <c r="E69" s="18">
        <v>7695</v>
      </c>
      <c r="F69" s="18">
        <v>7332</v>
      </c>
      <c r="G69" s="18">
        <v>7628</v>
      </c>
    </row>
    <row r="70" spans="1:7" x14ac:dyDescent="0.3">
      <c r="A70" s="11" t="s">
        <v>29</v>
      </c>
      <c r="B70" s="18">
        <v>207</v>
      </c>
      <c r="C70" s="18">
        <v>172</v>
      </c>
      <c r="D70" s="18">
        <v>168</v>
      </c>
      <c r="E70" s="18">
        <v>150</v>
      </c>
      <c r="F70" s="18">
        <v>136</v>
      </c>
      <c r="G70" s="18">
        <v>115</v>
      </c>
    </row>
    <row r="71" spans="1:7" x14ac:dyDescent="0.3">
      <c r="A71" s="11" t="s">
        <v>59</v>
      </c>
      <c r="B71" s="18">
        <v>59</v>
      </c>
      <c r="C71" s="18">
        <v>45</v>
      </c>
      <c r="D71" s="18">
        <v>35</v>
      </c>
      <c r="E71" s="18">
        <v>50</v>
      </c>
      <c r="F71" s="18">
        <v>49</v>
      </c>
      <c r="G71" s="18">
        <v>50</v>
      </c>
    </row>
    <row r="72" spans="1:7" x14ac:dyDescent="0.3">
      <c r="A72" s="11" t="s">
        <v>24</v>
      </c>
      <c r="B72" s="18">
        <v>162</v>
      </c>
      <c r="C72" s="18">
        <v>129</v>
      </c>
      <c r="D72" s="18">
        <v>134</v>
      </c>
      <c r="E72" s="18">
        <v>120</v>
      </c>
      <c r="F72" s="18">
        <v>105</v>
      </c>
      <c r="G72" s="18">
        <v>101</v>
      </c>
    </row>
    <row r="73" spans="1:7" x14ac:dyDescent="0.3">
      <c r="A73" s="11" t="s">
        <v>68</v>
      </c>
      <c r="B73" s="18">
        <v>111</v>
      </c>
      <c r="C73" s="18">
        <v>92</v>
      </c>
      <c r="D73" s="18">
        <v>107</v>
      </c>
      <c r="E73" s="18">
        <v>79</v>
      </c>
      <c r="F73" s="18">
        <v>80</v>
      </c>
      <c r="G73" s="18">
        <v>100</v>
      </c>
    </row>
    <row r="74" spans="1:7" x14ac:dyDescent="0.3">
      <c r="A74" s="11" t="s">
        <v>3</v>
      </c>
      <c r="B74" s="18">
        <v>60</v>
      </c>
      <c r="C74" s="18">
        <v>50</v>
      </c>
      <c r="D74" s="18">
        <v>41</v>
      </c>
      <c r="E74" s="18">
        <v>38</v>
      </c>
      <c r="F74" s="18">
        <v>40</v>
      </c>
      <c r="G74" s="18">
        <v>34</v>
      </c>
    </row>
    <row r="75" spans="1:7" x14ac:dyDescent="0.3">
      <c r="A75" s="11" t="s">
        <v>16</v>
      </c>
      <c r="B75" s="18">
        <v>342</v>
      </c>
      <c r="C75" s="18">
        <v>292</v>
      </c>
      <c r="D75" s="18">
        <v>285</v>
      </c>
      <c r="E75" s="18">
        <v>286</v>
      </c>
      <c r="F75" s="18">
        <v>260</v>
      </c>
      <c r="G75" s="18">
        <v>229</v>
      </c>
    </row>
    <row r="76" spans="1:7" x14ac:dyDescent="0.3">
      <c r="A76" s="11" t="s">
        <v>159</v>
      </c>
      <c r="B76" s="18">
        <v>935</v>
      </c>
      <c r="C76" s="18">
        <v>840</v>
      </c>
      <c r="D76" s="18">
        <v>737</v>
      </c>
      <c r="E76" s="18">
        <v>747</v>
      </c>
      <c r="F76" s="18">
        <v>738</v>
      </c>
      <c r="G76" s="18">
        <v>678</v>
      </c>
    </row>
    <row r="77" spans="1:7" x14ac:dyDescent="0.3">
      <c r="A77" s="11" t="s">
        <v>160</v>
      </c>
      <c r="B77" s="18">
        <v>309</v>
      </c>
      <c r="C77" s="18">
        <v>309</v>
      </c>
      <c r="D77" s="18">
        <v>287</v>
      </c>
      <c r="E77" s="18">
        <v>256</v>
      </c>
      <c r="F77" s="18">
        <v>234</v>
      </c>
      <c r="G77" s="18">
        <v>218</v>
      </c>
    </row>
    <row r="78" spans="1:7" x14ac:dyDescent="0.3">
      <c r="A78" s="11" t="s">
        <v>161</v>
      </c>
      <c r="B78" s="18">
        <v>2097</v>
      </c>
      <c r="C78" s="18">
        <v>1445</v>
      </c>
      <c r="D78" s="18">
        <v>1300</v>
      </c>
      <c r="E78" s="18">
        <v>1325</v>
      </c>
      <c r="F78" s="18">
        <v>1237</v>
      </c>
      <c r="G78" s="18">
        <v>1204</v>
      </c>
    </row>
    <row r="79" spans="1:7" x14ac:dyDescent="0.3">
      <c r="A79" s="11" t="s">
        <v>43</v>
      </c>
      <c r="B79" s="18">
        <v>43</v>
      </c>
      <c r="C79" s="18">
        <v>52</v>
      </c>
      <c r="D79" s="18">
        <v>61</v>
      </c>
      <c r="E79" s="18">
        <v>62</v>
      </c>
      <c r="F79" s="18">
        <v>58</v>
      </c>
      <c r="G79" s="18">
        <v>50</v>
      </c>
    </row>
    <row r="80" spans="1:7" x14ac:dyDescent="0.3">
      <c r="A80" s="11" t="s">
        <v>11</v>
      </c>
      <c r="B80" s="18">
        <v>121</v>
      </c>
      <c r="C80" s="18">
        <v>118</v>
      </c>
      <c r="D80" s="18">
        <v>114</v>
      </c>
      <c r="E80" s="18">
        <v>98</v>
      </c>
      <c r="F80" s="18">
        <v>84</v>
      </c>
      <c r="G80" s="18">
        <v>81</v>
      </c>
    </row>
    <row r="81" spans="1:7" x14ac:dyDescent="0.3">
      <c r="A81" s="11" t="s">
        <v>15</v>
      </c>
      <c r="B81" s="18">
        <v>52</v>
      </c>
      <c r="C81" s="18">
        <v>55</v>
      </c>
      <c r="D81" s="18">
        <v>48</v>
      </c>
      <c r="E81" s="18">
        <v>39</v>
      </c>
      <c r="F81" s="18">
        <v>26</v>
      </c>
      <c r="G81" s="18">
        <v>44</v>
      </c>
    </row>
    <row r="82" spans="1:7" x14ac:dyDescent="0.3">
      <c r="A82" s="11" t="s">
        <v>38</v>
      </c>
      <c r="B82" s="18">
        <v>111</v>
      </c>
      <c r="C82" s="18">
        <v>112</v>
      </c>
      <c r="D82" s="18">
        <v>81</v>
      </c>
      <c r="E82" s="18">
        <v>76</v>
      </c>
      <c r="F82" s="18">
        <v>90</v>
      </c>
      <c r="G82" s="18">
        <v>80</v>
      </c>
    </row>
    <row r="83" spans="1:7" x14ac:dyDescent="0.3">
      <c r="A83" s="11" t="s">
        <v>5</v>
      </c>
      <c r="B83" s="18">
        <v>82</v>
      </c>
      <c r="C83" s="18">
        <v>63</v>
      </c>
      <c r="D83" s="18">
        <v>51</v>
      </c>
      <c r="E83" s="18">
        <v>53</v>
      </c>
      <c r="F83" s="18">
        <v>53</v>
      </c>
      <c r="G83" s="18">
        <v>45</v>
      </c>
    </row>
    <row r="84" spans="1:7" x14ac:dyDescent="0.3">
      <c r="A84" s="11" t="s">
        <v>39</v>
      </c>
      <c r="B84" s="18">
        <v>95</v>
      </c>
      <c r="C84" s="18">
        <v>77</v>
      </c>
      <c r="D84" s="18">
        <v>64</v>
      </c>
      <c r="E84" s="18">
        <v>64</v>
      </c>
      <c r="F84" s="18">
        <v>61</v>
      </c>
      <c r="G84" s="18">
        <v>55</v>
      </c>
    </row>
    <row r="85" spans="1:7" x14ac:dyDescent="0.3">
      <c r="A85" s="11" t="s">
        <v>19</v>
      </c>
      <c r="B85" s="18">
        <v>99</v>
      </c>
      <c r="C85" s="18">
        <v>96</v>
      </c>
      <c r="D85" s="18">
        <v>90</v>
      </c>
      <c r="E85" s="18">
        <v>93</v>
      </c>
      <c r="F85" s="18">
        <v>76</v>
      </c>
      <c r="G85" s="18">
        <v>89</v>
      </c>
    </row>
    <row r="86" spans="1:7" x14ac:dyDescent="0.3">
      <c r="A86" s="11" t="s">
        <v>94</v>
      </c>
      <c r="B86" s="18">
        <v>97</v>
      </c>
      <c r="C86" s="18">
        <v>82</v>
      </c>
      <c r="D86" s="18">
        <v>79</v>
      </c>
      <c r="E86" s="18">
        <v>84</v>
      </c>
      <c r="F86" s="18">
        <v>64</v>
      </c>
      <c r="G86" s="18">
        <v>52</v>
      </c>
    </row>
    <row r="87" spans="1:7" x14ac:dyDescent="0.3">
      <c r="A87" s="11" t="s">
        <v>41</v>
      </c>
      <c r="B87" s="18">
        <v>75</v>
      </c>
      <c r="C87" s="18">
        <v>66</v>
      </c>
      <c r="D87" s="18">
        <v>92</v>
      </c>
      <c r="E87" s="18">
        <v>71</v>
      </c>
      <c r="F87" s="18">
        <v>87</v>
      </c>
      <c r="G87" s="18">
        <v>79</v>
      </c>
    </row>
    <row r="88" spans="1:7" x14ac:dyDescent="0.3">
      <c r="A88" s="11" t="s">
        <v>162</v>
      </c>
      <c r="B88" s="18">
        <v>951</v>
      </c>
      <c r="C88" s="18">
        <v>856</v>
      </c>
      <c r="D88" s="18">
        <v>803</v>
      </c>
      <c r="E88" s="18">
        <v>743</v>
      </c>
      <c r="F88" s="18">
        <v>705</v>
      </c>
      <c r="G88" s="18">
        <v>662</v>
      </c>
    </row>
    <row r="89" spans="1:7" x14ac:dyDescent="0.3">
      <c r="A89" s="11" t="s">
        <v>75</v>
      </c>
      <c r="B89" s="18">
        <v>164</v>
      </c>
      <c r="C89" s="18">
        <v>153</v>
      </c>
      <c r="D89" s="18">
        <v>138</v>
      </c>
      <c r="E89" s="18">
        <v>159</v>
      </c>
      <c r="F89" s="18">
        <v>159</v>
      </c>
      <c r="G89" s="18">
        <v>129</v>
      </c>
    </row>
    <row r="90" spans="1:7" x14ac:dyDescent="0.3">
      <c r="A90" s="11" t="s">
        <v>17</v>
      </c>
      <c r="B90" s="18">
        <v>94</v>
      </c>
      <c r="C90" s="18">
        <v>78</v>
      </c>
      <c r="D90" s="18">
        <v>72</v>
      </c>
      <c r="E90" s="18">
        <v>70</v>
      </c>
      <c r="F90" s="18">
        <v>73</v>
      </c>
      <c r="G90" s="18">
        <v>66</v>
      </c>
    </row>
    <row r="91" spans="1:7" x14ac:dyDescent="0.3">
      <c r="A91" s="11" t="s">
        <v>163</v>
      </c>
      <c r="B91" s="18">
        <v>1797</v>
      </c>
      <c r="C91" s="18">
        <v>1652</v>
      </c>
      <c r="D91" s="18">
        <v>1530</v>
      </c>
      <c r="E91" s="18">
        <v>1396</v>
      </c>
      <c r="F91" s="18">
        <v>1510</v>
      </c>
      <c r="G91" s="18">
        <v>1682</v>
      </c>
    </row>
    <row r="92" spans="1:7" x14ac:dyDescent="0.3">
      <c r="A92" s="12" t="s">
        <v>82</v>
      </c>
      <c r="B92" s="18">
        <v>261</v>
      </c>
      <c r="C92" s="18">
        <v>245</v>
      </c>
      <c r="D92" s="18">
        <v>213</v>
      </c>
      <c r="E92" s="18">
        <v>177</v>
      </c>
      <c r="F92" s="18">
        <v>180</v>
      </c>
      <c r="G92" s="18">
        <v>168</v>
      </c>
    </row>
    <row r="93" spans="1:7" x14ac:dyDescent="0.3">
      <c r="A93" s="12" t="s">
        <v>93</v>
      </c>
      <c r="B93" s="18">
        <v>25</v>
      </c>
      <c r="C93" s="18">
        <v>15</v>
      </c>
      <c r="D93" s="18">
        <v>14</v>
      </c>
      <c r="E93" s="18">
        <v>18</v>
      </c>
      <c r="F93" s="18">
        <v>14</v>
      </c>
      <c r="G93" s="18">
        <v>18</v>
      </c>
    </row>
    <row r="94" spans="1:7" x14ac:dyDescent="0.3">
      <c r="A94" s="12" t="s">
        <v>46</v>
      </c>
      <c r="B94" s="18">
        <v>86</v>
      </c>
      <c r="C94" s="18">
        <v>42</v>
      </c>
      <c r="D94" s="18">
        <v>46</v>
      </c>
      <c r="E94" s="18">
        <v>44</v>
      </c>
      <c r="F94" s="18">
        <v>42</v>
      </c>
      <c r="G94" s="18">
        <v>36</v>
      </c>
    </row>
    <row r="95" spans="1:7" x14ac:dyDescent="0.3">
      <c r="A95" s="12" t="s">
        <v>18</v>
      </c>
      <c r="B95" s="18">
        <v>8</v>
      </c>
      <c r="C95" s="18">
        <v>8</v>
      </c>
      <c r="D95" s="18">
        <v>10</v>
      </c>
      <c r="E95" s="18">
        <v>8</v>
      </c>
      <c r="F95" s="18">
        <v>5</v>
      </c>
      <c r="G95" s="18">
        <v>9</v>
      </c>
    </row>
    <row r="96" spans="1:7" x14ac:dyDescent="0.3">
      <c r="A96" s="12" t="s">
        <v>164</v>
      </c>
      <c r="B96" s="18">
        <v>805</v>
      </c>
      <c r="C96" s="18">
        <v>732</v>
      </c>
      <c r="D96" s="18">
        <v>690</v>
      </c>
      <c r="E96" s="18">
        <v>637</v>
      </c>
      <c r="F96" s="18">
        <v>590</v>
      </c>
      <c r="G96" s="18">
        <v>572</v>
      </c>
    </row>
    <row r="97" spans="1:7" x14ac:dyDescent="0.3">
      <c r="A97" s="12" t="s">
        <v>60</v>
      </c>
      <c r="B97" s="18">
        <v>51</v>
      </c>
      <c r="C97" s="18">
        <v>51</v>
      </c>
      <c r="D97" s="18">
        <v>45</v>
      </c>
      <c r="E97" s="18">
        <v>45</v>
      </c>
      <c r="F97" s="18">
        <v>43</v>
      </c>
      <c r="G97" s="18">
        <v>38</v>
      </c>
    </row>
    <row r="98" spans="1:7" x14ac:dyDescent="0.3">
      <c r="A98" s="12" t="s">
        <v>78</v>
      </c>
      <c r="B98" s="18">
        <v>72</v>
      </c>
      <c r="C98" s="18">
        <v>63</v>
      </c>
      <c r="D98" s="18">
        <v>72</v>
      </c>
      <c r="E98" s="18">
        <v>61</v>
      </c>
      <c r="F98" s="18">
        <v>118</v>
      </c>
      <c r="G98" s="18">
        <v>62</v>
      </c>
    </row>
  </sheetData>
  <autoFilter ref="A3:G98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03F4E-B05E-4AB0-8305-46C298BD9D52}">
  <sheetPr codeName="Лист22">
    <tabColor theme="0" tint="-0.249977111117893"/>
    <pageSetUpPr fitToPage="1"/>
  </sheetPr>
  <dimension ref="A1:Z98"/>
  <sheetViews>
    <sheetView showGridLines="0" workbookViewId="0"/>
  </sheetViews>
  <sheetFormatPr defaultRowHeight="16.5" x14ac:dyDescent="0.3"/>
  <cols>
    <col min="1" max="1" width="108.5703125" style="9" customWidth="1"/>
    <col min="2" max="7" width="9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25" t="s">
        <v>166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3" spans="1:26" x14ac:dyDescent="0.3">
      <c r="A3" s="10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6" x14ac:dyDescent="0.3">
      <c r="A4" s="11" t="s">
        <v>12</v>
      </c>
      <c r="B4" s="18">
        <v>535</v>
      </c>
      <c r="C4" s="18">
        <v>534</v>
      </c>
      <c r="D4" s="18">
        <v>423</v>
      </c>
      <c r="E4" s="18">
        <v>454</v>
      </c>
      <c r="F4" s="18">
        <v>447</v>
      </c>
      <c r="G4" s="18">
        <v>401</v>
      </c>
    </row>
    <row r="5" spans="1:26" x14ac:dyDescent="0.3">
      <c r="A5" s="11" t="s">
        <v>73</v>
      </c>
      <c r="B5" s="18">
        <v>255</v>
      </c>
      <c r="C5" s="18">
        <v>272</v>
      </c>
      <c r="D5" s="18">
        <v>263</v>
      </c>
      <c r="E5" s="18">
        <v>204</v>
      </c>
      <c r="F5" s="18">
        <v>211</v>
      </c>
      <c r="G5" s="18">
        <v>182</v>
      </c>
    </row>
    <row r="6" spans="1:26" x14ac:dyDescent="0.3">
      <c r="A6" s="11" t="s">
        <v>53</v>
      </c>
      <c r="B6" s="18">
        <v>224</v>
      </c>
      <c r="C6" s="18">
        <v>220</v>
      </c>
      <c r="D6" s="18">
        <v>203</v>
      </c>
      <c r="E6" s="18">
        <v>199</v>
      </c>
      <c r="F6" s="18">
        <v>145</v>
      </c>
      <c r="G6" s="18">
        <v>166</v>
      </c>
    </row>
    <row r="7" spans="1:26" x14ac:dyDescent="0.3">
      <c r="A7" s="11" t="s">
        <v>25</v>
      </c>
      <c r="B7" s="18">
        <v>128</v>
      </c>
      <c r="C7" s="18">
        <v>148</v>
      </c>
      <c r="D7" s="18">
        <v>102</v>
      </c>
      <c r="E7" s="18">
        <v>120</v>
      </c>
      <c r="F7" s="18">
        <v>87</v>
      </c>
      <c r="G7" s="18">
        <v>93</v>
      </c>
    </row>
    <row r="8" spans="1:26" x14ac:dyDescent="0.3">
      <c r="A8" s="11" t="s">
        <v>50</v>
      </c>
      <c r="B8" s="18">
        <v>122</v>
      </c>
      <c r="C8" s="18">
        <v>128</v>
      </c>
      <c r="D8" s="18">
        <v>110</v>
      </c>
      <c r="E8" s="18">
        <v>121</v>
      </c>
      <c r="F8" s="18">
        <v>125</v>
      </c>
      <c r="G8" s="18">
        <v>131</v>
      </c>
    </row>
    <row r="9" spans="1:26" x14ac:dyDescent="0.3">
      <c r="A9" s="11" t="s">
        <v>48</v>
      </c>
      <c r="B9" s="18">
        <v>171</v>
      </c>
      <c r="C9" s="18">
        <v>164</v>
      </c>
      <c r="D9" s="18">
        <v>177</v>
      </c>
      <c r="E9" s="18">
        <v>137</v>
      </c>
      <c r="F9" s="18">
        <v>100</v>
      </c>
      <c r="G9" s="18">
        <v>119</v>
      </c>
    </row>
    <row r="10" spans="1:26" x14ac:dyDescent="0.3">
      <c r="A10" s="11" t="s">
        <v>20</v>
      </c>
      <c r="B10" s="18">
        <v>195</v>
      </c>
      <c r="C10" s="18">
        <v>182</v>
      </c>
      <c r="D10" s="18">
        <v>191</v>
      </c>
      <c r="E10" s="18">
        <v>162</v>
      </c>
      <c r="F10" s="18">
        <v>150</v>
      </c>
      <c r="G10" s="18">
        <v>168</v>
      </c>
    </row>
    <row r="11" spans="1:26" x14ac:dyDescent="0.3">
      <c r="A11" s="11" t="s">
        <v>22</v>
      </c>
      <c r="B11" s="18">
        <v>360</v>
      </c>
      <c r="C11" s="18">
        <v>307</v>
      </c>
      <c r="D11" s="18">
        <v>310</v>
      </c>
      <c r="E11" s="18">
        <v>279</v>
      </c>
      <c r="F11" s="18">
        <v>236</v>
      </c>
      <c r="G11" s="18">
        <v>242</v>
      </c>
    </row>
    <row r="12" spans="1:26" x14ac:dyDescent="0.3">
      <c r="A12" s="11" t="s">
        <v>80</v>
      </c>
      <c r="B12" s="18">
        <v>261</v>
      </c>
      <c r="C12" s="18">
        <v>237</v>
      </c>
      <c r="D12" s="18">
        <v>239</v>
      </c>
      <c r="E12" s="18">
        <v>216</v>
      </c>
      <c r="F12" s="18">
        <v>186</v>
      </c>
      <c r="G12" s="18">
        <v>205</v>
      </c>
    </row>
    <row r="13" spans="1:26" x14ac:dyDescent="0.3">
      <c r="A13" s="11" t="s">
        <v>4</v>
      </c>
      <c r="B13" s="18">
        <v>270</v>
      </c>
      <c r="C13" s="18">
        <v>228</v>
      </c>
      <c r="D13" s="18">
        <v>196</v>
      </c>
      <c r="E13" s="18">
        <v>225</v>
      </c>
      <c r="F13" s="18">
        <v>190</v>
      </c>
      <c r="G13" s="18">
        <v>183</v>
      </c>
    </row>
    <row r="14" spans="1:26" x14ac:dyDescent="0.3">
      <c r="A14" s="11" t="s">
        <v>13</v>
      </c>
      <c r="B14" s="18">
        <v>869</v>
      </c>
      <c r="C14" s="18">
        <v>836</v>
      </c>
      <c r="D14" s="18">
        <v>822</v>
      </c>
      <c r="E14" s="18">
        <v>674</v>
      </c>
      <c r="F14" s="18">
        <v>549</v>
      </c>
      <c r="G14" s="18">
        <v>543</v>
      </c>
    </row>
    <row r="15" spans="1:26" x14ac:dyDescent="0.3">
      <c r="A15" s="11" t="s">
        <v>32</v>
      </c>
      <c r="B15" s="18">
        <v>436</v>
      </c>
      <c r="C15" s="18">
        <v>417</v>
      </c>
      <c r="D15" s="18">
        <v>388</v>
      </c>
      <c r="E15" s="18">
        <v>347</v>
      </c>
      <c r="F15" s="18">
        <v>321</v>
      </c>
      <c r="G15" s="18">
        <v>313</v>
      </c>
    </row>
    <row r="16" spans="1:26" x14ac:dyDescent="0.3">
      <c r="A16" s="11" t="s">
        <v>123</v>
      </c>
      <c r="B16" s="18">
        <v>56</v>
      </c>
      <c r="C16" s="18">
        <v>54</v>
      </c>
      <c r="D16" s="18">
        <v>51</v>
      </c>
      <c r="E16" s="18">
        <v>64</v>
      </c>
      <c r="F16" s="18">
        <v>63</v>
      </c>
      <c r="G16" s="18">
        <v>56</v>
      </c>
    </row>
    <row r="17" spans="1:7" x14ac:dyDescent="0.3">
      <c r="A17" s="11" t="s">
        <v>156</v>
      </c>
      <c r="B17" s="18">
        <v>1905</v>
      </c>
      <c r="C17" s="18">
        <v>2680</v>
      </c>
      <c r="D17" s="18">
        <v>2522</v>
      </c>
      <c r="E17" s="18">
        <v>2280</v>
      </c>
      <c r="F17" s="18">
        <v>2065</v>
      </c>
      <c r="G17" s="18">
        <v>1971</v>
      </c>
    </row>
    <row r="18" spans="1:7" x14ac:dyDescent="0.3">
      <c r="A18" s="11" t="s">
        <v>74</v>
      </c>
      <c r="B18" s="18">
        <v>45</v>
      </c>
      <c r="C18" s="18">
        <v>58</v>
      </c>
      <c r="D18" s="18">
        <v>62</v>
      </c>
      <c r="E18" s="18">
        <v>50</v>
      </c>
      <c r="F18" s="18">
        <v>44</v>
      </c>
      <c r="G18" s="18">
        <v>34</v>
      </c>
    </row>
    <row r="19" spans="1:7" x14ac:dyDescent="0.3">
      <c r="A19" s="11" t="s">
        <v>57</v>
      </c>
      <c r="B19" s="18">
        <v>507</v>
      </c>
      <c r="C19" s="18">
        <v>452</v>
      </c>
      <c r="D19" s="18">
        <v>403</v>
      </c>
      <c r="E19" s="18">
        <v>417</v>
      </c>
      <c r="F19" s="18">
        <v>342</v>
      </c>
      <c r="G19" s="18">
        <v>354</v>
      </c>
    </row>
    <row r="20" spans="1:7" x14ac:dyDescent="0.3">
      <c r="A20" s="11" t="s">
        <v>45</v>
      </c>
      <c r="B20" s="18">
        <v>176</v>
      </c>
      <c r="C20" s="18">
        <v>156</v>
      </c>
      <c r="D20" s="18">
        <v>134</v>
      </c>
      <c r="E20" s="18">
        <v>145</v>
      </c>
      <c r="F20" s="18">
        <v>111</v>
      </c>
      <c r="G20" s="18">
        <v>112</v>
      </c>
    </row>
    <row r="21" spans="1:7" x14ac:dyDescent="0.3">
      <c r="A21" s="11" t="s">
        <v>72</v>
      </c>
      <c r="B21" s="18">
        <v>873</v>
      </c>
      <c r="C21" s="18">
        <v>869</v>
      </c>
      <c r="D21" s="18">
        <v>796</v>
      </c>
      <c r="E21" s="18">
        <v>842</v>
      </c>
      <c r="F21" s="18">
        <v>647</v>
      </c>
      <c r="G21" s="18">
        <v>607</v>
      </c>
    </row>
    <row r="22" spans="1:7" x14ac:dyDescent="0.3">
      <c r="A22" s="11" t="s">
        <v>67</v>
      </c>
      <c r="B22" s="18">
        <v>43</v>
      </c>
      <c r="C22" s="18">
        <v>67</v>
      </c>
      <c r="D22" s="18">
        <v>53</v>
      </c>
      <c r="E22" s="18">
        <v>37</v>
      </c>
      <c r="F22" s="18">
        <v>34</v>
      </c>
      <c r="G22" s="18">
        <v>29</v>
      </c>
    </row>
    <row r="23" spans="1:7" x14ac:dyDescent="0.3">
      <c r="A23" s="11" t="s">
        <v>69</v>
      </c>
      <c r="B23" s="18">
        <v>113</v>
      </c>
      <c r="C23" s="18">
        <v>112</v>
      </c>
      <c r="D23" s="18">
        <v>129</v>
      </c>
      <c r="E23" s="18">
        <v>95</v>
      </c>
      <c r="F23" s="18">
        <v>92</v>
      </c>
      <c r="G23" s="18">
        <v>84</v>
      </c>
    </row>
    <row r="24" spans="1:7" x14ac:dyDescent="0.3">
      <c r="A24" s="11" t="s">
        <v>40</v>
      </c>
      <c r="B24" s="18">
        <v>191</v>
      </c>
      <c r="C24" s="18">
        <v>151</v>
      </c>
      <c r="D24" s="18">
        <v>142</v>
      </c>
      <c r="E24" s="18">
        <v>117</v>
      </c>
      <c r="F24" s="18">
        <v>139</v>
      </c>
      <c r="G24" s="18">
        <v>130</v>
      </c>
    </row>
    <row r="25" spans="1:7" x14ac:dyDescent="0.3">
      <c r="A25" s="11" t="s">
        <v>9</v>
      </c>
      <c r="B25" s="18">
        <v>88</v>
      </c>
      <c r="C25" s="18">
        <v>95</v>
      </c>
      <c r="D25" s="18">
        <v>76</v>
      </c>
      <c r="E25" s="18">
        <v>69</v>
      </c>
      <c r="F25" s="18">
        <v>60</v>
      </c>
      <c r="G25" s="18">
        <v>65</v>
      </c>
    </row>
    <row r="26" spans="1:7" x14ac:dyDescent="0.3">
      <c r="A26" s="11" t="s">
        <v>2</v>
      </c>
      <c r="B26" s="18">
        <v>43</v>
      </c>
      <c r="C26" s="18">
        <v>34</v>
      </c>
      <c r="D26" s="18">
        <v>30</v>
      </c>
      <c r="E26" s="18">
        <v>20</v>
      </c>
      <c r="F26" s="18">
        <v>28</v>
      </c>
      <c r="G26" s="18">
        <v>13</v>
      </c>
    </row>
    <row r="27" spans="1:7" x14ac:dyDescent="0.3">
      <c r="A27" s="11" t="s">
        <v>76</v>
      </c>
      <c r="B27" s="18">
        <v>992</v>
      </c>
      <c r="C27" s="18">
        <v>901</v>
      </c>
      <c r="D27" s="18">
        <v>827</v>
      </c>
      <c r="E27" s="18">
        <v>681</v>
      </c>
      <c r="F27" s="18">
        <v>637</v>
      </c>
      <c r="G27" s="18">
        <v>577</v>
      </c>
    </row>
    <row r="28" spans="1:7" x14ac:dyDescent="0.3">
      <c r="A28" s="11" t="s">
        <v>36</v>
      </c>
      <c r="B28" s="18">
        <v>181</v>
      </c>
      <c r="C28" s="18">
        <v>162</v>
      </c>
      <c r="D28" s="18">
        <v>129</v>
      </c>
      <c r="E28" s="18">
        <v>163</v>
      </c>
      <c r="F28" s="18">
        <v>133</v>
      </c>
      <c r="G28" s="18">
        <v>144</v>
      </c>
    </row>
    <row r="29" spans="1:7" x14ac:dyDescent="0.3">
      <c r="A29" s="11" t="s">
        <v>37</v>
      </c>
      <c r="B29" s="18">
        <v>87</v>
      </c>
      <c r="C29" s="18">
        <v>74</v>
      </c>
      <c r="D29" s="18">
        <v>86</v>
      </c>
      <c r="E29" s="18">
        <v>81</v>
      </c>
      <c r="F29" s="18">
        <v>56</v>
      </c>
      <c r="G29" s="18">
        <v>55</v>
      </c>
    </row>
    <row r="30" spans="1:7" x14ac:dyDescent="0.3">
      <c r="A30" s="11" t="s">
        <v>28</v>
      </c>
      <c r="B30" s="18">
        <v>647</v>
      </c>
      <c r="C30" s="18">
        <v>684</v>
      </c>
      <c r="D30" s="18">
        <v>629</v>
      </c>
      <c r="E30" s="18">
        <v>555</v>
      </c>
      <c r="F30" s="18">
        <v>514</v>
      </c>
      <c r="G30" s="18">
        <v>518</v>
      </c>
    </row>
    <row r="31" spans="1:7" x14ac:dyDescent="0.3">
      <c r="A31" s="11" t="s">
        <v>61</v>
      </c>
      <c r="B31" s="18">
        <v>947</v>
      </c>
      <c r="C31" s="18">
        <v>780</v>
      </c>
      <c r="D31" s="18">
        <v>764</v>
      </c>
      <c r="E31" s="18">
        <v>725</v>
      </c>
      <c r="F31" s="18">
        <v>672</v>
      </c>
      <c r="G31" s="18">
        <v>557</v>
      </c>
    </row>
    <row r="32" spans="1:7" x14ac:dyDescent="0.3">
      <c r="A32" s="11" t="s">
        <v>157</v>
      </c>
      <c r="B32" s="18">
        <v>241</v>
      </c>
      <c r="C32" s="18"/>
      <c r="D32" s="18"/>
      <c r="E32" s="18"/>
      <c r="F32" s="18"/>
      <c r="G32" s="18"/>
    </row>
    <row r="33" spans="1:7" x14ac:dyDescent="0.3">
      <c r="A33" s="11" t="s">
        <v>55</v>
      </c>
      <c r="B33" s="18">
        <v>172</v>
      </c>
      <c r="C33" s="18">
        <v>162</v>
      </c>
      <c r="D33" s="18">
        <v>139</v>
      </c>
      <c r="E33" s="18">
        <v>99</v>
      </c>
      <c r="F33" s="18">
        <v>102</v>
      </c>
      <c r="G33" s="18">
        <v>97</v>
      </c>
    </row>
    <row r="34" spans="1:7" x14ac:dyDescent="0.3">
      <c r="A34" s="11" t="s">
        <v>56</v>
      </c>
      <c r="B34" s="18">
        <v>124</v>
      </c>
      <c r="C34" s="18">
        <v>111</v>
      </c>
      <c r="D34" s="18">
        <v>120</v>
      </c>
      <c r="E34" s="18">
        <v>99</v>
      </c>
      <c r="F34" s="18">
        <v>93</v>
      </c>
      <c r="G34" s="18">
        <v>100</v>
      </c>
    </row>
    <row r="35" spans="1:7" x14ac:dyDescent="0.3">
      <c r="A35" s="11" t="s">
        <v>33</v>
      </c>
      <c r="B35" s="18">
        <v>247</v>
      </c>
      <c r="C35" s="18">
        <v>250</v>
      </c>
      <c r="D35" s="18">
        <v>253</v>
      </c>
      <c r="E35" s="18">
        <v>269</v>
      </c>
      <c r="F35" s="18">
        <v>234</v>
      </c>
      <c r="G35" s="18">
        <v>228</v>
      </c>
    </row>
    <row r="36" spans="1:7" x14ac:dyDescent="0.3">
      <c r="A36" s="11" t="s">
        <v>51</v>
      </c>
      <c r="B36" s="18">
        <v>153</v>
      </c>
      <c r="C36" s="18">
        <v>127</v>
      </c>
      <c r="D36" s="18">
        <v>114</v>
      </c>
      <c r="E36" s="18">
        <v>93</v>
      </c>
      <c r="F36" s="18">
        <v>88</v>
      </c>
      <c r="G36" s="18">
        <v>93</v>
      </c>
    </row>
    <row r="37" spans="1:7" x14ac:dyDescent="0.3">
      <c r="A37" s="11" t="s">
        <v>8</v>
      </c>
      <c r="B37" s="18">
        <v>56</v>
      </c>
      <c r="C37" s="18">
        <v>42</v>
      </c>
      <c r="D37" s="18">
        <v>38</v>
      </c>
      <c r="E37" s="18">
        <v>51</v>
      </c>
      <c r="F37" s="18">
        <v>29</v>
      </c>
      <c r="G37" s="18">
        <v>40</v>
      </c>
    </row>
    <row r="38" spans="1:7" x14ac:dyDescent="0.3">
      <c r="A38" s="11" t="s">
        <v>21</v>
      </c>
      <c r="B38" s="18">
        <v>1042</v>
      </c>
      <c r="C38" s="18">
        <v>1006</v>
      </c>
      <c r="D38" s="18">
        <v>979</v>
      </c>
      <c r="E38" s="18">
        <v>985</v>
      </c>
      <c r="F38" s="18">
        <v>830</v>
      </c>
      <c r="G38" s="18">
        <v>776</v>
      </c>
    </row>
    <row r="39" spans="1:7" x14ac:dyDescent="0.3">
      <c r="A39" s="11" t="s">
        <v>30</v>
      </c>
      <c r="B39" s="18">
        <v>148</v>
      </c>
      <c r="C39" s="18">
        <v>149</v>
      </c>
      <c r="D39" s="18">
        <v>148</v>
      </c>
      <c r="E39" s="18">
        <v>123</v>
      </c>
      <c r="F39" s="18">
        <v>111</v>
      </c>
      <c r="G39" s="18">
        <v>148</v>
      </c>
    </row>
    <row r="40" spans="1:7" x14ac:dyDescent="0.3">
      <c r="A40" s="11" t="s">
        <v>7</v>
      </c>
      <c r="B40" s="18">
        <v>15</v>
      </c>
      <c r="C40" s="18">
        <v>12</v>
      </c>
      <c r="D40" s="18">
        <v>8</v>
      </c>
      <c r="E40" s="18">
        <v>8</v>
      </c>
      <c r="F40" s="18">
        <v>9</v>
      </c>
      <c r="G40" s="18">
        <v>12</v>
      </c>
    </row>
    <row r="41" spans="1:7" x14ac:dyDescent="0.3">
      <c r="A41" s="11" t="s">
        <v>54</v>
      </c>
      <c r="B41" s="18">
        <v>402</v>
      </c>
      <c r="C41" s="18">
        <v>378</v>
      </c>
      <c r="D41" s="18">
        <v>343</v>
      </c>
      <c r="E41" s="18">
        <v>357</v>
      </c>
      <c r="F41" s="18">
        <v>315</v>
      </c>
      <c r="G41" s="18">
        <v>333</v>
      </c>
    </row>
    <row r="42" spans="1:7" x14ac:dyDescent="0.3">
      <c r="A42" s="11" t="s">
        <v>52</v>
      </c>
      <c r="B42" s="18">
        <v>99</v>
      </c>
      <c r="C42" s="18">
        <v>103</v>
      </c>
      <c r="D42" s="18">
        <v>95</v>
      </c>
      <c r="E42" s="18">
        <v>86</v>
      </c>
      <c r="F42" s="18">
        <v>57</v>
      </c>
      <c r="G42" s="18">
        <v>79</v>
      </c>
    </row>
    <row r="43" spans="1:7" x14ac:dyDescent="0.3">
      <c r="A43" s="11" t="s">
        <v>6</v>
      </c>
      <c r="B43" s="18">
        <v>522</v>
      </c>
      <c r="C43" s="18">
        <v>578</v>
      </c>
      <c r="D43" s="18">
        <v>492</v>
      </c>
      <c r="E43" s="18">
        <v>468</v>
      </c>
      <c r="F43" s="18">
        <v>376</v>
      </c>
      <c r="G43" s="18">
        <v>365</v>
      </c>
    </row>
    <row r="44" spans="1:7" x14ac:dyDescent="0.3">
      <c r="A44" s="11" t="s">
        <v>64</v>
      </c>
      <c r="B44" s="18">
        <v>397</v>
      </c>
      <c r="C44" s="18">
        <v>412</v>
      </c>
      <c r="D44" s="18">
        <v>337</v>
      </c>
      <c r="E44" s="18">
        <v>316</v>
      </c>
      <c r="F44" s="18">
        <v>264</v>
      </c>
      <c r="G44" s="18">
        <v>252</v>
      </c>
    </row>
    <row r="45" spans="1:7" x14ac:dyDescent="0.3">
      <c r="A45" s="11" t="s">
        <v>23</v>
      </c>
      <c r="B45" s="18">
        <v>411</v>
      </c>
      <c r="C45" s="18">
        <v>352</v>
      </c>
      <c r="D45" s="18">
        <v>314</v>
      </c>
      <c r="E45" s="18">
        <v>274</v>
      </c>
      <c r="F45" s="18">
        <v>278</v>
      </c>
      <c r="G45" s="18">
        <v>233</v>
      </c>
    </row>
    <row r="46" spans="1:7" x14ac:dyDescent="0.3">
      <c r="A46" s="11" t="s">
        <v>70</v>
      </c>
      <c r="B46" s="18">
        <v>59</v>
      </c>
      <c r="C46" s="18">
        <v>76</v>
      </c>
      <c r="D46" s="18">
        <v>65</v>
      </c>
      <c r="E46" s="18">
        <v>50</v>
      </c>
      <c r="F46" s="18">
        <v>63</v>
      </c>
      <c r="G46" s="18">
        <v>67</v>
      </c>
    </row>
    <row r="47" spans="1:7" x14ac:dyDescent="0.3">
      <c r="A47" s="11" t="s">
        <v>49</v>
      </c>
      <c r="B47" s="18">
        <v>147</v>
      </c>
      <c r="C47" s="18">
        <v>183</v>
      </c>
      <c r="D47" s="18">
        <v>154</v>
      </c>
      <c r="E47" s="18">
        <v>147</v>
      </c>
      <c r="F47" s="18">
        <v>138</v>
      </c>
      <c r="G47" s="18">
        <v>134</v>
      </c>
    </row>
    <row r="48" spans="1:7" x14ac:dyDescent="0.3">
      <c r="A48" s="11" t="s">
        <v>44</v>
      </c>
      <c r="B48" s="18">
        <v>701</v>
      </c>
      <c r="C48" s="18">
        <v>637</v>
      </c>
      <c r="D48" s="18">
        <v>586</v>
      </c>
      <c r="E48" s="18">
        <v>511</v>
      </c>
      <c r="F48" s="18">
        <v>445</v>
      </c>
      <c r="G48" s="18">
        <v>459</v>
      </c>
    </row>
    <row r="49" spans="1:7" x14ac:dyDescent="0.3">
      <c r="A49" s="11" t="s">
        <v>158</v>
      </c>
      <c r="B49" s="18">
        <v>4699</v>
      </c>
      <c r="C49" s="18">
        <v>4281</v>
      </c>
      <c r="D49" s="18">
        <v>3887</v>
      </c>
      <c r="E49" s="18">
        <v>3687</v>
      </c>
      <c r="F49" s="18">
        <v>3293</v>
      </c>
      <c r="G49" s="18">
        <v>3197</v>
      </c>
    </row>
    <row r="50" spans="1:7" x14ac:dyDescent="0.3">
      <c r="A50" s="11" t="s">
        <v>10</v>
      </c>
      <c r="B50" s="18">
        <v>563</v>
      </c>
      <c r="C50" s="18">
        <v>514</v>
      </c>
      <c r="D50" s="18">
        <v>532</v>
      </c>
      <c r="E50" s="18">
        <v>490</v>
      </c>
      <c r="F50" s="18">
        <v>473</v>
      </c>
      <c r="G50" s="18">
        <v>435</v>
      </c>
    </row>
    <row r="51" spans="1:7" x14ac:dyDescent="0.3">
      <c r="A51" s="11" t="s">
        <v>31</v>
      </c>
      <c r="B51" s="18">
        <v>92</v>
      </c>
      <c r="C51" s="18">
        <v>105</v>
      </c>
      <c r="D51" s="18">
        <v>103</v>
      </c>
      <c r="E51" s="18">
        <v>76</v>
      </c>
      <c r="F51" s="18">
        <v>89</v>
      </c>
      <c r="G51" s="18">
        <v>77</v>
      </c>
    </row>
    <row r="52" spans="1:7" x14ac:dyDescent="0.3">
      <c r="A52" s="11" t="s">
        <v>26</v>
      </c>
      <c r="B52" s="18">
        <v>47</v>
      </c>
      <c r="C52" s="18">
        <v>41</v>
      </c>
      <c r="D52" s="18">
        <v>43</v>
      </c>
      <c r="E52" s="18">
        <v>41</v>
      </c>
      <c r="F52" s="18">
        <v>39</v>
      </c>
      <c r="G52" s="18">
        <v>39</v>
      </c>
    </row>
    <row r="53" spans="1:7" x14ac:dyDescent="0.3">
      <c r="A53" s="11" t="s">
        <v>58</v>
      </c>
      <c r="B53" s="18">
        <v>71</v>
      </c>
      <c r="C53" s="18">
        <v>60</v>
      </c>
      <c r="D53" s="18">
        <v>65</v>
      </c>
      <c r="E53" s="18">
        <v>68</v>
      </c>
      <c r="F53" s="18">
        <v>44</v>
      </c>
      <c r="G53" s="18">
        <v>43</v>
      </c>
    </row>
    <row r="54" spans="1:7" x14ac:dyDescent="0.3">
      <c r="A54" s="11" t="s">
        <v>83</v>
      </c>
      <c r="B54" s="18">
        <v>720</v>
      </c>
      <c r="C54" s="18">
        <v>653</v>
      </c>
      <c r="D54" s="18">
        <v>576</v>
      </c>
      <c r="E54" s="18">
        <v>553</v>
      </c>
      <c r="F54" s="18">
        <v>469</v>
      </c>
      <c r="G54" s="18">
        <v>438</v>
      </c>
    </row>
    <row r="55" spans="1:7" x14ac:dyDescent="0.3">
      <c r="A55" s="11" t="s">
        <v>1</v>
      </c>
      <c r="B55" s="18">
        <v>249</v>
      </c>
      <c r="C55" s="18">
        <v>329</v>
      </c>
      <c r="D55" s="18">
        <v>334</v>
      </c>
      <c r="E55" s="18">
        <v>278</v>
      </c>
      <c r="F55" s="18">
        <v>257</v>
      </c>
      <c r="G55" s="18">
        <v>227</v>
      </c>
    </row>
    <row r="56" spans="1:7" x14ac:dyDescent="0.3">
      <c r="A56" s="11" t="s">
        <v>63</v>
      </c>
      <c r="B56" s="18">
        <v>110</v>
      </c>
      <c r="C56" s="18">
        <v>79</v>
      </c>
      <c r="D56" s="18">
        <v>75</v>
      </c>
      <c r="E56" s="18">
        <v>87</v>
      </c>
      <c r="F56" s="18">
        <v>95</v>
      </c>
      <c r="G56" s="18">
        <v>71</v>
      </c>
    </row>
    <row r="57" spans="1:7" x14ac:dyDescent="0.3">
      <c r="A57" s="11" t="s">
        <v>81</v>
      </c>
      <c r="B57" s="18">
        <v>9</v>
      </c>
      <c r="C57" s="18">
        <v>11</v>
      </c>
      <c r="D57" s="18">
        <v>12</v>
      </c>
      <c r="E57" s="18">
        <v>14</v>
      </c>
      <c r="F57" s="18">
        <v>10</v>
      </c>
      <c r="G57" s="18">
        <v>16</v>
      </c>
    </row>
    <row r="58" spans="1:7" x14ac:dyDescent="0.3">
      <c r="A58" s="11" t="s">
        <v>27</v>
      </c>
      <c r="B58" s="18">
        <v>54</v>
      </c>
      <c r="C58" s="18">
        <v>42</v>
      </c>
      <c r="D58" s="18">
        <v>31</v>
      </c>
      <c r="E58" s="18">
        <v>38</v>
      </c>
      <c r="F58" s="18">
        <v>49</v>
      </c>
      <c r="G58" s="18">
        <v>40</v>
      </c>
    </row>
    <row r="59" spans="1:7" x14ac:dyDescent="0.3">
      <c r="A59" s="11" t="s">
        <v>71</v>
      </c>
      <c r="B59" s="18">
        <v>153</v>
      </c>
      <c r="C59" s="18">
        <v>147</v>
      </c>
      <c r="D59" s="18">
        <v>113</v>
      </c>
      <c r="E59" s="18">
        <v>114</v>
      </c>
      <c r="F59" s="18">
        <v>101</v>
      </c>
      <c r="G59" s="18">
        <v>116</v>
      </c>
    </row>
    <row r="60" spans="1:7" x14ac:dyDescent="0.3">
      <c r="A60" s="11" t="s">
        <v>65</v>
      </c>
      <c r="B60" s="18">
        <v>284</v>
      </c>
      <c r="C60" s="18">
        <v>227</v>
      </c>
      <c r="D60" s="18">
        <v>247</v>
      </c>
      <c r="E60" s="18">
        <v>238</v>
      </c>
      <c r="F60" s="18">
        <v>184</v>
      </c>
      <c r="G60" s="18">
        <v>201</v>
      </c>
    </row>
    <row r="61" spans="1:7" x14ac:dyDescent="0.3">
      <c r="A61" s="11" t="s">
        <v>89</v>
      </c>
      <c r="B61" s="18">
        <v>185</v>
      </c>
      <c r="C61" s="18">
        <v>235</v>
      </c>
      <c r="D61" s="18">
        <v>188</v>
      </c>
      <c r="E61" s="18">
        <v>180</v>
      </c>
      <c r="F61" s="18">
        <v>156</v>
      </c>
      <c r="G61" s="18">
        <v>154</v>
      </c>
    </row>
    <row r="62" spans="1:7" x14ac:dyDescent="0.3">
      <c r="A62" s="11" t="s">
        <v>42</v>
      </c>
      <c r="B62" s="18">
        <v>105</v>
      </c>
      <c r="C62" s="18">
        <v>108</v>
      </c>
      <c r="D62" s="18">
        <v>114</v>
      </c>
      <c r="E62" s="18">
        <v>97</v>
      </c>
      <c r="F62" s="18">
        <v>86</v>
      </c>
      <c r="G62" s="18">
        <v>94</v>
      </c>
    </row>
    <row r="63" spans="1:7" x14ac:dyDescent="0.3">
      <c r="A63" s="11" t="s">
        <v>34</v>
      </c>
      <c r="B63" s="18">
        <v>108</v>
      </c>
      <c r="C63" s="18">
        <v>99</v>
      </c>
      <c r="D63" s="18">
        <v>84</v>
      </c>
      <c r="E63" s="18">
        <v>79</v>
      </c>
      <c r="F63" s="18">
        <v>65</v>
      </c>
      <c r="G63" s="18">
        <v>70</v>
      </c>
    </row>
    <row r="64" spans="1:7" x14ac:dyDescent="0.3">
      <c r="A64" s="11" t="s">
        <v>62</v>
      </c>
      <c r="B64" s="18">
        <v>348</v>
      </c>
      <c r="C64" s="18">
        <v>361</v>
      </c>
      <c r="D64" s="18">
        <v>337</v>
      </c>
      <c r="E64" s="18">
        <v>290</v>
      </c>
      <c r="F64" s="18">
        <v>270</v>
      </c>
      <c r="G64" s="18">
        <v>289</v>
      </c>
    </row>
    <row r="65" spans="1:7" x14ac:dyDescent="0.3">
      <c r="A65" s="11" t="s">
        <v>47</v>
      </c>
      <c r="B65" s="18">
        <v>52</v>
      </c>
      <c r="C65" s="18">
        <v>53</v>
      </c>
      <c r="D65" s="18">
        <v>40</v>
      </c>
      <c r="E65" s="18">
        <v>29</v>
      </c>
      <c r="F65" s="18">
        <v>33</v>
      </c>
      <c r="G65" s="18">
        <v>55</v>
      </c>
    </row>
    <row r="66" spans="1:7" x14ac:dyDescent="0.3">
      <c r="A66" s="11" t="s">
        <v>35</v>
      </c>
      <c r="B66" s="18">
        <v>458</v>
      </c>
      <c r="C66" s="18">
        <v>435</v>
      </c>
      <c r="D66" s="18">
        <v>399</v>
      </c>
      <c r="E66" s="18">
        <v>394</v>
      </c>
      <c r="F66" s="18">
        <v>348</v>
      </c>
      <c r="G66" s="18">
        <v>373</v>
      </c>
    </row>
    <row r="67" spans="1:7" x14ac:dyDescent="0.3">
      <c r="A67" s="11" t="s">
        <v>14</v>
      </c>
      <c r="B67" s="18">
        <v>395</v>
      </c>
      <c r="C67" s="18">
        <v>373</v>
      </c>
      <c r="D67" s="18">
        <v>332</v>
      </c>
      <c r="E67" s="18">
        <v>324</v>
      </c>
      <c r="F67" s="18">
        <v>365</v>
      </c>
      <c r="G67" s="18">
        <v>323</v>
      </c>
    </row>
    <row r="68" spans="1:7" x14ac:dyDescent="0.3">
      <c r="A68" s="11" t="s">
        <v>77</v>
      </c>
      <c r="B68" s="18">
        <v>169</v>
      </c>
      <c r="C68" s="18">
        <v>173</v>
      </c>
      <c r="D68" s="18">
        <v>141</v>
      </c>
      <c r="E68" s="18">
        <v>141</v>
      </c>
      <c r="F68" s="18">
        <v>125</v>
      </c>
      <c r="G68" s="18">
        <v>134</v>
      </c>
    </row>
    <row r="69" spans="1:7" x14ac:dyDescent="0.3">
      <c r="A69" s="11" t="s">
        <v>87</v>
      </c>
      <c r="B69" s="18">
        <v>24552</v>
      </c>
      <c r="C69" s="18">
        <v>23224</v>
      </c>
      <c r="D69" s="18">
        <v>21465</v>
      </c>
      <c r="E69" s="18">
        <v>20019</v>
      </c>
      <c r="F69" s="18">
        <v>17894</v>
      </c>
      <c r="G69" s="18">
        <v>17388</v>
      </c>
    </row>
    <row r="70" spans="1:7" x14ac:dyDescent="0.3">
      <c r="A70" s="11" t="s">
        <v>29</v>
      </c>
      <c r="B70" s="18">
        <v>455</v>
      </c>
      <c r="C70" s="18">
        <v>442</v>
      </c>
      <c r="D70" s="18">
        <v>405</v>
      </c>
      <c r="E70" s="18">
        <v>403</v>
      </c>
      <c r="F70" s="18">
        <v>335</v>
      </c>
      <c r="G70" s="18">
        <v>345</v>
      </c>
    </row>
    <row r="71" spans="1:7" x14ac:dyDescent="0.3">
      <c r="A71" s="11" t="s">
        <v>59</v>
      </c>
      <c r="B71" s="18">
        <v>133</v>
      </c>
      <c r="C71" s="18">
        <v>114</v>
      </c>
      <c r="D71" s="18">
        <v>105</v>
      </c>
      <c r="E71" s="18">
        <v>73</v>
      </c>
      <c r="F71" s="18">
        <v>89</v>
      </c>
      <c r="G71" s="18">
        <v>91</v>
      </c>
    </row>
    <row r="72" spans="1:7" x14ac:dyDescent="0.3">
      <c r="A72" s="11" t="s">
        <v>24</v>
      </c>
      <c r="B72" s="18">
        <v>473</v>
      </c>
      <c r="C72" s="18">
        <v>420</v>
      </c>
      <c r="D72" s="18">
        <v>333</v>
      </c>
      <c r="E72" s="18">
        <v>344</v>
      </c>
      <c r="F72" s="18">
        <v>274</v>
      </c>
      <c r="G72" s="18">
        <v>277</v>
      </c>
    </row>
    <row r="73" spans="1:7" x14ac:dyDescent="0.3">
      <c r="A73" s="11" t="s">
        <v>68</v>
      </c>
      <c r="B73" s="18">
        <v>289</v>
      </c>
      <c r="C73" s="18">
        <v>256</v>
      </c>
      <c r="D73" s="18">
        <v>262</v>
      </c>
      <c r="E73" s="18">
        <v>194</v>
      </c>
      <c r="F73" s="18">
        <v>223</v>
      </c>
      <c r="G73" s="18">
        <v>182</v>
      </c>
    </row>
    <row r="74" spans="1:7" x14ac:dyDescent="0.3">
      <c r="A74" s="11" t="s">
        <v>3</v>
      </c>
      <c r="B74" s="18">
        <v>174</v>
      </c>
      <c r="C74" s="18">
        <v>164</v>
      </c>
      <c r="D74" s="18">
        <v>160</v>
      </c>
      <c r="E74" s="18">
        <v>115</v>
      </c>
      <c r="F74" s="18">
        <v>110</v>
      </c>
      <c r="G74" s="18">
        <v>105</v>
      </c>
    </row>
    <row r="75" spans="1:7" x14ac:dyDescent="0.3">
      <c r="A75" s="11" t="s">
        <v>16</v>
      </c>
      <c r="B75" s="18">
        <v>948</v>
      </c>
      <c r="C75" s="18">
        <v>840</v>
      </c>
      <c r="D75" s="18">
        <v>734</v>
      </c>
      <c r="E75" s="18">
        <v>736</v>
      </c>
      <c r="F75" s="18">
        <v>661</v>
      </c>
      <c r="G75" s="18">
        <v>638</v>
      </c>
    </row>
    <row r="76" spans="1:7" x14ac:dyDescent="0.3">
      <c r="A76" s="11" t="s">
        <v>159</v>
      </c>
      <c r="B76" s="18">
        <v>2072</v>
      </c>
      <c r="C76" s="18">
        <v>1979</v>
      </c>
      <c r="D76" s="18">
        <v>1926</v>
      </c>
      <c r="E76" s="18">
        <v>1771</v>
      </c>
      <c r="F76" s="18">
        <v>1529</v>
      </c>
      <c r="G76" s="18">
        <v>1629</v>
      </c>
    </row>
    <row r="77" spans="1:7" x14ac:dyDescent="0.3">
      <c r="A77" s="11" t="s">
        <v>160</v>
      </c>
      <c r="B77" s="18">
        <v>570</v>
      </c>
      <c r="C77" s="18">
        <v>556</v>
      </c>
      <c r="D77" s="18">
        <v>525</v>
      </c>
      <c r="E77" s="18">
        <v>437</v>
      </c>
      <c r="F77" s="18">
        <v>443</v>
      </c>
      <c r="G77" s="18">
        <v>430</v>
      </c>
    </row>
    <row r="78" spans="1:7" x14ac:dyDescent="0.3">
      <c r="A78" s="11" t="s">
        <v>161</v>
      </c>
      <c r="B78" s="18">
        <v>5939</v>
      </c>
      <c r="C78" s="18">
        <v>4922</v>
      </c>
      <c r="D78" s="18">
        <v>4404</v>
      </c>
      <c r="E78" s="18">
        <v>4242</v>
      </c>
      <c r="F78" s="18">
        <v>3773</v>
      </c>
      <c r="G78" s="18">
        <v>3427</v>
      </c>
    </row>
    <row r="79" spans="1:7" x14ac:dyDescent="0.3">
      <c r="A79" s="11" t="s">
        <v>43</v>
      </c>
      <c r="B79" s="18">
        <v>158</v>
      </c>
      <c r="C79" s="18">
        <v>152</v>
      </c>
      <c r="D79" s="18">
        <v>147</v>
      </c>
      <c r="E79" s="18">
        <v>113</v>
      </c>
      <c r="F79" s="18">
        <v>104</v>
      </c>
      <c r="G79" s="18">
        <v>106</v>
      </c>
    </row>
    <row r="80" spans="1:7" x14ac:dyDescent="0.3">
      <c r="A80" s="11" t="s">
        <v>11</v>
      </c>
      <c r="B80" s="18">
        <v>303</v>
      </c>
      <c r="C80" s="18">
        <v>303</v>
      </c>
      <c r="D80" s="18">
        <v>310</v>
      </c>
      <c r="E80" s="18">
        <v>247</v>
      </c>
      <c r="F80" s="18">
        <v>236</v>
      </c>
      <c r="G80" s="18">
        <v>243</v>
      </c>
    </row>
    <row r="81" spans="1:7" x14ac:dyDescent="0.3">
      <c r="A81" s="11" t="s">
        <v>15</v>
      </c>
      <c r="B81" s="18">
        <v>142</v>
      </c>
      <c r="C81" s="18">
        <v>135</v>
      </c>
      <c r="D81" s="18">
        <v>113</v>
      </c>
      <c r="E81" s="18">
        <v>124</v>
      </c>
      <c r="F81" s="18">
        <v>95</v>
      </c>
      <c r="G81" s="18">
        <v>99</v>
      </c>
    </row>
    <row r="82" spans="1:7" x14ac:dyDescent="0.3">
      <c r="A82" s="11" t="s">
        <v>38</v>
      </c>
      <c r="B82" s="18">
        <v>231</v>
      </c>
      <c r="C82" s="18">
        <v>183</v>
      </c>
      <c r="D82" s="18">
        <v>158</v>
      </c>
      <c r="E82" s="18">
        <v>149</v>
      </c>
      <c r="F82" s="18">
        <v>140</v>
      </c>
      <c r="G82" s="18">
        <v>147</v>
      </c>
    </row>
    <row r="83" spans="1:7" x14ac:dyDescent="0.3">
      <c r="A83" s="11" t="s">
        <v>5</v>
      </c>
      <c r="B83" s="18">
        <v>282</v>
      </c>
      <c r="C83" s="18">
        <v>242</v>
      </c>
      <c r="D83" s="18">
        <v>227</v>
      </c>
      <c r="E83" s="18">
        <v>223</v>
      </c>
      <c r="F83" s="18">
        <v>196</v>
      </c>
      <c r="G83" s="18">
        <v>168</v>
      </c>
    </row>
    <row r="84" spans="1:7" x14ac:dyDescent="0.3">
      <c r="A84" s="11" t="s">
        <v>39</v>
      </c>
      <c r="B84" s="18">
        <v>219</v>
      </c>
      <c r="C84" s="18">
        <v>197</v>
      </c>
      <c r="D84" s="18">
        <v>196</v>
      </c>
      <c r="E84" s="18">
        <v>180</v>
      </c>
      <c r="F84" s="18">
        <v>136</v>
      </c>
      <c r="G84" s="18">
        <v>153</v>
      </c>
    </row>
    <row r="85" spans="1:7" x14ac:dyDescent="0.3">
      <c r="A85" s="11" t="s">
        <v>19</v>
      </c>
      <c r="B85" s="18">
        <v>367</v>
      </c>
      <c r="C85" s="18">
        <v>352</v>
      </c>
      <c r="D85" s="18">
        <v>354</v>
      </c>
      <c r="E85" s="18">
        <v>335</v>
      </c>
      <c r="F85" s="18">
        <v>316</v>
      </c>
      <c r="G85" s="18">
        <v>298</v>
      </c>
    </row>
    <row r="86" spans="1:7" x14ac:dyDescent="0.3">
      <c r="A86" s="11" t="s">
        <v>94</v>
      </c>
      <c r="B86" s="18">
        <v>319</v>
      </c>
      <c r="C86" s="18">
        <v>273</v>
      </c>
      <c r="D86" s="18">
        <v>285</v>
      </c>
      <c r="E86" s="18">
        <v>310</v>
      </c>
      <c r="F86" s="18">
        <v>263</v>
      </c>
      <c r="G86" s="18">
        <v>229</v>
      </c>
    </row>
    <row r="87" spans="1:7" x14ac:dyDescent="0.3">
      <c r="A87" s="11" t="s">
        <v>41</v>
      </c>
      <c r="B87" s="18">
        <v>210</v>
      </c>
      <c r="C87" s="18">
        <v>178</v>
      </c>
      <c r="D87" s="18">
        <v>170</v>
      </c>
      <c r="E87" s="18">
        <v>144</v>
      </c>
      <c r="F87" s="18">
        <v>125</v>
      </c>
      <c r="G87" s="18">
        <v>126</v>
      </c>
    </row>
    <row r="88" spans="1:7" x14ac:dyDescent="0.3">
      <c r="A88" s="11" t="s">
        <v>162</v>
      </c>
      <c r="B88" s="18">
        <v>2805</v>
      </c>
      <c r="C88" s="18">
        <v>2520</v>
      </c>
      <c r="D88" s="18">
        <v>2301</v>
      </c>
      <c r="E88" s="18">
        <v>2160</v>
      </c>
      <c r="F88" s="18">
        <v>1973</v>
      </c>
      <c r="G88" s="18">
        <v>1901</v>
      </c>
    </row>
    <row r="89" spans="1:7" x14ac:dyDescent="0.3">
      <c r="A89" s="11" t="s">
        <v>75</v>
      </c>
      <c r="B89" s="18">
        <v>347</v>
      </c>
      <c r="C89" s="18">
        <v>360</v>
      </c>
      <c r="D89" s="18">
        <v>288</v>
      </c>
      <c r="E89" s="18">
        <v>294</v>
      </c>
      <c r="F89" s="18">
        <v>250</v>
      </c>
      <c r="G89" s="18">
        <v>216</v>
      </c>
    </row>
    <row r="90" spans="1:7" x14ac:dyDescent="0.3">
      <c r="A90" s="11" t="s">
        <v>17</v>
      </c>
      <c r="B90" s="18">
        <v>346</v>
      </c>
      <c r="C90" s="18">
        <v>325</v>
      </c>
      <c r="D90" s="18">
        <v>284</v>
      </c>
      <c r="E90" s="18">
        <v>272</v>
      </c>
      <c r="F90" s="18">
        <v>234</v>
      </c>
      <c r="G90" s="18">
        <v>237</v>
      </c>
    </row>
    <row r="91" spans="1:7" x14ac:dyDescent="0.3">
      <c r="A91" s="11" t="s">
        <v>163</v>
      </c>
      <c r="B91" s="18">
        <v>4527</v>
      </c>
      <c r="C91" s="18">
        <v>4219</v>
      </c>
      <c r="D91" s="18">
        <v>4055</v>
      </c>
      <c r="E91" s="18">
        <v>3684</v>
      </c>
      <c r="F91" s="18">
        <v>3230</v>
      </c>
      <c r="G91" s="18">
        <v>3222</v>
      </c>
    </row>
    <row r="92" spans="1:7" x14ac:dyDescent="0.3">
      <c r="A92" s="12" t="s">
        <v>82</v>
      </c>
      <c r="B92" s="18">
        <v>851</v>
      </c>
      <c r="C92" s="18">
        <v>734</v>
      </c>
      <c r="D92" s="18">
        <v>659</v>
      </c>
      <c r="E92" s="18">
        <v>614</v>
      </c>
      <c r="F92" s="18">
        <v>557</v>
      </c>
      <c r="G92" s="18">
        <v>528</v>
      </c>
    </row>
    <row r="93" spans="1:7" x14ac:dyDescent="0.3">
      <c r="A93" s="12" t="s">
        <v>93</v>
      </c>
      <c r="B93" s="18">
        <v>10</v>
      </c>
      <c r="C93" s="18">
        <v>9</v>
      </c>
      <c r="D93" s="18">
        <v>5</v>
      </c>
      <c r="E93" s="18">
        <v>3</v>
      </c>
      <c r="F93" s="18">
        <v>7</v>
      </c>
      <c r="G93" s="18">
        <v>3</v>
      </c>
    </row>
    <row r="94" spans="1:7" x14ac:dyDescent="0.3">
      <c r="A94" s="12" t="s">
        <v>46</v>
      </c>
      <c r="B94" s="18">
        <v>175</v>
      </c>
      <c r="C94" s="18">
        <v>147</v>
      </c>
      <c r="D94" s="18">
        <v>138</v>
      </c>
      <c r="E94" s="18">
        <v>120</v>
      </c>
      <c r="F94" s="18">
        <v>131</v>
      </c>
      <c r="G94" s="18">
        <v>105</v>
      </c>
    </row>
    <row r="95" spans="1:7" x14ac:dyDescent="0.3">
      <c r="A95" s="12" t="s">
        <v>18</v>
      </c>
      <c r="B95" s="18">
        <v>29</v>
      </c>
      <c r="C95" s="18">
        <v>33</v>
      </c>
      <c r="D95" s="18">
        <v>29</v>
      </c>
      <c r="E95" s="18">
        <v>22</v>
      </c>
      <c r="F95" s="18">
        <v>19</v>
      </c>
      <c r="G95" s="18">
        <v>24</v>
      </c>
    </row>
    <row r="96" spans="1:7" x14ac:dyDescent="0.3">
      <c r="A96" s="12" t="s">
        <v>164</v>
      </c>
      <c r="B96" s="18">
        <v>1932</v>
      </c>
      <c r="C96" s="18">
        <v>1953</v>
      </c>
      <c r="D96" s="18">
        <v>1759</v>
      </c>
      <c r="E96" s="18">
        <v>1680</v>
      </c>
      <c r="F96" s="18">
        <v>1479</v>
      </c>
      <c r="G96" s="18">
        <v>1487</v>
      </c>
    </row>
    <row r="97" spans="1:7" x14ac:dyDescent="0.3">
      <c r="A97" s="12" t="s">
        <v>60</v>
      </c>
      <c r="B97" s="18">
        <v>121</v>
      </c>
      <c r="C97" s="18">
        <v>107</v>
      </c>
      <c r="D97" s="18">
        <v>131</v>
      </c>
      <c r="E97" s="18">
        <v>104</v>
      </c>
      <c r="F97" s="18">
        <v>103</v>
      </c>
      <c r="G97" s="18">
        <v>103</v>
      </c>
    </row>
    <row r="98" spans="1:7" x14ac:dyDescent="0.3">
      <c r="A98" s="12" t="s">
        <v>78</v>
      </c>
      <c r="B98" s="18">
        <v>185</v>
      </c>
      <c r="C98" s="18">
        <v>199</v>
      </c>
      <c r="D98" s="18">
        <v>200</v>
      </c>
      <c r="E98" s="18">
        <v>156</v>
      </c>
      <c r="F98" s="18">
        <v>172</v>
      </c>
      <c r="G98" s="18">
        <v>149</v>
      </c>
    </row>
  </sheetData>
  <autoFilter ref="A3:G97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F38DE-2BCE-4C1B-9824-A1FB9EE28A63}">
  <sheetPr codeName="Лист23">
    <tabColor theme="0" tint="-0.249977111117893"/>
    <pageSetUpPr fitToPage="1"/>
  </sheetPr>
  <dimension ref="A1:Z98"/>
  <sheetViews>
    <sheetView showGridLines="0" workbookViewId="0"/>
  </sheetViews>
  <sheetFormatPr defaultRowHeight="16.5" x14ac:dyDescent="0.3"/>
  <cols>
    <col min="1" max="1" width="108.5703125" style="9" customWidth="1"/>
    <col min="2" max="7" width="9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25" t="s">
        <v>167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3" spans="1:26" x14ac:dyDescent="0.3">
      <c r="A3" s="10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6" x14ac:dyDescent="0.3">
      <c r="A4" s="11" t="s">
        <v>12</v>
      </c>
      <c r="B4" s="27">
        <v>0.32874493927125503</v>
      </c>
      <c r="C4" s="27">
        <v>0.32853506539102961</v>
      </c>
      <c r="D4" s="27">
        <v>0.32351033268464457</v>
      </c>
      <c r="E4" s="27">
        <v>0.30358682968900619</v>
      </c>
      <c r="F4" s="27">
        <v>0.30985183259682869</v>
      </c>
      <c r="G4" s="27">
        <v>0.31069120920888305</v>
      </c>
    </row>
    <row r="5" spans="1:26" x14ac:dyDescent="0.3">
      <c r="A5" s="11" t="s">
        <v>73</v>
      </c>
      <c r="B5" s="27">
        <v>0.31648616125150419</v>
      </c>
      <c r="C5" s="27">
        <v>0.31669971359330251</v>
      </c>
      <c r="D5" s="27">
        <v>0.31324845581747129</v>
      </c>
      <c r="E5" s="27">
        <v>0.31288912438733607</v>
      </c>
      <c r="F5" s="27">
        <v>0.30095582536812193</v>
      </c>
      <c r="G5" s="27">
        <v>0.30545010845986986</v>
      </c>
    </row>
    <row r="6" spans="1:26" x14ac:dyDescent="0.3">
      <c r="A6" s="11" t="s">
        <v>53</v>
      </c>
      <c r="B6" s="27">
        <v>0.4635606983353634</v>
      </c>
      <c r="C6" s="27">
        <v>0.4331983805668016</v>
      </c>
      <c r="D6" s="27">
        <v>0.38092594648606637</v>
      </c>
      <c r="E6" s="27">
        <v>0.38419009528290793</v>
      </c>
      <c r="F6" s="27">
        <v>0.36551273677335072</v>
      </c>
      <c r="G6" s="27">
        <v>0.3212263499516641</v>
      </c>
    </row>
    <row r="7" spans="1:26" x14ac:dyDescent="0.3">
      <c r="A7" s="11" t="s">
        <v>25</v>
      </c>
      <c r="B7" s="27">
        <v>0.4441320293398533</v>
      </c>
      <c r="C7" s="27">
        <v>0.4186574295269947</v>
      </c>
      <c r="D7" s="27">
        <v>0.41132945172246482</v>
      </c>
      <c r="E7" s="27">
        <v>0.39031266017426958</v>
      </c>
      <c r="F7" s="27">
        <v>0.40427698574338089</v>
      </c>
      <c r="G7" s="27">
        <v>0.4097440810182017</v>
      </c>
    </row>
    <row r="8" spans="1:26" x14ac:dyDescent="0.3">
      <c r="A8" s="11" t="s">
        <v>50</v>
      </c>
      <c r="B8" s="27">
        <v>0.44336882865440463</v>
      </c>
      <c r="C8" s="27">
        <v>0.43973283628456039</v>
      </c>
      <c r="D8" s="27">
        <v>0.4350991325898389</v>
      </c>
      <c r="E8" s="27">
        <v>0.4436324055356865</v>
      </c>
      <c r="F8" s="27">
        <v>0.43696510862409477</v>
      </c>
      <c r="G8" s="27">
        <v>0.41181336863004636</v>
      </c>
    </row>
    <row r="9" spans="1:26" x14ac:dyDescent="0.3">
      <c r="A9" s="11" t="s">
        <v>48</v>
      </c>
      <c r="B9" s="27">
        <v>0.43144736842105258</v>
      </c>
      <c r="C9" s="27">
        <v>0.43820533993944399</v>
      </c>
      <c r="D9" s="27">
        <v>0.44182746878547108</v>
      </c>
      <c r="E9" s="27">
        <v>0.40832004638353381</v>
      </c>
      <c r="F9" s="27">
        <v>0.39861130792121302</v>
      </c>
      <c r="G9" s="27">
        <v>0.39333333333333331</v>
      </c>
    </row>
    <row r="10" spans="1:26" x14ac:dyDescent="0.3">
      <c r="A10" s="11" t="s">
        <v>20</v>
      </c>
      <c r="B10" s="27">
        <v>0.45624309392265194</v>
      </c>
      <c r="C10" s="27">
        <v>0.41712640921084188</v>
      </c>
      <c r="D10" s="27">
        <v>0.42373595505617978</v>
      </c>
      <c r="E10" s="27">
        <v>0.41472704189589504</v>
      </c>
      <c r="F10" s="27">
        <v>0.43862892902858763</v>
      </c>
      <c r="G10" s="27">
        <v>0.39912536443148683</v>
      </c>
    </row>
    <row r="11" spans="1:26" x14ac:dyDescent="0.3">
      <c r="A11" s="11" t="s">
        <v>22</v>
      </c>
      <c r="B11" s="27">
        <v>0.43746888999502243</v>
      </c>
      <c r="C11" s="27">
        <v>0.43351666127466837</v>
      </c>
      <c r="D11" s="27">
        <v>0.43818905342814274</v>
      </c>
      <c r="E11" s="27">
        <v>0.41153068544968374</v>
      </c>
      <c r="F11" s="27">
        <v>0.39801324503311253</v>
      </c>
      <c r="G11" s="27">
        <v>0.39821766893551325</v>
      </c>
    </row>
    <row r="12" spans="1:26" x14ac:dyDescent="0.3">
      <c r="A12" s="11" t="s">
        <v>80</v>
      </c>
      <c r="B12" s="27">
        <v>0.36552244436061865</v>
      </c>
      <c r="C12" s="27">
        <v>0.35713542208806082</v>
      </c>
      <c r="D12" s="27">
        <v>0.35790172642762286</v>
      </c>
      <c r="E12" s="27">
        <v>0.34795968534906585</v>
      </c>
      <c r="F12" s="27">
        <v>0.34017250392054366</v>
      </c>
      <c r="G12" s="27">
        <v>0.34465879642959973</v>
      </c>
    </row>
    <row r="13" spans="1:26" x14ac:dyDescent="0.3">
      <c r="A13" s="11" t="s">
        <v>4</v>
      </c>
      <c r="B13" s="27">
        <v>0.44325235650241401</v>
      </c>
      <c r="C13" s="27">
        <v>0.44624129373148669</v>
      </c>
      <c r="D13" s="27">
        <v>0.43239695458125493</v>
      </c>
      <c r="E13" s="27">
        <v>0.43900026971140882</v>
      </c>
      <c r="F13" s="27">
        <v>0.42197064989517818</v>
      </c>
      <c r="G13" s="27">
        <v>0.39691126428758394</v>
      </c>
    </row>
    <row r="14" spans="1:26" x14ac:dyDescent="0.3">
      <c r="A14" s="11" t="s">
        <v>13</v>
      </c>
      <c r="B14" s="27">
        <v>0.64353643536435357</v>
      </c>
      <c r="C14" s="27">
        <v>0.63704903732319773</v>
      </c>
      <c r="D14" s="27">
        <v>0.62526868879866249</v>
      </c>
      <c r="E14" s="27">
        <v>0.6258971291866029</v>
      </c>
      <c r="F14" s="27">
        <v>0.63186626777287724</v>
      </c>
      <c r="G14" s="27">
        <v>0.63106180665610145</v>
      </c>
    </row>
    <row r="15" spans="1:26" x14ac:dyDescent="0.3">
      <c r="A15" s="11" t="s">
        <v>32</v>
      </c>
      <c r="B15" s="27">
        <v>0.58481383481383475</v>
      </c>
      <c r="C15" s="27">
        <v>0.58710760763095293</v>
      </c>
      <c r="D15" s="27">
        <v>0.57141392392084489</v>
      </c>
      <c r="E15" s="27">
        <v>0.57783740273678563</v>
      </c>
      <c r="F15" s="27">
        <v>0.60185607789441653</v>
      </c>
      <c r="G15" s="27">
        <v>0.58216437939940247</v>
      </c>
    </row>
    <row r="16" spans="1:26" x14ac:dyDescent="0.3">
      <c r="A16" s="11" t="s">
        <v>123</v>
      </c>
      <c r="B16" s="27">
        <v>0.6143984220907297</v>
      </c>
      <c r="C16" s="27">
        <v>0.60721757322175729</v>
      </c>
      <c r="D16" s="27">
        <v>0.57265939115450892</v>
      </c>
      <c r="E16" s="27">
        <v>0.54866828087167074</v>
      </c>
      <c r="F16" s="27">
        <v>0.53619302949061665</v>
      </c>
      <c r="G16" s="27">
        <v>0.49754809505846853</v>
      </c>
    </row>
    <row r="17" spans="1:7" x14ac:dyDescent="0.3">
      <c r="A17" s="11" t="s">
        <v>156</v>
      </c>
      <c r="B17" s="27">
        <v>0.38547457278155239</v>
      </c>
      <c r="C17" s="27">
        <v>0.37763996812113965</v>
      </c>
      <c r="D17" s="27">
        <v>0.36694685322125875</v>
      </c>
      <c r="E17" s="27">
        <v>0.36411745814541241</v>
      </c>
      <c r="F17" s="27">
        <v>0.35227967750903533</v>
      </c>
      <c r="G17" s="27">
        <v>0.35349623892820581</v>
      </c>
    </row>
    <row r="18" spans="1:7" x14ac:dyDescent="0.3">
      <c r="A18" s="11" t="s">
        <v>74</v>
      </c>
      <c r="B18" s="27">
        <v>0.40969632392115074</v>
      </c>
      <c r="C18" s="27">
        <v>0.40892857142857142</v>
      </c>
      <c r="D18" s="27">
        <v>0.41563184806428055</v>
      </c>
      <c r="E18" s="27">
        <v>0.37825520833333337</v>
      </c>
      <c r="F18" s="27">
        <v>0.39905826957033552</v>
      </c>
      <c r="G18" s="27">
        <v>0.38140643623361148</v>
      </c>
    </row>
    <row r="19" spans="1:7" x14ac:dyDescent="0.3">
      <c r="A19" s="11" t="s">
        <v>57</v>
      </c>
      <c r="B19" s="27">
        <v>0.38678566287606164</v>
      </c>
      <c r="C19" s="27">
        <v>0.37347361953766989</v>
      </c>
      <c r="D19" s="27">
        <v>0.33969020004670347</v>
      </c>
      <c r="E19" s="27">
        <v>0.36548867095028748</v>
      </c>
      <c r="F19" s="27">
        <v>0.31950722325622616</v>
      </c>
      <c r="G19" s="27">
        <v>0.3308155741390163</v>
      </c>
    </row>
    <row r="20" spans="1:7" x14ac:dyDescent="0.3">
      <c r="A20" s="11" t="s">
        <v>45</v>
      </c>
      <c r="B20" s="27">
        <v>0.38942731277533038</v>
      </c>
      <c r="C20" s="27">
        <v>0.40982730995193162</v>
      </c>
      <c r="D20" s="27">
        <v>0.40551776266061978</v>
      </c>
      <c r="E20" s="27">
        <v>0.4066931366988088</v>
      </c>
      <c r="F20" s="27">
        <v>0.39826482131790952</v>
      </c>
      <c r="G20" s="27">
        <v>0.39255657377968955</v>
      </c>
    </row>
    <row r="21" spans="1:7" x14ac:dyDescent="0.3">
      <c r="A21" s="11" t="s">
        <v>72</v>
      </c>
      <c r="B21" s="27">
        <v>0.39180488636848165</v>
      </c>
      <c r="C21" s="27">
        <v>0.38465743440233235</v>
      </c>
      <c r="D21" s="27">
        <v>0.38074045092189568</v>
      </c>
      <c r="E21" s="27">
        <v>0.35785329465395777</v>
      </c>
      <c r="F21" s="27">
        <v>0.3502893856528434</v>
      </c>
      <c r="G21" s="27">
        <v>0.35044285561839716</v>
      </c>
    </row>
    <row r="22" spans="1:7" x14ac:dyDescent="0.3">
      <c r="A22" s="11" t="s">
        <v>67</v>
      </c>
      <c r="B22" s="27">
        <v>0.5056121117201775</v>
      </c>
      <c r="C22" s="27">
        <v>0.51389951542973733</v>
      </c>
      <c r="D22" s="27">
        <v>0.49404007101191982</v>
      </c>
      <c r="E22" s="27">
        <v>0.51117734724292108</v>
      </c>
      <c r="F22" s="27">
        <v>0.50202611436289957</v>
      </c>
      <c r="G22" s="27">
        <v>0.4779513091410198</v>
      </c>
    </row>
    <row r="23" spans="1:7" x14ac:dyDescent="0.3">
      <c r="A23" s="11" t="s">
        <v>69</v>
      </c>
      <c r="B23" s="27">
        <v>0.42898289828982894</v>
      </c>
      <c r="C23" s="27">
        <v>0.45310043668122268</v>
      </c>
      <c r="D23" s="27">
        <v>0.40990606319385137</v>
      </c>
      <c r="E23" s="27">
        <v>0.39278093883357046</v>
      </c>
      <c r="F23" s="27">
        <v>0.4026515151515152</v>
      </c>
      <c r="G23" s="27">
        <v>0.41034265293252048</v>
      </c>
    </row>
    <row r="24" spans="1:7" x14ac:dyDescent="0.3">
      <c r="A24" s="11" t="s">
        <v>40</v>
      </c>
      <c r="B24" s="27">
        <v>0.5125854568054693</v>
      </c>
      <c r="C24" s="27">
        <v>0.4862281270252754</v>
      </c>
      <c r="D24" s="27">
        <v>0.48682087143625608</v>
      </c>
      <c r="E24" s="27">
        <v>0.48558839728290804</v>
      </c>
      <c r="F24" s="27">
        <v>0.48563327032136105</v>
      </c>
      <c r="G24" s="27">
        <v>0.42850905915738924</v>
      </c>
    </row>
    <row r="25" spans="1:7" x14ac:dyDescent="0.3">
      <c r="A25" s="11" t="s">
        <v>9</v>
      </c>
      <c r="B25" s="27">
        <v>0.48563397876327297</v>
      </c>
      <c r="C25" s="27">
        <v>0.47653213751868462</v>
      </c>
      <c r="D25" s="27">
        <v>0.45337620578778137</v>
      </c>
      <c r="E25" s="27">
        <v>0.47429832860296439</v>
      </c>
      <c r="F25" s="27">
        <v>0.4513303049967553</v>
      </c>
      <c r="G25" s="27">
        <v>0.44323756131744918</v>
      </c>
    </row>
    <row r="26" spans="1:7" x14ac:dyDescent="0.3">
      <c r="A26" s="11" t="s">
        <v>2</v>
      </c>
      <c r="B26" s="27">
        <v>0.44489247311827962</v>
      </c>
      <c r="C26" s="27">
        <v>0.43612334801762109</v>
      </c>
      <c r="D26" s="27">
        <v>0.5</v>
      </c>
      <c r="E26" s="27">
        <v>0.46223689640940979</v>
      </c>
      <c r="F26" s="27">
        <v>0.45333333333333337</v>
      </c>
      <c r="G26" s="27">
        <v>0.45454545454545459</v>
      </c>
    </row>
    <row r="27" spans="1:7" x14ac:dyDescent="0.3">
      <c r="A27" s="11" t="s">
        <v>76</v>
      </c>
      <c r="B27" s="27">
        <v>0.31741787624140561</v>
      </c>
      <c r="C27" s="27">
        <v>0.32259243022066342</v>
      </c>
      <c r="D27" s="27">
        <v>0.30604375532735317</v>
      </c>
      <c r="E27" s="27">
        <v>0.30447311827956991</v>
      </c>
      <c r="F27" s="27">
        <v>0.30312570272093542</v>
      </c>
      <c r="G27" s="27">
        <v>0.3054612474536812</v>
      </c>
    </row>
    <row r="28" spans="1:7" x14ac:dyDescent="0.3">
      <c r="A28" s="11" t="s">
        <v>36</v>
      </c>
      <c r="B28" s="27">
        <v>0.34946039875617341</v>
      </c>
      <c r="C28" s="27">
        <v>0.3458842379331063</v>
      </c>
      <c r="D28" s="27">
        <v>0.34143091430914307</v>
      </c>
      <c r="E28" s="27">
        <v>0.32519750029477656</v>
      </c>
      <c r="F28" s="27">
        <v>0.30828676732849836</v>
      </c>
      <c r="G28" s="27">
        <v>0.2952952952952953</v>
      </c>
    </row>
    <row r="29" spans="1:7" x14ac:dyDescent="0.3">
      <c r="A29" s="11" t="s">
        <v>37</v>
      </c>
      <c r="B29" s="27">
        <v>0.37207285342584562</v>
      </c>
      <c r="C29" s="27">
        <v>0.37561742254153574</v>
      </c>
      <c r="D29" s="27">
        <v>0.36953868684403224</v>
      </c>
      <c r="E29" s="27">
        <v>0.34509705066801111</v>
      </c>
      <c r="F29" s="27">
        <v>0.35559131134352373</v>
      </c>
      <c r="G29" s="27">
        <v>0.35125758889852554</v>
      </c>
    </row>
    <row r="30" spans="1:7" x14ac:dyDescent="0.3">
      <c r="A30" s="11" t="s">
        <v>28</v>
      </c>
      <c r="B30" s="27">
        <v>0.46300640334749255</v>
      </c>
      <c r="C30" s="27">
        <v>0.48580581399311595</v>
      </c>
      <c r="D30" s="27">
        <v>0.49437607982793275</v>
      </c>
      <c r="E30" s="27">
        <v>0.47371040563119915</v>
      </c>
      <c r="F30" s="27">
        <v>0.45891650999234035</v>
      </c>
      <c r="G30" s="27">
        <v>0.4595663486556808</v>
      </c>
    </row>
    <row r="31" spans="1:7" x14ac:dyDescent="0.3">
      <c r="A31" s="11" t="s">
        <v>61</v>
      </c>
      <c r="B31" s="27">
        <v>0.3571971424228606</v>
      </c>
      <c r="C31" s="27">
        <v>0.35318388702199155</v>
      </c>
      <c r="D31" s="27">
        <v>0.34543892180362712</v>
      </c>
      <c r="E31" s="27">
        <v>0.33386258660508084</v>
      </c>
      <c r="F31" s="27">
        <v>0.33398803678243016</v>
      </c>
      <c r="G31" s="27">
        <v>0.33169053375488189</v>
      </c>
    </row>
    <row r="32" spans="1:7" x14ac:dyDescent="0.3">
      <c r="A32" s="11" t="s">
        <v>157</v>
      </c>
      <c r="B32" s="27">
        <v>0.54982263785875518</v>
      </c>
      <c r="C32" s="27"/>
      <c r="D32" s="27"/>
      <c r="E32" s="27"/>
      <c r="F32" s="27"/>
      <c r="G32" s="27"/>
    </row>
    <row r="33" spans="1:7" x14ac:dyDescent="0.3">
      <c r="A33" s="11" t="s">
        <v>55</v>
      </c>
      <c r="B33" s="27">
        <v>0.3512938674228997</v>
      </c>
      <c r="C33" s="27">
        <v>0.32686166815685269</v>
      </c>
      <c r="D33" s="27">
        <v>0.33918424043439832</v>
      </c>
      <c r="E33" s="27">
        <v>0.330554796392457</v>
      </c>
      <c r="F33" s="27">
        <v>0.33854242734044104</v>
      </c>
      <c r="G33" s="27">
        <v>0.32086614173228345</v>
      </c>
    </row>
    <row r="34" spans="1:7" x14ac:dyDescent="0.3">
      <c r="A34" s="11" t="s">
        <v>56</v>
      </c>
      <c r="B34" s="27">
        <v>0.39826086956521745</v>
      </c>
      <c r="C34" s="27">
        <v>0.37911755817467507</v>
      </c>
      <c r="D34" s="27">
        <v>0.39536728541964139</v>
      </c>
      <c r="E34" s="27">
        <v>0.39842338643455411</v>
      </c>
      <c r="F34" s="27">
        <v>0.38525004209462876</v>
      </c>
      <c r="G34" s="27">
        <v>0.37662557000506669</v>
      </c>
    </row>
    <row r="35" spans="1:7" x14ac:dyDescent="0.3">
      <c r="A35" s="11" t="s">
        <v>33</v>
      </c>
      <c r="B35" s="27">
        <v>0.56430944470811584</v>
      </c>
      <c r="C35" s="27">
        <v>0.54506963788300833</v>
      </c>
      <c r="D35" s="27">
        <v>0.50235439900867407</v>
      </c>
      <c r="E35" s="27">
        <v>0.51324419778002017</v>
      </c>
      <c r="F35" s="27">
        <v>0.517075704453967</v>
      </c>
      <c r="G35" s="27">
        <v>0.49254087599952256</v>
      </c>
    </row>
    <row r="36" spans="1:7" x14ac:dyDescent="0.3">
      <c r="A36" s="11" t="s">
        <v>51</v>
      </c>
      <c r="B36" s="27">
        <v>0.41320393657736465</v>
      </c>
      <c r="C36" s="27">
        <v>0.40838414634146336</v>
      </c>
      <c r="D36" s="27">
        <v>0.40578313253012044</v>
      </c>
      <c r="E36" s="27">
        <v>0.41677357280307892</v>
      </c>
      <c r="F36" s="27">
        <v>0.40718842383693787</v>
      </c>
      <c r="G36" s="27">
        <v>0.39190539640239841</v>
      </c>
    </row>
    <row r="37" spans="1:7" x14ac:dyDescent="0.3">
      <c r="A37" s="11" t="s">
        <v>8</v>
      </c>
      <c r="B37" s="27">
        <v>0.37914967967384972</v>
      </c>
      <c r="C37" s="27">
        <v>0.38498957609451012</v>
      </c>
      <c r="D37" s="27">
        <v>0.35048231511254024</v>
      </c>
      <c r="E37" s="27">
        <v>0.375</v>
      </c>
      <c r="F37" s="27">
        <v>0.4273021001615509</v>
      </c>
      <c r="G37" s="27">
        <v>0.44546211490424648</v>
      </c>
    </row>
    <row r="38" spans="1:7" x14ac:dyDescent="0.3">
      <c r="A38" s="11" t="s">
        <v>21</v>
      </c>
      <c r="B38" s="27">
        <v>0.60384010551412781</v>
      </c>
      <c r="C38" s="27">
        <v>0.6071473670918045</v>
      </c>
      <c r="D38" s="27">
        <v>0.58971630285254495</v>
      </c>
      <c r="E38" s="27">
        <v>0.61134033666624477</v>
      </c>
      <c r="F38" s="27">
        <v>0.59257833551466632</v>
      </c>
      <c r="G38" s="27">
        <v>0.52201597237211317</v>
      </c>
    </row>
    <row r="39" spans="1:7" x14ac:dyDescent="0.3">
      <c r="A39" s="11" t="s">
        <v>30</v>
      </c>
      <c r="B39" s="27">
        <v>0.38766379034835408</v>
      </c>
      <c r="C39" s="27">
        <v>0.37691900476442564</v>
      </c>
      <c r="D39" s="27">
        <v>0.3831982313927782</v>
      </c>
      <c r="E39" s="27">
        <v>0.35700697526949909</v>
      </c>
      <c r="F39" s="27">
        <v>0.345703125</v>
      </c>
      <c r="G39" s="27">
        <v>0.34508594094314671</v>
      </c>
    </row>
    <row r="40" spans="1:7" x14ac:dyDescent="0.3">
      <c r="A40" s="11" t="s">
        <v>7</v>
      </c>
      <c r="B40" s="27">
        <v>0.59325842696629216</v>
      </c>
      <c r="C40" s="27">
        <v>0.4402277039848197</v>
      </c>
      <c r="D40" s="27">
        <v>0.4732142857142857</v>
      </c>
      <c r="E40" s="27">
        <v>0.49033816425120769</v>
      </c>
      <c r="F40" s="27">
        <v>0.45744680851063835</v>
      </c>
      <c r="G40" s="27">
        <v>0.4461942257217848</v>
      </c>
    </row>
    <row r="41" spans="1:7" x14ac:dyDescent="0.3">
      <c r="A41" s="11" t="s">
        <v>54</v>
      </c>
      <c r="B41" s="27">
        <v>0.45237804878048782</v>
      </c>
      <c r="C41" s="27">
        <v>0.45058908391440256</v>
      </c>
      <c r="D41" s="27">
        <v>0.44404396123847789</v>
      </c>
      <c r="E41" s="27">
        <v>0.44471988101140303</v>
      </c>
      <c r="F41" s="27">
        <v>0.44631395276375652</v>
      </c>
      <c r="G41" s="27">
        <v>0.4340698970559308</v>
      </c>
    </row>
    <row r="42" spans="1:7" x14ac:dyDescent="0.3">
      <c r="A42" s="11" t="s">
        <v>52</v>
      </c>
      <c r="B42" s="27">
        <v>0.4975530179445351</v>
      </c>
      <c r="C42" s="27">
        <v>0.44451307391393868</v>
      </c>
      <c r="D42" s="27">
        <v>0.46302943287867915</v>
      </c>
      <c r="E42" s="27">
        <v>0.43831325301204815</v>
      </c>
      <c r="F42" s="27">
        <v>0.44913393510612343</v>
      </c>
      <c r="G42" s="27">
        <v>0.43172268907563027</v>
      </c>
    </row>
    <row r="43" spans="1:7" x14ac:dyDescent="0.3">
      <c r="A43" s="11" t="s">
        <v>6</v>
      </c>
      <c r="B43" s="27">
        <v>0.41196122460156637</v>
      </c>
      <c r="C43" s="27">
        <v>0.39753747933648753</v>
      </c>
      <c r="D43" s="27">
        <v>0.37887226985418365</v>
      </c>
      <c r="E43" s="27">
        <v>0.38617798019229377</v>
      </c>
      <c r="F43" s="27">
        <v>0.39582300884955757</v>
      </c>
      <c r="G43" s="27">
        <v>0.37000918662992011</v>
      </c>
    </row>
    <row r="44" spans="1:7" x14ac:dyDescent="0.3">
      <c r="A44" s="11" t="s">
        <v>64</v>
      </c>
      <c r="B44" s="27">
        <v>0.35548973687835794</v>
      </c>
      <c r="C44" s="27">
        <v>0.3633514417049728</v>
      </c>
      <c r="D44" s="27">
        <v>0.34179566563467489</v>
      </c>
      <c r="E44" s="27">
        <v>0.3226173791170287</v>
      </c>
      <c r="F44" s="27">
        <v>0.31913927728345737</v>
      </c>
      <c r="G44" s="27">
        <v>0.32292893600314099</v>
      </c>
    </row>
    <row r="45" spans="1:7" x14ac:dyDescent="0.3">
      <c r="A45" s="11" t="s">
        <v>23</v>
      </c>
      <c r="B45" s="27">
        <v>0.43981906385210434</v>
      </c>
      <c r="C45" s="27">
        <v>0.42703847511471937</v>
      </c>
      <c r="D45" s="27">
        <v>0.414697971941557</v>
      </c>
      <c r="E45" s="27">
        <v>0.38361153262518966</v>
      </c>
      <c r="F45" s="27">
        <v>0.37431693989071035</v>
      </c>
      <c r="G45" s="27">
        <v>0.3624513289317759</v>
      </c>
    </row>
    <row r="46" spans="1:7" x14ac:dyDescent="0.3">
      <c r="A46" s="11" t="s">
        <v>70</v>
      </c>
      <c r="B46" s="27">
        <v>0.42025809593377161</v>
      </c>
      <c r="C46" s="27">
        <v>0.40529801324503312</v>
      </c>
      <c r="D46" s="27">
        <v>0.40806184428492542</v>
      </c>
      <c r="E46" s="27">
        <v>0.42489772063120979</v>
      </c>
      <c r="F46" s="27">
        <v>0.40691823899371071</v>
      </c>
      <c r="G46" s="27">
        <v>0.41191222570532915</v>
      </c>
    </row>
    <row r="47" spans="1:7" x14ac:dyDescent="0.3">
      <c r="A47" s="11" t="s">
        <v>49</v>
      </c>
      <c r="B47" s="27">
        <v>0.41571238348868178</v>
      </c>
      <c r="C47" s="27">
        <v>0.40774089504098909</v>
      </c>
      <c r="D47" s="27">
        <v>0.42449528936742931</v>
      </c>
      <c r="E47" s="27">
        <v>0.39666256326083982</v>
      </c>
      <c r="F47" s="27">
        <v>0.40912222681548849</v>
      </c>
      <c r="G47" s="27">
        <v>0.39034263408992342</v>
      </c>
    </row>
    <row r="48" spans="1:7" x14ac:dyDescent="0.3">
      <c r="A48" s="11" t="s">
        <v>44</v>
      </c>
      <c r="B48" s="27">
        <v>0.3970711113065658</v>
      </c>
      <c r="C48" s="27">
        <v>0.3839517670702417</v>
      </c>
      <c r="D48" s="27">
        <v>0.37832552873977254</v>
      </c>
      <c r="E48" s="27">
        <v>0.37092174309833448</v>
      </c>
      <c r="F48" s="27">
        <v>0.36573511543134873</v>
      </c>
      <c r="G48" s="27">
        <v>0.35558089616313393</v>
      </c>
    </row>
    <row r="49" spans="1:7" x14ac:dyDescent="0.3">
      <c r="A49" s="11" t="s">
        <v>158</v>
      </c>
      <c r="B49" s="27">
        <v>0.40857109792534607</v>
      </c>
      <c r="C49" s="27">
        <v>0.4026270921620333</v>
      </c>
      <c r="D49" s="27">
        <v>0.39716838376400876</v>
      </c>
      <c r="E49" s="27">
        <v>0.38282056957355759</v>
      </c>
      <c r="F49" s="27">
        <v>0.37617889221556888</v>
      </c>
      <c r="G49" s="27">
        <v>0.3712023028779462</v>
      </c>
    </row>
    <row r="50" spans="1:7" x14ac:dyDescent="0.3">
      <c r="A50" s="11" t="s">
        <v>10</v>
      </c>
      <c r="B50" s="27">
        <v>0.3701126378486761</v>
      </c>
      <c r="C50" s="27">
        <v>0.35900189513581804</v>
      </c>
      <c r="D50" s="27">
        <v>0.36328097731239095</v>
      </c>
      <c r="E50" s="27">
        <v>0.34493578517221246</v>
      </c>
      <c r="F50" s="27">
        <v>0.33945480631276903</v>
      </c>
      <c r="G50" s="27">
        <v>0.3438975050573162</v>
      </c>
    </row>
    <row r="51" spans="1:7" x14ac:dyDescent="0.3">
      <c r="A51" s="11" t="s">
        <v>31</v>
      </c>
      <c r="B51" s="27">
        <v>0.44922507517927368</v>
      </c>
      <c r="C51" s="27">
        <v>0.43637653736991489</v>
      </c>
      <c r="D51" s="27">
        <v>0.42273781902552199</v>
      </c>
      <c r="E51" s="27">
        <v>0.40427013228127173</v>
      </c>
      <c r="F51" s="27">
        <v>0.39427256456149318</v>
      </c>
      <c r="G51" s="27">
        <v>0.38734650293646555</v>
      </c>
    </row>
    <row r="52" spans="1:7" x14ac:dyDescent="0.3">
      <c r="A52" s="11" t="s">
        <v>26</v>
      </c>
      <c r="B52" s="27">
        <v>0.47338065661047024</v>
      </c>
      <c r="C52" s="27">
        <v>0.48585999072786279</v>
      </c>
      <c r="D52" s="27">
        <v>0.46707638279192276</v>
      </c>
      <c r="E52" s="27">
        <v>0.51845018450184499</v>
      </c>
      <c r="F52" s="27">
        <v>0.52247667514843088</v>
      </c>
      <c r="G52" s="27">
        <v>0.55169561621174523</v>
      </c>
    </row>
    <row r="53" spans="1:7" x14ac:dyDescent="0.3">
      <c r="A53" s="11" t="s">
        <v>58</v>
      </c>
      <c r="B53" s="27">
        <v>0.35794392523364482</v>
      </c>
      <c r="C53" s="27">
        <v>0.33961661341853033</v>
      </c>
      <c r="D53" s="27">
        <v>0.34761575673807876</v>
      </c>
      <c r="E53" s="27">
        <v>0.32398648648648654</v>
      </c>
      <c r="F53" s="27">
        <v>0.33302034428794991</v>
      </c>
      <c r="G53" s="27">
        <v>0.31328628413623816</v>
      </c>
    </row>
    <row r="54" spans="1:7" x14ac:dyDescent="0.3">
      <c r="A54" s="11" t="s">
        <v>83</v>
      </c>
      <c r="B54" s="27">
        <v>0.39798660122523555</v>
      </c>
      <c r="C54" s="27">
        <v>0.37215401573605988</v>
      </c>
      <c r="D54" s="27">
        <v>0.38698190551115896</v>
      </c>
      <c r="E54" s="27">
        <v>0.38150471634246519</v>
      </c>
      <c r="F54" s="27">
        <v>0.36364458921462184</v>
      </c>
      <c r="G54" s="27">
        <v>0.37068924511249579</v>
      </c>
    </row>
    <row r="55" spans="1:7" x14ac:dyDescent="0.3">
      <c r="A55" s="11" t="s">
        <v>1</v>
      </c>
      <c r="B55" s="27">
        <v>0.36918753193663767</v>
      </c>
      <c r="C55" s="27">
        <v>0.36017531797868685</v>
      </c>
      <c r="D55" s="27">
        <v>0.33585548094202211</v>
      </c>
      <c r="E55" s="27">
        <v>0.34165047550874328</v>
      </c>
      <c r="F55" s="27">
        <v>0.34770255706867836</v>
      </c>
      <c r="G55" s="27">
        <v>0.33096842852075203</v>
      </c>
    </row>
    <row r="56" spans="1:7" x14ac:dyDescent="0.3">
      <c r="A56" s="11" t="s">
        <v>63</v>
      </c>
      <c r="B56" s="27">
        <v>0.71930014040393131</v>
      </c>
      <c r="C56" s="27">
        <v>0.59468179795282605</v>
      </c>
      <c r="D56" s="27">
        <v>0.5744130949816928</v>
      </c>
      <c r="E56" s="27">
        <v>0.58429160338468211</v>
      </c>
      <c r="F56" s="27">
        <v>0.58466064725575739</v>
      </c>
      <c r="G56" s="27">
        <v>0.58623523369286079</v>
      </c>
    </row>
    <row r="57" spans="1:7" x14ac:dyDescent="0.3">
      <c r="A57" s="11" t="s">
        <v>81</v>
      </c>
      <c r="B57" s="27">
        <v>0.75767543859649122</v>
      </c>
      <c r="C57" s="27">
        <v>0.75858480749219559</v>
      </c>
      <c r="D57" s="27">
        <v>0.72567287784679091</v>
      </c>
      <c r="E57" s="27">
        <v>0.71875</v>
      </c>
      <c r="F57" s="27">
        <v>0.70577451879010078</v>
      </c>
      <c r="G57" s="27">
        <v>0.64939550949913638</v>
      </c>
    </row>
    <row r="58" spans="1:7" x14ac:dyDescent="0.3">
      <c r="A58" s="11" t="s">
        <v>27</v>
      </c>
      <c r="B58" s="27">
        <v>0.47067745197168853</v>
      </c>
      <c r="C58" s="27">
        <v>0.41179540709812112</v>
      </c>
      <c r="D58" s="27">
        <v>0.40688912809472555</v>
      </c>
      <c r="E58" s="27">
        <v>0.36912751677852351</v>
      </c>
      <c r="F58" s="27">
        <v>0.36515388628064682</v>
      </c>
      <c r="G58" s="27">
        <v>0.34797490017113519</v>
      </c>
    </row>
    <row r="59" spans="1:7" x14ac:dyDescent="0.3">
      <c r="A59" s="11" t="s">
        <v>71</v>
      </c>
      <c r="B59" s="27">
        <v>0.38234727307766425</v>
      </c>
      <c r="C59" s="27">
        <v>0.38980541455160744</v>
      </c>
      <c r="D59" s="27">
        <v>0.36072874493927121</v>
      </c>
      <c r="E59" s="27">
        <v>0.36764705882352944</v>
      </c>
      <c r="F59" s="27">
        <v>0.33255418614534638</v>
      </c>
      <c r="G59" s="27">
        <v>0.31630730584048561</v>
      </c>
    </row>
    <row r="60" spans="1:7" x14ac:dyDescent="0.3">
      <c r="A60" s="11" t="s">
        <v>65</v>
      </c>
      <c r="B60" s="27">
        <v>0.36828725770575155</v>
      </c>
      <c r="C60" s="27">
        <v>0.36148288523036831</v>
      </c>
      <c r="D60" s="27">
        <v>0.35976031343627568</v>
      </c>
      <c r="E60" s="27">
        <v>0.33110119047619047</v>
      </c>
      <c r="F60" s="27">
        <v>0.33561202115310207</v>
      </c>
      <c r="G60" s="27">
        <v>0.34041987775710869</v>
      </c>
    </row>
    <row r="61" spans="1:7" x14ac:dyDescent="0.3">
      <c r="A61" s="11" t="s">
        <v>89</v>
      </c>
      <c r="B61" s="27">
        <v>0.537201233616037</v>
      </c>
      <c r="C61" s="27">
        <v>0.51064042361874318</v>
      </c>
      <c r="D61" s="27">
        <v>0.52018955474380491</v>
      </c>
      <c r="E61" s="27">
        <v>0.50844485463774802</v>
      </c>
      <c r="F61" s="27">
        <v>0.51009108769423106</v>
      </c>
      <c r="G61" s="27">
        <v>0.4842995169082126</v>
      </c>
    </row>
    <row r="62" spans="1:7" x14ac:dyDescent="0.3">
      <c r="A62" s="11" t="s">
        <v>42</v>
      </c>
      <c r="B62" s="27">
        <v>0.44091520861372813</v>
      </c>
      <c r="C62" s="27">
        <v>0.44561219127693119</v>
      </c>
      <c r="D62" s="27">
        <v>0.44456551348406426</v>
      </c>
      <c r="E62" s="27">
        <v>0.42015267175572524</v>
      </c>
      <c r="F62" s="27">
        <v>0.41694202463202168</v>
      </c>
      <c r="G62" s="27">
        <v>0.43083387201034262</v>
      </c>
    </row>
    <row r="63" spans="1:7" x14ac:dyDescent="0.3">
      <c r="A63" s="11" t="s">
        <v>34</v>
      </c>
      <c r="B63" s="27">
        <v>0.38676844783715014</v>
      </c>
      <c r="C63" s="27">
        <v>0.39328676755917735</v>
      </c>
      <c r="D63" s="27">
        <v>0.38783894823336074</v>
      </c>
      <c r="E63" s="27">
        <v>0.35356433458397707</v>
      </c>
      <c r="F63" s="27">
        <v>0.36847290640394093</v>
      </c>
      <c r="G63" s="27">
        <v>0.38920308483290489</v>
      </c>
    </row>
    <row r="64" spans="1:7" x14ac:dyDescent="0.3">
      <c r="A64" s="11" t="s">
        <v>62</v>
      </c>
      <c r="B64" s="27">
        <v>0.49333836098541983</v>
      </c>
      <c r="C64" s="27">
        <v>0.48984972317426834</v>
      </c>
      <c r="D64" s="27">
        <v>0.50729502905100066</v>
      </c>
      <c r="E64" s="27">
        <v>0.465695616662129</v>
      </c>
      <c r="F64" s="27">
        <v>0.43995064436523168</v>
      </c>
      <c r="G64" s="27">
        <v>0.45182584269662918</v>
      </c>
    </row>
    <row r="65" spans="1:7" x14ac:dyDescent="0.3">
      <c r="A65" s="11" t="s">
        <v>47</v>
      </c>
      <c r="B65" s="27">
        <v>0.51115285278234324</v>
      </c>
      <c r="C65" s="27">
        <v>0.47713485767615493</v>
      </c>
      <c r="D65" s="27">
        <v>0.48728714718917654</v>
      </c>
      <c r="E65" s="27">
        <v>0.45165777880825408</v>
      </c>
      <c r="F65" s="27">
        <v>0.4969194312796209</v>
      </c>
      <c r="G65" s="27">
        <v>0.41115702479338845</v>
      </c>
    </row>
    <row r="66" spans="1:7" x14ac:dyDescent="0.3">
      <c r="A66" s="11" t="s">
        <v>35</v>
      </c>
      <c r="B66" s="27">
        <v>0.43285123966942152</v>
      </c>
      <c r="C66" s="27">
        <v>0.43848018601889871</v>
      </c>
      <c r="D66" s="27">
        <v>0.40693341973108699</v>
      </c>
      <c r="E66" s="27">
        <v>0.39945337958582994</v>
      </c>
      <c r="F66" s="27">
        <v>0.37934684803895624</v>
      </c>
      <c r="G66" s="27">
        <v>0.36583554376657823</v>
      </c>
    </row>
    <row r="67" spans="1:7" x14ac:dyDescent="0.3">
      <c r="A67" s="11" t="s">
        <v>14</v>
      </c>
      <c r="B67" s="27">
        <v>0.46011653606590319</v>
      </c>
      <c r="C67" s="27">
        <v>0.45425991362387119</v>
      </c>
      <c r="D67" s="27">
        <v>0.4</v>
      </c>
      <c r="E67" s="27">
        <v>0.3949880668257757</v>
      </c>
      <c r="F67" s="27">
        <v>0.34485079649988781</v>
      </c>
      <c r="G67" s="27">
        <v>0.36055734190782418</v>
      </c>
    </row>
    <row r="68" spans="1:7" x14ac:dyDescent="0.3">
      <c r="A68" s="11" t="s">
        <v>77</v>
      </c>
      <c r="B68" s="27">
        <v>0.29712694224567571</v>
      </c>
      <c r="C68" s="27">
        <v>0.30080420661923912</v>
      </c>
      <c r="D68" s="27">
        <v>0.31219670009705602</v>
      </c>
      <c r="E68" s="27">
        <v>0.30054366292898405</v>
      </c>
      <c r="F68" s="27">
        <v>0.25323846013501183</v>
      </c>
      <c r="G68" s="27">
        <v>0.26735164604738937</v>
      </c>
    </row>
    <row r="69" spans="1:7" x14ac:dyDescent="0.3">
      <c r="A69" s="11" t="s">
        <v>87</v>
      </c>
      <c r="B69" s="27">
        <v>0.44003792770780359</v>
      </c>
      <c r="C69" s="27">
        <v>0.43564488291893411</v>
      </c>
      <c r="D69" s="27">
        <v>0.42982001015078097</v>
      </c>
      <c r="E69" s="27">
        <v>0.42275244983613014</v>
      </c>
      <c r="F69" s="27">
        <v>0.41789301207091667</v>
      </c>
      <c r="G69" s="27">
        <v>0.4094123709074392</v>
      </c>
    </row>
    <row r="70" spans="1:7" x14ac:dyDescent="0.3">
      <c r="A70" s="11" t="s">
        <v>29</v>
      </c>
      <c r="B70" s="27">
        <v>0.42773978179449601</v>
      </c>
      <c r="C70" s="27">
        <v>0.42805580339038041</v>
      </c>
      <c r="D70" s="27">
        <v>0.47117912497547576</v>
      </c>
      <c r="E70" s="27">
        <v>0.44209940494027999</v>
      </c>
      <c r="F70" s="27">
        <v>0.4210246410210956</v>
      </c>
      <c r="G70" s="27">
        <v>0.40753240401076063</v>
      </c>
    </row>
    <row r="71" spans="1:7" x14ac:dyDescent="0.3">
      <c r="A71" s="11" t="s">
        <v>59</v>
      </c>
      <c r="B71" s="27">
        <v>0.45399337504600668</v>
      </c>
      <c r="C71" s="27">
        <v>0.45772310095684432</v>
      </c>
      <c r="D71" s="27">
        <v>0.45941375422773389</v>
      </c>
      <c r="E71" s="27">
        <v>0.43473193473193472</v>
      </c>
      <c r="F71" s="27">
        <v>0.42779891848588025</v>
      </c>
      <c r="G71" s="27">
        <v>0.42180293501048216</v>
      </c>
    </row>
    <row r="72" spans="1:7" x14ac:dyDescent="0.3">
      <c r="A72" s="11" t="s">
        <v>24</v>
      </c>
      <c r="B72" s="27">
        <v>0.40827841022568401</v>
      </c>
      <c r="C72" s="27">
        <v>0.40456545654565457</v>
      </c>
      <c r="D72" s="27">
        <v>0.40091047040971173</v>
      </c>
      <c r="E72" s="27">
        <v>0.38704642996488492</v>
      </c>
      <c r="F72" s="27">
        <v>0.38023187266653569</v>
      </c>
      <c r="G72" s="27">
        <v>0.37762284196547147</v>
      </c>
    </row>
    <row r="73" spans="1:7" x14ac:dyDescent="0.3">
      <c r="A73" s="11" t="s">
        <v>68</v>
      </c>
      <c r="B73" s="27">
        <v>0.41793721973094167</v>
      </c>
      <c r="C73" s="27">
        <v>0.42130252994118067</v>
      </c>
      <c r="D73" s="27">
        <v>0.40246422893481715</v>
      </c>
      <c r="E73" s="27">
        <v>0.38076923076923075</v>
      </c>
      <c r="F73" s="27">
        <v>0.38102945937196508</v>
      </c>
      <c r="G73" s="27">
        <v>0.38055465455724946</v>
      </c>
    </row>
    <row r="74" spans="1:7" x14ac:dyDescent="0.3">
      <c r="A74" s="11" t="s">
        <v>3</v>
      </c>
      <c r="B74" s="27">
        <v>0.44965348552792495</v>
      </c>
      <c r="C74" s="27">
        <v>0.42043825517100142</v>
      </c>
      <c r="D74" s="27">
        <v>0.3948681397006415</v>
      </c>
      <c r="E74" s="27">
        <v>0.38171401289090479</v>
      </c>
      <c r="F74" s="27">
        <v>0.38441156988297642</v>
      </c>
      <c r="G74" s="27">
        <v>0.37594486438417074</v>
      </c>
    </row>
    <row r="75" spans="1:7" x14ac:dyDescent="0.3">
      <c r="A75" s="11" t="s">
        <v>16</v>
      </c>
      <c r="B75" s="27">
        <v>0.36570124975203333</v>
      </c>
      <c r="C75" s="27">
        <v>0.38055668152952304</v>
      </c>
      <c r="D75" s="27">
        <v>0.37655304237018161</v>
      </c>
      <c r="E75" s="27">
        <v>0.37516824911782898</v>
      </c>
      <c r="F75" s="27">
        <v>0.34789391575663031</v>
      </c>
      <c r="G75" s="27">
        <v>0.33773173839766513</v>
      </c>
    </row>
    <row r="76" spans="1:7" x14ac:dyDescent="0.3">
      <c r="A76" s="11" t="s">
        <v>159</v>
      </c>
      <c r="B76" s="27">
        <v>0.46994649675614819</v>
      </c>
      <c r="C76" s="27">
        <v>0.46456476875544261</v>
      </c>
      <c r="D76" s="27">
        <v>0.44323344702165957</v>
      </c>
      <c r="E76" s="27">
        <v>0.43867498672331384</v>
      </c>
      <c r="F76" s="27">
        <v>0.44503130955622106</v>
      </c>
      <c r="G76" s="27">
        <v>0.434248253208251</v>
      </c>
    </row>
    <row r="77" spans="1:7" x14ac:dyDescent="0.3">
      <c r="A77" s="11" t="s">
        <v>160</v>
      </c>
      <c r="B77" s="27">
        <v>0.58092485549132955</v>
      </c>
      <c r="C77" s="27">
        <v>0.52541360413474281</v>
      </c>
      <c r="D77" s="27">
        <v>0.51623418959447132</v>
      </c>
      <c r="E77" s="27">
        <v>0.50027218290691344</v>
      </c>
      <c r="F77" s="27">
        <v>0.50554020132356303</v>
      </c>
      <c r="G77" s="27">
        <v>0.48762123866042717</v>
      </c>
    </row>
    <row r="78" spans="1:7" x14ac:dyDescent="0.3">
      <c r="A78" s="11" t="s">
        <v>161</v>
      </c>
      <c r="B78" s="27">
        <v>0.35858855794718969</v>
      </c>
      <c r="C78" s="27">
        <v>0.35375658441918489</v>
      </c>
      <c r="D78" s="27">
        <v>0.34317780778270712</v>
      </c>
      <c r="E78" s="27">
        <v>0.33176620858404759</v>
      </c>
      <c r="F78" s="27">
        <v>0.33030931331365276</v>
      </c>
      <c r="G78" s="27">
        <v>0.32791722274927237</v>
      </c>
    </row>
    <row r="79" spans="1:7" x14ac:dyDescent="0.3">
      <c r="A79" s="11" t="s">
        <v>43</v>
      </c>
      <c r="B79" s="27">
        <v>0.45937405958471256</v>
      </c>
      <c r="C79" s="27">
        <v>0.43453215008562973</v>
      </c>
      <c r="D79" s="27">
        <v>0.46084012925065398</v>
      </c>
      <c r="E79" s="27">
        <v>0.45330403390362584</v>
      </c>
      <c r="F79" s="27">
        <v>0.4195233431276526</v>
      </c>
      <c r="G79" s="27">
        <v>0.39825374198146823</v>
      </c>
    </row>
    <row r="80" spans="1:7" x14ac:dyDescent="0.3">
      <c r="A80" s="11" t="s">
        <v>11</v>
      </c>
      <c r="B80" s="27">
        <v>0.50193099897013393</v>
      </c>
      <c r="C80" s="27">
        <v>0.46359623113922388</v>
      </c>
      <c r="D80" s="27">
        <v>0.43570389862197911</v>
      </c>
      <c r="E80" s="27">
        <v>0.41935269046350554</v>
      </c>
      <c r="F80" s="27">
        <v>0.42270097745860757</v>
      </c>
      <c r="G80" s="27">
        <v>0.41189721928898271</v>
      </c>
    </row>
    <row r="81" spans="1:7" x14ac:dyDescent="0.3">
      <c r="A81" s="11" t="s">
        <v>15</v>
      </c>
      <c r="B81" s="27">
        <v>0.38866646134893745</v>
      </c>
      <c r="C81" s="27">
        <v>0.40852281282939318</v>
      </c>
      <c r="D81" s="27">
        <v>0.36960431654676262</v>
      </c>
      <c r="E81" s="27">
        <v>0.35676750461582163</v>
      </c>
      <c r="F81" s="27">
        <v>0.31617124164414734</v>
      </c>
      <c r="G81" s="27">
        <v>0.33752432270618171</v>
      </c>
    </row>
    <row r="82" spans="1:7" x14ac:dyDescent="0.3">
      <c r="A82" s="11" t="s">
        <v>38</v>
      </c>
      <c r="B82" s="27">
        <v>0.48028981947685123</v>
      </c>
      <c r="C82" s="27">
        <v>0.48381877022653719</v>
      </c>
      <c r="D82" s="27">
        <v>0.45874886672710791</v>
      </c>
      <c r="E82" s="27">
        <v>0.4454580495952718</v>
      </c>
      <c r="F82" s="27">
        <v>0.43750876700799546</v>
      </c>
      <c r="G82" s="27">
        <v>0.40709876543209877</v>
      </c>
    </row>
    <row r="83" spans="1:7" x14ac:dyDescent="0.3">
      <c r="A83" s="11" t="s">
        <v>5</v>
      </c>
      <c r="B83" s="27">
        <v>0.31907928388746798</v>
      </c>
      <c r="C83" s="27">
        <v>0.32485997414907364</v>
      </c>
      <c r="D83" s="27">
        <v>0.32980825101685063</v>
      </c>
      <c r="E83" s="27">
        <v>0.32440890125173849</v>
      </c>
      <c r="F83" s="27">
        <v>0.34010499885870804</v>
      </c>
      <c r="G83" s="27">
        <v>0.31754494730316185</v>
      </c>
    </row>
    <row r="84" spans="1:7" x14ac:dyDescent="0.3">
      <c r="A84" s="11" t="s">
        <v>39</v>
      </c>
      <c r="B84" s="27">
        <v>0.43926096997690534</v>
      </c>
      <c r="C84" s="27">
        <v>0.43538857748825932</v>
      </c>
      <c r="D84" s="27">
        <v>0.44453286646506451</v>
      </c>
      <c r="E84" s="27">
        <v>0.43677606177606176</v>
      </c>
      <c r="F84" s="27">
        <v>0.4315297261189045</v>
      </c>
      <c r="G84" s="27">
        <v>0.40840790140131689</v>
      </c>
    </row>
    <row r="85" spans="1:7" x14ac:dyDescent="0.3">
      <c r="A85" s="11" t="s">
        <v>19</v>
      </c>
      <c r="B85" s="27">
        <v>0.4464999608058321</v>
      </c>
      <c r="C85" s="27">
        <v>0.41589101370790316</v>
      </c>
      <c r="D85" s="27">
        <v>0.40613060861839179</v>
      </c>
      <c r="E85" s="27">
        <v>0.4065098177958606</v>
      </c>
      <c r="F85" s="27">
        <v>0.39393077287814127</v>
      </c>
      <c r="G85" s="27">
        <v>0.38727866257790089</v>
      </c>
    </row>
    <row r="86" spans="1:7" x14ac:dyDescent="0.3">
      <c r="A86" s="11" t="s">
        <v>94</v>
      </c>
      <c r="B86" s="27">
        <v>0.34950036558615649</v>
      </c>
      <c r="C86" s="27">
        <v>0.3530445900591338</v>
      </c>
      <c r="D86" s="27">
        <v>0.34173810724491516</v>
      </c>
      <c r="E86" s="27">
        <v>0.32635947090861939</v>
      </c>
      <c r="F86" s="27">
        <v>0.31263858093126384</v>
      </c>
      <c r="G86" s="27">
        <v>0.3143461856998252</v>
      </c>
    </row>
    <row r="87" spans="1:7" x14ac:dyDescent="0.3">
      <c r="A87" s="11" t="s">
        <v>41</v>
      </c>
      <c r="B87" s="27">
        <v>0.39258045292014299</v>
      </c>
      <c r="C87" s="27">
        <v>0.39231784195865704</v>
      </c>
      <c r="D87" s="27">
        <v>0.38701067615658358</v>
      </c>
      <c r="E87" s="27">
        <v>0.36622976098689286</v>
      </c>
      <c r="F87" s="27">
        <v>0.3869125326370757</v>
      </c>
      <c r="G87" s="27">
        <v>0.37382075471698117</v>
      </c>
    </row>
    <row r="88" spans="1:7" x14ac:dyDescent="0.3">
      <c r="A88" s="11" t="s">
        <v>162</v>
      </c>
      <c r="B88" s="27">
        <v>0.39337722335334913</v>
      </c>
      <c r="C88" s="27">
        <v>0.39275601063772514</v>
      </c>
      <c r="D88" s="27">
        <v>0.38225984035232585</v>
      </c>
      <c r="E88" s="27">
        <v>0.37365906216330158</v>
      </c>
      <c r="F88" s="27">
        <v>0.36352272317511447</v>
      </c>
      <c r="G88" s="27">
        <v>0.35104309445066206</v>
      </c>
    </row>
    <row r="89" spans="1:7" x14ac:dyDescent="0.3">
      <c r="A89" s="11" t="s">
        <v>75</v>
      </c>
      <c r="B89" s="27">
        <v>0.32751419979953222</v>
      </c>
      <c r="C89" s="27">
        <v>0.34087681931132408</v>
      </c>
      <c r="D89" s="27">
        <v>0.32974452554744527</v>
      </c>
      <c r="E89" s="27">
        <v>0.32695374800637955</v>
      </c>
      <c r="F89" s="27">
        <v>0.3206370526719754</v>
      </c>
      <c r="G89" s="27">
        <v>0.31558441558441563</v>
      </c>
    </row>
    <row r="90" spans="1:7" x14ac:dyDescent="0.3">
      <c r="A90" s="11" t="s">
        <v>17</v>
      </c>
      <c r="B90" s="27">
        <v>0.46353293941264662</v>
      </c>
      <c r="C90" s="27">
        <v>0.46058050598156497</v>
      </c>
      <c r="D90" s="27">
        <v>0.43928820655966505</v>
      </c>
      <c r="E90" s="27">
        <v>0.42734147760325769</v>
      </c>
      <c r="F90" s="27">
        <v>0.43537494177922687</v>
      </c>
      <c r="G90" s="27">
        <v>0.40531682447195916</v>
      </c>
    </row>
    <row r="91" spans="1:7" x14ac:dyDescent="0.3">
      <c r="A91" s="11" t="s">
        <v>163</v>
      </c>
      <c r="B91" s="27">
        <v>0.50791497305598821</v>
      </c>
      <c r="C91" s="27">
        <v>0.50606598402185665</v>
      </c>
      <c r="D91" s="27">
        <v>0.4973980280411836</v>
      </c>
      <c r="E91" s="27">
        <v>0.50103879335641766</v>
      </c>
      <c r="F91" s="27">
        <v>0.49411578168493009</v>
      </c>
      <c r="G91" s="27">
        <v>0.47112203817693477</v>
      </c>
    </row>
    <row r="92" spans="1:7" x14ac:dyDescent="0.3">
      <c r="A92" s="12" t="s">
        <v>82</v>
      </c>
      <c r="B92" s="27">
        <v>0.37622262473242218</v>
      </c>
      <c r="C92" s="27">
        <v>0.38298300987173461</v>
      </c>
      <c r="D92" s="27">
        <v>0.36362648901118799</v>
      </c>
      <c r="E92" s="27">
        <v>0.34648509385351489</v>
      </c>
      <c r="F92" s="27">
        <v>0.34076836730999027</v>
      </c>
      <c r="G92" s="27">
        <v>0.33140740740740737</v>
      </c>
    </row>
    <row r="93" spans="1:7" x14ac:dyDescent="0.3">
      <c r="A93" s="12" t="s">
        <v>93</v>
      </c>
      <c r="B93" s="27">
        <v>0.80058651026392957</v>
      </c>
      <c r="C93" s="27">
        <v>0.73737373737373735</v>
      </c>
      <c r="D93" s="27">
        <v>0.73872679045092837</v>
      </c>
      <c r="E93" s="27">
        <v>0.6859601095033242</v>
      </c>
      <c r="F93" s="27">
        <v>0.69071274298056151</v>
      </c>
      <c r="G93" s="27">
        <v>0.6873385012919897</v>
      </c>
    </row>
    <row r="94" spans="1:7" x14ac:dyDescent="0.3">
      <c r="A94" s="12" t="s">
        <v>46</v>
      </c>
      <c r="B94" s="27">
        <v>0.42968405584129321</v>
      </c>
      <c r="C94" s="27">
        <v>0.42053973013493251</v>
      </c>
      <c r="D94" s="27">
        <v>0.43043824701195221</v>
      </c>
      <c r="E94" s="27">
        <v>0.38816841357257059</v>
      </c>
      <c r="F94" s="27">
        <v>0.38420010797192727</v>
      </c>
      <c r="G94" s="27">
        <v>0.38891858186353112</v>
      </c>
    </row>
    <row r="95" spans="1:7" x14ac:dyDescent="0.3">
      <c r="A95" s="12" t="s">
        <v>18</v>
      </c>
      <c r="B95" s="27">
        <v>0.48741007194244601</v>
      </c>
      <c r="C95" s="27">
        <v>0.5</v>
      </c>
      <c r="D95" s="27">
        <v>0.45729537366548045</v>
      </c>
      <c r="E95" s="27">
        <v>0.44589552238805974</v>
      </c>
      <c r="F95" s="27">
        <v>0.47117296222664018</v>
      </c>
      <c r="G95" s="27">
        <v>0.47347740667976423</v>
      </c>
    </row>
    <row r="96" spans="1:7" x14ac:dyDescent="0.3">
      <c r="A96" s="12" t="s">
        <v>164</v>
      </c>
      <c r="B96" s="27">
        <v>0.4597517474587105</v>
      </c>
      <c r="C96" s="27">
        <v>0.45963633262987358</v>
      </c>
      <c r="D96" s="27">
        <v>0.47335295691731338</v>
      </c>
      <c r="E96" s="27">
        <v>0.45292465102043045</v>
      </c>
      <c r="F96" s="27">
        <v>0.4431146156012391</v>
      </c>
      <c r="G96" s="27">
        <v>0.43841464781156858</v>
      </c>
    </row>
    <row r="97" spans="1:7" x14ac:dyDescent="0.3">
      <c r="A97" s="12" t="s">
        <v>60</v>
      </c>
      <c r="B97" s="27">
        <v>0.46055199330917196</v>
      </c>
      <c r="C97" s="27">
        <v>0.44843664289632479</v>
      </c>
      <c r="D97" s="27">
        <v>0.45492957746478868</v>
      </c>
      <c r="E97" s="27">
        <v>0.42478632478632483</v>
      </c>
      <c r="F97" s="27">
        <v>0.44561614944260319</v>
      </c>
      <c r="G97" s="27">
        <v>0.42496147919876737</v>
      </c>
    </row>
    <row r="98" spans="1:7" x14ac:dyDescent="0.3">
      <c r="A98" s="12" t="s">
        <v>78</v>
      </c>
      <c r="B98" s="27">
        <v>0.38956096234878346</v>
      </c>
      <c r="C98" s="27">
        <v>0.39752234593068836</v>
      </c>
      <c r="D98" s="27">
        <v>0.38177698656740577</v>
      </c>
      <c r="E98" s="27">
        <v>0.38906700865662069</v>
      </c>
      <c r="F98" s="27">
        <v>0.37903488751222691</v>
      </c>
      <c r="G98" s="27">
        <v>0.36995180322419807</v>
      </c>
    </row>
  </sheetData>
  <autoFilter ref="A3:G97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F7A84-DB29-4EA4-A855-A0BB6B7F23FF}">
  <sheetPr codeName="Лист24">
    <tabColor theme="0" tint="-0.249977111117893"/>
    <pageSetUpPr fitToPage="1"/>
  </sheetPr>
  <dimension ref="A1:Z98"/>
  <sheetViews>
    <sheetView showGridLines="0" workbookViewId="0"/>
  </sheetViews>
  <sheetFormatPr defaultRowHeight="16.5" x14ac:dyDescent="0.3"/>
  <cols>
    <col min="1" max="1" width="108.5703125" style="9" customWidth="1"/>
    <col min="2" max="7" width="9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25" t="s">
        <v>168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3" spans="1:26" x14ac:dyDescent="0.3">
      <c r="A3" s="10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6" x14ac:dyDescent="0.3">
      <c r="A4" s="11" t="s">
        <v>12</v>
      </c>
      <c r="B4" s="18">
        <v>14155</v>
      </c>
      <c r="C4" s="18">
        <v>12411</v>
      </c>
      <c r="D4" s="18">
        <v>10744</v>
      </c>
      <c r="E4" s="18">
        <v>11246</v>
      </c>
      <c r="F4" s="18">
        <v>11584</v>
      </c>
      <c r="G4" s="18">
        <v>11860</v>
      </c>
    </row>
    <row r="5" spans="1:26" x14ac:dyDescent="0.3">
      <c r="A5" s="11" t="s">
        <v>73</v>
      </c>
      <c r="B5" s="18">
        <v>7488</v>
      </c>
      <c r="C5" s="18">
        <v>6580</v>
      </c>
      <c r="D5" s="18">
        <v>7234</v>
      </c>
      <c r="E5" s="18">
        <v>6082</v>
      </c>
      <c r="F5" s="18">
        <v>5817</v>
      </c>
      <c r="G5" s="18">
        <v>5468</v>
      </c>
    </row>
    <row r="6" spans="1:26" x14ac:dyDescent="0.3">
      <c r="A6" s="11" t="s">
        <v>53</v>
      </c>
      <c r="B6" s="18">
        <v>6600</v>
      </c>
      <c r="C6" s="18">
        <v>6087</v>
      </c>
      <c r="D6" s="18">
        <v>5436</v>
      </c>
      <c r="E6" s="18">
        <v>4895</v>
      </c>
      <c r="F6" s="18">
        <v>4073</v>
      </c>
      <c r="G6" s="18">
        <v>3887</v>
      </c>
    </row>
    <row r="7" spans="1:26" x14ac:dyDescent="0.3">
      <c r="A7" s="11" t="s">
        <v>25</v>
      </c>
      <c r="B7" s="18">
        <v>4402</v>
      </c>
      <c r="C7" s="18">
        <v>4149</v>
      </c>
      <c r="D7" s="18">
        <v>3921</v>
      </c>
      <c r="E7" s="18">
        <v>4328</v>
      </c>
      <c r="F7" s="18">
        <v>4180</v>
      </c>
      <c r="G7" s="18">
        <v>3958</v>
      </c>
    </row>
    <row r="8" spans="1:26" x14ac:dyDescent="0.3">
      <c r="A8" s="11" t="s">
        <v>50</v>
      </c>
      <c r="B8" s="18">
        <v>4083</v>
      </c>
      <c r="C8" s="18">
        <v>4006</v>
      </c>
      <c r="D8" s="18">
        <v>4044</v>
      </c>
      <c r="E8" s="18">
        <v>3778</v>
      </c>
      <c r="F8" s="18">
        <v>3805</v>
      </c>
      <c r="G8" s="18">
        <v>3805</v>
      </c>
    </row>
    <row r="9" spans="1:26" x14ac:dyDescent="0.3">
      <c r="A9" s="11" t="s">
        <v>48</v>
      </c>
      <c r="B9" s="18">
        <v>5787</v>
      </c>
      <c r="C9" s="18">
        <v>5409</v>
      </c>
      <c r="D9" s="18">
        <v>4919</v>
      </c>
      <c r="E9" s="18">
        <v>5470</v>
      </c>
      <c r="F9" s="18">
        <v>4365</v>
      </c>
      <c r="G9" s="18">
        <v>3764</v>
      </c>
    </row>
    <row r="10" spans="1:26" x14ac:dyDescent="0.3">
      <c r="A10" s="11" t="s">
        <v>20</v>
      </c>
      <c r="B10" s="18">
        <v>6533</v>
      </c>
      <c r="C10" s="18">
        <v>6012</v>
      </c>
      <c r="D10" s="18">
        <v>5263</v>
      </c>
      <c r="E10" s="18">
        <v>5426</v>
      </c>
      <c r="F10" s="18">
        <v>4626</v>
      </c>
      <c r="G10" s="18">
        <v>4737</v>
      </c>
    </row>
    <row r="11" spans="1:26" x14ac:dyDescent="0.3">
      <c r="A11" s="11" t="s">
        <v>22</v>
      </c>
      <c r="B11" s="18">
        <v>16028</v>
      </c>
      <c r="C11" s="18">
        <v>15942</v>
      </c>
      <c r="D11" s="18">
        <v>16193</v>
      </c>
      <c r="E11" s="18">
        <v>14633</v>
      </c>
      <c r="F11" s="18">
        <v>14083</v>
      </c>
      <c r="G11" s="18">
        <v>13408</v>
      </c>
    </row>
    <row r="12" spans="1:26" x14ac:dyDescent="0.3">
      <c r="A12" s="11" t="s">
        <v>80</v>
      </c>
      <c r="B12" s="18">
        <v>5789</v>
      </c>
      <c r="C12" s="18">
        <v>5034</v>
      </c>
      <c r="D12" s="18">
        <v>5303</v>
      </c>
      <c r="E12" s="18">
        <v>4998</v>
      </c>
      <c r="F12" s="18">
        <v>3627</v>
      </c>
      <c r="G12" s="18">
        <v>3534</v>
      </c>
    </row>
    <row r="13" spans="1:26" x14ac:dyDescent="0.3">
      <c r="A13" s="11" t="s">
        <v>4</v>
      </c>
      <c r="B13" s="18">
        <v>13207</v>
      </c>
      <c r="C13" s="18">
        <v>11593</v>
      </c>
      <c r="D13" s="18">
        <v>12083</v>
      </c>
      <c r="E13" s="18">
        <v>11162</v>
      </c>
      <c r="F13" s="18">
        <v>10894</v>
      </c>
      <c r="G13" s="18">
        <v>11912</v>
      </c>
    </row>
    <row r="14" spans="1:26" x14ac:dyDescent="0.3">
      <c r="A14" s="11" t="s">
        <v>13</v>
      </c>
      <c r="B14" s="18">
        <v>45672</v>
      </c>
      <c r="C14" s="18">
        <v>43512</v>
      </c>
      <c r="D14" s="18">
        <v>43796</v>
      </c>
      <c r="E14" s="18">
        <v>42879</v>
      </c>
      <c r="F14" s="18">
        <v>40467</v>
      </c>
      <c r="G14" s="18">
        <v>40947</v>
      </c>
    </row>
    <row r="15" spans="1:26" x14ac:dyDescent="0.3">
      <c r="A15" s="11" t="s">
        <v>32</v>
      </c>
      <c r="B15" s="18">
        <v>14750</v>
      </c>
      <c r="C15" s="18">
        <v>14477</v>
      </c>
      <c r="D15" s="18">
        <v>14162</v>
      </c>
      <c r="E15" s="18">
        <v>19836</v>
      </c>
      <c r="F15" s="18">
        <v>20204</v>
      </c>
      <c r="G15" s="18">
        <v>23142</v>
      </c>
    </row>
    <row r="16" spans="1:26" x14ac:dyDescent="0.3">
      <c r="A16" s="11" t="s">
        <v>123</v>
      </c>
      <c r="B16" s="18">
        <v>1815</v>
      </c>
      <c r="C16" s="18">
        <v>1461</v>
      </c>
      <c r="D16" s="18">
        <v>1530</v>
      </c>
      <c r="E16" s="18">
        <v>2219</v>
      </c>
      <c r="F16" s="18">
        <v>2148</v>
      </c>
      <c r="G16" s="18">
        <v>2403</v>
      </c>
    </row>
    <row r="17" spans="1:7" x14ac:dyDescent="0.3">
      <c r="A17" s="11" t="s">
        <v>156</v>
      </c>
      <c r="B17" s="18">
        <v>46196</v>
      </c>
      <c r="C17" s="18">
        <v>59654</v>
      </c>
      <c r="D17" s="18">
        <v>57926</v>
      </c>
      <c r="E17" s="18">
        <v>52477</v>
      </c>
      <c r="F17" s="18">
        <v>50066</v>
      </c>
      <c r="G17" s="18">
        <v>48442</v>
      </c>
    </row>
    <row r="18" spans="1:7" x14ac:dyDescent="0.3">
      <c r="A18" s="11" t="s">
        <v>74</v>
      </c>
      <c r="B18" s="18">
        <v>1439</v>
      </c>
      <c r="C18" s="18">
        <v>1351</v>
      </c>
      <c r="D18" s="18">
        <v>1282</v>
      </c>
      <c r="E18" s="18">
        <v>1270</v>
      </c>
      <c r="F18" s="18">
        <v>1021</v>
      </c>
      <c r="G18" s="18">
        <v>957</v>
      </c>
    </row>
    <row r="19" spans="1:7" x14ac:dyDescent="0.3">
      <c r="A19" s="11" t="s">
        <v>57</v>
      </c>
      <c r="B19" s="18">
        <v>11187</v>
      </c>
      <c r="C19" s="18">
        <v>9573</v>
      </c>
      <c r="D19" s="18">
        <v>9084</v>
      </c>
      <c r="E19" s="18">
        <v>8367</v>
      </c>
      <c r="F19" s="18">
        <v>7378</v>
      </c>
      <c r="G19" s="18">
        <v>6379</v>
      </c>
    </row>
    <row r="20" spans="1:7" x14ac:dyDescent="0.3">
      <c r="A20" s="11" t="s">
        <v>45</v>
      </c>
      <c r="B20" s="18">
        <v>4211</v>
      </c>
      <c r="C20" s="18">
        <v>3171</v>
      </c>
      <c r="D20" s="18">
        <v>3306</v>
      </c>
      <c r="E20" s="18">
        <v>2874</v>
      </c>
      <c r="F20" s="18">
        <v>2577</v>
      </c>
      <c r="G20" s="18">
        <v>2469</v>
      </c>
    </row>
    <row r="21" spans="1:7" x14ac:dyDescent="0.3">
      <c r="A21" s="11" t="s">
        <v>72</v>
      </c>
      <c r="B21" s="18">
        <v>18507</v>
      </c>
      <c r="C21" s="18">
        <v>16469</v>
      </c>
      <c r="D21" s="18">
        <v>17010</v>
      </c>
      <c r="E21" s="18">
        <v>14131</v>
      </c>
      <c r="F21" s="18">
        <v>13154</v>
      </c>
      <c r="G21" s="18">
        <v>12865</v>
      </c>
    </row>
    <row r="22" spans="1:7" x14ac:dyDescent="0.3">
      <c r="A22" s="11" t="s">
        <v>67</v>
      </c>
      <c r="B22" s="18">
        <v>2598</v>
      </c>
      <c r="C22" s="18">
        <v>2338</v>
      </c>
      <c r="D22" s="18">
        <v>2472</v>
      </c>
      <c r="E22" s="18">
        <v>2379</v>
      </c>
      <c r="F22" s="18">
        <v>2234</v>
      </c>
      <c r="G22" s="18">
        <v>2248</v>
      </c>
    </row>
    <row r="23" spans="1:7" x14ac:dyDescent="0.3">
      <c r="A23" s="11" t="s">
        <v>69</v>
      </c>
      <c r="B23" s="18">
        <v>8134</v>
      </c>
      <c r="C23" s="18">
        <v>5680</v>
      </c>
      <c r="D23" s="18">
        <v>5556</v>
      </c>
      <c r="E23" s="18">
        <v>4803</v>
      </c>
      <c r="F23" s="18">
        <v>4639</v>
      </c>
      <c r="G23" s="18">
        <v>4264</v>
      </c>
    </row>
    <row r="24" spans="1:7" x14ac:dyDescent="0.3">
      <c r="A24" s="11" t="s">
        <v>40</v>
      </c>
      <c r="B24" s="18">
        <v>5416</v>
      </c>
      <c r="C24" s="18">
        <v>4937</v>
      </c>
      <c r="D24" s="18">
        <v>4562</v>
      </c>
      <c r="E24" s="18">
        <v>5461</v>
      </c>
      <c r="F24" s="18">
        <v>4703</v>
      </c>
      <c r="G24" s="18">
        <v>4761</v>
      </c>
    </row>
    <row r="25" spans="1:7" x14ac:dyDescent="0.3">
      <c r="A25" s="11" t="s">
        <v>9</v>
      </c>
      <c r="B25" s="18">
        <v>1480</v>
      </c>
      <c r="C25" s="18">
        <v>1429</v>
      </c>
      <c r="D25" s="18">
        <v>1280</v>
      </c>
      <c r="E25" s="18">
        <v>1174</v>
      </c>
      <c r="F25" s="18">
        <v>1180</v>
      </c>
      <c r="G25" s="18">
        <v>1111</v>
      </c>
    </row>
    <row r="26" spans="1:7" x14ac:dyDescent="0.3">
      <c r="A26" s="11" t="s">
        <v>2</v>
      </c>
      <c r="B26" s="18">
        <v>1256</v>
      </c>
      <c r="C26" s="18">
        <v>1245</v>
      </c>
      <c r="D26" s="18">
        <v>1431</v>
      </c>
      <c r="E26" s="18">
        <v>1282</v>
      </c>
      <c r="F26" s="18">
        <v>1388</v>
      </c>
      <c r="G26" s="18">
        <v>1325</v>
      </c>
    </row>
    <row r="27" spans="1:7" x14ac:dyDescent="0.3">
      <c r="A27" s="11" t="s">
        <v>76</v>
      </c>
      <c r="B27" s="18">
        <v>20051</v>
      </c>
      <c r="C27" s="18">
        <v>17012</v>
      </c>
      <c r="D27" s="18">
        <v>17407</v>
      </c>
      <c r="E27" s="18">
        <v>16103</v>
      </c>
      <c r="F27" s="18">
        <v>15777</v>
      </c>
      <c r="G27" s="18">
        <v>14324</v>
      </c>
    </row>
    <row r="28" spans="1:7" x14ac:dyDescent="0.3">
      <c r="A28" s="11" t="s">
        <v>36</v>
      </c>
      <c r="B28" s="18">
        <v>6439</v>
      </c>
      <c r="C28" s="18">
        <v>6629</v>
      </c>
      <c r="D28" s="18">
        <v>5071</v>
      </c>
      <c r="E28" s="18">
        <v>4802</v>
      </c>
      <c r="F28" s="18">
        <v>5033</v>
      </c>
      <c r="G28" s="18">
        <v>4825</v>
      </c>
    </row>
    <row r="29" spans="1:7" x14ac:dyDescent="0.3">
      <c r="A29" s="11" t="s">
        <v>37</v>
      </c>
      <c r="B29" s="18">
        <v>2125</v>
      </c>
      <c r="C29" s="18">
        <v>1783</v>
      </c>
      <c r="D29" s="18">
        <v>1824</v>
      </c>
      <c r="E29" s="18">
        <v>1950</v>
      </c>
      <c r="F29" s="18">
        <v>1945</v>
      </c>
      <c r="G29" s="18">
        <v>1795</v>
      </c>
    </row>
    <row r="30" spans="1:7" x14ac:dyDescent="0.3">
      <c r="A30" s="11" t="s">
        <v>28</v>
      </c>
      <c r="B30" s="18">
        <v>28747</v>
      </c>
      <c r="C30" s="18">
        <v>29223</v>
      </c>
      <c r="D30" s="18">
        <v>31430</v>
      </c>
      <c r="E30" s="18">
        <v>32003</v>
      </c>
      <c r="F30" s="18">
        <v>32414</v>
      </c>
      <c r="G30" s="18">
        <v>32492</v>
      </c>
    </row>
    <row r="31" spans="1:7" x14ac:dyDescent="0.3">
      <c r="A31" s="11" t="s">
        <v>61</v>
      </c>
      <c r="B31" s="18">
        <v>20987</v>
      </c>
      <c r="C31" s="18">
        <v>18566</v>
      </c>
      <c r="D31" s="18">
        <v>18255</v>
      </c>
      <c r="E31" s="18">
        <v>17094</v>
      </c>
      <c r="F31" s="18">
        <v>15939</v>
      </c>
      <c r="G31" s="18">
        <v>15819</v>
      </c>
    </row>
    <row r="32" spans="1:7" x14ac:dyDescent="0.3">
      <c r="A32" s="11" t="s">
        <v>157</v>
      </c>
      <c r="B32" s="18">
        <v>10652</v>
      </c>
      <c r="C32" s="18"/>
      <c r="D32" s="18"/>
      <c r="E32" s="18"/>
      <c r="F32" s="18"/>
      <c r="G32" s="18"/>
    </row>
    <row r="33" spans="1:7" x14ac:dyDescent="0.3">
      <c r="A33" s="11" t="s">
        <v>55</v>
      </c>
      <c r="B33" s="18">
        <v>5053</v>
      </c>
      <c r="C33" s="18">
        <v>4787</v>
      </c>
      <c r="D33" s="18">
        <v>4326</v>
      </c>
      <c r="E33" s="18">
        <v>3719</v>
      </c>
      <c r="F33" s="18">
        <v>3698</v>
      </c>
      <c r="G33" s="18">
        <v>3279</v>
      </c>
    </row>
    <row r="34" spans="1:7" x14ac:dyDescent="0.3">
      <c r="A34" s="11" t="s">
        <v>56</v>
      </c>
      <c r="B34" s="18">
        <v>3998</v>
      </c>
      <c r="C34" s="18">
        <v>3890</v>
      </c>
      <c r="D34" s="18">
        <v>4227</v>
      </c>
      <c r="E34" s="18">
        <v>4337</v>
      </c>
      <c r="F34" s="18">
        <v>4115</v>
      </c>
      <c r="G34" s="18">
        <v>4068</v>
      </c>
    </row>
    <row r="35" spans="1:7" x14ac:dyDescent="0.3">
      <c r="A35" s="11" t="s">
        <v>33</v>
      </c>
      <c r="B35" s="18">
        <v>6222</v>
      </c>
      <c r="C35" s="18">
        <v>7373</v>
      </c>
      <c r="D35" s="18">
        <v>8708</v>
      </c>
      <c r="E35" s="18">
        <v>9727</v>
      </c>
      <c r="F35" s="18">
        <v>9846</v>
      </c>
      <c r="G35" s="18">
        <v>10154</v>
      </c>
    </row>
    <row r="36" spans="1:7" x14ac:dyDescent="0.3">
      <c r="A36" s="11" t="s">
        <v>51</v>
      </c>
      <c r="B36" s="18">
        <v>3395</v>
      </c>
      <c r="C36" s="18">
        <v>3722</v>
      </c>
      <c r="D36" s="18">
        <v>3800</v>
      </c>
      <c r="E36" s="18">
        <v>3581</v>
      </c>
      <c r="F36" s="18">
        <v>3740</v>
      </c>
      <c r="G36" s="18">
        <v>4265</v>
      </c>
    </row>
    <row r="37" spans="1:7" x14ac:dyDescent="0.3">
      <c r="A37" s="11" t="s">
        <v>8</v>
      </c>
      <c r="B37" s="18">
        <v>908</v>
      </c>
      <c r="C37" s="18">
        <v>968</v>
      </c>
      <c r="D37" s="18">
        <v>880</v>
      </c>
      <c r="E37" s="18">
        <v>812</v>
      </c>
      <c r="F37" s="18">
        <v>702</v>
      </c>
      <c r="G37" s="18">
        <v>732</v>
      </c>
    </row>
    <row r="38" spans="1:7" x14ac:dyDescent="0.3">
      <c r="A38" s="11" t="s">
        <v>21</v>
      </c>
      <c r="B38" s="18">
        <v>27416</v>
      </c>
      <c r="C38" s="18">
        <v>25391</v>
      </c>
      <c r="D38" s="18">
        <v>22429</v>
      </c>
      <c r="E38" s="18">
        <v>21371</v>
      </c>
      <c r="F38" s="18">
        <v>20095</v>
      </c>
      <c r="G38" s="18">
        <v>20902</v>
      </c>
    </row>
    <row r="39" spans="1:7" x14ac:dyDescent="0.3">
      <c r="A39" s="11" t="s">
        <v>30</v>
      </c>
      <c r="B39" s="18">
        <v>2787</v>
      </c>
      <c r="C39" s="18">
        <v>2690</v>
      </c>
      <c r="D39" s="18">
        <v>2727</v>
      </c>
      <c r="E39" s="18">
        <v>2718</v>
      </c>
      <c r="F39" s="18">
        <v>2620</v>
      </c>
      <c r="G39" s="18">
        <v>2754</v>
      </c>
    </row>
    <row r="40" spans="1:7" x14ac:dyDescent="0.3">
      <c r="A40" s="11" t="s">
        <v>7</v>
      </c>
      <c r="B40" s="18">
        <v>230</v>
      </c>
      <c r="C40" s="18">
        <v>265</v>
      </c>
      <c r="D40" s="18">
        <v>182</v>
      </c>
      <c r="E40" s="18">
        <v>228</v>
      </c>
      <c r="F40" s="18">
        <v>192</v>
      </c>
      <c r="G40" s="18">
        <v>183</v>
      </c>
    </row>
    <row r="41" spans="1:7" x14ac:dyDescent="0.3">
      <c r="A41" s="11" t="s">
        <v>54</v>
      </c>
      <c r="B41" s="18">
        <v>16022</v>
      </c>
      <c r="C41" s="18">
        <v>14826</v>
      </c>
      <c r="D41" s="18">
        <v>13799</v>
      </c>
      <c r="E41" s="18">
        <v>12652</v>
      </c>
      <c r="F41" s="18">
        <v>12278</v>
      </c>
      <c r="G41" s="18">
        <v>11724</v>
      </c>
    </row>
    <row r="42" spans="1:7" x14ac:dyDescent="0.3">
      <c r="A42" s="11" t="s">
        <v>52</v>
      </c>
      <c r="B42" s="18">
        <v>4420</v>
      </c>
      <c r="C42" s="18">
        <v>3908</v>
      </c>
      <c r="D42" s="18">
        <v>3820</v>
      </c>
      <c r="E42" s="18">
        <v>3705</v>
      </c>
      <c r="F42" s="18">
        <v>3352</v>
      </c>
      <c r="G42" s="18">
        <v>3239</v>
      </c>
    </row>
    <row r="43" spans="1:7" x14ac:dyDescent="0.3">
      <c r="A43" s="11" t="s">
        <v>6</v>
      </c>
      <c r="B43" s="18">
        <v>18282</v>
      </c>
      <c r="C43" s="18">
        <v>19741</v>
      </c>
      <c r="D43" s="18">
        <v>19764</v>
      </c>
      <c r="E43" s="18">
        <v>20674</v>
      </c>
      <c r="F43" s="18">
        <v>18598</v>
      </c>
      <c r="G43" s="18">
        <v>18438</v>
      </c>
    </row>
    <row r="44" spans="1:7" x14ac:dyDescent="0.3">
      <c r="A44" s="11" t="s">
        <v>64</v>
      </c>
      <c r="B44" s="18">
        <v>7639</v>
      </c>
      <c r="C44" s="18">
        <v>6402</v>
      </c>
      <c r="D44" s="18">
        <v>5761</v>
      </c>
      <c r="E44" s="18">
        <v>5462</v>
      </c>
      <c r="F44" s="18">
        <v>5289</v>
      </c>
      <c r="G44" s="18">
        <v>5505</v>
      </c>
    </row>
    <row r="45" spans="1:7" x14ac:dyDescent="0.3">
      <c r="A45" s="11" t="s">
        <v>23</v>
      </c>
      <c r="B45" s="18">
        <v>8907</v>
      </c>
      <c r="C45" s="18">
        <v>7907</v>
      </c>
      <c r="D45" s="18">
        <v>7472</v>
      </c>
      <c r="E45" s="18">
        <v>7370</v>
      </c>
      <c r="F45" s="18">
        <v>6786</v>
      </c>
      <c r="G45" s="18">
        <v>5973</v>
      </c>
    </row>
    <row r="46" spans="1:7" x14ac:dyDescent="0.3">
      <c r="A46" s="11" t="s">
        <v>70</v>
      </c>
      <c r="B46" s="18">
        <v>3243</v>
      </c>
      <c r="C46" s="18">
        <v>3093</v>
      </c>
      <c r="D46" s="18">
        <v>3154</v>
      </c>
      <c r="E46" s="18">
        <v>3140</v>
      </c>
      <c r="F46" s="18">
        <v>2817</v>
      </c>
      <c r="G46" s="18">
        <v>2958</v>
      </c>
    </row>
    <row r="47" spans="1:7" x14ac:dyDescent="0.3">
      <c r="A47" s="11" t="s">
        <v>49</v>
      </c>
      <c r="B47" s="18">
        <v>2224</v>
      </c>
      <c r="C47" s="18">
        <v>2792</v>
      </c>
      <c r="D47" s="18">
        <v>2469</v>
      </c>
      <c r="E47" s="18">
        <v>2437</v>
      </c>
      <c r="F47" s="18">
        <v>2342</v>
      </c>
      <c r="G47" s="18">
        <v>2462</v>
      </c>
    </row>
    <row r="48" spans="1:7" x14ac:dyDescent="0.3">
      <c r="A48" s="11" t="s">
        <v>44</v>
      </c>
      <c r="B48" s="18">
        <v>11482</v>
      </c>
      <c r="C48" s="18">
        <v>11044</v>
      </c>
      <c r="D48" s="18">
        <v>10825</v>
      </c>
      <c r="E48" s="18">
        <v>9913</v>
      </c>
      <c r="F48" s="18">
        <v>10087</v>
      </c>
      <c r="G48" s="18">
        <v>9303</v>
      </c>
    </row>
    <row r="49" spans="1:7" x14ac:dyDescent="0.3">
      <c r="A49" s="11" t="s">
        <v>158</v>
      </c>
      <c r="B49" s="18">
        <v>122666</v>
      </c>
      <c r="C49" s="18">
        <v>116618</v>
      </c>
      <c r="D49" s="18">
        <v>113504</v>
      </c>
      <c r="E49" s="18">
        <v>109699</v>
      </c>
      <c r="F49" s="18">
        <v>103006</v>
      </c>
      <c r="G49" s="18">
        <v>100466</v>
      </c>
    </row>
    <row r="50" spans="1:7" x14ac:dyDescent="0.3">
      <c r="A50" s="11" t="s">
        <v>10</v>
      </c>
      <c r="B50" s="18">
        <v>14492</v>
      </c>
      <c r="C50" s="18">
        <v>12454</v>
      </c>
      <c r="D50" s="18">
        <v>11430</v>
      </c>
      <c r="E50" s="18">
        <v>11431</v>
      </c>
      <c r="F50" s="18">
        <v>12201</v>
      </c>
      <c r="G50" s="18">
        <v>11721</v>
      </c>
    </row>
    <row r="51" spans="1:7" x14ac:dyDescent="0.3">
      <c r="A51" s="11" t="s">
        <v>31</v>
      </c>
      <c r="B51" s="18">
        <v>2408</v>
      </c>
      <c r="C51" s="18">
        <v>2166</v>
      </c>
      <c r="D51" s="18">
        <v>1737</v>
      </c>
      <c r="E51" s="18">
        <v>1816</v>
      </c>
      <c r="F51" s="18">
        <v>1578</v>
      </c>
      <c r="G51" s="18">
        <v>1905</v>
      </c>
    </row>
    <row r="52" spans="1:7" x14ac:dyDescent="0.3">
      <c r="A52" s="11" t="s">
        <v>26</v>
      </c>
      <c r="B52" s="18">
        <v>1581</v>
      </c>
      <c r="C52" s="18">
        <v>1580</v>
      </c>
      <c r="D52" s="18">
        <v>1740</v>
      </c>
      <c r="E52" s="18">
        <v>1587</v>
      </c>
      <c r="F52" s="18">
        <v>1716</v>
      </c>
      <c r="G52" s="18">
        <v>1723</v>
      </c>
    </row>
    <row r="53" spans="1:7" x14ac:dyDescent="0.3">
      <c r="A53" s="11" t="s">
        <v>58</v>
      </c>
      <c r="B53" s="18">
        <v>1551</v>
      </c>
      <c r="C53" s="18">
        <v>1504</v>
      </c>
      <c r="D53" s="18">
        <v>1432</v>
      </c>
      <c r="E53" s="18">
        <v>1484</v>
      </c>
      <c r="F53" s="18">
        <v>1389</v>
      </c>
      <c r="G53" s="18">
        <v>1375</v>
      </c>
    </row>
    <row r="54" spans="1:7" x14ac:dyDescent="0.3">
      <c r="A54" s="11" t="s">
        <v>83</v>
      </c>
      <c r="B54" s="18">
        <v>20219</v>
      </c>
      <c r="C54" s="18">
        <v>18992</v>
      </c>
      <c r="D54" s="18">
        <v>18198</v>
      </c>
      <c r="E54" s="18">
        <v>16670</v>
      </c>
      <c r="F54" s="18">
        <v>14785</v>
      </c>
      <c r="G54" s="18">
        <v>14129</v>
      </c>
    </row>
    <row r="55" spans="1:7" x14ac:dyDescent="0.3">
      <c r="A55" s="11" t="s">
        <v>1</v>
      </c>
      <c r="B55" s="18">
        <v>9973</v>
      </c>
      <c r="C55" s="18">
        <v>9328</v>
      </c>
      <c r="D55" s="18">
        <v>8702</v>
      </c>
      <c r="E55" s="18">
        <v>7370</v>
      </c>
      <c r="F55" s="18">
        <v>7026</v>
      </c>
      <c r="G55" s="18">
        <v>7318</v>
      </c>
    </row>
    <row r="56" spans="1:7" x14ac:dyDescent="0.3">
      <c r="A56" s="11" t="s">
        <v>63</v>
      </c>
      <c r="B56" s="18">
        <v>5401</v>
      </c>
      <c r="C56" s="18">
        <v>4856</v>
      </c>
      <c r="D56" s="18">
        <v>3880</v>
      </c>
      <c r="E56" s="18">
        <v>3890</v>
      </c>
      <c r="F56" s="18">
        <v>4359</v>
      </c>
      <c r="G56" s="18">
        <v>4098</v>
      </c>
    </row>
    <row r="57" spans="1:7" x14ac:dyDescent="0.3">
      <c r="A57" s="11" t="s">
        <v>81</v>
      </c>
      <c r="B57" s="18">
        <v>570</v>
      </c>
      <c r="C57" s="18">
        <v>597</v>
      </c>
      <c r="D57" s="18">
        <v>632</v>
      </c>
      <c r="E57" s="18">
        <v>617</v>
      </c>
      <c r="F57" s="18">
        <v>618</v>
      </c>
      <c r="G57" s="18">
        <v>551</v>
      </c>
    </row>
    <row r="58" spans="1:7" x14ac:dyDescent="0.3">
      <c r="A58" s="11" t="s">
        <v>27</v>
      </c>
      <c r="B58" s="18">
        <v>666</v>
      </c>
      <c r="C58" s="18">
        <v>600</v>
      </c>
      <c r="D58" s="18">
        <v>614</v>
      </c>
      <c r="E58" s="18">
        <v>631</v>
      </c>
      <c r="F58" s="18">
        <v>671</v>
      </c>
      <c r="G58" s="18">
        <v>581</v>
      </c>
    </row>
    <row r="59" spans="1:7" x14ac:dyDescent="0.3">
      <c r="A59" s="11" t="s">
        <v>71</v>
      </c>
      <c r="B59" s="18">
        <v>3784</v>
      </c>
      <c r="C59" s="18">
        <v>4243</v>
      </c>
      <c r="D59" s="18">
        <v>3889</v>
      </c>
      <c r="E59" s="18">
        <v>4177</v>
      </c>
      <c r="F59" s="18">
        <v>3965</v>
      </c>
      <c r="G59" s="18">
        <v>3434</v>
      </c>
    </row>
    <row r="60" spans="1:7" x14ac:dyDescent="0.3">
      <c r="A60" s="11" t="s">
        <v>65</v>
      </c>
      <c r="B60" s="18">
        <v>5836</v>
      </c>
      <c r="C60" s="18">
        <v>4982</v>
      </c>
      <c r="D60" s="18">
        <v>5021</v>
      </c>
      <c r="E60" s="18">
        <v>4827</v>
      </c>
      <c r="F60" s="18">
        <v>4334</v>
      </c>
      <c r="G60" s="18">
        <v>4271</v>
      </c>
    </row>
    <row r="61" spans="1:7" x14ac:dyDescent="0.3">
      <c r="A61" s="11" t="s">
        <v>89</v>
      </c>
      <c r="B61" s="18">
        <v>8837</v>
      </c>
      <c r="C61" s="18">
        <v>9209</v>
      </c>
      <c r="D61" s="18">
        <v>8295</v>
      </c>
      <c r="E61" s="18">
        <v>7216</v>
      </c>
      <c r="F61" s="18">
        <v>6306</v>
      </c>
      <c r="G61" s="18">
        <v>6679</v>
      </c>
    </row>
    <row r="62" spans="1:7" x14ac:dyDescent="0.3">
      <c r="A62" s="11" t="s">
        <v>42</v>
      </c>
      <c r="B62" s="18">
        <v>2850</v>
      </c>
      <c r="C62" s="18">
        <v>2583</v>
      </c>
      <c r="D62" s="18">
        <v>2519</v>
      </c>
      <c r="E62" s="18">
        <v>2392</v>
      </c>
      <c r="F62" s="18">
        <v>2497</v>
      </c>
      <c r="G62" s="18">
        <v>2539</v>
      </c>
    </row>
    <row r="63" spans="1:7" x14ac:dyDescent="0.3">
      <c r="A63" s="11" t="s">
        <v>34</v>
      </c>
      <c r="B63" s="18">
        <v>1930</v>
      </c>
      <c r="C63" s="18">
        <v>1809</v>
      </c>
      <c r="D63" s="18">
        <v>2064</v>
      </c>
      <c r="E63" s="18">
        <v>1897</v>
      </c>
      <c r="F63" s="18">
        <v>2174</v>
      </c>
      <c r="G63" s="18">
        <v>2144</v>
      </c>
    </row>
    <row r="64" spans="1:7" x14ac:dyDescent="0.3">
      <c r="A64" s="11" t="s">
        <v>62</v>
      </c>
      <c r="B64" s="18">
        <v>4689</v>
      </c>
      <c r="C64" s="18">
        <v>4065</v>
      </c>
      <c r="D64" s="18">
        <v>4238</v>
      </c>
      <c r="E64" s="18">
        <v>3691</v>
      </c>
      <c r="F64" s="18">
        <v>3979</v>
      </c>
      <c r="G64" s="18">
        <v>3921</v>
      </c>
    </row>
    <row r="65" spans="1:7" x14ac:dyDescent="0.3">
      <c r="A65" s="11" t="s">
        <v>47</v>
      </c>
      <c r="B65" s="18">
        <v>2308</v>
      </c>
      <c r="C65" s="18">
        <v>2350</v>
      </c>
      <c r="D65" s="18">
        <v>3104</v>
      </c>
      <c r="E65" s="18">
        <v>2350</v>
      </c>
      <c r="F65" s="18">
        <v>2486</v>
      </c>
      <c r="G65" s="18">
        <v>2314</v>
      </c>
    </row>
    <row r="66" spans="1:7" x14ac:dyDescent="0.3">
      <c r="A66" s="11" t="s">
        <v>35</v>
      </c>
      <c r="B66" s="18">
        <v>16626</v>
      </c>
      <c r="C66" s="18">
        <v>15319</v>
      </c>
      <c r="D66" s="18">
        <v>18146</v>
      </c>
      <c r="E66" s="18">
        <v>17767</v>
      </c>
      <c r="F66" s="18">
        <v>16262</v>
      </c>
      <c r="G66" s="18">
        <v>16077</v>
      </c>
    </row>
    <row r="67" spans="1:7" x14ac:dyDescent="0.3">
      <c r="A67" s="11" t="s">
        <v>14</v>
      </c>
      <c r="B67" s="18">
        <v>5010</v>
      </c>
      <c r="C67" s="18">
        <v>3503</v>
      </c>
      <c r="D67" s="18">
        <v>3317</v>
      </c>
      <c r="E67" s="18">
        <v>3190</v>
      </c>
      <c r="F67" s="18">
        <v>3125</v>
      </c>
      <c r="G67" s="18">
        <v>2336</v>
      </c>
    </row>
    <row r="68" spans="1:7" x14ac:dyDescent="0.3">
      <c r="A68" s="11" t="s">
        <v>77</v>
      </c>
      <c r="B68" s="18">
        <v>3873</v>
      </c>
      <c r="C68" s="18">
        <v>3547</v>
      </c>
      <c r="D68" s="18">
        <v>3460</v>
      </c>
      <c r="E68" s="18">
        <v>3305</v>
      </c>
      <c r="F68" s="18">
        <v>3559</v>
      </c>
      <c r="G68" s="18">
        <v>2881</v>
      </c>
    </row>
    <row r="69" spans="1:7" x14ac:dyDescent="0.3">
      <c r="A69" s="11" t="s">
        <v>87</v>
      </c>
      <c r="B69" s="18">
        <v>706636</v>
      </c>
      <c r="C69" s="18">
        <v>660056</v>
      </c>
      <c r="D69" s="18">
        <v>654912</v>
      </c>
      <c r="E69" s="18">
        <v>635527</v>
      </c>
      <c r="F69" s="18">
        <v>604403</v>
      </c>
      <c r="G69" s="18">
        <v>598993</v>
      </c>
    </row>
    <row r="70" spans="1:7" x14ac:dyDescent="0.3">
      <c r="A70" s="11" t="s">
        <v>29</v>
      </c>
      <c r="B70" s="18">
        <v>25529</v>
      </c>
      <c r="C70" s="18">
        <v>23757</v>
      </c>
      <c r="D70" s="18">
        <v>26492</v>
      </c>
      <c r="E70" s="18">
        <v>26239</v>
      </c>
      <c r="F70" s="18">
        <v>23953</v>
      </c>
      <c r="G70" s="18">
        <v>23439</v>
      </c>
    </row>
    <row r="71" spans="1:7" x14ac:dyDescent="0.3">
      <c r="A71" s="11" t="s">
        <v>59</v>
      </c>
      <c r="B71" s="18">
        <v>3198</v>
      </c>
      <c r="C71" s="18">
        <v>3243</v>
      </c>
      <c r="D71" s="18">
        <v>3432</v>
      </c>
      <c r="E71" s="18">
        <v>3555</v>
      </c>
      <c r="F71" s="18">
        <v>2657</v>
      </c>
      <c r="G71" s="18">
        <v>2595</v>
      </c>
    </row>
    <row r="72" spans="1:7" x14ac:dyDescent="0.3">
      <c r="A72" s="11" t="s">
        <v>24</v>
      </c>
      <c r="B72" s="18">
        <v>14244</v>
      </c>
      <c r="C72" s="18">
        <v>13331</v>
      </c>
      <c r="D72" s="18">
        <v>12499</v>
      </c>
      <c r="E72" s="18">
        <v>12307</v>
      </c>
      <c r="F72" s="18">
        <v>11294</v>
      </c>
      <c r="G72" s="18">
        <v>12488</v>
      </c>
    </row>
    <row r="73" spans="1:7" x14ac:dyDescent="0.3">
      <c r="A73" s="11" t="s">
        <v>68</v>
      </c>
      <c r="B73" s="18">
        <v>9223</v>
      </c>
      <c r="C73" s="18">
        <v>9285</v>
      </c>
      <c r="D73" s="18">
        <v>8520</v>
      </c>
      <c r="E73" s="18">
        <v>9388</v>
      </c>
      <c r="F73" s="18">
        <v>8972</v>
      </c>
      <c r="G73" s="18">
        <v>8353</v>
      </c>
    </row>
    <row r="74" spans="1:7" x14ac:dyDescent="0.3">
      <c r="A74" s="11" t="s">
        <v>3</v>
      </c>
      <c r="B74" s="18">
        <v>4701</v>
      </c>
      <c r="C74" s="18">
        <v>4114</v>
      </c>
      <c r="D74" s="18">
        <v>3605</v>
      </c>
      <c r="E74" s="18">
        <v>2857</v>
      </c>
      <c r="F74" s="18">
        <v>2712</v>
      </c>
      <c r="G74" s="18">
        <v>2670</v>
      </c>
    </row>
    <row r="75" spans="1:7" x14ac:dyDescent="0.3">
      <c r="A75" s="11" t="s">
        <v>16</v>
      </c>
      <c r="B75" s="18">
        <v>16773</v>
      </c>
      <c r="C75" s="18">
        <v>15129</v>
      </c>
      <c r="D75" s="18">
        <v>15921</v>
      </c>
      <c r="E75" s="18">
        <v>16417</v>
      </c>
      <c r="F75" s="18">
        <v>14978</v>
      </c>
      <c r="G75" s="18">
        <v>14278</v>
      </c>
    </row>
    <row r="76" spans="1:7" x14ac:dyDescent="0.3">
      <c r="A76" s="11" t="s">
        <v>159</v>
      </c>
      <c r="B76" s="18">
        <v>60960</v>
      </c>
      <c r="C76" s="18">
        <v>56905</v>
      </c>
      <c r="D76" s="18">
        <v>56541</v>
      </c>
      <c r="E76" s="18">
        <v>61730</v>
      </c>
      <c r="F76" s="18">
        <v>58430</v>
      </c>
      <c r="G76" s="18">
        <v>60767</v>
      </c>
    </row>
    <row r="77" spans="1:7" x14ac:dyDescent="0.3">
      <c r="A77" s="11" t="s">
        <v>160</v>
      </c>
      <c r="B77" s="18">
        <v>25036</v>
      </c>
      <c r="C77" s="18">
        <v>24259</v>
      </c>
      <c r="D77" s="18">
        <v>25084</v>
      </c>
      <c r="E77" s="18">
        <v>22934</v>
      </c>
      <c r="F77" s="18">
        <v>23323</v>
      </c>
      <c r="G77" s="18">
        <v>22790</v>
      </c>
    </row>
    <row r="78" spans="1:7" x14ac:dyDescent="0.3">
      <c r="A78" s="11" t="s">
        <v>161</v>
      </c>
      <c r="B78" s="18">
        <v>137603</v>
      </c>
      <c r="C78" s="18">
        <v>105203</v>
      </c>
      <c r="D78" s="18">
        <v>103015</v>
      </c>
      <c r="E78" s="18">
        <v>97867</v>
      </c>
      <c r="F78" s="18">
        <v>93048</v>
      </c>
      <c r="G78" s="18">
        <v>90680</v>
      </c>
    </row>
    <row r="79" spans="1:7" x14ac:dyDescent="0.3">
      <c r="A79" s="11" t="s">
        <v>43</v>
      </c>
      <c r="B79" s="18">
        <v>3971</v>
      </c>
      <c r="C79" s="18">
        <v>3946</v>
      </c>
      <c r="D79" s="18">
        <v>4183</v>
      </c>
      <c r="E79" s="18">
        <v>4397</v>
      </c>
      <c r="F79" s="18">
        <v>4021</v>
      </c>
      <c r="G79" s="18">
        <v>4360</v>
      </c>
    </row>
    <row r="80" spans="1:7" x14ac:dyDescent="0.3">
      <c r="A80" s="11" t="s">
        <v>11</v>
      </c>
      <c r="B80" s="18">
        <v>11925</v>
      </c>
      <c r="C80" s="18">
        <v>12020</v>
      </c>
      <c r="D80" s="18">
        <v>12592</v>
      </c>
      <c r="E80" s="18">
        <v>11778</v>
      </c>
      <c r="F80" s="18">
        <v>11521</v>
      </c>
      <c r="G80" s="18">
        <v>11730</v>
      </c>
    </row>
    <row r="81" spans="1:7" x14ac:dyDescent="0.3">
      <c r="A81" s="11" t="s">
        <v>15</v>
      </c>
      <c r="B81" s="18">
        <v>3188</v>
      </c>
      <c r="C81" s="18">
        <v>3189</v>
      </c>
      <c r="D81" s="18">
        <v>3258</v>
      </c>
      <c r="E81" s="18">
        <v>3385</v>
      </c>
      <c r="F81" s="18">
        <v>3396</v>
      </c>
      <c r="G81" s="18">
        <v>3307</v>
      </c>
    </row>
    <row r="82" spans="1:7" x14ac:dyDescent="0.3">
      <c r="A82" s="11" t="s">
        <v>38</v>
      </c>
      <c r="B82" s="18">
        <v>7671</v>
      </c>
      <c r="C82" s="18">
        <v>7051</v>
      </c>
      <c r="D82" s="18">
        <v>7403</v>
      </c>
      <c r="E82" s="18">
        <v>7682</v>
      </c>
      <c r="F82" s="18">
        <v>7238</v>
      </c>
      <c r="G82" s="18">
        <v>7004</v>
      </c>
    </row>
    <row r="83" spans="1:7" x14ac:dyDescent="0.3">
      <c r="A83" s="11" t="s">
        <v>5</v>
      </c>
      <c r="B83" s="18">
        <v>6388</v>
      </c>
      <c r="C83" s="18">
        <v>6048</v>
      </c>
      <c r="D83" s="18">
        <v>5865</v>
      </c>
      <c r="E83" s="18">
        <v>5178</v>
      </c>
      <c r="F83" s="18">
        <v>4634</v>
      </c>
      <c r="G83" s="18">
        <v>5277</v>
      </c>
    </row>
    <row r="84" spans="1:7" x14ac:dyDescent="0.3">
      <c r="A84" s="11" t="s">
        <v>39</v>
      </c>
      <c r="B84" s="18">
        <v>3787</v>
      </c>
      <c r="C84" s="18">
        <v>3976</v>
      </c>
      <c r="D84" s="18">
        <v>3490</v>
      </c>
      <c r="E84" s="18">
        <v>3304</v>
      </c>
      <c r="F84" s="18">
        <v>3916</v>
      </c>
      <c r="G84" s="18">
        <v>4163</v>
      </c>
    </row>
    <row r="85" spans="1:7" x14ac:dyDescent="0.3">
      <c r="A85" s="11" t="s">
        <v>19</v>
      </c>
      <c r="B85" s="18">
        <v>8012</v>
      </c>
      <c r="C85" s="18">
        <v>7290</v>
      </c>
      <c r="D85" s="18">
        <v>6923</v>
      </c>
      <c r="E85" s="18">
        <v>5800</v>
      </c>
      <c r="F85" s="18">
        <v>5532</v>
      </c>
      <c r="G85" s="18">
        <v>5288</v>
      </c>
    </row>
    <row r="86" spans="1:7" x14ac:dyDescent="0.3">
      <c r="A86" s="11" t="s">
        <v>94</v>
      </c>
      <c r="B86" s="18">
        <v>5469</v>
      </c>
      <c r="C86" s="18">
        <v>5717</v>
      </c>
      <c r="D86" s="18">
        <v>6002</v>
      </c>
      <c r="E86" s="18">
        <v>6434</v>
      </c>
      <c r="F86" s="18">
        <v>5204</v>
      </c>
      <c r="G86" s="18">
        <v>5065</v>
      </c>
    </row>
    <row r="87" spans="1:7" x14ac:dyDescent="0.3">
      <c r="A87" s="11" t="s">
        <v>41</v>
      </c>
      <c r="B87" s="18">
        <v>3056</v>
      </c>
      <c r="C87" s="18">
        <v>2974</v>
      </c>
      <c r="D87" s="18">
        <v>2541</v>
      </c>
      <c r="E87" s="18">
        <v>2392</v>
      </c>
      <c r="F87" s="18">
        <v>2079</v>
      </c>
      <c r="G87" s="18">
        <v>2077</v>
      </c>
    </row>
    <row r="88" spans="1:7" x14ac:dyDescent="0.3">
      <c r="A88" s="11" t="s">
        <v>162</v>
      </c>
      <c r="B88" s="18">
        <v>61086</v>
      </c>
      <c r="C88" s="18">
        <v>55640</v>
      </c>
      <c r="D88" s="18">
        <v>56675</v>
      </c>
      <c r="E88" s="18">
        <v>53701</v>
      </c>
      <c r="F88" s="18">
        <v>49853</v>
      </c>
      <c r="G88" s="18">
        <v>46459</v>
      </c>
    </row>
    <row r="89" spans="1:7" x14ac:dyDescent="0.3">
      <c r="A89" s="11" t="s">
        <v>75</v>
      </c>
      <c r="B89" s="18">
        <v>10779</v>
      </c>
      <c r="C89" s="18">
        <v>9550</v>
      </c>
      <c r="D89" s="18">
        <v>9984</v>
      </c>
      <c r="E89" s="18">
        <v>9217</v>
      </c>
      <c r="F89" s="18">
        <v>7838</v>
      </c>
      <c r="G89" s="18">
        <v>7941</v>
      </c>
    </row>
    <row r="90" spans="1:7" x14ac:dyDescent="0.3">
      <c r="A90" s="11" t="s">
        <v>17</v>
      </c>
      <c r="B90" s="18">
        <v>6545</v>
      </c>
      <c r="C90" s="18">
        <v>5412</v>
      </c>
      <c r="D90" s="18">
        <v>5606</v>
      </c>
      <c r="E90" s="18">
        <v>5577</v>
      </c>
      <c r="F90" s="18">
        <v>4541</v>
      </c>
      <c r="G90" s="18">
        <v>4015</v>
      </c>
    </row>
    <row r="91" spans="1:7" x14ac:dyDescent="0.3">
      <c r="A91" s="11" t="s">
        <v>163</v>
      </c>
      <c r="B91" s="18">
        <v>153835</v>
      </c>
      <c r="C91" s="18">
        <v>144284</v>
      </c>
      <c r="D91" s="18">
        <v>141172</v>
      </c>
      <c r="E91" s="18">
        <v>138894</v>
      </c>
      <c r="F91" s="18">
        <v>130240</v>
      </c>
      <c r="G91" s="18">
        <v>133023</v>
      </c>
    </row>
    <row r="92" spans="1:7" x14ac:dyDescent="0.3">
      <c r="A92" s="12" t="s">
        <v>82</v>
      </c>
      <c r="B92" s="18">
        <v>22556</v>
      </c>
      <c r="C92" s="18">
        <v>21125</v>
      </c>
      <c r="D92" s="18">
        <v>22375</v>
      </c>
      <c r="E92" s="18">
        <v>20467</v>
      </c>
      <c r="F92" s="18">
        <v>19770</v>
      </c>
      <c r="G92" s="18">
        <v>18506</v>
      </c>
    </row>
    <row r="93" spans="1:7" x14ac:dyDescent="0.3">
      <c r="A93" s="12" t="s">
        <v>93</v>
      </c>
      <c r="B93" s="18">
        <v>978</v>
      </c>
      <c r="C93" s="18">
        <v>853</v>
      </c>
      <c r="D93" s="18">
        <v>973</v>
      </c>
      <c r="E93" s="18">
        <v>638</v>
      </c>
      <c r="F93" s="18">
        <v>717</v>
      </c>
      <c r="G93" s="18">
        <v>524</v>
      </c>
    </row>
    <row r="94" spans="1:7" x14ac:dyDescent="0.3">
      <c r="A94" s="12" t="s">
        <v>46</v>
      </c>
      <c r="B94" s="18">
        <v>3975</v>
      </c>
      <c r="C94" s="18">
        <v>3410</v>
      </c>
      <c r="D94" s="18">
        <v>3379</v>
      </c>
      <c r="E94" s="18">
        <v>3278</v>
      </c>
      <c r="F94" s="18">
        <v>3213</v>
      </c>
      <c r="G94" s="18">
        <v>3307</v>
      </c>
    </row>
    <row r="95" spans="1:7" x14ac:dyDescent="0.3">
      <c r="A95" s="12" t="s">
        <v>18</v>
      </c>
      <c r="B95" s="18">
        <v>220</v>
      </c>
      <c r="C95" s="18">
        <v>242</v>
      </c>
      <c r="D95" s="18">
        <v>207</v>
      </c>
      <c r="E95" s="18">
        <v>206</v>
      </c>
      <c r="F95" s="18">
        <v>212</v>
      </c>
      <c r="G95" s="18">
        <v>224</v>
      </c>
    </row>
    <row r="96" spans="1:7" x14ac:dyDescent="0.3">
      <c r="A96" s="12" t="s">
        <v>164</v>
      </c>
      <c r="B96" s="18">
        <v>87605</v>
      </c>
      <c r="C96" s="18">
        <v>85921</v>
      </c>
      <c r="D96" s="18">
        <v>90215</v>
      </c>
      <c r="E96" s="18">
        <v>88856</v>
      </c>
      <c r="F96" s="18">
        <v>85471</v>
      </c>
      <c r="G96" s="18">
        <v>84683</v>
      </c>
    </row>
    <row r="97" spans="1:7" x14ac:dyDescent="0.3">
      <c r="A97" s="12" t="s">
        <v>60</v>
      </c>
      <c r="B97" s="18">
        <v>2147</v>
      </c>
      <c r="C97" s="18">
        <v>1897</v>
      </c>
      <c r="D97" s="18">
        <v>1524</v>
      </c>
      <c r="E97" s="18">
        <v>1721</v>
      </c>
      <c r="F97" s="18">
        <v>1334</v>
      </c>
      <c r="G97" s="18">
        <v>1093</v>
      </c>
    </row>
    <row r="98" spans="1:7" x14ac:dyDescent="0.3">
      <c r="A98" s="12" t="s">
        <v>78</v>
      </c>
      <c r="B98" s="18">
        <v>6934</v>
      </c>
      <c r="C98" s="18">
        <v>6360</v>
      </c>
      <c r="D98" s="18">
        <v>5999</v>
      </c>
      <c r="E98" s="18">
        <v>5142</v>
      </c>
      <c r="F98" s="18">
        <v>4863</v>
      </c>
      <c r="G98" s="18">
        <v>5211</v>
      </c>
    </row>
  </sheetData>
  <autoFilter ref="A3:G98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1AACF-36A2-45A4-9D3A-2F8C513B0D0A}">
  <sheetPr codeName="Лист25">
    <tabColor theme="4" tint="0.79998168889431442"/>
    <pageSetUpPr fitToPage="1"/>
  </sheetPr>
  <dimension ref="A1:Z99"/>
  <sheetViews>
    <sheetView showGridLines="0" workbookViewId="0">
      <selection activeCell="A84" sqref="A84"/>
    </sheetView>
  </sheetViews>
  <sheetFormatPr defaultRowHeight="16.5" x14ac:dyDescent="0.3"/>
  <cols>
    <col min="1" max="1" width="108.5703125" style="9" customWidth="1"/>
    <col min="2" max="7" width="9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47" t="s">
        <v>171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3" spans="1:26" x14ac:dyDescent="0.3">
      <c r="A3" s="48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6" x14ac:dyDescent="0.3">
      <c r="A4" s="12" t="s">
        <v>87</v>
      </c>
      <c r="B4" s="46">
        <v>8.7706037121683622E-2</v>
      </c>
      <c r="C4" s="46">
        <v>7.9247820918639397E-2</v>
      </c>
      <c r="D4" s="46">
        <v>8.1650520619849273E-2</v>
      </c>
      <c r="E4" s="46">
        <v>6.9093331089191537E-2</v>
      </c>
      <c r="F4" s="46">
        <v>7.7811112146037045E-2</v>
      </c>
      <c r="G4" s="46">
        <v>7.5119474727366992E-2</v>
      </c>
    </row>
    <row r="5" spans="1:26" x14ac:dyDescent="0.3">
      <c r="A5" s="12" t="s">
        <v>172</v>
      </c>
      <c r="B5" s="46">
        <v>9.1752190272210987E-2</v>
      </c>
      <c r="C5" s="46">
        <v>7.7697137054118418E-2</v>
      </c>
      <c r="D5" s="46">
        <v>8.4547190371333555E-2</v>
      </c>
      <c r="E5" s="46">
        <v>6.1930680703772938E-2</v>
      </c>
      <c r="F5" s="46">
        <v>7.5958721167182913E-2</v>
      </c>
      <c r="G5" s="46">
        <v>7.3252137250515492E-2</v>
      </c>
    </row>
    <row r="6" spans="1:26" x14ac:dyDescent="0.3">
      <c r="A6" s="12" t="s">
        <v>50</v>
      </c>
      <c r="B6" s="46">
        <v>7.9959074186367954E-2</v>
      </c>
      <c r="C6" s="46">
        <v>7.67848110679831E-2</v>
      </c>
      <c r="D6" s="46">
        <v>7.8307576283092331E-2</v>
      </c>
      <c r="E6" s="46">
        <v>6.4278058073179378E-2</v>
      </c>
      <c r="F6" s="46">
        <v>7.2067569761211731E-2</v>
      </c>
      <c r="G6" s="46">
        <v>7.8365926442267322E-2</v>
      </c>
    </row>
    <row r="7" spans="1:26" x14ac:dyDescent="0.3">
      <c r="A7" s="12" t="s">
        <v>48</v>
      </c>
      <c r="B7" s="46">
        <v>8.2863881858340024E-2</v>
      </c>
      <c r="C7" s="46">
        <v>8.0727127376096691E-2</v>
      </c>
      <c r="D7" s="46">
        <v>8.3787889373129781E-2</v>
      </c>
      <c r="E7" s="46">
        <v>8.0699966153520805E-2</v>
      </c>
      <c r="F7" s="46">
        <v>8.9146635487536721E-2</v>
      </c>
      <c r="G7" s="46">
        <v>8.5261487502922312E-2</v>
      </c>
    </row>
    <row r="8" spans="1:26" x14ac:dyDescent="0.3">
      <c r="A8" s="12" t="s">
        <v>20</v>
      </c>
      <c r="B8" s="46">
        <v>8.3244341799581484E-2</v>
      </c>
      <c r="C8" s="46">
        <v>8.6983676959846157E-2</v>
      </c>
      <c r="D8" s="46">
        <v>7.915028207258297E-2</v>
      </c>
      <c r="E8" s="46">
        <v>6.9334068366913665E-2</v>
      </c>
      <c r="F8" s="46">
        <v>7.3444418021682931E-2</v>
      </c>
      <c r="G8" s="46">
        <v>7.2414049694502686E-2</v>
      </c>
    </row>
    <row r="9" spans="1:26" x14ac:dyDescent="0.3">
      <c r="A9" s="12" t="s">
        <v>4</v>
      </c>
      <c r="B9" s="46">
        <v>7.3929504212337988E-2</v>
      </c>
      <c r="C9" s="46">
        <v>6.4204351088537018E-2</v>
      </c>
      <c r="D9" s="46">
        <v>6.16446945343039E-2</v>
      </c>
      <c r="E9" s="46">
        <v>6.1897394918266263E-2</v>
      </c>
      <c r="F9" s="46">
        <v>7.3839764684153208E-2</v>
      </c>
      <c r="G9" s="46">
        <v>6.2601907501279849E-2</v>
      </c>
    </row>
    <row r="10" spans="1:26" x14ac:dyDescent="0.3">
      <c r="A10" s="12" t="s">
        <v>45</v>
      </c>
      <c r="B10" s="46">
        <v>8.1256936282346773E-2</v>
      </c>
      <c r="C10" s="46">
        <v>8.8304685890587487E-2</v>
      </c>
      <c r="D10" s="46">
        <v>9.6282938013997385E-2</v>
      </c>
      <c r="E10" s="46">
        <v>7.5159677771527739E-2</v>
      </c>
      <c r="F10" s="46">
        <v>8.3877046123938453E-2</v>
      </c>
      <c r="G10" s="46">
        <v>8.0553418197583715E-2</v>
      </c>
    </row>
    <row r="11" spans="1:26" x14ac:dyDescent="0.3">
      <c r="A11" s="12" t="s">
        <v>40</v>
      </c>
      <c r="B11" s="46">
        <v>8.3629037116575933E-2</v>
      </c>
      <c r="C11" s="46">
        <v>7.6980822516808961E-2</v>
      </c>
      <c r="D11" s="46">
        <v>8.0556188973417028E-2</v>
      </c>
      <c r="E11" s="46">
        <v>7.1481298435966373E-2</v>
      </c>
      <c r="F11" s="46">
        <v>6.4833546255903374E-2</v>
      </c>
      <c r="G11" s="46">
        <v>8.4432388515715981E-2</v>
      </c>
    </row>
    <row r="12" spans="1:26" x14ac:dyDescent="0.3">
      <c r="A12" s="12" t="s">
        <v>37</v>
      </c>
      <c r="B12" s="46">
        <v>8.147029454012443E-2</v>
      </c>
      <c r="C12" s="46">
        <v>6.8234325283441588E-2</v>
      </c>
      <c r="D12" s="46">
        <v>7.6732484546594579E-2</v>
      </c>
      <c r="E12" s="46">
        <v>6.9717965912767646E-2</v>
      </c>
      <c r="F12" s="46">
        <v>8.1878542387323339E-2</v>
      </c>
      <c r="G12" s="46">
        <v>7.3125886927248196E-2</v>
      </c>
    </row>
    <row r="13" spans="1:26" x14ac:dyDescent="0.3">
      <c r="A13" s="12" t="s">
        <v>56</v>
      </c>
      <c r="B13" s="46">
        <v>9.1256345408466805E-2</v>
      </c>
      <c r="C13" s="46">
        <v>0.11340547909178557</v>
      </c>
      <c r="D13" s="46">
        <v>0.10789332030720232</v>
      </c>
      <c r="E13" s="46">
        <v>9.3897233134800487E-2</v>
      </c>
      <c r="F13" s="46">
        <v>9.2839501052912887E-2</v>
      </c>
      <c r="G13" s="46">
        <v>8.5197271371115768E-2</v>
      </c>
    </row>
    <row r="14" spans="1:26" x14ac:dyDescent="0.3">
      <c r="A14" s="12" t="s">
        <v>51</v>
      </c>
      <c r="B14" s="46">
        <v>8.490773885598904E-2</v>
      </c>
      <c r="C14" s="46">
        <v>7.2639730598206845E-2</v>
      </c>
      <c r="D14" s="46">
        <v>8.0341786747954391E-2</v>
      </c>
      <c r="E14" s="46">
        <v>8.1011056512954691E-2</v>
      </c>
      <c r="F14" s="46">
        <v>8.216562132237494E-2</v>
      </c>
      <c r="G14" s="46">
        <v>7.9870408081301664E-2</v>
      </c>
    </row>
    <row r="15" spans="1:26" x14ac:dyDescent="0.3">
      <c r="A15" s="12" t="s">
        <v>21</v>
      </c>
      <c r="B15" s="46">
        <v>6.4643426064896953E-2</v>
      </c>
      <c r="C15" s="46">
        <v>5.7930490635251165E-2</v>
      </c>
      <c r="D15" s="46">
        <v>5.7341107234391876E-2</v>
      </c>
      <c r="E15" s="46">
        <v>5.1034092170451455E-2</v>
      </c>
      <c r="F15" s="46">
        <v>7.0271909104437605E-2</v>
      </c>
      <c r="G15" s="46">
        <v>7.22683686204348E-2</v>
      </c>
    </row>
    <row r="16" spans="1:26" x14ac:dyDescent="0.3">
      <c r="A16" s="12" t="s">
        <v>70</v>
      </c>
      <c r="B16" s="46">
        <v>9.6216511329732454E-2</v>
      </c>
      <c r="C16" s="46">
        <v>9.0712858552986136E-2</v>
      </c>
      <c r="D16" s="46">
        <v>9.0614901496260739E-2</v>
      </c>
      <c r="E16" s="46">
        <v>6.7398200001111644E-2</v>
      </c>
      <c r="F16" s="46">
        <v>7.9648474381563958E-2</v>
      </c>
      <c r="G16" s="46">
        <v>8.5945031960509996E-2</v>
      </c>
    </row>
    <row r="17" spans="1:7" x14ac:dyDescent="0.3">
      <c r="A17" s="12" t="s">
        <v>59</v>
      </c>
      <c r="B17" s="46">
        <v>6.3856524642923407E-2</v>
      </c>
      <c r="C17" s="46">
        <v>7.7932419227688926E-2</v>
      </c>
      <c r="D17" s="46">
        <v>6.5538435988802421E-2</v>
      </c>
      <c r="E17" s="46">
        <v>6.9011072255267855E-2</v>
      </c>
      <c r="F17" s="46">
        <v>7.364537817546242E-2</v>
      </c>
      <c r="G17" s="46">
        <v>7.6106795160826357E-2</v>
      </c>
    </row>
    <row r="18" spans="1:7" x14ac:dyDescent="0.3">
      <c r="A18" s="12" t="s">
        <v>43</v>
      </c>
      <c r="B18" s="46">
        <v>7.7461205346496198E-2</v>
      </c>
      <c r="C18" s="46">
        <v>8.5413253160857738E-2</v>
      </c>
      <c r="D18" s="46">
        <v>7.9064852943692754E-2</v>
      </c>
      <c r="E18" s="46">
        <v>7.635447830601659E-2</v>
      </c>
      <c r="F18" s="46">
        <v>8.0045925842952406E-2</v>
      </c>
      <c r="G18" s="46">
        <v>7.7469702438676083E-2</v>
      </c>
    </row>
    <row r="19" spans="1:7" x14ac:dyDescent="0.3">
      <c r="A19" s="12" t="s">
        <v>15</v>
      </c>
      <c r="B19" s="46">
        <v>9.0823483352791709E-2</v>
      </c>
      <c r="C19" s="46">
        <v>8.5766355716889911E-2</v>
      </c>
      <c r="D19" s="46">
        <v>7.6626482799336967E-2</v>
      </c>
      <c r="E19" s="46">
        <v>6.8838086095514991E-2</v>
      </c>
      <c r="F19" s="46">
        <v>6.6730529323243429E-2</v>
      </c>
      <c r="G19" s="46">
        <v>6.3517888341286605E-2</v>
      </c>
    </row>
    <row r="20" spans="1:7" x14ac:dyDescent="0.3">
      <c r="A20" s="12" t="s">
        <v>38</v>
      </c>
      <c r="B20" s="46">
        <v>7.6652599418306017E-2</v>
      </c>
      <c r="C20" s="46">
        <v>7.2275862303641164E-2</v>
      </c>
      <c r="D20" s="46">
        <v>7.4522359801701563E-2</v>
      </c>
      <c r="E20" s="46">
        <v>6.0697193957055348E-2</v>
      </c>
      <c r="F20" s="46">
        <v>6.3040259514120289E-2</v>
      </c>
      <c r="G20" s="46">
        <v>7.1461650931180051E-2</v>
      </c>
    </row>
    <row r="21" spans="1:7" x14ac:dyDescent="0.3">
      <c r="A21" s="12" t="s">
        <v>39</v>
      </c>
      <c r="B21" s="46">
        <v>9.0368622027830442E-2</v>
      </c>
      <c r="C21" s="46">
        <v>8.4028866096270971E-2</v>
      </c>
      <c r="D21" s="46">
        <v>8.6900140399177137E-2</v>
      </c>
      <c r="E21" s="46">
        <v>6.3779678524621103E-2</v>
      </c>
      <c r="F21" s="46">
        <v>8.3612120726956091E-2</v>
      </c>
      <c r="G21" s="46">
        <v>6.9930102801829347E-2</v>
      </c>
    </row>
    <row r="22" spans="1:7" x14ac:dyDescent="0.3">
      <c r="A22" s="12" t="s">
        <v>78</v>
      </c>
      <c r="B22" s="46">
        <v>7.1775032500705216E-2</v>
      </c>
      <c r="C22" s="46">
        <v>7.0943633105452958E-2</v>
      </c>
      <c r="D22" s="46">
        <v>6.8540305428531831E-2</v>
      </c>
      <c r="E22" s="46">
        <v>5.9729567950179155E-2</v>
      </c>
      <c r="F22" s="46">
        <v>5.7593223294286025E-2</v>
      </c>
      <c r="G22" s="46">
        <v>6.4951557061321469E-2</v>
      </c>
    </row>
    <row r="23" spans="1:7" x14ac:dyDescent="0.3">
      <c r="A23" s="12" t="s">
        <v>13</v>
      </c>
      <c r="B23" s="46">
        <v>0.11126416738514783</v>
      </c>
      <c r="C23" s="46">
        <v>8.5186169032537493E-2</v>
      </c>
      <c r="D23" s="46">
        <v>9.7095542339286245E-2</v>
      </c>
      <c r="E23" s="46">
        <v>6.1055169097608226E-2</v>
      </c>
      <c r="F23" s="46">
        <v>7.8389641824174239E-2</v>
      </c>
      <c r="G23" s="46">
        <v>7.2515426103070629E-2</v>
      </c>
    </row>
    <row r="24" spans="1:7" x14ac:dyDescent="0.3">
      <c r="A24" s="12" t="s">
        <v>172</v>
      </c>
      <c r="B24" s="46">
        <v>8.1279996825618164E-2</v>
      </c>
      <c r="C24" s="46">
        <v>7.6947243258445167E-2</v>
      </c>
      <c r="D24" s="46">
        <v>7.8091893920422401E-2</v>
      </c>
      <c r="E24" s="46">
        <v>7.1201635603319699E-2</v>
      </c>
      <c r="F24" s="46">
        <v>8.0562942695175638E-2</v>
      </c>
      <c r="G24" s="46">
        <v>6.9471144134223922E-2</v>
      </c>
    </row>
    <row r="25" spans="1:7" x14ac:dyDescent="0.3">
      <c r="A25" s="12" t="s">
        <v>71</v>
      </c>
      <c r="B25" s="46">
        <v>7.7157133621865007E-2</v>
      </c>
      <c r="C25" s="46">
        <v>6.084300214362013E-2</v>
      </c>
      <c r="D25" s="46">
        <v>5.3712936380758365E-2</v>
      </c>
      <c r="E25" s="46">
        <v>5.0141939640309337E-2</v>
      </c>
      <c r="F25" s="46">
        <v>6.1142886010826673E-2</v>
      </c>
      <c r="G25" s="46">
        <v>6.11319593374966E-2</v>
      </c>
    </row>
    <row r="26" spans="1:7" x14ac:dyDescent="0.3">
      <c r="A26" s="12" t="s">
        <v>65</v>
      </c>
      <c r="B26" s="46">
        <v>8.1260145196014599E-2</v>
      </c>
      <c r="C26" s="46">
        <v>7.6890797769767719E-2</v>
      </c>
      <c r="D26" s="46">
        <v>7.5198411176394198E-2</v>
      </c>
      <c r="E26" s="46">
        <v>6.8211047498398361E-2</v>
      </c>
      <c r="F26" s="46">
        <v>6.5907271947194937E-2</v>
      </c>
      <c r="G26" s="46">
        <v>7.297153428354175E-2</v>
      </c>
    </row>
    <row r="27" spans="1:7" x14ac:dyDescent="0.3">
      <c r="A27" s="12" t="s">
        <v>53</v>
      </c>
      <c r="B27" s="46">
        <v>8.7090896345712224E-2</v>
      </c>
      <c r="C27" s="46">
        <v>8.324376741438097E-2</v>
      </c>
      <c r="D27" s="46">
        <v>7.4618180088231123E-2</v>
      </c>
      <c r="E27" s="46">
        <v>6.4350653968832855E-2</v>
      </c>
      <c r="F27" s="46">
        <v>7.2245380356997568E-2</v>
      </c>
      <c r="G27" s="46">
        <v>7.1282751090852137E-2</v>
      </c>
    </row>
    <row r="28" spans="1:7" x14ac:dyDescent="0.3">
      <c r="A28" s="12" t="s">
        <v>7</v>
      </c>
      <c r="B28" s="46">
        <v>6.6103424404534983E-2</v>
      </c>
      <c r="C28" s="46">
        <v>6.0272138518415251E-2</v>
      </c>
      <c r="D28" s="46">
        <v>7.7656701787526761E-2</v>
      </c>
      <c r="E28" s="46">
        <v>8.0583639997907727E-2</v>
      </c>
      <c r="F28" s="46">
        <v>6.7892188642065976E-2</v>
      </c>
      <c r="G28" s="46">
        <v>8.6244259956897634E-2</v>
      </c>
    </row>
    <row r="29" spans="1:7" x14ac:dyDescent="0.3">
      <c r="A29" s="12" t="s">
        <v>173</v>
      </c>
      <c r="B29" s="46">
        <v>8.8022608626866075E-2</v>
      </c>
      <c r="C29" s="46">
        <v>8.4325128405655689E-2</v>
      </c>
      <c r="D29" s="46">
        <v>7.4463138721587177E-2</v>
      </c>
      <c r="E29" s="46">
        <v>6.3659647158714916E-2</v>
      </c>
      <c r="F29" s="46">
        <v>7.2465984704809583E-2</v>
      </c>
      <c r="G29" s="46">
        <v>7.0598002549926278E-2</v>
      </c>
    </row>
    <row r="30" spans="1:7" x14ac:dyDescent="0.3">
      <c r="A30" s="12" t="s">
        <v>80</v>
      </c>
      <c r="B30" s="46">
        <v>8.7336504950515245E-2</v>
      </c>
      <c r="C30" s="46">
        <v>7.8399936419818531E-2</v>
      </c>
      <c r="D30" s="46">
        <v>7.8338109605910186E-2</v>
      </c>
      <c r="E30" s="46">
        <v>6.2273346573892337E-2</v>
      </c>
      <c r="F30" s="46">
        <v>7.2426054879554155E-2</v>
      </c>
      <c r="G30" s="46">
        <v>7.0103506614080449E-2</v>
      </c>
    </row>
    <row r="31" spans="1:7" x14ac:dyDescent="0.3">
      <c r="A31" s="12" t="s">
        <v>69</v>
      </c>
      <c r="B31" s="46">
        <v>7.0651568237712042E-2</v>
      </c>
      <c r="C31" s="46">
        <v>8.0771575706678533E-2</v>
      </c>
      <c r="D31" s="46">
        <v>7.7074448039331736E-2</v>
      </c>
      <c r="E31" s="46">
        <v>6.0893584028921796E-2</v>
      </c>
      <c r="F31" s="46">
        <v>8.0709887389389806E-2</v>
      </c>
      <c r="G31" s="46">
        <v>8.8675726465992047E-2</v>
      </c>
    </row>
    <row r="32" spans="1:7" x14ac:dyDescent="0.3">
      <c r="A32" s="12" t="s">
        <v>33</v>
      </c>
      <c r="B32" s="46">
        <v>7.2970415707781136E-2</v>
      </c>
      <c r="C32" s="46">
        <v>8.5298491510309007E-2</v>
      </c>
      <c r="D32" s="46">
        <v>8.2928863771420641E-2</v>
      </c>
      <c r="E32" s="46">
        <v>7.9502600975865964E-2</v>
      </c>
      <c r="F32" s="46">
        <v>8.0720039015418604E-2</v>
      </c>
      <c r="G32" s="46">
        <v>7.006531219866885E-2</v>
      </c>
    </row>
    <row r="33" spans="1:7" x14ac:dyDescent="0.3">
      <c r="A33" s="12" t="s">
        <v>30</v>
      </c>
      <c r="B33" s="46">
        <v>7.6492234266312506E-2</v>
      </c>
      <c r="C33" s="46">
        <v>7.187294773157149E-2</v>
      </c>
      <c r="D33" s="46">
        <v>7.8084503067099659E-2</v>
      </c>
      <c r="E33" s="46">
        <v>6.3231167459867052E-2</v>
      </c>
      <c r="F33" s="46">
        <v>7.0493678107326985E-2</v>
      </c>
      <c r="G33" s="46">
        <v>6.8142797283640213E-2</v>
      </c>
    </row>
    <row r="34" spans="1:7" x14ac:dyDescent="0.3">
      <c r="A34" s="12" t="s">
        <v>52</v>
      </c>
      <c r="B34" s="46">
        <v>7.3126913665914631E-2</v>
      </c>
      <c r="C34" s="46">
        <v>8.1365699980269601E-2</v>
      </c>
      <c r="D34" s="46">
        <v>8.0160434526044502E-2</v>
      </c>
      <c r="E34" s="46">
        <v>6.0569448324956532E-2</v>
      </c>
      <c r="F34" s="46">
        <v>6.1506155229082607E-2</v>
      </c>
      <c r="G34" s="46">
        <v>7.1094530668738429E-2</v>
      </c>
    </row>
    <row r="35" spans="1:7" x14ac:dyDescent="0.3">
      <c r="A35" s="12" t="s">
        <v>31</v>
      </c>
      <c r="B35" s="46">
        <v>7.0093924026833912E-2</v>
      </c>
      <c r="C35" s="46">
        <v>6.4756158642285636E-2</v>
      </c>
      <c r="D35" s="46">
        <v>6.0123824488363259E-2</v>
      </c>
      <c r="E35" s="46">
        <v>5.2458649318802217E-2</v>
      </c>
      <c r="F35" s="46">
        <v>6.7657774636354875E-2</v>
      </c>
      <c r="G35" s="46">
        <v>6.1840037912228245E-2</v>
      </c>
    </row>
    <row r="36" spans="1:7" x14ac:dyDescent="0.3">
      <c r="A36" s="12" t="s">
        <v>32</v>
      </c>
      <c r="B36" s="46">
        <v>8.4760311723510992E-2</v>
      </c>
      <c r="C36" s="46">
        <v>7.5881497359319039E-2</v>
      </c>
      <c r="D36" s="46">
        <v>8.0771591171481139E-2</v>
      </c>
      <c r="E36" s="46">
        <v>7.7776002018005413E-2</v>
      </c>
      <c r="F36" s="46">
        <v>8.9458419242203033E-2</v>
      </c>
      <c r="G36" s="46">
        <v>6.7504922042365703E-2</v>
      </c>
    </row>
    <row r="37" spans="1:7" x14ac:dyDescent="0.3">
      <c r="A37" s="12" t="s">
        <v>172</v>
      </c>
      <c r="B37" s="46">
        <v>8.8384635394215053E-2</v>
      </c>
      <c r="C37" s="46">
        <v>8.2164879143426642E-2</v>
      </c>
      <c r="D37" s="46">
        <v>7.9785650843590211E-2</v>
      </c>
      <c r="E37" s="46">
        <v>6.855606745571205E-2</v>
      </c>
      <c r="F37" s="46">
        <v>8.0421026467385706E-2</v>
      </c>
      <c r="G37" s="46">
        <v>7.6303692435679957E-2</v>
      </c>
    </row>
    <row r="38" spans="1:7" x14ac:dyDescent="0.3">
      <c r="A38" s="12" t="s">
        <v>26</v>
      </c>
      <c r="B38" s="46">
        <v>8.9969060245886731E-2</v>
      </c>
      <c r="C38" s="46">
        <v>7.2707966523760478E-2</v>
      </c>
      <c r="D38" s="46">
        <v>8.0166636116467072E-2</v>
      </c>
      <c r="E38" s="46">
        <v>6.386555357164532E-2</v>
      </c>
      <c r="F38" s="46">
        <v>6.2831901777812518E-2</v>
      </c>
      <c r="G38" s="46">
        <v>7.8870194637625526E-2</v>
      </c>
    </row>
    <row r="39" spans="1:7" x14ac:dyDescent="0.3">
      <c r="A39" s="12" t="s">
        <v>27</v>
      </c>
      <c r="B39" s="46">
        <v>0.12765283520256554</v>
      </c>
      <c r="C39" s="46">
        <v>0.12485632036512773</v>
      </c>
      <c r="D39" s="46">
        <v>0.12243910422009102</v>
      </c>
      <c r="E39" s="46">
        <v>8.9305682312646989E-2</v>
      </c>
      <c r="F39" s="46">
        <v>0.10865825044914609</v>
      </c>
      <c r="G39" s="46">
        <v>0.10163257441203807</v>
      </c>
    </row>
    <row r="40" spans="1:7" x14ac:dyDescent="0.3">
      <c r="A40" s="12" t="s">
        <v>89</v>
      </c>
      <c r="B40" s="46">
        <v>7.8970820857299048E-2</v>
      </c>
      <c r="C40" s="46">
        <v>8.2991264111747468E-2</v>
      </c>
      <c r="D40" s="46">
        <v>8.201342815963851E-2</v>
      </c>
      <c r="E40" s="46">
        <v>8.1141037312996864E-2</v>
      </c>
      <c r="F40" s="46">
        <v>6.5780393482663096E-2</v>
      </c>
      <c r="G40" s="46">
        <v>7.702036772636793E-2</v>
      </c>
    </row>
    <row r="41" spans="1:7" x14ac:dyDescent="0.3">
      <c r="A41" s="12" t="s">
        <v>28</v>
      </c>
      <c r="B41" s="46">
        <v>8.8645374269962496E-2</v>
      </c>
      <c r="C41" s="46">
        <v>8.2368864317235863E-2</v>
      </c>
      <c r="D41" s="46">
        <v>8.1272831858611949E-2</v>
      </c>
      <c r="E41" s="46">
        <v>6.1178500216291017E-2</v>
      </c>
      <c r="F41" s="46">
        <v>8.2495120771636982E-2</v>
      </c>
      <c r="G41" s="46">
        <v>7.0290499610196094E-2</v>
      </c>
    </row>
    <row r="42" spans="1:7" x14ac:dyDescent="0.3">
      <c r="A42" s="12" t="s">
        <v>25</v>
      </c>
      <c r="B42" s="46">
        <v>9.08226845330532E-2</v>
      </c>
      <c r="C42" s="46">
        <v>8.5574114910697288E-2</v>
      </c>
      <c r="D42" s="46">
        <v>8.1006253429537628E-2</v>
      </c>
      <c r="E42" s="46">
        <v>7.7202121137830537E-2</v>
      </c>
      <c r="F42" s="46">
        <v>8.0755797779184957E-2</v>
      </c>
      <c r="G42" s="46">
        <v>7.6151735076229563E-2</v>
      </c>
    </row>
    <row r="43" spans="1:7" x14ac:dyDescent="0.3">
      <c r="A43" s="12" t="s">
        <v>22</v>
      </c>
      <c r="B43" s="46">
        <v>8.2725718596764822E-2</v>
      </c>
      <c r="C43" s="46">
        <v>8.9636630007044527E-2</v>
      </c>
      <c r="D43" s="46">
        <v>9.2125656250150859E-2</v>
      </c>
      <c r="E43" s="46">
        <v>7.6900514224144123E-2</v>
      </c>
      <c r="F43" s="46">
        <v>9.4364139338318886E-2</v>
      </c>
      <c r="G43" s="46">
        <v>8.4824039548516306E-2</v>
      </c>
    </row>
    <row r="44" spans="1:7" x14ac:dyDescent="0.3">
      <c r="A44" s="12" t="s">
        <v>29</v>
      </c>
      <c r="B44" s="46">
        <v>9.0950660946008455E-2</v>
      </c>
      <c r="C44" s="46">
        <v>7.4267188882278498E-2</v>
      </c>
      <c r="D44" s="46">
        <v>6.9554900645499795E-2</v>
      </c>
      <c r="E44" s="46">
        <v>6.3334650535820547E-2</v>
      </c>
      <c r="F44" s="46">
        <v>7.4043658619320232E-2</v>
      </c>
      <c r="G44" s="46">
        <v>7.7164536262932196E-2</v>
      </c>
    </row>
    <row r="45" spans="1:7" x14ac:dyDescent="0.3">
      <c r="A45" s="12" t="s">
        <v>123</v>
      </c>
      <c r="B45" s="46">
        <v>9.6483253420967252E-2</v>
      </c>
      <c r="C45" s="46">
        <v>9.6806413963736127E-2</v>
      </c>
      <c r="D45" s="46">
        <v>6.0456784571004313E-2</v>
      </c>
      <c r="E45" s="46">
        <v>0.10473192302621644</v>
      </c>
      <c r="F45" s="46">
        <v>9.13612517684049E-2</v>
      </c>
      <c r="G45" s="46">
        <v>8.4569398878121968E-2</v>
      </c>
    </row>
    <row r="46" spans="1:7" x14ac:dyDescent="0.3">
      <c r="A46" s="12" t="s">
        <v>172</v>
      </c>
      <c r="B46" s="46">
        <v>9.9173328159540178E-2</v>
      </c>
      <c r="C46" s="46">
        <v>9.174004493400513E-2</v>
      </c>
      <c r="D46" s="46">
        <v>8.8899161925763401E-2</v>
      </c>
      <c r="E46" s="46">
        <v>8.0303194780825121E-2</v>
      </c>
      <c r="F46" s="46">
        <v>9.1154282941701456E-2</v>
      </c>
      <c r="G46" s="46">
        <v>8.5774565523196053E-2</v>
      </c>
    </row>
    <row r="47" spans="1:7" x14ac:dyDescent="0.3">
      <c r="A47" s="12" t="s">
        <v>63</v>
      </c>
      <c r="B47" s="46">
        <v>8.8773928746227512E-2</v>
      </c>
      <c r="C47" s="46">
        <v>7.2716618847097111E-2</v>
      </c>
      <c r="D47" s="46">
        <v>6.9203566270262543E-2</v>
      </c>
      <c r="E47" s="46">
        <v>6.8343014483690609E-2</v>
      </c>
      <c r="F47" s="46">
        <v>7.7372998529354906E-2</v>
      </c>
      <c r="G47" s="46">
        <v>6.8713671819751507E-2</v>
      </c>
    </row>
    <row r="48" spans="1:7" x14ac:dyDescent="0.3">
      <c r="A48" s="12" t="s">
        <v>81</v>
      </c>
      <c r="B48" s="46">
        <v>2.5580227590272279E-2</v>
      </c>
      <c r="C48" s="46">
        <v>5.106038089084336E-2</v>
      </c>
      <c r="D48" s="46">
        <v>4.785964414805937E-2</v>
      </c>
      <c r="E48" s="46">
        <v>5.0913306837475351E-2</v>
      </c>
      <c r="F48" s="46">
        <v>5.9050688429762195E-2</v>
      </c>
      <c r="G48" s="46">
        <v>7.1704724475866857E-2</v>
      </c>
    </row>
    <row r="49" spans="1:7" x14ac:dyDescent="0.3">
      <c r="A49" s="12" t="s">
        <v>91</v>
      </c>
      <c r="B49" s="46">
        <v>0.10717298330086585</v>
      </c>
      <c r="C49" s="46">
        <v>0.11247600952019482</v>
      </c>
      <c r="D49" s="46">
        <v>0.11679766262781204</v>
      </c>
      <c r="E49" s="46">
        <v>9.2697414076546997E-2</v>
      </c>
      <c r="F49" s="46">
        <v>0.11107305467955386</v>
      </c>
      <c r="G49" s="46">
        <v>0.10775060014505469</v>
      </c>
    </row>
    <row r="50" spans="1:7" x14ac:dyDescent="0.3">
      <c r="A50" s="12" t="s">
        <v>92</v>
      </c>
      <c r="B50" s="46">
        <v>0.11793695716813456</v>
      </c>
      <c r="C50" s="46">
        <v>0.11362519550976664</v>
      </c>
      <c r="D50" s="46">
        <v>0.11537329445778517</v>
      </c>
      <c r="E50" s="46">
        <v>9.7485018610134103E-2</v>
      </c>
      <c r="F50" s="46">
        <v>0.10928622407210357</v>
      </c>
      <c r="G50" s="46">
        <v>0.11870693910383004</v>
      </c>
    </row>
    <row r="51" spans="1:7" x14ac:dyDescent="0.3">
      <c r="A51" s="12" t="s">
        <v>47</v>
      </c>
      <c r="B51" s="46">
        <v>0.12669609955846797</v>
      </c>
      <c r="C51" s="46">
        <v>0.12340341404167471</v>
      </c>
      <c r="D51" s="46">
        <v>0.12682852398405228</v>
      </c>
      <c r="E51" s="46">
        <v>0.10563013357663109</v>
      </c>
      <c r="F51" s="46">
        <v>0.10648934539490652</v>
      </c>
      <c r="G51" s="46">
        <v>9.9167609027344034E-2</v>
      </c>
    </row>
    <row r="52" spans="1:7" x14ac:dyDescent="0.3">
      <c r="A52" s="12" t="s">
        <v>93</v>
      </c>
      <c r="B52" s="46">
        <v>0.13471866296689797</v>
      </c>
      <c r="C52" s="46">
        <v>0.12131262243502526</v>
      </c>
      <c r="D52" s="46">
        <v>0.11700025631659841</v>
      </c>
      <c r="E52" s="46">
        <v>9.2265819475846542E-2</v>
      </c>
      <c r="F52" s="46">
        <v>0.12640240295247343</v>
      </c>
      <c r="G52" s="46">
        <v>0.11040564579467844</v>
      </c>
    </row>
    <row r="53" spans="1:7" x14ac:dyDescent="0.3">
      <c r="A53" s="12" t="s">
        <v>11</v>
      </c>
      <c r="B53" s="46">
        <v>8.9026481737916233E-2</v>
      </c>
      <c r="C53" s="46">
        <v>8.7884531605078101E-2</v>
      </c>
      <c r="D53" s="46">
        <v>8.499745527070536E-2</v>
      </c>
      <c r="E53" s="46">
        <v>8.1165307841918069E-2</v>
      </c>
      <c r="F53" s="46">
        <v>8.5554867757606734E-2</v>
      </c>
      <c r="G53" s="46">
        <v>8.0794026124721391E-2</v>
      </c>
    </row>
    <row r="54" spans="1:7" x14ac:dyDescent="0.3">
      <c r="A54" s="12" t="s">
        <v>172</v>
      </c>
      <c r="B54" s="46">
        <v>8.3385951798673266E-2</v>
      </c>
      <c r="C54" s="46">
        <v>7.720810084856386E-2</v>
      </c>
      <c r="D54" s="46">
        <v>7.8611245364701418E-2</v>
      </c>
      <c r="E54" s="46">
        <v>7.4320137065678638E-2</v>
      </c>
      <c r="F54" s="46">
        <v>7.5273458995744877E-2</v>
      </c>
      <c r="G54" s="46">
        <v>7.5067735545241793E-2</v>
      </c>
    </row>
    <row r="55" spans="1:7" x14ac:dyDescent="0.3">
      <c r="A55" s="12" t="s">
        <v>83</v>
      </c>
      <c r="B55" s="46">
        <v>7.6174083178067439E-2</v>
      </c>
      <c r="C55" s="46">
        <v>7.4762817198971987E-2</v>
      </c>
      <c r="D55" s="46">
        <v>7.094290342721242E-2</v>
      </c>
      <c r="E55" s="46">
        <v>7.2960105854510626E-2</v>
      </c>
      <c r="F55" s="46">
        <v>6.607800310223666E-2</v>
      </c>
      <c r="G55" s="46">
        <v>6.3054040808692605E-2</v>
      </c>
    </row>
    <row r="56" spans="1:7" x14ac:dyDescent="0.3">
      <c r="A56" s="12" t="s">
        <v>42</v>
      </c>
      <c r="B56" s="46">
        <v>0.10363635011035272</v>
      </c>
      <c r="C56" s="46">
        <v>9.3020889281647298E-2</v>
      </c>
      <c r="D56" s="46">
        <v>8.7078928607716322E-2</v>
      </c>
      <c r="E56" s="46">
        <v>8.6146417708212381E-2</v>
      </c>
      <c r="F56" s="46">
        <v>9.3367785628407599E-2</v>
      </c>
      <c r="G56" s="46">
        <v>8.5741970417691868E-2</v>
      </c>
    </row>
    <row r="57" spans="1:7" x14ac:dyDescent="0.3">
      <c r="A57" s="12" t="s">
        <v>34</v>
      </c>
      <c r="B57" s="46">
        <v>9.6878856382813419E-2</v>
      </c>
      <c r="C57" s="46">
        <v>9.9189208760162767E-2</v>
      </c>
      <c r="D57" s="46">
        <v>0.10184926208870121</v>
      </c>
      <c r="E57" s="46">
        <v>8.162314596743131E-2</v>
      </c>
      <c r="F57" s="46">
        <v>7.7601385019272301E-2</v>
      </c>
      <c r="G57" s="46">
        <v>8.1554618420958083E-2</v>
      </c>
    </row>
    <row r="58" spans="1:7" x14ac:dyDescent="0.3">
      <c r="A58" s="12" t="s">
        <v>35</v>
      </c>
      <c r="B58" s="46">
        <v>8.8321648104005307E-2</v>
      </c>
      <c r="C58" s="46">
        <v>6.8231650547270595E-2</v>
      </c>
      <c r="D58" s="46">
        <v>0.10138094885392369</v>
      </c>
      <c r="E58" s="46">
        <v>7.5282517719616596E-2</v>
      </c>
      <c r="F58" s="46">
        <v>7.6171986699522645E-2</v>
      </c>
      <c r="G58" s="46">
        <v>8.0785729914885446E-2</v>
      </c>
    </row>
    <row r="59" spans="1:7" x14ac:dyDescent="0.3">
      <c r="A59" s="12" t="s">
        <v>94</v>
      </c>
      <c r="B59" s="46">
        <v>9.1576467411106838E-2</v>
      </c>
      <c r="C59" s="46">
        <v>8.8651627056125934E-2</v>
      </c>
      <c r="D59" s="46">
        <v>8.7897610174035301E-2</v>
      </c>
      <c r="E59" s="46">
        <v>8.600053999976906E-2</v>
      </c>
      <c r="F59" s="46">
        <v>9.4847128411234383E-2</v>
      </c>
      <c r="G59" s="46">
        <v>9.2780307763624142E-2</v>
      </c>
    </row>
    <row r="60" spans="1:7" x14ac:dyDescent="0.3">
      <c r="A60" s="12" t="s">
        <v>46</v>
      </c>
      <c r="B60" s="46">
        <v>7.1805375607782676E-2</v>
      </c>
      <c r="C60" s="46">
        <v>6.9334981978890362E-2</v>
      </c>
      <c r="D60" s="46">
        <v>7.2591228640049646E-2</v>
      </c>
      <c r="E60" s="46">
        <v>6.667726162753651E-2</v>
      </c>
      <c r="F60" s="46">
        <v>7.7892121994973681E-2</v>
      </c>
      <c r="G60" s="46">
        <v>7.9428577274059539E-2</v>
      </c>
    </row>
    <row r="61" spans="1:7" x14ac:dyDescent="0.3">
      <c r="A61" s="12" t="s">
        <v>44</v>
      </c>
      <c r="B61" s="46">
        <v>6.824604603133716E-2</v>
      </c>
      <c r="C61" s="46">
        <v>8.0217124555743494E-2</v>
      </c>
      <c r="D61" s="46">
        <v>6.347568992788373E-2</v>
      </c>
      <c r="E61" s="46">
        <v>5.544274858319434E-2</v>
      </c>
      <c r="F61" s="46">
        <v>6.8284507494555474E-2</v>
      </c>
      <c r="G61" s="46">
        <v>6.4557829115953674E-2</v>
      </c>
    </row>
    <row r="62" spans="1:7" x14ac:dyDescent="0.3">
      <c r="A62" s="12" t="s">
        <v>36</v>
      </c>
      <c r="B62" s="46">
        <v>8.2538779583658919E-2</v>
      </c>
      <c r="C62" s="46">
        <v>7.7222143386635855E-2</v>
      </c>
      <c r="D62" s="46">
        <v>7.2785141287906363E-2</v>
      </c>
      <c r="E62" s="46">
        <v>6.9737832069083211E-2</v>
      </c>
      <c r="F62" s="46">
        <v>6.7758252479470052E-2</v>
      </c>
      <c r="G62" s="46">
        <v>7.6692789973001121E-2</v>
      </c>
    </row>
    <row r="63" spans="1:7" x14ac:dyDescent="0.3">
      <c r="A63" s="12" t="s">
        <v>54</v>
      </c>
      <c r="B63" s="46">
        <v>0.10166079837727367</v>
      </c>
      <c r="C63" s="46">
        <v>7.0251776358637746E-2</v>
      </c>
      <c r="D63" s="46">
        <v>7.4715367988885881E-2</v>
      </c>
      <c r="E63" s="46">
        <v>7.8244664675199041E-2</v>
      </c>
      <c r="F63" s="46">
        <v>8.3983009061095182E-2</v>
      </c>
      <c r="G63" s="46">
        <v>9.1256275470341222E-2</v>
      </c>
    </row>
    <row r="64" spans="1:7" x14ac:dyDescent="0.3">
      <c r="A64" s="12" t="s">
        <v>23</v>
      </c>
      <c r="B64" s="46">
        <v>7.0757794716593742E-2</v>
      </c>
      <c r="C64" s="46">
        <v>8.3833276863711698E-2</v>
      </c>
      <c r="D64" s="46">
        <v>8.3822773915745594E-2</v>
      </c>
      <c r="E64" s="46">
        <v>8.310384462791981E-2</v>
      </c>
      <c r="F64" s="46">
        <v>8.3777791819393085E-2</v>
      </c>
      <c r="G64" s="46">
        <v>8.3137423527257101E-2</v>
      </c>
    </row>
    <row r="65" spans="1:7" x14ac:dyDescent="0.3">
      <c r="A65" s="12" t="s">
        <v>49</v>
      </c>
      <c r="B65" s="46">
        <v>8.3251858909024937E-2</v>
      </c>
      <c r="C65" s="46">
        <v>9.0308143597066459E-2</v>
      </c>
      <c r="D65" s="46">
        <v>7.3310044404008179E-2</v>
      </c>
      <c r="E65" s="46">
        <v>6.6190355194752734E-2</v>
      </c>
      <c r="F65" s="46">
        <v>8.1815323144393493E-2</v>
      </c>
      <c r="G65" s="46">
        <v>7.2687801906704624E-2</v>
      </c>
    </row>
    <row r="66" spans="1:7" x14ac:dyDescent="0.3">
      <c r="A66" s="12" t="s">
        <v>24</v>
      </c>
      <c r="B66" s="46">
        <v>8.7484908010095966E-2</v>
      </c>
      <c r="C66" s="46">
        <v>8.016008404790799E-2</v>
      </c>
      <c r="D66" s="46">
        <v>7.2829277643513574E-2</v>
      </c>
      <c r="E66" s="46">
        <v>7.1819630533474468E-2</v>
      </c>
      <c r="F66" s="46">
        <v>6.0675694324536025E-2</v>
      </c>
      <c r="G66" s="46">
        <v>5.8763450804239253E-2</v>
      </c>
    </row>
    <row r="67" spans="1:7" x14ac:dyDescent="0.3">
      <c r="A67" s="12" t="s">
        <v>68</v>
      </c>
      <c r="B67" s="46">
        <v>7.5249476775428856E-2</v>
      </c>
      <c r="C67" s="46">
        <v>7.8335038560091955E-2</v>
      </c>
      <c r="D67" s="46">
        <v>7.2777686499307298E-2</v>
      </c>
      <c r="E67" s="46">
        <v>9.1957232056987803E-2</v>
      </c>
      <c r="F67" s="46">
        <v>8.6313875754242181E-2</v>
      </c>
      <c r="G67" s="46">
        <v>8.2257897416609008E-2</v>
      </c>
    </row>
    <row r="68" spans="1:7" x14ac:dyDescent="0.3">
      <c r="A68" s="12" t="s">
        <v>41</v>
      </c>
      <c r="B68" s="46">
        <v>7.4436322107651456E-2</v>
      </c>
      <c r="C68" s="46">
        <v>8.0438520529245119E-2</v>
      </c>
      <c r="D68" s="46">
        <v>8.2893475344550521E-2</v>
      </c>
      <c r="E68" s="46">
        <v>6.5698485654380148E-2</v>
      </c>
      <c r="F68" s="46">
        <v>6.9701112050845726E-2</v>
      </c>
      <c r="G68" s="46">
        <v>6.6247096284719309E-2</v>
      </c>
    </row>
    <row r="69" spans="1:7" x14ac:dyDescent="0.3">
      <c r="A69" s="12" t="s">
        <v>172</v>
      </c>
      <c r="B69" s="46">
        <v>7.9206239997854075E-2</v>
      </c>
      <c r="C69" s="46">
        <v>7.0353760527695333E-2</v>
      </c>
      <c r="D69" s="46">
        <v>7.5519995226268982E-2</v>
      </c>
      <c r="E69" s="46">
        <v>6.4030344727264737E-2</v>
      </c>
      <c r="F69" s="46">
        <v>7.5140092971950317E-2</v>
      </c>
      <c r="G69" s="46">
        <v>7.4747149557746723E-2</v>
      </c>
    </row>
    <row r="70" spans="1:7" x14ac:dyDescent="0.3">
      <c r="A70" s="12" t="s">
        <v>55</v>
      </c>
      <c r="B70" s="46">
        <v>8.2441526120139053E-2</v>
      </c>
      <c r="C70" s="46">
        <v>8.7370656903594981E-2</v>
      </c>
      <c r="D70" s="46">
        <v>7.2455601843703629E-2</v>
      </c>
      <c r="E70" s="46">
        <v>6.7128377750925797E-2</v>
      </c>
      <c r="F70" s="46">
        <v>6.8483227977680056E-2</v>
      </c>
      <c r="G70" s="46">
        <v>6.9287342542803096E-2</v>
      </c>
    </row>
    <row r="71" spans="1:7" x14ac:dyDescent="0.3">
      <c r="A71" s="12" t="s">
        <v>16</v>
      </c>
      <c r="B71" s="46">
        <v>7.0839454591342055E-2</v>
      </c>
      <c r="C71" s="46">
        <v>5.5927807195265154E-2</v>
      </c>
      <c r="D71" s="46">
        <v>7.8616078087872743E-2</v>
      </c>
      <c r="E71" s="46">
        <v>5.9675604443765434E-2</v>
      </c>
      <c r="F71" s="46">
        <v>7.1669819159545775E-2</v>
      </c>
      <c r="G71" s="46">
        <v>7.5019349134445037E-2</v>
      </c>
    </row>
    <row r="72" spans="1:7" x14ac:dyDescent="0.3">
      <c r="A72" s="12" t="s">
        <v>19</v>
      </c>
      <c r="B72" s="46">
        <v>8.1082800404035982E-2</v>
      </c>
      <c r="C72" s="46">
        <v>7.6567487501842266E-2</v>
      </c>
      <c r="D72" s="46">
        <v>7.4647899187308311E-2</v>
      </c>
      <c r="E72" s="46">
        <v>6.1325508820083051E-2</v>
      </c>
      <c r="F72" s="46">
        <v>7.2906365965160952E-2</v>
      </c>
      <c r="G72" s="46">
        <v>7.4460357026695748E-2</v>
      </c>
    </row>
    <row r="73" spans="1:7" x14ac:dyDescent="0.3">
      <c r="A73" s="12" t="s">
        <v>17</v>
      </c>
      <c r="B73" s="46">
        <v>7.9120950464457898E-2</v>
      </c>
      <c r="C73" s="46">
        <v>7.5694841144222105E-2</v>
      </c>
      <c r="D73" s="46">
        <v>8.2539615469107458E-2</v>
      </c>
      <c r="E73" s="46">
        <v>5.7359851625792622E-2</v>
      </c>
      <c r="F73" s="46">
        <v>7.3895996526611663E-2</v>
      </c>
      <c r="G73" s="46">
        <v>6.1481385485724308E-2</v>
      </c>
    </row>
    <row r="74" spans="1:7" x14ac:dyDescent="0.3">
      <c r="A74" s="12" t="s">
        <v>60</v>
      </c>
      <c r="B74" s="46">
        <v>8.0500519001722337E-2</v>
      </c>
      <c r="C74" s="46">
        <v>5.6350664362972633E-2</v>
      </c>
      <c r="D74" s="46">
        <v>5.8067386380750478E-2</v>
      </c>
      <c r="E74" s="46">
        <v>7.3586052459356954E-2</v>
      </c>
      <c r="F74" s="46">
        <v>8.7839107831833088E-2</v>
      </c>
      <c r="G74" s="46">
        <v>0.1032772214918012</v>
      </c>
    </row>
    <row r="75" spans="1:7" x14ac:dyDescent="0.3">
      <c r="A75" s="12" t="s">
        <v>174</v>
      </c>
      <c r="B75" s="46">
        <v>8.4770230370868185E-2</v>
      </c>
      <c r="C75" s="46">
        <v>8.9585576418946947E-2</v>
      </c>
      <c r="D75" s="46">
        <v>7.2862715860957175E-2</v>
      </c>
      <c r="E75" s="46">
        <v>6.0862534839575447E-2</v>
      </c>
      <c r="F75" s="46">
        <v>6.0702817181726001E-2</v>
      </c>
      <c r="G75" s="46">
        <v>7.7775470676783948E-2</v>
      </c>
    </row>
    <row r="76" spans="1:7" x14ac:dyDescent="0.3">
      <c r="A76" s="12" t="s">
        <v>82</v>
      </c>
      <c r="B76" s="46">
        <v>8.8526955325466616E-2</v>
      </c>
      <c r="C76" s="46">
        <v>7.9140085591562367E-2</v>
      </c>
      <c r="D76" s="46">
        <v>7.3018242738687428E-2</v>
      </c>
      <c r="E76" s="46">
        <v>7.2745718891956052E-2</v>
      </c>
      <c r="F76" s="46">
        <v>8.4432581943464161E-2</v>
      </c>
      <c r="G76" s="46">
        <v>7.5999885078964963E-2</v>
      </c>
    </row>
    <row r="77" spans="1:7" x14ac:dyDescent="0.3">
      <c r="A77" s="12" t="s">
        <v>172</v>
      </c>
      <c r="B77" s="46">
        <v>8.8368523293793397E-2</v>
      </c>
      <c r="C77" s="46">
        <v>8.5221674171818057E-2</v>
      </c>
      <c r="D77" s="46">
        <v>8.1728456361455246E-2</v>
      </c>
      <c r="E77" s="46">
        <v>7.4997823841265646E-2</v>
      </c>
      <c r="F77" s="46">
        <v>7.8103265986150902E-2</v>
      </c>
      <c r="G77" s="46">
        <v>8.0041639347249185E-2</v>
      </c>
    </row>
    <row r="78" spans="1:7" x14ac:dyDescent="0.3">
      <c r="A78" s="12" t="s">
        <v>58</v>
      </c>
      <c r="B78" s="46">
        <v>9.8984960902744404E-2</v>
      </c>
      <c r="C78" s="46">
        <v>9.361082179609205E-2</v>
      </c>
      <c r="D78" s="46">
        <v>9.2070397896294717E-2</v>
      </c>
      <c r="E78" s="46">
        <v>8.3556092394441048E-2</v>
      </c>
      <c r="F78" s="46">
        <v>9.5479675077098328E-2</v>
      </c>
      <c r="G78" s="46">
        <v>9.0467948197025125E-2</v>
      </c>
    </row>
    <row r="79" spans="1:7" x14ac:dyDescent="0.3">
      <c r="A79" s="12" t="s">
        <v>14</v>
      </c>
      <c r="B79" s="46">
        <v>0.12233139120251259</v>
      </c>
      <c r="C79" s="46">
        <v>0.12269792674309865</v>
      </c>
      <c r="D79" s="46">
        <v>0.1175853897929834</v>
      </c>
      <c r="E79" s="46">
        <v>0.12103433413816331</v>
      </c>
      <c r="F79" s="46">
        <v>0.11771534240095977</v>
      </c>
      <c r="G79" s="46">
        <v>0.12268733507766828</v>
      </c>
    </row>
    <row r="80" spans="1:7" x14ac:dyDescent="0.3">
      <c r="A80" s="12" t="s">
        <v>77</v>
      </c>
      <c r="B80" s="46">
        <v>8.1403282806595409E-2</v>
      </c>
      <c r="C80" s="46">
        <v>8.5965196625142626E-2</v>
      </c>
      <c r="D80" s="46">
        <v>8.8052121177360068E-2</v>
      </c>
      <c r="E80" s="46">
        <v>7.8288143101754443E-2</v>
      </c>
      <c r="F80" s="46">
        <v>8.3696562447949499E-2</v>
      </c>
      <c r="G80" s="46">
        <v>8.6981016045606332E-2</v>
      </c>
    </row>
    <row r="81" spans="1:7" x14ac:dyDescent="0.3">
      <c r="A81" s="12" t="s">
        <v>12</v>
      </c>
      <c r="B81" s="46">
        <v>9.1417929971732731E-2</v>
      </c>
      <c r="C81" s="46">
        <v>7.7950414566505768E-2</v>
      </c>
      <c r="D81" s="46">
        <v>7.5652019940769408E-2</v>
      </c>
      <c r="E81" s="46">
        <v>6.4323375683172659E-2</v>
      </c>
      <c r="F81" s="46">
        <v>6.9111042231543213E-2</v>
      </c>
      <c r="G81" s="46">
        <v>8.0226702300621747E-2</v>
      </c>
    </row>
    <row r="82" spans="1:7" x14ac:dyDescent="0.3">
      <c r="A82" s="12" t="s">
        <v>61</v>
      </c>
      <c r="B82" s="46">
        <v>8.3509953573543974E-2</v>
      </c>
      <c r="C82" s="46">
        <v>8.5672861092529196E-2</v>
      </c>
      <c r="D82" s="46">
        <v>8.5441657251527178E-2</v>
      </c>
      <c r="E82" s="46">
        <v>7.9417127574064966E-2</v>
      </c>
      <c r="F82" s="46">
        <v>7.2050000320237131E-2</v>
      </c>
      <c r="G82" s="46">
        <v>7.8110911192437738E-2</v>
      </c>
    </row>
    <row r="83" spans="1:7" x14ac:dyDescent="0.3">
      <c r="A83" s="12" t="s">
        <v>72</v>
      </c>
      <c r="B83" s="46">
        <v>0.1101444057297627</v>
      </c>
      <c r="C83" s="46">
        <v>0.10432506809297212</v>
      </c>
      <c r="D83" s="46">
        <v>8.6279257195900558E-2</v>
      </c>
      <c r="E83" s="46">
        <v>8.9305733126427977E-2</v>
      </c>
      <c r="F83" s="46">
        <v>9.672639078766776E-2</v>
      </c>
      <c r="G83" s="46">
        <v>9.4420270293086583E-2</v>
      </c>
    </row>
    <row r="84" spans="1:7" x14ac:dyDescent="0.3">
      <c r="A84" s="12" t="s">
        <v>76</v>
      </c>
      <c r="B84" s="46">
        <v>9.6562557089376277E-2</v>
      </c>
      <c r="C84" s="46">
        <v>8.2813439778711917E-2</v>
      </c>
      <c r="D84" s="46">
        <v>8.0182862311241193E-2</v>
      </c>
      <c r="E84" s="46">
        <v>7.6177570895997374E-2</v>
      </c>
      <c r="F84" s="46">
        <v>7.5734239222026267E-2</v>
      </c>
      <c r="G84" s="46">
        <v>8.8933590577677121E-2</v>
      </c>
    </row>
    <row r="85" spans="1:7" x14ac:dyDescent="0.3">
      <c r="A85" s="12" t="s">
        <v>6</v>
      </c>
      <c r="B85" s="46">
        <v>8.0102866504954504E-2</v>
      </c>
      <c r="C85" s="46">
        <v>8.6856170474052627E-2</v>
      </c>
      <c r="D85" s="46">
        <v>7.966445918446001E-2</v>
      </c>
      <c r="E85" s="46">
        <v>6.3645998645276716E-2</v>
      </c>
      <c r="F85" s="46">
        <v>7.4583458145910067E-2</v>
      </c>
      <c r="G85" s="46">
        <v>6.2725120770778534E-2</v>
      </c>
    </row>
    <row r="86" spans="1:7" x14ac:dyDescent="0.3">
      <c r="A86" s="12" t="s">
        <v>64</v>
      </c>
      <c r="B86" s="46">
        <v>6.6876927544593956E-2</v>
      </c>
      <c r="C86" s="46">
        <v>6.0550922136730315E-2</v>
      </c>
      <c r="D86" s="46">
        <v>6.69362705314335E-2</v>
      </c>
      <c r="E86" s="46">
        <v>6.5134956439832303E-2</v>
      </c>
      <c r="F86" s="46">
        <v>7.0073623391538428E-2</v>
      </c>
      <c r="G86" s="46">
        <v>6.7575982528573539E-2</v>
      </c>
    </row>
    <row r="87" spans="1:7" x14ac:dyDescent="0.3">
      <c r="A87" s="12" t="s">
        <v>5</v>
      </c>
      <c r="B87" s="46">
        <v>8.8806043544629981E-2</v>
      </c>
      <c r="C87" s="46">
        <v>9.4746392607984994E-2</v>
      </c>
      <c r="D87" s="46">
        <v>9.1953678669743355E-2</v>
      </c>
      <c r="E87" s="46">
        <v>7.5286248906913905E-2</v>
      </c>
      <c r="F87" s="46">
        <v>8.2464887947987633E-2</v>
      </c>
      <c r="G87" s="46">
        <v>8.0209420050688165E-2</v>
      </c>
    </row>
    <row r="88" spans="1:7" x14ac:dyDescent="0.3">
      <c r="A88" s="12" t="s">
        <v>172</v>
      </c>
      <c r="B88" s="46">
        <v>9.1729724867700868E-2</v>
      </c>
      <c r="C88" s="46">
        <v>8.5760958329425416E-2</v>
      </c>
      <c r="D88" s="46">
        <v>8.4949684176005888E-2</v>
      </c>
      <c r="E88" s="46">
        <v>7.7753502743890021E-2</v>
      </c>
      <c r="F88" s="46">
        <v>7.8622516001118817E-2</v>
      </c>
      <c r="G88" s="46">
        <v>7.8435476006576021E-2</v>
      </c>
    </row>
    <row r="89" spans="1:7" x14ac:dyDescent="0.3">
      <c r="A89" s="12" t="s">
        <v>1</v>
      </c>
      <c r="B89" s="46">
        <v>9.0626375606983944E-2</v>
      </c>
      <c r="C89" s="46">
        <v>9.1716809496997079E-2</v>
      </c>
      <c r="D89" s="46">
        <v>9.4003677191214177E-2</v>
      </c>
      <c r="E89" s="46">
        <v>7.3140026050162191E-2</v>
      </c>
      <c r="F89" s="46">
        <v>8.5939375704533472E-2</v>
      </c>
      <c r="G89" s="46">
        <v>7.5739149151677454E-2</v>
      </c>
    </row>
    <row r="90" spans="1:7" x14ac:dyDescent="0.3">
      <c r="A90" s="12" t="s">
        <v>62</v>
      </c>
      <c r="B90" s="46">
        <v>0.10620860419947561</v>
      </c>
      <c r="C90" s="46">
        <v>0.10443865509763346</v>
      </c>
      <c r="D90" s="46">
        <v>9.6121977467081815E-2</v>
      </c>
      <c r="E90" s="46">
        <v>9.7832541292692324E-2</v>
      </c>
      <c r="F90" s="46">
        <v>8.9031743019138479E-2</v>
      </c>
      <c r="G90" s="46">
        <v>8.3214532260699331E-2</v>
      </c>
    </row>
    <row r="91" spans="1:7" x14ac:dyDescent="0.3">
      <c r="A91" s="12" t="s">
        <v>57</v>
      </c>
      <c r="B91" s="46">
        <v>9.3828701025616704E-2</v>
      </c>
      <c r="C91" s="46">
        <v>9.4219769654034474E-2</v>
      </c>
      <c r="D91" s="46">
        <v>8.5625152799654408E-2</v>
      </c>
      <c r="E91" s="46">
        <v>8.213064798192736E-2</v>
      </c>
      <c r="F91" s="46">
        <v>7.3184710885158266E-2</v>
      </c>
      <c r="G91" s="46">
        <v>7.5574364360221261E-2</v>
      </c>
    </row>
    <row r="92" spans="1:7" x14ac:dyDescent="0.3">
      <c r="A92" s="12" t="s">
        <v>9</v>
      </c>
      <c r="B92" s="46">
        <v>7.5100286271033517E-2</v>
      </c>
      <c r="C92" s="46">
        <v>7.6097319431355295E-2</v>
      </c>
      <c r="D92" s="46">
        <v>6.872797127986198E-2</v>
      </c>
      <c r="E92" s="46">
        <v>6.6179648503068941E-2</v>
      </c>
      <c r="F92" s="46">
        <v>8.1259502967649985E-2</v>
      </c>
      <c r="G92" s="46">
        <v>7.7622786486531384E-2</v>
      </c>
    </row>
    <row r="93" spans="1:7" x14ac:dyDescent="0.3">
      <c r="A93" s="12" t="s">
        <v>10</v>
      </c>
      <c r="B93" s="46">
        <v>9.0365227396475595E-2</v>
      </c>
      <c r="C93" s="46">
        <v>6.9388533876108022E-2</v>
      </c>
      <c r="D93" s="46">
        <v>8.171133333080885E-2</v>
      </c>
      <c r="E93" s="46">
        <v>8.2227801770259928E-2</v>
      </c>
      <c r="F93" s="46">
        <v>7.6689066996513511E-2</v>
      </c>
      <c r="G93" s="46">
        <v>7.5301819803702832E-2</v>
      </c>
    </row>
    <row r="94" spans="1:7" x14ac:dyDescent="0.3">
      <c r="A94" s="12" t="s">
        <v>75</v>
      </c>
      <c r="B94" s="46">
        <v>0.10071336788865548</v>
      </c>
      <c r="C94" s="46">
        <v>9.4814923410453333E-2</v>
      </c>
      <c r="D94" s="46">
        <v>9.1975624190458613E-2</v>
      </c>
      <c r="E94" s="46">
        <v>7.6111116110170893E-2</v>
      </c>
      <c r="F94" s="46">
        <v>8.6765861546682116E-2</v>
      </c>
      <c r="G94" s="46">
        <v>9.3984146009116143E-2</v>
      </c>
    </row>
    <row r="95" spans="1:7" x14ac:dyDescent="0.3">
      <c r="A95" s="12" t="s">
        <v>73</v>
      </c>
      <c r="B95" s="46">
        <v>8.3670389076517693E-2</v>
      </c>
      <c r="C95" s="46">
        <v>9.014199694498426E-2</v>
      </c>
      <c r="D95" s="46">
        <v>7.0434542358821892E-2</v>
      </c>
      <c r="E95" s="46">
        <v>5.9332959364750512E-2</v>
      </c>
      <c r="F95" s="46">
        <v>5.8520197730155932E-2</v>
      </c>
      <c r="G95" s="46">
        <v>6.2688891796135252E-2</v>
      </c>
    </row>
    <row r="96" spans="1:7" x14ac:dyDescent="0.3">
      <c r="A96" s="12" t="s">
        <v>8</v>
      </c>
      <c r="B96" s="46">
        <v>6.5750760726027216E-2</v>
      </c>
      <c r="C96" s="46">
        <v>7.3537183609506784E-2</v>
      </c>
      <c r="D96" s="46">
        <v>8.1259853172226754E-2</v>
      </c>
      <c r="E96" s="46">
        <v>6.8712007380145157E-2</v>
      </c>
      <c r="F96" s="46">
        <v>6.5480698198462403E-2</v>
      </c>
      <c r="G96" s="46">
        <v>6.8460647645304726E-2</v>
      </c>
    </row>
    <row r="97" spans="1:7" x14ac:dyDescent="0.3">
      <c r="A97" s="12" t="s">
        <v>3</v>
      </c>
      <c r="B97" s="46">
        <v>7.6418367607668208E-2</v>
      </c>
      <c r="C97" s="46">
        <v>7.5992076288960542E-2</v>
      </c>
      <c r="D97" s="46">
        <v>7.8935464457923321E-2</v>
      </c>
      <c r="E97" s="46">
        <v>6.8569482339985333E-2</v>
      </c>
      <c r="F97" s="46">
        <v>7.4974577863858263E-2</v>
      </c>
      <c r="G97" s="46">
        <v>7.1943515101365652E-2</v>
      </c>
    </row>
    <row r="98" spans="1:7" x14ac:dyDescent="0.3">
      <c r="A98" s="12" t="s">
        <v>74</v>
      </c>
      <c r="B98" s="46">
        <v>9.4983826929258081E-2</v>
      </c>
      <c r="C98" s="46">
        <v>0.10268610885608781</v>
      </c>
      <c r="D98" s="46">
        <v>8.5348792337211876E-2</v>
      </c>
      <c r="E98" s="46">
        <v>6.7532404553127867E-2</v>
      </c>
      <c r="F98" s="46">
        <v>8.2435517436765138E-2</v>
      </c>
      <c r="G98" s="46">
        <v>8.3106767422567285E-2</v>
      </c>
    </row>
    <row r="99" spans="1:7" x14ac:dyDescent="0.3">
      <c r="A99" s="12" t="s">
        <v>18</v>
      </c>
      <c r="B99" s="46">
        <v>8.3377307336992973E-2</v>
      </c>
      <c r="C99" s="46">
        <v>6.705664990844093E-2</v>
      </c>
      <c r="D99" s="46">
        <v>5.0967137485447553E-2</v>
      </c>
      <c r="E99" s="46">
        <v>4.8437527532868271E-2</v>
      </c>
      <c r="F99" s="46">
        <v>4.7491822429995452E-2</v>
      </c>
      <c r="G99" s="46">
        <v>5.7211613540407796E-2</v>
      </c>
    </row>
  </sheetData>
  <autoFilter ref="A3:G98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232A5-87BF-458A-B13A-394DF0E045BC}">
  <sheetPr codeName="Лист27">
    <tabColor theme="4" tint="0.79998168889431442"/>
    <pageSetUpPr fitToPage="1"/>
  </sheetPr>
  <dimension ref="A1:AG101"/>
  <sheetViews>
    <sheetView showGridLines="0" workbookViewId="0"/>
  </sheetViews>
  <sheetFormatPr defaultRowHeight="16.5" x14ac:dyDescent="0.3"/>
  <cols>
    <col min="1" max="1" width="89.7109375" style="9" customWidth="1"/>
    <col min="2" max="7" width="9.85546875" style="4" bestFit="1" customWidth="1"/>
    <col min="9" max="9" width="89.7109375" style="9" customWidth="1"/>
    <col min="10" max="15" width="9.85546875" style="4" bestFit="1" customWidth="1"/>
    <col min="16" max="16" width="9.140625" style="4"/>
    <col min="17" max="17" width="89.7109375" style="9" customWidth="1"/>
    <col min="18" max="18" width="13.140625" style="52" bestFit="1" customWidth="1"/>
    <col min="19" max="23" width="14.140625" style="52" bestFit="1" customWidth="1"/>
    <col min="24" max="262" width="9.140625" style="4"/>
    <col min="263" max="263" width="108.5703125" style="4" customWidth="1"/>
    <col min="264" max="264" width="1.5703125" style="4" customWidth="1"/>
    <col min="265" max="265" width="6" style="4" customWidth="1"/>
    <col min="266" max="518" width="9.140625" style="4"/>
    <col min="519" max="519" width="108.5703125" style="4" customWidth="1"/>
    <col min="520" max="520" width="1.5703125" style="4" customWidth="1"/>
    <col min="521" max="521" width="6" style="4" customWidth="1"/>
    <col min="522" max="774" width="9.140625" style="4"/>
    <col min="775" max="775" width="108.5703125" style="4" customWidth="1"/>
    <col min="776" max="776" width="1.5703125" style="4" customWidth="1"/>
    <col min="777" max="777" width="6" style="4" customWidth="1"/>
    <col min="778" max="1030" width="9.140625" style="4"/>
    <col min="1031" max="1031" width="108.5703125" style="4" customWidth="1"/>
    <col min="1032" max="1032" width="1.5703125" style="4" customWidth="1"/>
    <col min="1033" max="1033" width="6" style="4" customWidth="1"/>
    <col min="1034" max="1286" width="9.140625" style="4"/>
    <col min="1287" max="1287" width="108.5703125" style="4" customWidth="1"/>
    <col min="1288" max="1288" width="1.5703125" style="4" customWidth="1"/>
    <col min="1289" max="1289" width="6" style="4" customWidth="1"/>
    <col min="1290" max="1542" width="9.140625" style="4"/>
    <col min="1543" max="1543" width="108.5703125" style="4" customWidth="1"/>
    <col min="1544" max="1544" width="1.5703125" style="4" customWidth="1"/>
    <col min="1545" max="1545" width="6" style="4" customWidth="1"/>
    <col min="1546" max="1798" width="9.140625" style="4"/>
    <col min="1799" max="1799" width="108.5703125" style="4" customWidth="1"/>
    <col min="1800" max="1800" width="1.5703125" style="4" customWidth="1"/>
    <col min="1801" max="1801" width="6" style="4" customWidth="1"/>
    <col min="1802" max="2054" width="9.140625" style="4"/>
    <col min="2055" max="2055" width="108.5703125" style="4" customWidth="1"/>
    <col min="2056" max="2056" width="1.5703125" style="4" customWidth="1"/>
    <col min="2057" max="2057" width="6" style="4" customWidth="1"/>
    <col min="2058" max="2310" width="9.140625" style="4"/>
    <col min="2311" max="2311" width="108.5703125" style="4" customWidth="1"/>
    <col min="2312" max="2312" width="1.5703125" style="4" customWidth="1"/>
    <col min="2313" max="2313" width="6" style="4" customWidth="1"/>
    <col min="2314" max="2566" width="9.140625" style="4"/>
    <col min="2567" max="2567" width="108.5703125" style="4" customWidth="1"/>
    <col min="2568" max="2568" width="1.5703125" style="4" customWidth="1"/>
    <col min="2569" max="2569" width="6" style="4" customWidth="1"/>
    <col min="2570" max="2822" width="9.140625" style="4"/>
    <col min="2823" max="2823" width="108.5703125" style="4" customWidth="1"/>
    <col min="2824" max="2824" width="1.5703125" style="4" customWidth="1"/>
    <col min="2825" max="2825" width="6" style="4" customWidth="1"/>
    <col min="2826" max="3078" width="9.140625" style="4"/>
    <col min="3079" max="3079" width="108.5703125" style="4" customWidth="1"/>
    <col min="3080" max="3080" width="1.5703125" style="4" customWidth="1"/>
    <col min="3081" max="3081" width="6" style="4" customWidth="1"/>
    <col min="3082" max="3334" width="9.140625" style="4"/>
    <col min="3335" max="3335" width="108.5703125" style="4" customWidth="1"/>
    <col min="3336" max="3336" width="1.5703125" style="4" customWidth="1"/>
    <col min="3337" max="3337" width="6" style="4" customWidth="1"/>
    <col min="3338" max="3590" width="9.140625" style="4"/>
    <col min="3591" max="3591" width="108.5703125" style="4" customWidth="1"/>
    <col min="3592" max="3592" width="1.5703125" style="4" customWidth="1"/>
    <col min="3593" max="3593" width="6" style="4" customWidth="1"/>
    <col min="3594" max="3846" width="9.140625" style="4"/>
    <col min="3847" max="3847" width="108.5703125" style="4" customWidth="1"/>
    <col min="3848" max="3848" width="1.5703125" style="4" customWidth="1"/>
    <col min="3849" max="3849" width="6" style="4" customWidth="1"/>
    <col min="3850" max="4102" width="9.140625" style="4"/>
    <col min="4103" max="4103" width="108.5703125" style="4" customWidth="1"/>
    <col min="4104" max="4104" width="1.5703125" style="4" customWidth="1"/>
    <col min="4105" max="4105" width="6" style="4" customWidth="1"/>
    <col min="4106" max="4358" width="9.140625" style="4"/>
    <col min="4359" max="4359" width="108.5703125" style="4" customWidth="1"/>
    <col min="4360" max="4360" width="1.5703125" style="4" customWidth="1"/>
    <col min="4361" max="4361" width="6" style="4" customWidth="1"/>
    <col min="4362" max="4614" width="9.140625" style="4"/>
    <col min="4615" max="4615" width="108.5703125" style="4" customWidth="1"/>
    <col min="4616" max="4616" width="1.5703125" style="4" customWidth="1"/>
    <col min="4617" max="4617" width="6" style="4" customWidth="1"/>
    <col min="4618" max="4870" width="9.140625" style="4"/>
    <col min="4871" max="4871" width="108.5703125" style="4" customWidth="1"/>
    <col min="4872" max="4872" width="1.5703125" style="4" customWidth="1"/>
    <col min="4873" max="4873" width="6" style="4" customWidth="1"/>
    <col min="4874" max="5126" width="9.140625" style="4"/>
    <col min="5127" max="5127" width="108.5703125" style="4" customWidth="1"/>
    <col min="5128" max="5128" width="1.5703125" style="4" customWidth="1"/>
    <col min="5129" max="5129" width="6" style="4" customWidth="1"/>
    <col min="5130" max="5382" width="9.140625" style="4"/>
    <col min="5383" max="5383" width="108.5703125" style="4" customWidth="1"/>
    <col min="5384" max="5384" width="1.5703125" style="4" customWidth="1"/>
    <col min="5385" max="5385" width="6" style="4" customWidth="1"/>
    <col min="5386" max="5638" width="9.140625" style="4"/>
    <col min="5639" max="5639" width="108.5703125" style="4" customWidth="1"/>
    <col min="5640" max="5640" width="1.5703125" style="4" customWidth="1"/>
    <col min="5641" max="5641" width="6" style="4" customWidth="1"/>
    <col min="5642" max="5894" width="9.140625" style="4"/>
    <col min="5895" max="5895" width="108.5703125" style="4" customWidth="1"/>
    <col min="5896" max="5896" width="1.5703125" style="4" customWidth="1"/>
    <col min="5897" max="5897" width="6" style="4" customWidth="1"/>
    <col min="5898" max="6150" width="9.140625" style="4"/>
    <col min="6151" max="6151" width="108.5703125" style="4" customWidth="1"/>
    <col min="6152" max="6152" width="1.5703125" style="4" customWidth="1"/>
    <col min="6153" max="6153" width="6" style="4" customWidth="1"/>
    <col min="6154" max="6406" width="9.140625" style="4"/>
    <col min="6407" max="6407" width="108.5703125" style="4" customWidth="1"/>
    <col min="6408" max="6408" width="1.5703125" style="4" customWidth="1"/>
    <col min="6409" max="6409" width="6" style="4" customWidth="1"/>
    <col min="6410" max="6662" width="9.140625" style="4"/>
    <col min="6663" max="6663" width="108.5703125" style="4" customWidth="1"/>
    <col min="6664" max="6664" width="1.5703125" style="4" customWidth="1"/>
    <col min="6665" max="6665" width="6" style="4" customWidth="1"/>
    <col min="6666" max="6918" width="9.140625" style="4"/>
    <col min="6919" max="6919" width="108.5703125" style="4" customWidth="1"/>
    <col min="6920" max="6920" width="1.5703125" style="4" customWidth="1"/>
    <col min="6921" max="6921" width="6" style="4" customWidth="1"/>
    <col min="6922" max="7174" width="9.140625" style="4"/>
    <col min="7175" max="7175" width="108.5703125" style="4" customWidth="1"/>
    <col min="7176" max="7176" width="1.5703125" style="4" customWidth="1"/>
    <col min="7177" max="7177" width="6" style="4" customWidth="1"/>
    <col min="7178" max="7430" width="9.140625" style="4"/>
    <col min="7431" max="7431" width="108.5703125" style="4" customWidth="1"/>
    <col min="7432" max="7432" width="1.5703125" style="4" customWidth="1"/>
    <col min="7433" max="7433" width="6" style="4" customWidth="1"/>
    <col min="7434" max="7686" width="9.140625" style="4"/>
    <col min="7687" max="7687" width="108.5703125" style="4" customWidth="1"/>
    <col min="7688" max="7688" width="1.5703125" style="4" customWidth="1"/>
    <col min="7689" max="7689" width="6" style="4" customWidth="1"/>
    <col min="7690" max="7942" width="9.140625" style="4"/>
    <col min="7943" max="7943" width="108.5703125" style="4" customWidth="1"/>
    <col min="7944" max="7944" width="1.5703125" style="4" customWidth="1"/>
    <col min="7945" max="7945" width="6" style="4" customWidth="1"/>
    <col min="7946" max="8198" width="9.140625" style="4"/>
    <col min="8199" max="8199" width="108.5703125" style="4" customWidth="1"/>
    <col min="8200" max="8200" width="1.5703125" style="4" customWidth="1"/>
    <col min="8201" max="8201" width="6" style="4" customWidth="1"/>
    <col min="8202" max="8454" width="9.140625" style="4"/>
    <col min="8455" max="8455" width="108.5703125" style="4" customWidth="1"/>
    <col min="8456" max="8456" width="1.5703125" style="4" customWidth="1"/>
    <col min="8457" max="8457" width="6" style="4" customWidth="1"/>
    <col min="8458" max="8710" width="9.140625" style="4"/>
    <col min="8711" max="8711" width="108.5703125" style="4" customWidth="1"/>
    <col min="8712" max="8712" width="1.5703125" style="4" customWidth="1"/>
    <col min="8713" max="8713" width="6" style="4" customWidth="1"/>
    <col min="8714" max="8966" width="9.140625" style="4"/>
    <col min="8967" max="8967" width="108.5703125" style="4" customWidth="1"/>
    <col min="8968" max="8968" width="1.5703125" style="4" customWidth="1"/>
    <col min="8969" max="8969" width="6" style="4" customWidth="1"/>
    <col min="8970" max="9222" width="9.140625" style="4"/>
    <col min="9223" max="9223" width="108.5703125" style="4" customWidth="1"/>
    <col min="9224" max="9224" width="1.5703125" style="4" customWidth="1"/>
    <col min="9225" max="9225" width="6" style="4" customWidth="1"/>
    <col min="9226" max="9478" width="9.140625" style="4"/>
    <col min="9479" max="9479" width="108.5703125" style="4" customWidth="1"/>
    <col min="9480" max="9480" width="1.5703125" style="4" customWidth="1"/>
    <col min="9481" max="9481" width="6" style="4" customWidth="1"/>
    <col min="9482" max="9734" width="9.140625" style="4"/>
    <col min="9735" max="9735" width="108.5703125" style="4" customWidth="1"/>
    <col min="9736" max="9736" width="1.5703125" style="4" customWidth="1"/>
    <col min="9737" max="9737" width="6" style="4" customWidth="1"/>
    <col min="9738" max="9990" width="9.140625" style="4"/>
    <col min="9991" max="9991" width="108.5703125" style="4" customWidth="1"/>
    <col min="9992" max="9992" width="1.5703125" style="4" customWidth="1"/>
    <col min="9993" max="9993" width="6" style="4" customWidth="1"/>
    <col min="9994" max="10246" width="9.140625" style="4"/>
    <col min="10247" max="10247" width="108.5703125" style="4" customWidth="1"/>
    <col min="10248" max="10248" width="1.5703125" style="4" customWidth="1"/>
    <col min="10249" max="10249" width="6" style="4" customWidth="1"/>
    <col min="10250" max="10502" width="9.140625" style="4"/>
    <col min="10503" max="10503" width="108.5703125" style="4" customWidth="1"/>
    <col min="10504" max="10504" width="1.5703125" style="4" customWidth="1"/>
    <col min="10505" max="10505" width="6" style="4" customWidth="1"/>
    <col min="10506" max="10758" width="9.140625" style="4"/>
    <col min="10759" max="10759" width="108.5703125" style="4" customWidth="1"/>
    <col min="10760" max="10760" width="1.5703125" style="4" customWidth="1"/>
    <col min="10761" max="10761" width="6" style="4" customWidth="1"/>
    <col min="10762" max="11014" width="9.140625" style="4"/>
    <col min="11015" max="11015" width="108.5703125" style="4" customWidth="1"/>
    <col min="11016" max="11016" width="1.5703125" style="4" customWidth="1"/>
    <col min="11017" max="11017" width="6" style="4" customWidth="1"/>
    <col min="11018" max="11270" width="9.140625" style="4"/>
    <col min="11271" max="11271" width="108.5703125" style="4" customWidth="1"/>
    <col min="11272" max="11272" width="1.5703125" style="4" customWidth="1"/>
    <col min="11273" max="11273" width="6" style="4" customWidth="1"/>
    <col min="11274" max="11526" width="9.140625" style="4"/>
    <col min="11527" max="11527" width="108.5703125" style="4" customWidth="1"/>
    <col min="11528" max="11528" width="1.5703125" style="4" customWidth="1"/>
    <col min="11529" max="11529" width="6" style="4" customWidth="1"/>
    <col min="11530" max="11782" width="9.140625" style="4"/>
    <col min="11783" max="11783" width="108.5703125" style="4" customWidth="1"/>
    <col min="11784" max="11784" width="1.5703125" style="4" customWidth="1"/>
    <col min="11785" max="11785" width="6" style="4" customWidth="1"/>
    <col min="11786" max="12038" width="9.140625" style="4"/>
    <col min="12039" max="12039" width="108.5703125" style="4" customWidth="1"/>
    <col min="12040" max="12040" width="1.5703125" style="4" customWidth="1"/>
    <col min="12041" max="12041" width="6" style="4" customWidth="1"/>
    <col min="12042" max="12294" width="9.140625" style="4"/>
    <col min="12295" max="12295" width="108.5703125" style="4" customWidth="1"/>
    <col min="12296" max="12296" width="1.5703125" style="4" customWidth="1"/>
    <col min="12297" max="12297" width="6" style="4" customWidth="1"/>
    <col min="12298" max="12550" width="9.140625" style="4"/>
    <col min="12551" max="12551" width="108.5703125" style="4" customWidth="1"/>
    <col min="12552" max="12552" width="1.5703125" style="4" customWidth="1"/>
    <col min="12553" max="12553" width="6" style="4" customWidth="1"/>
    <col min="12554" max="12806" width="9.140625" style="4"/>
    <col min="12807" max="12807" width="108.5703125" style="4" customWidth="1"/>
    <col min="12808" max="12808" width="1.5703125" style="4" customWidth="1"/>
    <col min="12809" max="12809" width="6" style="4" customWidth="1"/>
    <col min="12810" max="13062" width="9.140625" style="4"/>
    <col min="13063" max="13063" width="108.5703125" style="4" customWidth="1"/>
    <col min="13064" max="13064" width="1.5703125" style="4" customWidth="1"/>
    <col min="13065" max="13065" width="6" style="4" customWidth="1"/>
    <col min="13066" max="13318" width="9.140625" style="4"/>
    <col min="13319" max="13319" width="108.5703125" style="4" customWidth="1"/>
    <col min="13320" max="13320" width="1.5703125" style="4" customWidth="1"/>
    <col min="13321" max="13321" width="6" style="4" customWidth="1"/>
    <col min="13322" max="13574" width="9.140625" style="4"/>
    <col min="13575" max="13575" width="108.5703125" style="4" customWidth="1"/>
    <col min="13576" max="13576" width="1.5703125" style="4" customWidth="1"/>
    <col min="13577" max="13577" width="6" style="4" customWidth="1"/>
    <col min="13578" max="13830" width="9.140625" style="4"/>
    <col min="13831" max="13831" width="108.5703125" style="4" customWidth="1"/>
    <col min="13832" max="13832" width="1.5703125" style="4" customWidth="1"/>
    <col min="13833" max="13833" width="6" style="4" customWidth="1"/>
    <col min="13834" max="14086" width="9.140625" style="4"/>
    <col min="14087" max="14087" width="108.5703125" style="4" customWidth="1"/>
    <col min="14088" max="14088" width="1.5703125" style="4" customWidth="1"/>
    <col min="14089" max="14089" width="6" style="4" customWidth="1"/>
    <col min="14090" max="14342" width="9.140625" style="4"/>
    <col min="14343" max="14343" width="108.5703125" style="4" customWidth="1"/>
    <col min="14344" max="14344" width="1.5703125" style="4" customWidth="1"/>
    <col min="14345" max="14345" width="6" style="4" customWidth="1"/>
    <col min="14346" max="14598" width="9.140625" style="4"/>
    <col min="14599" max="14599" width="108.5703125" style="4" customWidth="1"/>
    <col min="14600" max="14600" width="1.5703125" style="4" customWidth="1"/>
    <col min="14601" max="14601" width="6" style="4" customWidth="1"/>
    <col min="14602" max="14854" width="9.140625" style="4"/>
    <col min="14855" max="14855" width="108.5703125" style="4" customWidth="1"/>
    <col min="14856" max="14856" width="1.5703125" style="4" customWidth="1"/>
    <col min="14857" max="14857" width="6" style="4" customWidth="1"/>
    <col min="14858" max="15110" width="9.140625" style="4"/>
    <col min="15111" max="15111" width="108.5703125" style="4" customWidth="1"/>
    <col min="15112" max="15112" width="1.5703125" style="4" customWidth="1"/>
    <col min="15113" max="15113" width="6" style="4" customWidth="1"/>
    <col min="15114" max="15366" width="9.140625" style="4"/>
    <col min="15367" max="15367" width="108.5703125" style="4" customWidth="1"/>
    <col min="15368" max="15368" width="1.5703125" style="4" customWidth="1"/>
    <col min="15369" max="15369" width="6" style="4" customWidth="1"/>
    <col min="15370" max="15622" width="9.140625" style="4"/>
    <col min="15623" max="15623" width="108.5703125" style="4" customWidth="1"/>
    <col min="15624" max="15624" width="1.5703125" style="4" customWidth="1"/>
    <col min="15625" max="15625" width="6" style="4" customWidth="1"/>
    <col min="15626" max="15878" width="9.140625" style="4"/>
    <col min="15879" max="15879" width="108.5703125" style="4" customWidth="1"/>
    <col min="15880" max="15880" width="1.5703125" style="4" customWidth="1"/>
    <col min="15881" max="15881" width="6" style="4" customWidth="1"/>
    <col min="15882" max="16134" width="9.140625" style="4"/>
    <col min="16135" max="16135" width="108.5703125" style="4" customWidth="1"/>
    <col min="16136" max="16136" width="1.5703125" style="4" customWidth="1"/>
    <col min="16137" max="16137" width="6" style="4" customWidth="1"/>
    <col min="16138" max="16384" width="9.140625" style="4"/>
  </cols>
  <sheetData>
    <row r="1" spans="1:33" x14ac:dyDescent="0.3">
      <c r="A1" s="47" t="s">
        <v>261</v>
      </c>
      <c r="B1" s="24"/>
      <c r="C1" s="24"/>
      <c r="D1" s="24"/>
      <c r="E1" s="24"/>
      <c r="F1" s="24"/>
      <c r="G1" s="24"/>
      <c r="I1" s="47" t="s">
        <v>259</v>
      </c>
      <c r="J1" s="24"/>
      <c r="K1" s="24"/>
      <c r="L1" s="24"/>
      <c r="M1" s="24"/>
      <c r="N1" s="24"/>
      <c r="O1" s="24"/>
      <c r="P1" s="24"/>
      <c r="Q1" s="47" t="s">
        <v>260</v>
      </c>
      <c r="R1" s="51"/>
      <c r="S1" s="51"/>
      <c r="T1" s="51"/>
      <c r="U1" s="51"/>
      <c r="V1" s="51"/>
      <c r="W1" s="51"/>
      <c r="X1" s="24"/>
      <c r="Y1" s="24"/>
      <c r="Z1" s="24"/>
      <c r="AA1" s="24"/>
      <c r="AB1" s="24"/>
      <c r="AC1" s="24"/>
      <c r="AD1" s="24"/>
      <c r="AE1" s="24"/>
      <c r="AF1" s="24"/>
      <c r="AG1" s="24"/>
    </row>
    <row r="3" spans="1:33" x14ac:dyDescent="0.3">
      <c r="A3" s="48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  <c r="I3" s="48" t="s">
        <v>129</v>
      </c>
      <c r="J3" s="19">
        <v>2017</v>
      </c>
      <c r="K3" s="20">
        <v>2018</v>
      </c>
      <c r="L3" s="20">
        <v>2019</v>
      </c>
      <c r="M3" s="20">
        <v>2020</v>
      </c>
      <c r="N3" s="20">
        <v>2021</v>
      </c>
      <c r="O3" s="20">
        <v>2022</v>
      </c>
      <c r="Q3" s="48" t="s">
        <v>129</v>
      </c>
      <c r="R3" s="19">
        <v>2017</v>
      </c>
      <c r="S3" s="20">
        <v>2018</v>
      </c>
      <c r="T3" s="20">
        <v>2019</v>
      </c>
      <c r="U3" s="20">
        <v>2020</v>
      </c>
      <c r="V3" s="20">
        <v>2021</v>
      </c>
      <c r="W3" s="20">
        <v>2022</v>
      </c>
    </row>
    <row r="4" spans="1:33" x14ac:dyDescent="0.3">
      <c r="A4" s="12" t="s">
        <v>87</v>
      </c>
      <c r="B4" s="54">
        <f>J4*R4</f>
        <v>0</v>
      </c>
      <c r="C4" s="54">
        <f t="shared" ref="C4:G4" si="0">K4*S4</f>
        <v>2113412.0142509998</v>
      </c>
      <c r="D4" s="54">
        <f t="shared" si="0"/>
        <v>2292962.7954899999</v>
      </c>
      <c r="E4" s="54">
        <f t="shared" si="0"/>
        <v>2236871.4307399997</v>
      </c>
      <c r="F4" s="54">
        <f t="shared" si="0"/>
        <v>2779438.5985355694</v>
      </c>
      <c r="G4" s="54">
        <f t="shared" si="0"/>
        <v>3230818.6389183216</v>
      </c>
      <c r="I4" s="12" t="s">
        <v>87</v>
      </c>
      <c r="J4" s="46">
        <v>0.13089999999999999</v>
      </c>
      <c r="K4" s="46">
        <v>0.12789999999999999</v>
      </c>
      <c r="L4" s="46">
        <v>0.13100000000000001</v>
      </c>
      <c r="M4" s="46">
        <v>0.12939999999999999</v>
      </c>
      <c r="N4" s="46">
        <v>0.13287440779476295</v>
      </c>
      <c r="O4" s="46">
        <v>0.14996913857444968</v>
      </c>
      <c r="Q4" s="12" t="s">
        <v>87</v>
      </c>
      <c r="R4" s="53"/>
      <c r="S4" s="53">
        <v>16523940.689999999</v>
      </c>
      <c r="T4" s="53">
        <v>17503532.789999999</v>
      </c>
      <c r="U4" s="53">
        <v>17286487.100000001</v>
      </c>
      <c r="V4" s="53">
        <v>20917787.289999999</v>
      </c>
      <c r="W4" s="53">
        <v>21543223.289999999</v>
      </c>
    </row>
    <row r="5" spans="1:33" x14ac:dyDescent="0.3">
      <c r="A5" s="12" t="s">
        <v>96</v>
      </c>
      <c r="B5" s="54">
        <f t="shared" ref="B5:B68" si="1">J5*R5</f>
        <v>774192.33026999992</v>
      </c>
      <c r="C5" s="54">
        <f t="shared" ref="C5:C68" si="2">K5*S5</f>
        <v>810822.8468820001</v>
      </c>
      <c r="D5" s="54">
        <f t="shared" ref="D5:D68" si="3">L5*T5</f>
        <v>883926.29265199997</v>
      </c>
      <c r="E5" s="54">
        <f t="shared" ref="E5:E68" si="4">M5*U5</f>
        <v>909593.35728300014</v>
      </c>
      <c r="F5" s="54">
        <f t="shared" ref="F5:F68" si="5">N5*V5</f>
        <v>1060177.4527924703</v>
      </c>
      <c r="G5" s="54">
        <f t="shared" ref="G5:G68" si="6">O5*W5</f>
        <v>1133554.3652269861</v>
      </c>
      <c r="I5" s="12" t="s">
        <v>181</v>
      </c>
      <c r="J5" s="46">
        <v>0.153</v>
      </c>
      <c r="K5" s="46">
        <v>0.14780000000000001</v>
      </c>
      <c r="L5" s="46">
        <v>0.15079999999999999</v>
      </c>
      <c r="M5" s="46">
        <v>0.15570000000000001</v>
      </c>
      <c r="N5" s="46">
        <v>0.14548616856311189</v>
      </c>
      <c r="O5" s="46">
        <v>0.16255029056926426</v>
      </c>
      <c r="Q5" s="12" t="s">
        <v>96</v>
      </c>
      <c r="R5" s="53">
        <v>5060080.59</v>
      </c>
      <c r="S5" s="53">
        <v>5485946.1900000004</v>
      </c>
      <c r="T5" s="53">
        <v>5861580.1900000004</v>
      </c>
      <c r="U5" s="53">
        <v>5841961.1900000004</v>
      </c>
      <c r="V5" s="53">
        <v>7287135.7000000002</v>
      </c>
      <c r="W5" s="53">
        <v>6973560.9900000002</v>
      </c>
    </row>
    <row r="6" spans="1:33" x14ac:dyDescent="0.3">
      <c r="A6" s="12" t="s">
        <v>50</v>
      </c>
      <c r="B6" s="54">
        <f t="shared" si="1"/>
        <v>18277.869978000002</v>
      </c>
      <c r="C6" s="54">
        <f t="shared" si="2"/>
        <v>22145.902701999999</v>
      </c>
      <c r="D6" s="54">
        <f t="shared" si="3"/>
        <v>26514.485702999998</v>
      </c>
      <c r="E6" s="54">
        <f t="shared" si="4"/>
        <v>24520.656612999996</v>
      </c>
      <c r="F6" s="54">
        <f t="shared" si="5"/>
        <v>32184.313639898413</v>
      </c>
      <c r="G6" s="54">
        <f t="shared" si="6"/>
        <v>41075.545890083304</v>
      </c>
      <c r="I6" s="12" t="s">
        <v>182</v>
      </c>
      <c r="J6" s="46">
        <v>9.4200000000000006E-2</v>
      </c>
      <c r="K6" s="46">
        <v>0.10779999999999999</v>
      </c>
      <c r="L6" s="46">
        <v>0.1217</v>
      </c>
      <c r="M6" s="46">
        <v>0.11469999999999998</v>
      </c>
      <c r="N6" s="46">
        <v>0.13722290493291331</v>
      </c>
      <c r="O6" s="46">
        <v>0.16346680931667365</v>
      </c>
      <c r="Q6" s="12" t="s">
        <v>50</v>
      </c>
      <c r="R6" s="53">
        <v>194032.59</v>
      </c>
      <c r="S6" s="53">
        <v>205435.09</v>
      </c>
      <c r="T6" s="53">
        <v>217867.59</v>
      </c>
      <c r="U6" s="53">
        <v>213780.79</v>
      </c>
      <c r="V6" s="53">
        <v>234540.39</v>
      </c>
      <c r="W6" s="53">
        <v>251277.59</v>
      </c>
    </row>
    <row r="7" spans="1:33" x14ac:dyDescent="0.3">
      <c r="A7" s="12" t="s">
        <v>48</v>
      </c>
      <c r="B7" s="54">
        <f t="shared" si="1"/>
        <v>12890.778186000001</v>
      </c>
      <c r="C7" s="54">
        <f t="shared" si="2"/>
        <v>13091.759043</v>
      </c>
      <c r="D7" s="54">
        <f t="shared" si="3"/>
        <v>15510.444433000002</v>
      </c>
      <c r="E7" s="54">
        <f t="shared" si="4"/>
        <v>15160.0687</v>
      </c>
      <c r="F7" s="54">
        <f t="shared" si="5"/>
        <v>17821.193174189524</v>
      </c>
      <c r="G7" s="54">
        <f t="shared" si="6"/>
        <v>23152.553779743332</v>
      </c>
      <c r="I7" s="12" t="s">
        <v>183</v>
      </c>
      <c r="J7" s="46">
        <v>0.1014</v>
      </c>
      <c r="K7" s="46">
        <v>9.5700000000000007E-2</v>
      </c>
      <c r="L7" s="46">
        <v>0.10670000000000002</v>
      </c>
      <c r="M7" s="46">
        <v>0.113</v>
      </c>
      <c r="N7" s="46">
        <v>0.1094466941799784</v>
      </c>
      <c r="O7" s="46">
        <v>0.13296567514930474</v>
      </c>
      <c r="Q7" s="12" t="s">
        <v>48</v>
      </c>
      <c r="R7" s="53">
        <v>127127.99</v>
      </c>
      <c r="S7" s="53">
        <v>136799.99</v>
      </c>
      <c r="T7" s="53">
        <v>145364.99</v>
      </c>
      <c r="U7" s="53">
        <v>134159.9</v>
      </c>
      <c r="V7" s="53">
        <v>162829.89000000001</v>
      </c>
      <c r="W7" s="53">
        <v>174124.29</v>
      </c>
    </row>
    <row r="8" spans="1:33" x14ac:dyDescent="0.3">
      <c r="A8" s="12" t="s">
        <v>20</v>
      </c>
      <c r="B8" s="54">
        <f t="shared" si="1"/>
        <v>12262.093668000001</v>
      </c>
      <c r="C8" s="54">
        <f t="shared" si="2"/>
        <v>13302.898524999999</v>
      </c>
      <c r="D8" s="54">
        <f t="shared" si="3"/>
        <v>13399.830054</v>
      </c>
      <c r="E8" s="54">
        <f t="shared" si="4"/>
        <v>13113.939383999999</v>
      </c>
      <c r="F8" s="54">
        <f t="shared" si="5"/>
        <v>15700.687801617434</v>
      </c>
      <c r="G8" s="54">
        <f t="shared" si="6"/>
        <v>16169.022269761479</v>
      </c>
      <c r="I8" s="12" t="s">
        <v>184</v>
      </c>
      <c r="J8" s="46">
        <v>0.12120000000000002</v>
      </c>
      <c r="K8" s="46">
        <v>0.1225</v>
      </c>
      <c r="L8" s="46">
        <v>0.1186</v>
      </c>
      <c r="M8" s="46">
        <v>0.1176</v>
      </c>
      <c r="N8" s="46">
        <v>0.12154738527507433</v>
      </c>
      <c r="O8" s="46">
        <v>0.11607680793569342</v>
      </c>
      <c r="Q8" s="12" t="s">
        <v>20</v>
      </c>
      <c r="R8" s="53">
        <v>101172.39</v>
      </c>
      <c r="S8" s="53">
        <v>108595.09</v>
      </c>
      <c r="T8" s="53">
        <v>112983.39</v>
      </c>
      <c r="U8" s="53">
        <v>111513.09</v>
      </c>
      <c r="V8" s="53">
        <v>129173.39</v>
      </c>
      <c r="W8" s="53">
        <v>139295.89000000001</v>
      </c>
    </row>
    <row r="9" spans="1:33" x14ac:dyDescent="0.3">
      <c r="A9" s="12" t="s">
        <v>4</v>
      </c>
      <c r="B9" s="54">
        <f t="shared" si="1"/>
        <v>30658.396269000001</v>
      </c>
      <c r="C9" s="54">
        <f t="shared" si="2"/>
        <v>33809.417634000005</v>
      </c>
      <c r="D9" s="54">
        <f t="shared" si="3"/>
        <v>37052.531915</v>
      </c>
      <c r="E9" s="54">
        <f t="shared" si="4"/>
        <v>33884.337780000002</v>
      </c>
      <c r="F9" s="54">
        <f t="shared" si="5"/>
        <v>43997.431035006339</v>
      </c>
      <c r="G9" s="54">
        <f t="shared" si="6"/>
        <v>52789.10622049962</v>
      </c>
      <c r="I9" s="12" t="s">
        <v>185</v>
      </c>
      <c r="J9" s="46">
        <v>0.1041</v>
      </c>
      <c r="K9" s="46">
        <v>0.10460000000000001</v>
      </c>
      <c r="L9" s="46">
        <v>0.1085</v>
      </c>
      <c r="M9" s="46">
        <v>0.10199999999999999</v>
      </c>
      <c r="N9" s="46">
        <v>0.11164500538707525</v>
      </c>
      <c r="O9" s="46">
        <v>0.13176069999861878</v>
      </c>
      <c r="Q9" s="12" t="s">
        <v>4</v>
      </c>
      <c r="R9" s="53">
        <v>294509.09000000003</v>
      </c>
      <c r="S9" s="53">
        <v>323225.78999999998</v>
      </c>
      <c r="T9" s="53">
        <v>341497.99</v>
      </c>
      <c r="U9" s="53">
        <v>332199.39</v>
      </c>
      <c r="V9" s="53">
        <v>394083.29</v>
      </c>
      <c r="W9" s="53">
        <v>400643.79</v>
      </c>
    </row>
    <row r="10" spans="1:33" x14ac:dyDescent="0.3">
      <c r="A10" s="12" t="s">
        <v>45</v>
      </c>
      <c r="B10" s="54">
        <f t="shared" si="1"/>
        <v>10245.112702</v>
      </c>
      <c r="C10" s="54">
        <f t="shared" si="2"/>
        <v>11318.907116</v>
      </c>
      <c r="D10" s="54">
        <f t="shared" si="3"/>
        <v>13330.907218999999</v>
      </c>
      <c r="E10" s="54">
        <f t="shared" si="4"/>
        <v>11438.603552999999</v>
      </c>
      <c r="F10" s="54">
        <f t="shared" si="5"/>
        <v>16166.424929379131</v>
      </c>
      <c r="G10" s="54">
        <f t="shared" si="6"/>
        <v>20292.159689705019</v>
      </c>
      <c r="I10" s="12" t="s">
        <v>186</v>
      </c>
      <c r="J10" s="46">
        <v>0.1298</v>
      </c>
      <c r="K10" s="46">
        <v>0.13639999999999999</v>
      </c>
      <c r="L10" s="46">
        <v>0.15609999999999999</v>
      </c>
      <c r="M10" s="46">
        <v>0.14169999999999999</v>
      </c>
      <c r="N10" s="46">
        <v>0.16259577675841796</v>
      </c>
      <c r="O10" s="46">
        <v>0.17640679170978943</v>
      </c>
      <c r="Q10" s="12" t="s">
        <v>45</v>
      </c>
      <c r="R10" s="53">
        <v>78929.990000000005</v>
      </c>
      <c r="S10" s="53">
        <v>82983.19</v>
      </c>
      <c r="T10" s="53">
        <v>85399.79</v>
      </c>
      <c r="U10" s="53">
        <v>80724.09</v>
      </c>
      <c r="V10" s="53">
        <v>99427.09</v>
      </c>
      <c r="W10" s="53">
        <v>115030.49</v>
      </c>
    </row>
    <row r="11" spans="1:33" x14ac:dyDescent="0.3">
      <c r="A11" s="12" t="s">
        <v>40</v>
      </c>
      <c r="B11" s="54">
        <f t="shared" si="1"/>
        <v>9820.5544499999996</v>
      </c>
      <c r="C11" s="54">
        <f t="shared" si="2"/>
        <v>11977.367547000002</v>
      </c>
      <c r="D11" s="54">
        <f t="shared" si="3"/>
        <v>14929.091340999999</v>
      </c>
      <c r="E11" s="54">
        <f t="shared" si="4"/>
        <v>14444.415529999998</v>
      </c>
      <c r="F11" s="54">
        <f t="shared" si="5"/>
        <v>16082.78643082023</v>
      </c>
      <c r="G11" s="54">
        <f t="shared" si="6"/>
        <v>20648.445874746623</v>
      </c>
      <c r="I11" s="12" t="s">
        <v>187</v>
      </c>
      <c r="J11" s="46">
        <v>0.105</v>
      </c>
      <c r="K11" s="46">
        <v>0.12030000000000002</v>
      </c>
      <c r="L11" s="46">
        <v>0.1399</v>
      </c>
      <c r="M11" s="46">
        <v>0.13699999999999998</v>
      </c>
      <c r="N11" s="46">
        <v>0.13491185089068949</v>
      </c>
      <c r="O11" s="46">
        <v>0.15858437984306586</v>
      </c>
      <c r="Q11" s="12" t="s">
        <v>40</v>
      </c>
      <c r="R11" s="53">
        <v>93529.09</v>
      </c>
      <c r="S11" s="53">
        <v>99562.49</v>
      </c>
      <c r="T11" s="53">
        <v>106712.59</v>
      </c>
      <c r="U11" s="53">
        <v>105433.69</v>
      </c>
      <c r="V11" s="53">
        <v>119209.59</v>
      </c>
      <c r="W11" s="53">
        <v>130204.79</v>
      </c>
    </row>
    <row r="12" spans="1:33" x14ac:dyDescent="0.3">
      <c r="A12" s="12" t="s">
        <v>37</v>
      </c>
      <c r="B12" s="54">
        <f t="shared" si="1"/>
        <v>5336.2364009999992</v>
      </c>
      <c r="C12" s="54">
        <f t="shared" si="2"/>
        <v>5800.025267</v>
      </c>
      <c r="D12" s="54">
        <f t="shared" si="3"/>
        <v>7378.6737060000014</v>
      </c>
      <c r="E12" s="54">
        <f t="shared" si="4"/>
        <v>6316.6096790000001</v>
      </c>
      <c r="F12" s="54">
        <f t="shared" si="5"/>
        <v>9825.6135688360228</v>
      </c>
      <c r="G12" s="54">
        <f t="shared" si="6"/>
        <v>11812.156366434243</v>
      </c>
      <c r="I12" s="12" t="s">
        <v>188</v>
      </c>
      <c r="J12" s="46">
        <v>0.10589999999999999</v>
      </c>
      <c r="K12" s="46">
        <v>0.10929999999999999</v>
      </c>
      <c r="L12" s="46">
        <v>0.13140000000000002</v>
      </c>
      <c r="M12" s="46">
        <v>0.11210000000000001</v>
      </c>
      <c r="N12" s="46">
        <v>0.1415759782373634</v>
      </c>
      <c r="O12" s="46">
        <v>0.15097358095000188</v>
      </c>
      <c r="Q12" s="12" t="s">
        <v>37</v>
      </c>
      <c r="R12" s="53">
        <v>50389.39</v>
      </c>
      <c r="S12" s="53">
        <v>53065.19</v>
      </c>
      <c r="T12" s="53">
        <v>56154.29</v>
      </c>
      <c r="U12" s="53">
        <v>56347.99</v>
      </c>
      <c r="V12" s="53">
        <v>69401.7</v>
      </c>
      <c r="W12" s="53">
        <v>78239.89</v>
      </c>
    </row>
    <row r="13" spans="1:33" x14ac:dyDescent="0.3">
      <c r="A13" s="12" t="s">
        <v>56</v>
      </c>
      <c r="B13" s="54">
        <f t="shared" si="1"/>
        <v>15331.943163</v>
      </c>
      <c r="C13" s="54">
        <f t="shared" si="2"/>
        <v>14971.187161</v>
      </c>
      <c r="D13" s="54">
        <f t="shared" si="3"/>
        <v>19154.233895999998</v>
      </c>
      <c r="E13" s="54">
        <f t="shared" si="4"/>
        <v>18389.677756999998</v>
      </c>
      <c r="F13" s="54">
        <f t="shared" si="5"/>
        <v>23394.004651310715</v>
      </c>
      <c r="G13" s="54">
        <f t="shared" si="6"/>
        <v>27628.02328982894</v>
      </c>
      <c r="I13" s="12" t="s">
        <v>189</v>
      </c>
      <c r="J13" s="46">
        <v>0.1497</v>
      </c>
      <c r="K13" s="46">
        <v>0.13489999999999999</v>
      </c>
      <c r="L13" s="46">
        <v>0.16239999999999999</v>
      </c>
      <c r="M13" s="46">
        <v>0.1583</v>
      </c>
      <c r="N13" s="46">
        <v>0.17206673966405081</v>
      </c>
      <c r="O13" s="46">
        <v>0.19163411987435822</v>
      </c>
      <c r="Q13" s="12" t="s">
        <v>56</v>
      </c>
      <c r="R13" s="53">
        <v>102417.79</v>
      </c>
      <c r="S13" s="53">
        <v>110979.89</v>
      </c>
      <c r="T13" s="53">
        <v>117944.79</v>
      </c>
      <c r="U13" s="53">
        <v>116169.79</v>
      </c>
      <c r="V13" s="53">
        <v>135958.9</v>
      </c>
      <c r="W13" s="53">
        <v>144170.69</v>
      </c>
    </row>
    <row r="14" spans="1:33" x14ac:dyDescent="0.3">
      <c r="A14" s="12" t="s">
        <v>51</v>
      </c>
      <c r="B14" s="54">
        <f t="shared" si="1"/>
        <v>10501.526964999999</v>
      </c>
      <c r="C14" s="54">
        <f t="shared" si="2"/>
        <v>13115.544448999999</v>
      </c>
      <c r="D14" s="54">
        <f t="shared" si="3"/>
        <v>14673.801592999998</v>
      </c>
      <c r="E14" s="54">
        <f t="shared" si="4"/>
        <v>13764.4372</v>
      </c>
      <c r="F14" s="54">
        <f t="shared" si="5"/>
        <v>19106.578264614236</v>
      </c>
      <c r="G14" s="54">
        <f t="shared" si="6"/>
        <v>22508.634472422887</v>
      </c>
      <c r="I14" s="12" t="s">
        <v>190</v>
      </c>
      <c r="J14" s="46">
        <v>8.3499999999999991E-2</v>
      </c>
      <c r="K14" s="46">
        <v>9.6099999999999991E-2</v>
      </c>
      <c r="L14" s="46">
        <v>0.1007</v>
      </c>
      <c r="M14" s="46">
        <v>0.107</v>
      </c>
      <c r="N14" s="46">
        <v>0.12146090854926586</v>
      </c>
      <c r="O14" s="46">
        <v>0.132170420299971</v>
      </c>
      <c r="Q14" s="12" t="s">
        <v>51</v>
      </c>
      <c r="R14" s="53">
        <v>125766.79</v>
      </c>
      <c r="S14" s="53">
        <v>136478.09</v>
      </c>
      <c r="T14" s="53">
        <v>145717.99</v>
      </c>
      <c r="U14" s="53">
        <v>128639.6</v>
      </c>
      <c r="V14" s="53">
        <v>157306.4</v>
      </c>
      <c r="W14" s="53">
        <v>170300.09</v>
      </c>
    </row>
    <row r="15" spans="1:33" x14ac:dyDescent="0.3">
      <c r="A15" s="12" t="s">
        <v>21</v>
      </c>
      <c r="B15" s="54">
        <f t="shared" si="1"/>
        <v>125865.33845600001</v>
      </c>
      <c r="C15" s="54">
        <f t="shared" si="2"/>
        <v>150419.35885399999</v>
      </c>
      <c r="D15" s="54">
        <f t="shared" si="3"/>
        <v>183187.33329000001</v>
      </c>
      <c r="E15" s="54">
        <f t="shared" si="4"/>
        <v>160191.85742399999</v>
      </c>
      <c r="F15" s="54">
        <f t="shared" si="5"/>
        <v>205955.32544808049</v>
      </c>
      <c r="G15" s="54">
        <f t="shared" si="6"/>
        <v>216093.19418164578</v>
      </c>
      <c r="I15" s="12" t="s">
        <v>191</v>
      </c>
      <c r="J15" s="46">
        <v>0.11440000000000002</v>
      </c>
      <c r="K15" s="46">
        <v>0.1186</v>
      </c>
      <c r="L15" s="46">
        <v>0.13100000000000001</v>
      </c>
      <c r="M15" s="46">
        <v>0.11359999999999999</v>
      </c>
      <c r="N15" s="46">
        <v>0.11235591548723128</v>
      </c>
      <c r="O15" s="46">
        <v>0.1267973067319613</v>
      </c>
      <c r="Q15" s="12" t="s">
        <v>21</v>
      </c>
      <c r="R15" s="53">
        <v>1100221.49</v>
      </c>
      <c r="S15" s="53">
        <v>1268291.3899999999</v>
      </c>
      <c r="T15" s="53">
        <v>1398376.59</v>
      </c>
      <c r="U15" s="53">
        <v>1410139.59</v>
      </c>
      <c r="V15" s="53">
        <v>1833061.7</v>
      </c>
      <c r="W15" s="53">
        <v>1704241.2</v>
      </c>
    </row>
    <row r="16" spans="1:33" x14ac:dyDescent="0.3">
      <c r="A16" s="12" t="s">
        <v>70</v>
      </c>
      <c r="B16" s="54">
        <f t="shared" si="1"/>
        <v>7693.2871209999994</v>
      </c>
      <c r="C16" s="54">
        <f t="shared" si="2"/>
        <v>8091.4272470000005</v>
      </c>
      <c r="D16" s="54">
        <f t="shared" si="3"/>
        <v>9953.0071289999996</v>
      </c>
      <c r="E16" s="54">
        <f t="shared" si="4"/>
        <v>10505.334669000002</v>
      </c>
      <c r="F16" s="54">
        <f t="shared" si="5"/>
        <v>14400.3643444792</v>
      </c>
      <c r="G16" s="54">
        <f t="shared" si="6"/>
        <v>16275.793775270184</v>
      </c>
      <c r="I16" s="12" t="s">
        <v>192</v>
      </c>
      <c r="J16" s="46">
        <v>0.11289999999999999</v>
      </c>
      <c r="K16" s="46">
        <v>0.11230000000000001</v>
      </c>
      <c r="L16" s="46">
        <v>0.1321</v>
      </c>
      <c r="M16" s="46">
        <v>0.1381</v>
      </c>
      <c r="N16" s="46">
        <v>0.16486936144711337</v>
      </c>
      <c r="O16" s="46">
        <v>0.17448021662653923</v>
      </c>
      <c r="Q16" s="12" t="s">
        <v>70</v>
      </c>
      <c r="R16" s="53">
        <v>68142.490000000005</v>
      </c>
      <c r="S16" s="53">
        <v>72051.89</v>
      </c>
      <c r="T16" s="53">
        <v>75344.490000000005</v>
      </c>
      <c r="U16" s="53">
        <v>76070.490000000005</v>
      </c>
      <c r="V16" s="53">
        <v>87344.09</v>
      </c>
      <c r="W16" s="53">
        <v>93281.600000000006</v>
      </c>
    </row>
    <row r="17" spans="1:23" x14ac:dyDescent="0.3">
      <c r="A17" s="12" t="s">
        <v>59</v>
      </c>
      <c r="B17" s="54">
        <f t="shared" si="1"/>
        <v>11447.52996</v>
      </c>
      <c r="C17" s="54">
        <f t="shared" si="2"/>
        <v>11436.877154999998</v>
      </c>
      <c r="D17" s="54">
        <f t="shared" si="3"/>
        <v>12858.139055</v>
      </c>
      <c r="E17" s="54">
        <f t="shared" si="4"/>
        <v>12594.355150999998</v>
      </c>
      <c r="F17" s="54">
        <f t="shared" si="5"/>
        <v>12789.472296649217</v>
      </c>
      <c r="G17" s="54">
        <f t="shared" si="6"/>
        <v>13604.723702604348</v>
      </c>
      <c r="I17" s="12" t="s">
        <v>193</v>
      </c>
      <c r="J17" s="46">
        <v>0.124</v>
      </c>
      <c r="K17" s="46">
        <v>0.11449999999999999</v>
      </c>
      <c r="L17" s="46">
        <v>0.1195</v>
      </c>
      <c r="M17" s="46">
        <v>0.11289999999999999</v>
      </c>
      <c r="N17" s="46">
        <v>0.1016898650510209</v>
      </c>
      <c r="O17" s="46">
        <v>0.10691872677764813</v>
      </c>
      <c r="Q17" s="12" t="s">
        <v>59</v>
      </c>
      <c r="R17" s="53">
        <v>92318.79</v>
      </c>
      <c r="S17" s="53">
        <v>99885.39</v>
      </c>
      <c r="T17" s="53">
        <v>107599.49</v>
      </c>
      <c r="U17" s="53">
        <v>111553.19</v>
      </c>
      <c r="V17" s="53">
        <v>125769.39</v>
      </c>
      <c r="W17" s="53">
        <v>127243.6</v>
      </c>
    </row>
    <row r="18" spans="1:23" x14ac:dyDescent="0.3">
      <c r="A18" s="12" t="s">
        <v>43</v>
      </c>
      <c r="B18" s="54">
        <f t="shared" si="1"/>
        <v>7219.3271890000015</v>
      </c>
      <c r="C18" s="54">
        <f t="shared" si="2"/>
        <v>7501.7919219999985</v>
      </c>
      <c r="D18" s="54">
        <f t="shared" si="3"/>
        <v>8141.3504039999989</v>
      </c>
      <c r="E18" s="54">
        <f t="shared" si="4"/>
        <v>7557.440877</v>
      </c>
      <c r="F18" s="54">
        <f t="shared" si="5"/>
        <v>8924.469448043641</v>
      </c>
      <c r="G18" s="54">
        <f t="shared" si="6"/>
        <v>10169.14503487088</v>
      </c>
      <c r="I18" s="12" t="s">
        <v>194</v>
      </c>
      <c r="J18" s="46">
        <v>8.8100000000000012E-2</v>
      </c>
      <c r="K18" s="46">
        <v>8.3799999999999986E-2</v>
      </c>
      <c r="L18" s="46">
        <v>8.7599999999999997E-2</v>
      </c>
      <c r="M18" s="46">
        <v>9.0300000000000005E-2</v>
      </c>
      <c r="N18" s="46">
        <v>9.3475498359223044E-2</v>
      </c>
      <c r="O18" s="46">
        <v>9.7055228828331133E-2</v>
      </c>
      <c r="Q18" s="12" t="s">
        <v>43</v>
      </c>
      <c r="R18" s="53">
        <v>81944.69</v>
      </c>
      <c r="S18" s="53">
        <v>89520.19</v>
      </c>
      <c r="T18" s="53">
        <v>92937.79</v>
      </c>
      <c r="U18" s="53">
        <v>83692.59</v>
      </c>
      <c r="V18" s="53">
        <v>95473.89</v>
      </c>
      <c r="W18" s="53">
        <v>104776.89</v>
      </c>
    </row>
    <row r="19" spans="1:23" x14ac:dyDescent="0.3">
      <c r="A19" s="12" t="s">
        <v>15</v>
      </c>
      <c r="B19" s="54">
        <f t="shared" si="1"/>
        <v>10523.077565000001</v>
      </c>
      <c r="C19" s="54">
        <f t="shared" si="2"/>
        <v>10737.87314</v>
      </c>
      <c r="D19" s="54">
        <f t="shared" si="3"/>
        <v>12951.860433000002</v>
      </c>
      <c r="E19" s="54">
        <f t="shared" si="4"/>
        <v>11938.08697</v>
      </c>
      <c r="F19" s="54">
        <f t="shared" si="5"/>
        <v>17014.154243135261</v>
      </c>
      <c r="G19" s="54">
        <f t="shared" si="6"/>
        <v>22188.549646297513</v>
      </c>
      <c r="I19" s="12" t="s">
        <v>195</v>
      </c>
      <c r="J19" s="46">
        <v>0.10850000000000001</v>
      </c>
      <c r="K19" s="46">
        <v>0.106</v>
      </c>
      <c r="L19" s="46">
        <v>0.1217</v>
      </c>
      <c r="M19" s="46">
        <v>0.1207</v>
      </c>
      <c r="N19" s="46">
        <v>0.15385410111086339</v>
      </c>
      <c r="O19" s="46">
        <v>0.18240803757882029</v>
      </c>
      <c r="Q19" s="12" t="s">
        <v>15</v>
      </c>
      <c r="R19" s="53">
        <v>96986.89</v>
      </c>
      <c r="S19" s="53">
        <v>101300.69</v>
      </c>
      <c r="T19" s="53">
        <v>106424.49</v>
      </c>
      <c r="U19" s="53">
        <v>98907.1</v>
      </c>
      <c r="V19" s="53">
        <v>110586.29</v>
      </c>
      <c r="W19" s="53">
        <v>121642.39</v>
      </c>
    </row>
    <row r="20" spans="1:23" x14ac:dyDescent="0.3">
      <c r="A20" s="12" t="s">
        <v>38</v>
      </c>
      <c r="B20" s="54">
        <f t="shared" si="1"/>
        <v>8601.893614999999</v>
      </c>
      <c r="C20" s="54">
        <f t="shared" si="2"/>
        <v>8341.2077040000004</v>
      </c>
      <c r="D20" s="54">
        <f t="shared" si="3"/>
        <v>8802.5769230000005</v>
      </c>
      <c r="E20" s="54">
        <f t="shared" si="4"/>
        <v>8729.0346329999993</v>
      </c>
      <c r="F20" s="54">
        <f t="shared" si="5"/>
        <v>10104.3816524908</v>
      </c>
      <c r="G20" s="54">
        <f t="shared" si="6"/>
        <v>11909.405425707984</v>
      </c>
      <c r="I20" s="12" t="s">
        <v>196</v>
      </c>
      <c r="J20" s="46">
        <v>8.3499999999999991E-2</v>
      </c>
      <c r="K20" s="46">
        <v>7.7600000000000002E-2</v>
      </c>
      <c r="L20" s="46">
        <v>7.5700000000000003E-2</v>
      </c>
      <c r="M20" s="46">
        <v>7.3700000000000002E-2</v>
      </c>
      <c r="N20" s="46">
        <v>7.3177210363937858E-2</v>
      </c>
      <c r="O20" s="46">
        <v>8.6919441110802603E-2</v>
      </c>
      <c r="Q20" s="12" t="s">
        <v>38</v>
      </c>
      <c r="R20" s="53">
        <v>103016.69</v>
      </c>
      <c r="S20" s="53">
        <v>107489.79</v>
      </c>
      <c r="T20" s="53">
        <v>116282.39</v>
      </c>
      <c r="U20" s="53">
        <v>118440.09</v>
      </c>
      <c r="V20" s="53">
        <v>138080.99</v>
      </c>
      <c r="W20" s="53">
        <v>137016.59</v>
      </c>
    </row>
    <row r="21" spans="1:23" x14ac:dyDescent="0.3">
      <c r="A21" s="12" t="s">
        <v>39</v>
      </c>
      <c r="B21" s="54">
        <f t="shared" si="1"/>
        <v>14544.527760000001</v>
      </c>
      <c r="C21" s="54">
        <f t="shared" si="2"/>
        <v>15773.972093000002</v>
      </c>
      <c r="D21" s="54">
        <f t="shared" si="3"/>
        <v>15530.237729999999</v>
      </c>
      <c r="E21" s="54">
        <f t="shared" si="4"/>
        <v>13957.965772000001</v>
      </c>
      <c r="F21" s="54">
        <f t="shared" si="5"/>
        <v>14032.426561159828</v>
      </c>
      <c r="G21" s="54">
        <f t="shared" si="6"/>
        <v>17925.862847568984</v>
      </c>
      <c r="I21" s="12" t="s">
        <v>197</v>
      </c>
      <c r="J21" s="46">
        <v>0.10440000000000001</v>
      </c>
      <c r="K21" s="46">
        <v>0.1067</v>
      </c>
      <c r="L21" s="46">
        <v>9.8699999999999996E-2</v>
      </c>
      <c r="M21" s="46">
        <v>9.0800000000000006E-2</v>
      </c>
      <c r="N21" s="46">
        <v>7.9099377698474402E-2</v>
      </c>
      <c r="O21" s="46">
        <v>9.0952449545226591E-2</v>
      </c>
      <c r="Q21" s="12" t="s">
        <v>39</v>
      </c>
      <c r="R21" s="53">
        <v>139315.4</v>
      </c>
      <c r="S21" s="53">
        <v>147834.79</v>
      </c>
      <c r="T21" s="53">
        <v>157347.9</v>
      </c>
      <c r="U21" s="53">
        <v>153722.09</v>
      </c>
      <c r="V21" s="53">
        <v>177402.49</v>
      </c>
      <c r="W21" s="53">
        <v>197090.49</v>
      </c>
    </row>
    <row r="22" spans="1:23" x14ac:dyDescent="0.3">
      <c r="A22" s="12" t="s">
        <v>78</v>
      </c>
      <c r="B22" s="54">
        <f t="shared" si="1"/>
        <v>12370.326767</v>
      </c>
      <c r="C22" s="54">
        <f t="shared" si="2"/>
        <v>12882.652741</v>
      </c>
      <c r="D22" s="54">
        <f t="shared" si="3"/>
        <v>15298.631631000002</v>
      </c>
      <c r="E22" s="54">
        <f t="shared" si="4"/>
        <v>13006.147674</v>
      </c>
      <c r="F22" s="54">
        <f t="shared" si="5"/>
        <v>14789.210749588336</v>
      </c>
      <c r="G22" s="54">
        <f t="shared" si="6"/>
        <v>17728.850367449009</v>
      </c>
      <c r="I22" s="12" t="s">
        <v>198</v>
      </c>
      <c r="J22" s="46">
        <v>0.11230000000000001</v>
      </c>
      <c r="K22" s="46">
        <v>0.1099</v>
      </c>
      <c r="L22" s="46">
        <v>0.12190000000000001</v>
      </c>
      <c r="M22" s="46">
        <v>0.1066</v>
      </c>
      <c r="N22" s="46">
        <v>0.10156442106384304</v>
      </c>
      <c r="O22" s="46">
        <v>0.10855497690990014</v>
      </c>
      <c r="Q22" s="12" t="s">
        <v>78</v>
      </c>
      <c r="R22" s="53">
        <v>110154.29</v>
      </c>
      <c r="S22" s="53">
        <v>117221.59</v>
      </c>
      <c r="T22" s="53">
        <v>125501.49</v>
      </c>
      <c r="U22" s="53">
        <v>122008.89</v>
      </c>
      <c r="V22" s="53">
        <v>145614.09</v>
      </c>
      <c r="W22" s="53">
        <v>163316.79</v>
      </c>
    </row>
    <row r="23" spans="1:23" x14ac:dyDescent="0.3">
      <c r="A23" s="12" t="s">
        <v>13</v>
      </c>
      <c r="B23" s="54">
        <f t="shared" si="1"/>
        <v>427371.28406499996</v>
      </c>
      <c r="C23" s="54">
        <f t="shared" si="2"/>
        <v>420345.09506100009</v>
      </c>
      <c r="D23" s="54">
        <f t="shared" si="3"/>
        <v>428791.85883000004</v>
      </c>
      <c r="E23" s="54">
        <f t="shared" si="4"/>
        <v>484618.28849100001</v>
      </c>
      <c r="F23" s="54">
        <f t="shared" si="5"/>
        <v>556569.91252165858</v>
      </c>
      <c r="G23" s="54">
        <f t="shared" si="6"/>
        <v>553211.65914560028</v>
      </c>
      <c r="I23" s="12" t="s">
        <v>264</v>
      </c>
      <c r="J23" s="46">
        <v>0.20349999999999999</v>
      </c>
      <c r="K23" s="46">
        <v>0.18890000000000001</v>
      </c>
      <c r="L23" s="46">
        <v>0.18230000000000002</v>
      </c>
      <c r="M23" s="46">
        <v>0.2029</v>
      </c>
      <c r="N23" s="46">
        <v>0.18118265159924796</v>
      </c>
      <c r="O23" s="46">
        <v>0.2032623056329001</v>
      </c>
      <c r="Q23" s="12" t="s">
        <v>13</v>
      </c>
      <c r="R23" s="53">
        <v>2100104.59</v>
      </c>
      <c r="S23" s="53">
        <v>2225225.4900000002</v>
      </c>
      <c r="T23" s="53">
        <v>2352122.1</v>
      </c>
      <c r="U23" s="53">
        <v>2388458.79</v>
      </c>
      <c r="V23" s="53">
        <v>3071871.99</v>
      </c>
      <c r="W23" s="53">
        <v>2721663.8</v>
      </c>
    </row>
    <row r="24" spans="1:23" x14ac:dyDescent="0.3">
      <c r="A24" s="12" t="s">
        <v>97</v>
      </c>
      <c r="B24" s="54">
        <f t="shared" si="1"/>
        <v>196455.27909600001</v>
      </c>
      <c r="C24" s="54">
        <f t="shared" si="2"/>
        <v>219648.45049999998</v>
      </c>
      <c r="D24" s="54">
        <f t="shared" si="3"/>
        <v>231743.17346000002</v>
      </c>
      <c r="E24" s="54">
        <f t="shared" si="4"/>
        <v>213145.68018900001</v>
      </c>
      <c r="F24" s="54">
        <f t="shared" si="5"/>
        <v>312186.72600136284</v>
      </c>
      <c r="G24" s="54">
        <f t="shared" si="6"/>
        <v>367757.36047193094</v>
      </c>
      <c r="I24" s="12" t="s">
        <v>199</v>
      </c>
      <c r="J24" s="46">
        <v>0.12240000000000001</v>
      </c>
      <c r="K24" s="46">
        <v>0.12469999999999999</v>
      </c>
      <c r="L24" s="46">
        <v>0.1241</v>
      </c>
      <c r="M24" s="46">
        <v>0.11310000000000001</v>
      </c>
      <c r="N24" s="46">
        <v>0.13188831082768204</v>
      </c>
      <c r="O24" s="46">
        <v>0.15130786293267712</v>
      </c>
      <c r="Q24" s="12" t="s">
        <v>97</v>
      </c>
      <c r="R24" s="53">
        <v>1605026.79</v>
      </c>
      <c r="S24" s="53">
        <v>1761415</v>
      </c>
      <c r="T24" s="53">
        <v>1867390.6</v>
      </c>
      <c r="U24" s="53">
        <v>1884577.19</v>
      </c>
      <c r="V24" s="53">
        <v>2367053.79</v>
      </c>
      <c r="W24" s="53">
        <v>2430523.79</v>
      </c>
    </row>
    <row r="25" spans="1:23" x14ac:dyDescent="0.3">
      <c r="A25" s="12" t="s">
        <v>71</v>
      </c>
      <c r="B25" s="54">
        <f t="shared" si="1"/>
        <v>6084.4018640000013</v>
      </c>
      <c r="C25" s="54">
        <f t="shared" si="2"/>
        <v>5946.253925</v>
      </c>
      <c r="D25" s="54">
        <f t="shared" si="3"/>
        <v>5718.2690160000002</v>
      </c>
      <c r="E25" s="54">
        <f t="shared" si="4"/>
        <v>6983.8087839999998</v>
      </c>
      <c r="F25" s="54">
        <f t="shared" si="5"/>
        <v>8054.352158447934</v>
      </c>
      <c r="G25" s="54">
        <f t="shared" si="6"/>
        <v>9039.3475256806487</v>
      </c>
      <c r="I25" s="12" t="s">
        <v>200</v>
      </c>
      <c r="J25" s="46">
        <v>0.12560000000000002</v>
      </c>
      <c r="K25" s="46">
        <v>0.1075</v>
      </c>
      <c r="L25" s="46">
        <v>9.8400000000000001E-2</v>
      </c>
      <c r="M25" s="46">
        <v>0.11359999999999999</v>
      </c>
      <c r="N25" s="46">
        <v>0.11722942761454562</v>
      </c>
      <c r="O25" s="46">
        <v>0.1257659025096512</v>
      </c>
      <c r="Q25" s="12" t="s">
        <v>71</v>
      </c>
      <c r="R25" s="53">
        <v>48442.69</v>
      </c>
      <c r="S25" s="53">
        <v>55313.99</v>
      </c>
      <c r="T25" s="53">
        <v>58112.49</v>
      </c>
      <c r="U25" s="53">
        <v>61477.19</v>
      </c>
      <c r="V25" s="53">
        <v>68705.89</v>
      </c>
      <c r="W25" s="53">
        <v>71874.39</v>
      </c>
    </row>
    <row r="26" spans="1:23" x14ac:dyDescent="0.3">
      <c r="A26" s="12" t="s">
        <v>65</v>
      </c>
      <c r="B26" s="54">
        <f t="shared" si="1"/>
        <v>9048.9849099999992</v>
      </c>
      <c r="C26" s="54">
        <f t="shared" si="2"/>
        <v>9244.7930749999996</v>
      </c>
      <c r="D26" s="54">
        <f t="shared" si="3"/>
        <v>9714.0505329999996</v>
      </c>
      <c r="E26" s="54">
        <f t="shared" si="4"/>
        <v>9619.9534039999999</v>
      </c>
      <c r="F26" s="54">
        <f t="shared" si="5"/>
        <v>15375.404022212264</v>
      </c>
      <c r="G26" s="54">
        <f t="shared" si="6"/>
        <v>16013.72055001061</v>
      </c>
      <c r="I26" s="12" t="s">
        <v>201</v>
      </c>
      <c r="J26" s="46">
        <v>0.11899999999999998</v>
      </c>
      <c r="K26" s="46">
        <v>0.11749999999999999</v>
      </c>
      <c r="L26" s="46">
        <v>0.1177</v>
      </c>
      <c r="M26" s="46">
        <v>0.11560000000000001</v>
      </c>
      <c r="N26" s="46">
        <v>0.17067058425984874</v>
      </c>
      <c r="O26" s="46">
        <v>0.16766520556475817</v>
      </c>
      <c r="Q26" s="12" t="s">
        <v>65</v>
      </c>
      <c r="R26" s="53">
        <v>76041.89</v>
      </c>
      <c r="S26" s="53">
        <v>78679.09</v>
      </c>
      <c r="T26" s="53">
        <v>82532.289999999994</v>
      </c>
      <c r="U26" s="53">
        <v>83217.59</v>
      </c>
      <c r="V26" s="53">
        <v>90088.19</v>
      </c>
      <c r="W26" s="53">
        <v>95510.1</v>
      </c>
    </row>
    <row r="27" spans="1:23" x14ac:dyDescent="0.3">
      <c r="A27" s="12" t="s">
        <v>53</v>
      </c>
      <c r="B27" s="54">
        <f t="shared" si="1"/>
        <v>17138.815606</v>
      </c>
      <c r="C27" s="54">
        <f t="shared" si="2"/>
        <v>16028.383198000001</v>
      </c>
      <c r="D27" s="54">
        <f t="shared" si="3"/>
        <v>14941.395458999999</v>
      </c>
      <c r="E27" s="54">
        <f t="shared" si="4"/>
        <v>16439.699499000002</v>
      </c>
      <c r="F27" s="54">
        <f t="shared" si="5"/>
        <v>24642.939339114735</v>
      </c>
      <c r="G27" s="54">
        <f t="shared" si="6"/>
        <v>30149.761072475976</v>
      </c>
      <c r="I27" s="12" t="s">
        <v>202</v>
      </c>
      <c r="J27" s="46">
        <v>0.1474</v>
      </c>
      <c r="K27" s="46">
        <v>0.12820000000000001</v>
      </c>
      <c r="L27" s="46">
        <v>0.11609999999999999</v>
      </c>
      <c r="M27" s="46">
        <v>0.1241</v>
      </c>
      <c r="N27" s="46">
        <v>0.16537654572632637</v>
      </c>
      <c r="O27" s="46">
        <v>0.19024693157332165</v>
      </c>
      <c r="Q27" s="12" t="s">
        <v>53</v>
      </c>
      <c r="R27" s="53">
        <v>116274.19</v>
      </c>
      <c r="S27" s="53">
        <v>125026.39</v>
      </c>
      <c r="T27" s="53">
        <v>128694.19</v>
      </c>
      <c r="U27" s="53">
        <v>132471.39000000001</v>
      </c>
      <c r="V27" s="53">
        <v>149011.09</v>
      </c>
      <c r="W27" s="53">
        <v>158476.99</v>
      </c>
    </row>
    <row r="28" spans="1:23" x14ac:dyDescent="0.3">
      <c r="A28" s="12" t="s">
        <v>7</v>
      </c>
      <c r="B28" s="54">
        <f t="shared" si="1"/>
        <v>219.27212000000003</v>
      </c>
      <c r="C28" s="54">
        <f t="shared" si="2"/>
        <v>202.76090099999999</v>
      </c>
      <c r="D28" s="54">
        <f t="shared" si="3"/>
        <v>233.57810999999998</v>
      </c>
      <c r="E28" s="54">
        <f t="shared" si="4"/>
        <v>264.81987999999996</v>
      </c>
      <c r="F28" s="54">
        <f t="shared" si="5"/>
        <v>331.36408853575409</v>
      </c>
      <c r="G28" s="54">
        <f t="shared" si="6"/>
        <v>280.97672565613499</v>
      </c>
      <c r="I28" s="12" t="s">
        <v>263</v>
      </c>
      <c r="J28" s="46">
        <v>6.8000000000000005E-2</v>
      </c>
      <c r="K28" s="46">
        <v>5.9900000000000002E-2</v>
      </c>
      <c r="L28" s="46">
        <v>6.7299999999999999E-2</v>
      </c>
      <c r="M28" s="46">
        <v>7.5399999999999995E-2</v>
      </c>
      <c r="N28" s="46">
        <v>8.9502225248022607E-2</v>
      </c>
      <c r="O28" s="46">
        <v>6.7330455933511044E-2</v>
      </c>
      <c r="Q28" s="12" t="s">
        <v>7</v>
      </c>
      <c r="R28" s="53">
        <v>3224.59</v>
      </c>
      <c r="S28" s="53">
        <v>3384.99</v>
      </c>
      <c r="T28" s="53">
        <v>3470.7</v>
      </c>
      <c r="U28" s="53">
        <v>3512.2</v>
      </c>
      <c r="V28" s="53">
        <v>3702.3</v>
      </c>
      <c r="W28" s="53">
        <v>4173.1000000000004</v>
      </c>
    </row>
    <row r="29" spans="1:23" x14ac:dyDescent="0.3">
      <c r="A29" s="12" t="s">
        <v>88</v>
      </c>
      <c r="B29" s="54">
        <f t="shared" si="1"/>
        <v>17059.183131000002</v>
      </c>
      <c r="C29" s="54">
        <f t="shared" si="2"/>
        <v>15886.365533999999</v>
      </c>
      <c r="D29" s="54">
        <f t="shared" si="3"/>
        <v>14713.760075</v>
      </c>
      <c r="E29" s="54">
        <f t="shared" si="4"/>
        <v>16158.587760000002</v>
      </c>
      <c r="F29" s="54">
        <f t="shared" si="5"/>
        <v>24269.54156379366</v>
      </c>
      <c r="G29" s="54">
        <f t="shared" si="6"/>
        <v>29807.501939846024</v>
      </c>
      <c r="I29" s="12" t="s">
        <v>203</v>
      </c>
      <c r="J29" s="46">
        <v>0.15090000000000001</v>
      </c>
      <c r="K29" s="46">
        <v>0.13059999999999999</v>
      </c>
      <c r="L29" s="46">
        <v>0.11749999999999999</v>
      </c>
      <c r="M29" s="46">
        <v>0.12530000000000002</v>
      </c>
      <c r="N29" s="46">
        <v>0.16702046423890571</v>
      </c>
      <c r="O29" s="46">
        <v>0.19317400234113347</v>
      </c>
      <c r="Q29" s="12" t="s">
        <v>88</v>
      </c>
      <c r="R29" s="53">
        <v>113049.59</v>
      </c>
      <c r="S29" s="53">
        <v>121641.39</v>
      </c>
      <c r="T29" s="53">
        <v>125223.49</v>
      </c>
      <c r="U29" s="53">
        <v>128959.2</v>
      </c>
      <c r="V29" s="53">
        <v>145308.79</v>
      </c>
      <c r="W29" s="53">
        <v>154303.9</v>
      </c>
    </row>
    <row r="30" spans="1:23" x14ac:dyDescent="0.3">
      <c r="A30" s="12" t="s">
        <v>80</v>
      </c>
      <c r="B30" s="54">
        <f t="shared" si="1"/>
        <v>6875.600657</v>
      </c>
      <c r="C30" s="54">
        <f t="shared" si="2"/>
        <v>7076.0633909999988</v>
      </c>
      <c r="D30" s="54">
        <f t="shared" si="3"/>
        <v>7440.7534639999985</v>
      </c>
      <c r="E30" s="54">
        <f t="shared" si="4"/>
        <v>7641.4717850000006</v>
      </c>
      <c r="F30" s="54">
        <f t="shared" si="5"/>
        <v>9437.9082625420651</v>
      </c>
      <c r="G30" s="54">
        <f t="shared" si="6"/>
        <v>9886.0209527697571</v>
      </c>
      <c r="I30" s="12" t="s">
        <v>204</v>
      </c>
      <c r="J30" s="46">
        <v>9.4299999999999995E-2</v>
      </c>
      <c r="K30" s="46">
        <v>8.7899999999999992E-2</v>
      </c>
      <c r="L30" s="46">
        <v>8.5599999999999982E-2</v>
      </c>
      <c r="M30" s="46">
        <v>8.1500000000000003E-2</v>
      </c>
      <c r="N30" s="46">
        <v>8.6155701814226548E-2</v>
      </c>
      <c r="O30" s="46">
        <v>9.018463685042416E-2</v>
      </c>
      <c r="Q30" s="12" t="s">
        <v>80</v>
      </c>
      <c r="R30" s="53">
        <v>72911.990000000005</v>
      </c>
      <c r="S30" s="53">
        <v>80501.289999999994</v>
      </c>
      <c r="T30" s="53">
        <v>86924.69</v>
      </c>
      <c r="U30" s="53">
        <v>93760.39</v>
      </c>
      <c r="V30" s="53">
        <v>109544.79</v>
      </c>
      <c r="W30" s="53">
        <v>109619.79</v>
      </c>
    </row>
    <row r="31" spans="1:23" x14ac:dyDescent="0.3">
      <c r="A31" s="12" t="s">
        <v>69</v>
      </c>
      <c r="B31" s="54">
        <f t="shared" si="1"/>
        <v>9887.1804680000005</v>
      </c>
      <c r="C31" s="54">
        <f t="shared" si="2"/>
        <v>8955.4663799999998</v>
      </c>
      <c r="D31" s="54">
        <f t="shared" si="3"/>
        <v>9992.1007640000007</v>
      </c>
      <c r="E31" s="54">
        <f t="shared" si="4"/>
        <v>9329.0834419999992</v>
      </c>
      <c r="F31" s="54">
        <f t="shared" si="5"/>
        <v>13805.565039235482</v>
      </c>
      <c r="G31" s="54">
        <f t="shared" si="6"/>
        <v>14190.227513168016</v>
      </c>
      <c r="I31" s="12" t="s">
        <v>205</v>
      </c>
      <c r="J31" s="46">
        <v>0.12520000000000001</v>
      </c>
      <c r="K31" s="46">
        <v>0.10199999999999999</v>
      </c>
      <c r="L31" s="46">
        <v>0.1076</v>
      </c>
      <c r="M31" s="46">
        <v>9.98E-2</v>
      </c>
      <c r="N31" s="46">
        <v>0.1150150433122467</v>
      </c>
      <c r="O31" s="46">
        <v>0.11085163479454394</v>
      </c>
      <c r="Q31" s="12" t="s">
        <v>69</v>
      </c>
      <c r="R31" s="53">
        <v>78971.09</v>
      </c>
      <c r="S31" s="53">
        <v>87798.69</v>
      </c>
      <c r="T31" s="53">
        <v>92863.39</v>
      </c>
      <c r="U31" s="53">
        <v>93477.79</v>
      </c>
      <c r="V31" s="53">
        <v>120032.69</v>
      </c>
      <c r="W31" s="53">
        <v>128010.99</v>
      </c>
    </row>
    <row r="32" spans="1:23" x14ac:dyDescent="0.3">
      <c r="A32" s="12" t="s">
        <v>33</v>
      </c>
      <c r="B32" s="54">
        <f t="shared" si="1"/>
        <v>18218.73141</v>
      </c>
      <c r="C32" s="54">
        <f t="shared" si="2"/>
        <v>20722.990819999999</v>
      </c>
      <c r="D32" s="54">
        <f t="shared" si="3"/>
        <v>23478.042215999998</v>
      </c>
      <c r="E32" s="54">
        <f t="shared" si="4"/>
        <v>23055.169346999995</v>
      </c>
      <c r="F32" s="54">
        <f t="shared" si="5"/>
        <v>36071.858939026555</v>
      </c>
      <c r="G32" s="54">
        <f t="shared" si="6"/>
        <v>36749.527836991379</v>
      </c>
      <c r="I32" s="12" t="s">
        <v>206</v>
      </c>
      <c r="J32" s="46">
        <v>9.9000000000000005E-2</v>
      </c>
      <c r="K32" s="46">
        <v>9.8000000000000004E-2</v>
      </c>
      <c r="L32" s="46">
        <v>9.8400000000000001E-2</v>
      </c>
      <c r="M32" s="46">
        <v>9.0299999999999991E-2</v>
      </c>
      <c r="N32" s="46">
        <v>0.11295647648012114</v>
      </c>
      <c r="O32" s="46">
        <v>0.11385374292557621</v>
      </c>
      <c r="Q32" s="12" t="s">
        <v>33</v>
      </c>
      <c r="R32" s="53">
        <v>184027.59</v>
      </c>
      <c r="S32" s="53">
        <v>211459.09</v>
      </c>
      <c r="T32" s="53">
        <v>238597.99</v>
      </c>
      <c r="U32" s="53">
        <v>255317.49</v>
      </c>
      <c r="V32" s="53">
        <v>319342.99</v>
      </c>
      <c r="W32" s="53">
        <v>322778.39</v>
      </c>
    </row>
    <row r="33" spans="1:23" x14ac:dyDescent="0.3">
      <c r="A33" s="12" t="s">
        <v>30</v>
      </c>
      <c r="B33" s="54">
        <f t="shared" si="1"/>
        <v>7954.3370270000005</v>
      </c>
      <c r="C33" s="54">
        <f t="shared" si="2"/>
        <v>7391.0516580000012</v>
      </c>
      <c r="D33" s="54">
        <f t="shared" si="3"/>
        <v>7428.8096879999994</v>
      </c>
      <c r="E33" s="54">
        <f t="shared" si="4"/>
        <v>9038.3091199999999</v>
      </c>
      <c r="F33" s="54">
        <f t="shared" si="5"/>
        <v>10989.648889676197</v>
      </c>
      <c r="G33" s="54">
        <f t="shared" si="6"/>
        <v>17355.436658648501</v>
      </c>
      <c r="I33" s="12" t="s">
        <v>207</v>
      </c>
      <c r="J33" s="46">
        <v>0.1183</v>
      </c>
      <c r="K33" s="46">
        <v>0.10620000000000002</v>
      </c>
      <c r="L33" s="46">
        <v>0.1032</v>
      </c>
      <c r="M33" s="46">
        <v>0.128</v>
      </c>
      <c r="N33" s="46">
        <v>0.14644880797224283</v>
      </c>
      <c r="O33" s="46">
        <v>0.19940070604397572</v>
      </c>
      <c r="Q33" s="12" t="s">
        <v>30</v>
      </c>
      <c r="R33" s="53">
        <v>67238.69</v>
      </c>
      <c r="S33" s="53">
        <v>69595.59</v>
      </c>
      <c r="T33" s="53">
        <v>71984.59</v>
      </c>
      <c r="U33" s="53">
        <v>70611.789999999994</v>
      </c>
      <c r="V33" s="53">
        <v>75040.89</v>
      </c>
      <c r="W33" s="53">
        <v>87037.99</v>
      </c>
    </row>
    <row r="34" spans="1:23" x14ac:dyDescent="0.3">
      <c r="A34" s="12" t="s">
        <v>52</v>
      </c>
      <c r="B34" s="54">
        <f t="shared" si="1"/>
        <v>5688.7340249999997</v>
      </c>
      <c r="C34" s="54">
        <f t="shared" si="2"/>
        <v>6470.2088220000005</v>
      </c>
      <c r="D34" s="54">
        <f t="shared" si="3"/>
        <v>6882.4644360000002</v>
      </c>
      <c r="E34" s="54">
        <f t="shared" si="4"/>
        <v>6219.3685140000007</v>
      </c>
      <c r="F34" s="54">
        <f t="shared" si="5"/>
        <v>8363.4306572353362</v>
      </c>
      <c r="G34" s="54">
        <f t="shared" si="6"/>
        <v>10312.00587539837</v>
      </c>
      <c r="I34" s="12" t="s">
        <v>208</v>
      </c>
      <c r="J34" s="46">
        <v>9.7500000000000003E-2</v>
      </c>
      <c r="K34" s="46">
        <v>0.10780000000000001</v>
      </c>
      <c r="L34" s="46">
        <v>0.1124</v>
      </c>
      <c r="M34" s="46">
        <v>0.10460000000000001</v>
      </c>
      <c r="N34" s="46">
        <v>0.1264456578099091</v>
      </c>
      <c r="O34" s="46">
        <v>0.13870273306099043</v>
      </c>
      <c r="Q34" s="12" t="s">
        <v>52</v>
      </c>
      <c r="R34" s="53">
        <v>58345.99</v>
      </c>
      <c r="S34" s="53">
        <v>60020.49</v>
      </c>
      <c r="T34" s="53">
        <v>61231.89</v>
      </c>
      <c r="U34" s="53">
        <v>59458.59</v>
      </c>
      <c r="V34" s="53">
        <v>66142.490000000005</v>
      </c>
      <c r="W34" s="53">
        <v>74346.09</v>
      </c>
    </row>
    <row r="35" spans="1:23" x14ac:dyDescent="0.3">
      <c r="A35" s="12" t="s">
        <v>31</v>
      </c>
      <c r="B35" s="54">
        <f t="shared" si="1"/>
        <v>3857.0355249999998</v>
      </c>
      <c r="C35" s="54">
        <f t="shared" si="2"/>
        <v>4472.6745210000008</v>
      </c>
      <c r="D35" s="54">
        <f t="shared" si="3"/>
        <v>4926.8260800000007</v>
      </c>
      <c r="E35" s="54">
        <f t="shared" si="4"/>
        <v>5172.9733769999993</v>
      </c>
      <c r="F35" s="54">
        <f t="shared" si="5"/>
        <v>6848.1923202441494</v>
      </c>
      <c r="G35" s="54">
        <f t="shared" si="6"/>
        <v>7679.5396008806019</v>
      </c>
      <c r="I35" s="12" t="s">
        <v>209</v>
      </c>
      <c r="J35" s="46">
        <v>7.2499999999999995E-2</v>
      </c>
      <c r="K35" s="46">
        <v>7.8900000000000012E-2</v>
      </c>
      <c r="L35" s="46">
        <v>7.9600000000000004E-2</v>
      </c>
      <c r="M35" s="46">
        <v>8.0299999999999996E-2</v>
      </c>
      <c r="N35" s="46">
        <v>9.0353066597551185E-2</v>
      </c>
      <c r="O35" s="46">
        <v>9.0271813215487884E-2</v>
      </c>
      <c r="Q35" s="12" t="s">
        <v>31</v>
      </c>
      <c r="R35" s="53">
        <v>53200.49</v>
      </c>
      <c r="S35" s="53">
        <v>56687.89</v>
      </c>
      <c r="T35" s="53">
        <v>61894.8</v>
      </c>
      <c r="U35" s="53">
        <v>64420.59</v>
      </c>
      <c r="V35" s="53">
        <v>75793.69</v>
      </c>
      <c r="W35" s="53">
        <v>85071.29</v>
      </c>
    </row>
    <row r="36" spans="1:23" x14ac:dyDescent="0.3">
      <c r="A36" s="12" t="s">
        <v>32</v>
      </c>
      <c r="B36" s="54">
        <f t="shared" si="1"/>
        <v>110699.24332699999</v>
      </c>
      <c r="C36" s="54">
        <f t="shared" si="2"/>
        <v>129120.23658099999</v>
      </c>
      <c r="D36" s="54">
        <f t="shared" si="3"/>
        <v>136459.19687399999</v>
      </c>
      <c r="E36" s="54">
        <f t="shared" si="4"/>
        <v>117608.16406800001</v>
      </c>
      <c r="F36" s="54">
        <f t="shared" si="5"/>
        <v>177824.39636629974</v>
      </c>
      <c r="G36" s="54">
        <f t="shared" si="6"/>
        <v>214048.96769124776</v>
      </c>
      <c r="I36" s="12" t="s">
        <v>268</v>
      </c>
      <c r="J36" s="46">
        <v>0.1303</v>
      </c>
      <c r="K36" s="46">
        <v>0.13789999999999999</v>
      </c>
      <c r="L36" s="46">
        <v>0.1386</v>
      </c>
      <c r="M36" s="46">
        <v>0.12120000000000002</v>
      </c>
      <c r="N36" s="46">
        <v>0.13749120124171985</v>
      </c>
      <c r="O36" s="46">
        <v>0.16493246034512757</v>
      </c>
      <c r="Q36" s="12" t="s">
        <v>32</v>
      </c>
      <c r="R36" s="53">
        <v>849572.09</v>
      </c>
      <c r="S36" s="53">
        <v>936332.39</v>
      </c>
      <c r="T36" s="53">
        <v>984554.09</v>
      </c>
      <c r="U36" s="53">
        <v>970364.39</v>
      </c>
      <c r="V36" s="53">
        <v>1293351.1000000001</v>
      </c>
      <c r="W36" s="53">
        <v>1297797.7</v>
      </c>
    </row>
    <row r="37" spans="1:23" x14ac:dyDescent="0.3">
      <c r="A37" s="12" t="s">
        <v>98</v>
      </c>
      <c r="B37" s="54">
        <f t="shared" si="1"/>
        <v>190298.56957299999</v>
      </c>
      <c r="C37" s="54">
        <f t="shared" si="2"/>
        <v>201278.20047999997</v>
      </c>
      <c r="D37" s="54">
        <f t="shared" si="3"/>
        <v>222538.26886799996</v>
      </c>
      <c r="E37" s="54">
        <f t="shared" si="4"/>
        <v>225761.62150499999</v>
      </c>
      <c r="F37" s="54">
        <f t="shared" si="5"/>
        <v>307709.46102870768</v>
      </c>
      <c r="G37" s="54">
        <f t="shared" si="6"/>
        <v>360542.82471866591</v>
      </c>
      <c r="I37" s="12" t="s">
        <v>210</v>
      </c>
      <c r="J37" s="46">
        <v>0.11269999999999999</v>
      </c>
      <c r="K37" s="46">
        <v>0.11199999999999999</v>
      </c>
      <c r="L37" s="46">
        <v>0.11719999999999998</v>
      </c>
      <c r="M37" s="46">
        <v>0.1195</v>
      </c>
      <c r="N37" s="46">
        <v>0.13222947918141703</v>
      </c>
      <c r="O37" s="46">
        <v>0.14496540127841478</v>
      </c>
      <c r="Q37" s="12" t="s">
        <v>98</v>
      </c>
      <c r="R37" s="53">
        <v>1688540.99</v>
      </c>
      <c r="S37" s="53">
        <v>1797126.79</v>
      </c>
      <c r="T37" s="53">
        <v>1898790.69</v>
      </c>
      <c r="U37" s="53">
        <v>1889218.59</v>
      </c>
      <c r="V37" s="53">
        <v>2327086.69</v>
      </c>
      <c r="W37" s="53">
        <v>2487095.69</v>
      </c>
    </row>
    <row r="38" spans="1:23" x14ac:dyDescent="0.3">
      <c r="A38" s="12" t="s">
        <v>26</v>
      </c>
      <c r="B38" s="54">
        <f t="shared" si="1"/>
        <v>5048.6448359999986</v>
      </c>
      <c r="C38" s="54">
        <f t="shared" si="2"/>
        <v>5242.4024999999992</v>
      </c>
      <c r="D38" s="54">
        <f t="shared" si="3"/>
        <v>5932.738057999999</v>
      </c>
      <c r="E38" s="54">
        <f t="shared" si="4"/>
        <v>4896.4899590000005</v>
      </c>
      <c r="F38" s="54">
        <f t="shared" si="5"/>
        <v>6457.1164272718452</v>
      </c>
      <c r="G38" s="54">
        <f t="shared" si="6"/>
        <v>7575.8827255990773</v>
      </c>
      <c r="I38" s="12" t="s">
        <v>267</v>
      </c>
      <c r="J38" s="46">
        <v>8.0399999999999985E-2</v>
      </c>
      <c r="K38" s="46">
        <v>7.4999999999999997E-2</v>
      </c>
      <c r="L38" s="46">
        <v>8.0199999999999994E-2</v>
      </c>
      <c r="M38" s="46">
        <v>6.3100000000000003E-2</v>
      </c>
      <c r="N38" s="46">
        <v>6.1832604406801647E-2</v>
      </c>
      <c r="O38" s="46">
        <v>7.5139683775647809E-2</v>
      </c>
      <c r="Q38" s="12" t="s">
        <v>26</v>
      </c>
      <c r="R38" s="53">
        <v>62794.09</v>
      </c>
      <c r="S38" s="53">
        <v>69898.7</v>
      </c>
      <c r="T38" s="53">
        <v>73974.289999999994</v>
      </c>
      <c r="U38" s="53">
        <v>77598.89</v>
      </c>
      <c r="V38" s="53">
        <v>104428.99</v>
      </c>
      <c r="W38" s="53">
        <v>100823.99</v>
      </c>
    </row>
    <row r="39" spans="1:23" x14ac:dyDescent="0.3">
      <c r="A39" s="12" t="s">
        <v>27</v>
      </c>
      <c r="B39" s="54">
        <f t="shared" si="1"/>
        <v>963.81699299999991</v>
      </c>
      <c r="C39" s="54">
        <f t="shared" si="2"/>
        <v>1009.945118</v>
      </c>
      <c r="D39" s="54">
        <f t="shared" si="3"/>
        <v>1182.166776</v>
      </c>
      <c r="E39" s="54">
        <f t="shared" si="4"/>
        <v>1248.9185610000002</v>
      </c>
      <c r="F39" s="54">
        <f t="shared" si="5"/>
        <v>1469.7882046413899</v>
      </c>
      <c r="G39" s="54">
        <f t="shared" si="6"/>
        <v>1960.1511668151134</v>
      </c>
      <c r="I39" s="12" t="s">
        <v>211</v>
      </c>
      <c r="J39" s="46">
        <v>0.10769999999999999</v>
      </c>
      <c r="K39" s="46">
        <v>9.6200000000000008E-2</v>
      </c>
      <c r="L39" s="46">
        <v>0.10640000000000001</v>
      </c>
      <c r="M39" s="46">
        <v>0.10890000000000001</v>
      </c>
      <c r="N39" s="46">
        <v>0.10998041801883929</v>
      </c>
      <c r="O39" s="46">
        <v>0.12338866931271601</v>
      </c>
      <c r="Q39" s="12" t="s">
        <v>27</v>
      </c>
      <c r="R39" s="53">
        <v>8949.09</v>
      </c>
      <c r="S39" s="53">
        <v>10498.39</v>
      </c>
      <c r="T39" s="53">
        <v>11110.59</v>
      </c>
      <c r="U39" s="53">
        <v>11468.49</v>
      </c>
      <c r="V39" s="53">
        <v>13364.09</v>
      </c>
      <c r="W39" s="53">
        <v>15885.99</v>
      </c>
    </row>
    <row r="40" spans="1:23" x14ac:dyDescent="0.3">
      <c r="A40" s="12" t="s">
        <v>89</v>
      </c>
      <c r="B40" s="54">
        <f t="shared" si="1"/>
        <v>13308.154151000001</v>
      </c>
      <c r="C40" s="54">
        <f t="shared" si="2"/>
        <v>13814.853370000003</v>
      </c>
      <c r="D40" s="54">
        <f t="shared" si="3"/>
        <v>15523.526459000001</v>
      </c>
      <c r="E40" s="54">
        <f t="shared" si="4"/>
        <v>16095.260069</v>
      </c>
      <c r="F40" s="54">
        <f t="shared" si="5"/>
        <v>20977.678797285025</v>
      </c>
      <c r="G40" s="54">
        <f t="shared" si="6"/>
        <v>28396.206793442303</v>
      </c>
      <c r="I40" s="12" t="s">
        <v>212</v>
      </c>
      <c r="J40" s="46">
        <v>0.1109</v>
      </c>
      <c r="K40" s="46">
        <v>0.10300000000000001</v>
      </c>
      <c r="L40" s="46">
        <v>0.10809999999999999</v>
      </c>
      <c r="M40" s="46">
        <v>0.1091</v>
      </c>
      <c r="N40" s="46">
        <v>0.12406133517237075</v>
      </c>
      <c r="O40" s="46">
        <v>0.14796542916536143</v>
      </c>
      <c r="Q40" s="12" t="s">
        <v>89</v>
      </c>
      <c r="R40" s="53">
        <v>120001.39</v>
      </c>
      <c r="S40" s="53">
        <v>134124.79</v>
      </c>
      <c r="T40" s="53">
        <v>143603.39000000001</v>
      </c>
      <c r="U40" s="53">
        <v>147527.59</v>
      </c>
      <c r="V40" s="53">
        <v>169091.19</v>
      </c>
      <c r="W40" s="53">
        <v>191911.09</v>
      </c>
    </row>
    <row r="41" spans="1:23" x14ac:dyDescent="0.3">
      <c r="A41" s="12" t="s">
        <v>28</v>
      </c>
      <c r="B41" s="54">
        <f t="shared" si="1"/>
        <v>85580.634456</v>
      </c>
      <c r="C41" s="54">
        <f t="shared" si="2"/>
        <v>87686.08872</v>
      </c>
      <c r="D41" s="54">
        <f t="shared" si="3"/>
        <v>94902.450186999995</v>
      </c>
      <c r="E41" s="54">
        <f t="shared" si="4"/>
        <v>100163.29971800001</v>
      </c>
      <c r="F41" s="54">
        <f t="shared" si="5"/>
        <v>142028.45103783248</v>
      </c>
      <c r="G41" s="54">
        <f t="shared" si="6"/>
        <v>156002.84347352732</v>
      </c>
      <c r="I41" s="12" t="s">
        <v>213</v>
      </c>
      <c r="J41" s="46">
        <v>0.12240000000000001</v>
      </c>
      <c r="K41" s="46">
        <v>0.1191</v>
      </c>
      <c r="L41" s="46">
        <v>0.12129999999999999</v>
      </c>
      <c r="M41" s="46">
        <v>0.12820000000000001</v>
      </c>
      <c r="N41" s="46">
        <v>0.1378492478217703</v>
      </c>
      <c r="O41" s="46">
        <v>0.14548733870413741</v>
      </c>
      <c r="Q41" s="12" t="s">
        <v>28</v>
      </c>
      <c r="R41" s="53">
        <v>699188.19</v>
      </c>
      <c r="S41" s="53">
        <v>736239.2</v>
      </c>
      <c r="T41" s="53">
        <v>782377.99</v>
      </c>
      <c r="U41" s="53">
        <v>781304.99</v>
      </c>
      <c r="V41" s="53">
        <v>1030317.2</v>
      </c>
      <c r="W41" s="53">
        <v>1072277.8</v>
      </c>
    </row>
    <row r="42" spans="1:23" x14ac:dyDescent="0.3">
      <c r="A42" s="12" t="s">
        <v>25</v>
      </c>
      <c r="B42" s="54">
        <f t="shared" si="1"/>
        <v>12088.159879000001</v>
      </c>
      <c r="C42" s="54">
        <f t="shared" si="2"/>
        <v>14299.846649999999</v>
      </c>
      <c r="D42" s="54">
        <f t="shared" si="3"/>
        <v>13323.278700999999</v>
      </c>
      <c r="E42" s="54">
        <f t="shared" si="4"/>
        <v>11402.093566000001</v>
      </c>
      <c r="F42" s="54">
        <f t="shared" si="5"/>
        <v>12814.885092562427</v>
      </c>
      <c r="G42" s="54">
        <f t="shared" si="6"/>
        <v>14108.590289343818</v>
      </c>
      <c r="I42" s="12" t="s">
        <v>214</v>
      </c>
      <c r="J42" s="46">
        <v>0.12010000000000001</v>
      </c>
      <c r="K42" s="46">
        <v>0.13500000000000001</v>
      </c>
      <c r="L42" s="46">
        <v>0.12190000000000001</v>
      </c>
      <c r="M42" s="46">
        <v>0.10940000000000001</v>
      </c>
      <c r="N42" s="46">
        <v>0.11188327202670857</v>
      </c>
      <c r="O42" s="46">
        <v>0.12270741246259435</v>
      </c>
      <c r="Q42" s="12" t="s">
        <v>25</v>
      </c>
      <c r="R42" s="53">
        <v>100650.79</v>
      </c>
      <c r="S42" s="53">
        <v>105924.79</v>
      </c>
      <c r="T42" s="53">
        <v>109296.79</v>
      </c>
      <c r="U42" s="53">
        <v>104223.89</v>
      </c>
      <c r="V42" s="53">
        <v>114537.99</v>
      </c>
      <c r="W42" s="53">
        <v>114977.49</v>
      </c>
    </row>
    <row r="43" spans="1:23" x14ac:dyDescent="0.3">
      <c r="A43" s="12" t="s">
        <v>22</v>
      </c>
      <c r="B43" s="54">
        <f t="shared" si="1"/>
        <v>19034.334792000001</v>
      </c>
      <c r="C43" s="54">
        <f t="shared" si="2"/>
        <v>20301.138050000001</v>
      </c>
      <c r="D43" s="54">
        <f t="shared" si="3"/>
        <v>24246.974010999998</v>
      </c>
      <c r="E43" s="54">
        <f t="shared" si="4"/>
        <v>23014.508268000001</v>
      </c>
      <c r="F43" s="54">
        <f t="shared" si="5"/>
        <v>32112.683012754998</v>
      </c>
      <c r="G43" s="54">
        <f t="shared" si="6"/>
        <v>38701.622702049222</v>
      </c>
      <c r="I43" s="12" t="s">
        <v>215</v>
      </c>
      <c r="J43" s="46">
        <v>9.6799999999999997E-2</v>
      </c>
      <c r="K43" s="46">
        <v>9.5000000000000001E-2</v>
      </c>
      <c r="L43" s="46">
        <v>0.1079</v>
      </c>
      <c r="M43" s="46">
        <v>0.1052</v>
      </c>
      <c r="N43" s="46">
        <v>0.12233510707372319</v>
      </c>
      <c r="O43" s="46">
        <v>0.13764394775613753</v>
      </c>
      <c r="Q43" s="12" t="s">
        <v>22</v>
      </c>
      <c r="R43" s="53">
        <v>196635.69</v>
      </c>
      <c r="S43" s="53">
        <v>213696.19</v>
      </c>
      <c r="T43" s="53">
        <v>224717.09</v>
      </c>
      <c r="U43" s="53">
        <v>218769.09</v>
      </c>
      <c r="V43" s="53">
        <v>262497.69</v>
      </c>
      <c r="W43" s="53">
        <v>281171.99</v>
      </c>
    </row>
    <row r="44" spans="1:23" x14ac:dyDescent="0.3">
      <c r="A44" s="12" t="s">
        <v>29</v>
      </c>
      <c r="B44" s="54">
        <f t="shared" si="1"/>
        <v>54248.894601</v>
      </c>
      <c r="C44" s="54">
        <f t="shared" si="2"/>
        <v>59503.083102999997</v>
      </c>
      <c r="D44" s="54">
        <f t="shared" si="3"/>
        <v>64795.798750000002</v>
      </c>
      <c r="E44" s="54">
        <f t="shared" si="4"/>
        <v>63239.681678999994</v>
      </c>
      <c r="F44" s="54">
        <f t="shared" si="5"/>
        <v>82121.079694065658</v>
      </c>
      <c r="G44" s="54">
        <f t="shared" si="6"/>
        <v>106396.46043962259</v>
      </c>
      <c r="I44" s="12" t="s">
        <v>216</v>
      </c>
      <c r="J44" s="46">
        <v>0.1159</v>
      </c>
      <c r="K44" s="46">
        <v>0.1207</v>
      </c>
      <c r="L44" s="46">
        <v>0.125</v>
      </c>
      <c r="M44" s="46">
        <v>0.12309999999999999</v>
      </c>
      <c r="N44" s="46">
        <v>0.14058858299453761</v>
      </c>
      <c r="O44" s="46">
        <v>0.16096745572990148</v>
      </c>
      <c r="Q44" s="12" t="s">
        <v>29</v>
      </c>
      <c r="R44" s="53">
        <v>468066.39</v>
      </c>
      <c r="S44" s="53">
        <v>492983.29</v>
      </c>
      <c r="T44" s="53">
        <v>518366.39</v>
      </c>
      <c r="U44" s="53">
        <v>513726.09</v>
      </c>
      <c r="V44" s="53">
        <v>584123.39</v>
      </c>
      <c r="W44" s="53">
        <v>660981.18999999994</v>
      </c>
    </row>
    <row r="45" spans="1:23" x14ac:dyDescent="0.3">
      <c r="A45" s="12" t="s">
        <v>90</v>
      </c>
      <c r="B45" s="54">
        <f t="shared" si="1"/>
        <v>1919.1897549999996</v>
      </c>
      <c r="C45" s="54">
        <f t="shared" si="2"/>
        <v>2424.067802</v>
      </c>
      <c r="D45" s="54">
        <f t="shared" si="3"/>
        <v>4881.0202099999997</v>
      </c>
      <c r="E45" s="54">
        <f t="shared" si="4"/>
        <v>7317.7921349999997</v>
      </c>
      <c r="F45" s="54">
        <f t="shared" si="5"/>
        <v>11880.33717950374</v>
      </c>
      <c r="G45" s="54">
        <f t="shared" si="6"/>
        <v>9134.2817131633819</v>
      </c>
      <c r="I45" s="12" t="s">
        <v>217</v>
      </c>
      <c r="J45" s="46">
        <v>5.949999999999999E-2</v>
      </c>
      <c r="K45" s="46">
        <v>7.1800000000000003E-2</v>
      </c>
      <c r="L45" s="46">
        <v>0.1381</v>
      </c>
      <c r="M45" s="46">
        <v>0.21149999999999999</v>
      </c>
      <c r="N45" s="46">
        <v>0.24381880794259791</v>
      </c>
      <c r="O45" s="46">
        <v>0.18616244124851311</v>
      </c>
      <c r="Q45" s="12" t="s">
        <v>90</v>
      </c>
      <c r="R45" s="53">
        <v>32255.29</v>
      </c>
      <c r="S45" s="53">
        <v>33761.39</v>
      </c>
      <c r="T45" s="53">
        <v>35344.1</v>
      </c>
      <c r="U45" s="53">
        <v>34599.49</v>
      </c>
      <c r="V45" s="53">
        <v>48726.09</v>
      </c>
      <c r="W45" s="53">
        <v>49066.19</v>
      </c>
    </row>
    <row r="46" spans="1:23" x14ac:dyDescent="0.3">
      <c r="A46" s="12" t="s">
        <v>99</v>
      </c>
      <c r="B46" s="54">
        <f t="shared" si="1"/>
        <v>87328.851503999991</v>
      </c>
      <c r="C46" s="54">
        <f t="shared" si="2"/>
        <v>87440.239062000008</v>
      </c>
      <c r="D46" s="54">
        <f t="shared" si="3"/>
        <v>98925.199288000018</v>
      </c>
      <c r="E46" s="54">
        <f t="shared" si="4"/>
        <v>82735.642439999996</v>
      </c>
      <c r="F46" s="54">
        <f t="shared" si="5"/>
        <v>93990.224607997065</v>
      </c>
      <c r="G46" s="54">
        <f t="shared" si="6"/>
        <v>122912.14475618652</v>
      </c>
      <c r="I46" s="12" t="s">
        <v>218</v>
      </c>
      <c r="J46" s="46">
        <v>0.11359999999999999</v>
      </c>
      <c r="K46" s="46">
        <v>0.10980000000000001</v>
      </c>
      <c r="L46" s="46">
        <v>0.11920000000000001</v>
      </c>
      <c r="M46" s="46">
        <v>0.10679999999999999</v>
      </c>
      <c r="N46" s="46">
        <v>0.1032767808232926</v>
      </c>
      <c r="O46" s="46">
        <v>0.12097421167935242</v>
      </c>
      <c r="Q46" s="12" t="s">
        <v>99</v>
      </c>
      <c r="R46" s="53">
        <v>768739.89</v>
      </c>
      <c r="S46" s="53">
        <v>796359.19</v>
      </c>
      <c r="T46" s="53">
        <v>829909.39</v>
      </c>
      <c r="U46" s="53">
        <v>774678.3</v>
      </c>
      <c r="V46" s="53">
        <v>910080.89</v>
      </c>
      <c r="W46" s="53">
        <v>1016019.39</v>
      </c>
    </row>
    <row r="47" spans="1:23" x14ac:dyDescent="0.3">
      <c r="A47" s="12" t="s">
        <v>63</v>
      </c>
      <c r="B47" s="54">
        <f t="shared" si="1"/>
        <v>32528.633460000005</v>
      </c>
      <c r="C47" s="54">
        <f t="shared" si="2"/>
        <v>32139.469966999997</v>
      </c>
      <c r="D47" s="54">
        <f t="shared" si="3"/>
        <v>29968.952299999997</v>
      </c>
      <c r="E47" s="54">
        <f t="shared" si="4"/>
        <v>27064.650657000002</v>
      </c>
      <c r="F47" s="54">
        <f t="shared" si="5"/>
        <v>30931.424208219029</v>
      </c>
      <c r="G47" s="54">
        <f t="shared" si="6"/>
        <v>47399.139827061823</v>
      </c>
      <c r="I47" s="12" t="s">
        <v>273</v>
      </c>
      <c r="J47" s="46">
        <v>0.114</v>
      </c>
      <c r="K47" s="46">
        <v>0.1133</v>
      </c>
      <c r="L47" s="46">
        <v>0.10099999999999999</v>
      </c>
      <c r="M47" s="46">
        <v>0.1023</v>
      </c>
      <c r="N47" s="46">
        <v>0.10578994295615761</v>
      </c>
      <c r="O47" s="46">
        <v>0.13788018810765817</v>
      </c>
      <c r="Q47" s="12" t="s">
        <v>63</v>
      </c>
      <c r="R47" s="53">
        <v>285338.89</v>
      </c>
      <c r="S47" s="53">
        <v>283666.99</v>
      </c>
      <c r="T47" s="53">
        <v>296722.3</v>
      </c>
      <c r="U47" s="53">
        <v>264561.59000000003</v>
      </c>
      <c r="V47" s="53">
        <v>292385.3</v>
      </c>
      <c r="W47" s="53">
        <v>343770.49</v>
      </c>
    </row>
    <row r="48" spans="1:23" x14ac:dyDescent="0.3">
      <c r="A48" s="12" t="s">
        <v>81</v>
      </c>
      <c r="B48" s="54">
        <f t="shared" si="1"/>
        <v>269.19251100000002</v>
      </c>
      <c r="C48" s="54">
        <f t="shared" si="2"/>
        <v>250.01152000000002</v>
      </c>
      <c r="D48" s="54">
        <f t="shared" si="3"/>
        <v>577.31281300000001</v>
      </c>
      <c r="E48" s="54">
        <f t="shared" si="4"/>
        <v>495.95315000000005</v>
      </c>
      <c r="F48" s="54">
        <f t="shared" si="5"/>
        <v>485.61379845048043</v>
      </c>
      <c r="G48" s="54">
        <f t="shared" si="6"/>
        <v>917.3648353647219</v>
      </c>
      <c r="I48" s="12" t="s">
        <v>275</v>
      </c>
      <c r="J48" s="46">
        <v>1.89E-2</v>
      </c>
      <c r="K48" s="46">
        <v>1.7600000000000001E-2</v>
      </c>
      <c r="L48" s="46">
        <v>4.07E-2</v>
      </c>
      <c r="M48" s="46">
        <v>3.5000000000000003E-2</v>
      </c>
      <c r="N48" s="46">
        <v>3.4820510135411827E-2</v>
      </c>
      <c r="O48" s="46">
        <v>5.3872670015469575E-2</v>
      </c>
      <c r="Q48" s="12" t="s">
        <v>81</v>
      </c>
      <c r="R48" s="53">
        <v>14242.99</v>
      </c>
      <c r="S48" s="53">
        <v>14205.2</v>
      </c>
      <c r="T48" s="53">
        <v>14184.59</v>
      </c>
      <c r="U48" s="53">
        <v>14170.09</v>
      </c>
      <c r="V48" s="53">
        <v>13946.2</v>
      </c>
      <c r="W48" s="53">
        <v>17028.39</v>
      </c>
    </row>
    <row r="49" spans="1:23" x14ac:dyDescent="0.3">
      <c r="A49" s="12" t="s">
        <v>91</v>
      </c>
      <c r="B49" s="54">
        <f t="shared" si="1"/>
        <v>8632.6805700000004</v>
      </c>
      <c r="C49" s="54">
        <f t="shared" si="2"/>
        <v>8171.5405199999996</v>
      </c>
      <c r="D49" s="54">
        <f t="shared" si="3"/>
        <v>9097.8316400000003</v>
      </c>
      <c r="E49" s="54">
        <f t="shared" si="4"/>
        <v>8767.3533149999985</v>
      </c>
      <c r="F49" s="54">
        <f t="shared" si="5"/>
        <v>13634.356876094493</v>
      </c>
      <c r="G49" s="54">
        <f t="shared" si="6"/>
        <v>19803.523313819631</v>
      </c>
      <c r="I49" s="12" t="s">
        <v>219</v>
      </c>
      <c r="J49" s="46">
        <v>0.13589999999999999</v>
      </c>
      <c r="K49" s="46">
        <v>0.12539999999999998</v>
      </c>
      <c r="L49" s="46">
        <v>0.1333</v>
      </c>
      <c r="M49" s="46">
        <v>0.13849999999999998</v>
      </c>
      <c r="N49" s="46">
        <v>0.13928144623451416</v>
      </c>
      <c r="O49" s="46">
        <v>0.15998244798926231</v>
      </c>
      <c r="Q49" s="12" t="s">
        <v>91</v>
      </c>
      <c r="R49" s="53">
        <v>63522.3</v>
      </c>
      <c r="S49" s="53">
        <v>65163.8</v>
      </c>
      <c r="T49" s="53">
        <v>68250.8</v>
      </c>
      <c r="U49" s="53">
        <v>63302.19</v>
      </c>
      <c r="V49" s="53">
        <v>97890.69</v>
      </c>
      <c r="W49" s="53">
        <v>123785.60000000001</v>
      </c>
    </row>
    <row r="50" spans="1:23" x14ac:dyDescent="0.3">
      <c r="A50" s="12" t="s">
        <v>92</v>
      </c>
      <c r="B50" s="54">
        <f t="shared" si="1"/>
        <v>1753.214862</v>
      </c>
      <c r="C50" s="54">
        <f t="shared" si="2"/>
        <v>1919.5573769999999</v>
      </c>
      <c r="D50" s="54">
        <f t="shared" si="3"/>
        <v>2189.0645199999999</v>
      </c>
      <c r="E50" s="54">
        <f t="shared" si="4"/>
        <v>1925.369835</v>
      </c>
      <c r="F50" s="54">
        <f t="shared" si="5"/>
        <v>1984.1524234926908</v>
      </c>
      <c r="G50" s="54">
        <f t="shared" si="6"/>
        <v>2112.4243471024906</v>
      </c>
      <c r="I50" s="12" t="s">
        <v>220</v>
      </c>
      <c r="J50" s="46">
        <v>9.3799999999999994E-2</v>
      </c>
      <c r="K50" s="46">
        <v>9.9299999999999999E-2</v>
      </c>
      <c r="L50" s="46">
        <v>0.1108</v>
      </c>
      <c r="M50" s="46">
        <v>0.1065</v>
      </c>
      <c r="N50" s="46">
        <v>9.6501760073065809E-2</v>
      </c>
      <c r="O50" s="46">
        <v>0.10087750320563131</v>
      </c>
      <c r="Q50" s="12" t="s">
        <v>92</v>
      </c>
      <c r="R50" s="53">
        <v>18690.990000000002</v>
      </c>
      <c r="S50" s="53">
        <v>19330.89</v>
      </c>
      <c r="T50" s="53">
        <v>19756.900000000001</v>
      </c>
      <c r="U50" s="53">
        <v>18078.59</v>
      </c>
      <c r="V50" s="53">
        <v>20560.79</v>
      </c>
      <c r="W50" s="53">
        <v>20940.490000000002</v>
      </c>
    </row>
    <row r="51" spans="1:23" x14ac:dyDescent="0.3">
      <c r="A51" s="12" t="s">
        <v>47</v>
      </c>
      <c r="B51" s="54">
        <f t="shared" si="1"/>
        <v>7151.710736</v>
      </c>
      <c r="C51" s="54">
        <f t="shared" si="2"/>
        <v>7940.726862999999</v>
      </c>
      <c r="D51" s="54">
        <f t="shared" si="3"/>
        <v>7674.1813169999996</v>
      </c>
      <c r="E51" s="54">
        <f t="shared" si="4"/>
        <v>5575.6882090000008</v>
      </c>
      <c r="F51" s="54">
        <f t="shared" si="5"/>
        <v>6157.1245951995879</v>
      </c>
      <c r="G51" s="54">
        <f t="shared" si="6"/>
        <v>6825.264439975449</v>
      </c>
      <c r="I51" s="12" t="s">
        <v>270</v>
      </c>
      <c r="J51" s="46">
        <v>0.12640000000000001</v>
      </c>
      <c r="K51" s="46">
        <v>0.13269999999999998</v>
      </c>
      <c r="L51" s="46">
        <v>0.12429999999999999</v>
      </c>
      <c r="M51" s="46">
        <v>0.10310000000000001</v>
      </c>
      <c r="N51" s="46">
        <v>9.2851549485610821E-2</v>
      </c>
      <c r="O51" s="46">
        <v>9.2854941983561159E-2</v>
      </c>
      <c r="Q51" s="12" t="s">
        <v>47</v>
      </c>
      <c r="R51" s="53">
        <v>56579.99</v>
      </c>
      <c r="S51" s="53">
        <v>59839.69</v>
      </c>
      <c r="T51" s="53">
        <v>61739.19</v>
      </c>
      <c r="U51" s="53">
        <v>54080.39</v>
      </c>
      <c r="V51" s="53">
        <v>66311.490000000005</v>
      </c>
      <c r="W51" s="53">
        <v>73504.59</v>
      </c>
    </row>
    <row r="52" spans="1:23" x14ac:dyDescent="0.3">
      <c r="A52" s="12" t="s">
        <v>93</v>
      </c>
      <c r="B52" s="54">
        <f t="shared" si="1"/>
        <v>13473.281207999999</v>
      </c>
      <c r="C52" s="54">
        <f t="shared" si="2"/>
        <v>14909.874979999999</v>
      </c>
      <c r="D52" s="54">
        <f t="shared" si="3"/>
        <v>17287.275701999999</v>
      </c>
      <c r="E52" s="54">
        <f t="shared" si="4"/>
        <v>14815.780199999999</v>
      </c>
      <c r="F52" s="54">
        <f t="shared" si="5"/>
        <v>13847.800910777663</v>
      </c>
      <c r="G52" s="54">
        <f t="shared" si="6"/>
        <v>24684.878677111727</v>
      </c>
      <c r="I52" s="12" t="s">
        <v>221</v>
      </c>
      <c r="J52" s="46">
        <v>0.17519999999999999</v>
      </c>
      <c r="K52" s="46">
        <v>0.182</v>
      </c>
      <c r="L52" s="46">
        <v>0.20180000000000001</v>
      </c>
      <c r="M52" s="46">
        <v>0.18</v>
      </c>
      <c r="N52" s="46">
        <v>0.13877653130426523</v>
      </c>
      <c r="O52" s="46">
        <v>0.20273274303152952</v>
      </c>
      <c r="Q52" s="12" t="s">
        <v>93</v>
      </c>
      <c r="R52" s="53">
        <v>76902.289999999994</v>
      </c>
      <c r="S52" s="53">
        <v>81922.39</v>
      </c>
      <c r="T52" s="53">
        <v>85665.39</v>
      </c>
      <c r="U52" s="53">
        <v>82309.89</v>
      </c>
      <c r="V52" s="53">
        <v>99784.89</v>
      </c>
      <c r="W52" s="53">
        <v>121760.69</v>
      </c>
    </row>
    <row r="53" spans="1:23" x14ac:dyDescent="0.3">
      <c r="A53" s="12" t="s">
        <v>11</v>
      </c>
      <c r="B53" s="54">
        <f t="shared" si="1"/>
        <v>28362.441441000006</v>
      </c>
      <c r="C53" s="54">
        <f t="shared" si="2"/>
        <v>28910.847240000006</v>
      </c>
      <c r="D53" s="54">
        <f t="shared" si="3"/>
        <v>33832.322789999998</v>
      </c>
      <c r="E53" s="54">
        <f t="shared" si="4"/>
        <v>28791.163214999997</v>
      </c>
      <c r="F53" s="54">
        <f t="shared" si="5"/>
        <v>32390.105081748829</v>
      </c>
      <c r="G53" s="54">
        <f t="shared" si="6"/>
        <v>37593.180487208563</v>
      </c>
      <c r="I53" s="12" t="s">
        <v>222</v>
      </c>
      <c r="J53" s="46">
        <v>0.11190000000000001</v>
      </c>
      <c r="K53" s="46">
        <v>0.10620000000000002</v>
      </c>
      <c r="L53" s="46">
        <v>0.1193</v>
      </c>
      <c r="M53" s="46">
        <v>0.10349999999999999</v>
      </c>
      <c r="N53" s="46">
        <v>0.10147225482726707</v>
      </c>
      <c r="O53" s="46">
        <v>0.11925669831806626</v>
      </c>
      <c r="Q53" s="12" t="s">
        <v>11</v>
      </c>
      <c r="R53" s="53">
        <v>253462.39</v>
      </c>
      <c r="S53" s="53">
        <v>272230.2</v>
      </c>
      <c r="T53" s="53">
        <v>283590.3</v>
      </c>
      <c r="U53" s="53">
        <v>278175.49</v>
      </c>
      <c r="V53" s="53">
        <v>319201.59000000003</v>
      </c>
      <c r="W53" s="53">
        <v>315229.09000000003</v>
      </c>
    </row>
    <row r="54" spans="1:23" x14ac:dyDescent="0.3">
      <c r="A54" s="12" t="s">
        <v>100</v>
      </c>
      <c r="B54" s="54">
        <f t="shared" si="1"/>
        <v>288487.37998500001</v>
      </c>
      <c r="C54" s="54">
        <f t="shared" si="2"/>
        <v>298566.70554</v>
      </c>
      <c r="D54" s="54">
        <f t="shared" si="3"/>
        <v>328092.529461</v>
      </c>
      <c r="E54" s="54">
        <f t="shared" si="4"/>
        <v>309620.94537999999</v>
      </c>
      <c r="F54" s="54">
        <f t="shared" si="5"/>
        <v>392941.33028836135</v>
      </c>
      <c r="G54" s="54">
        <f t="shared" si="6"/>
        <v>501539.39775800554</v>
      </c>
      <c r="I54" s="12" t="s">
        <v>223</v>
      </c>
      <c r="J54" s="46">
        <v>0.1065</v>
      </c>
      <c r="K54" s="46">
        <v>0.1018</v>
      </c>
      <c r="L54" s="46">
        <v>0.10690000000000001</v>
      </c>
      <c r="M54" s="46">
        <v>0.1033</v>
      </c>
      <c r="N54" s="46">
        <v>0.11327021196397453</v>
      </c>
      <c r="O54" s="46">
        <v>0.13547500805702492</v>
      </c>
      <c r="Q54" s="12" t="s">
        <v>100</v>
      </c>
      <c r="R54" s="53">
        <v>2708801.69</v>
      </c>
      <c r="S54" s="53">
        <v>2932875.3</v>
      </c>
      <c r="T54" s="53">
        <v>3069153.69</v>
      </c>
      <c r="U54" s="53">
        <v>2997298.6</v>
      </c>
      <c r="V54" s="53">
        <v>3469061.49</v>
      </c>
      <c r="W54" s="53">
        <v>3702080.59</v>
      </c>
    </row>
    <row r="55" spans="1:23" x14ac:dyDescent="0.3">
      <c r="A55" s="12" t="s">
        <v>83</v>
      </c>
      <c r="B55" s="54">
        <f t="shared" si="1"/>
        <v>43198.333510999997</v>
      </c>
      <c r="C55" s="54">
        <f t="shared" si="2"/>
        <v>42567.250085999993</v>
      </c>
      <c r="D55" s="54">
        <f t="shared" si="3"/>
        <v>43244.157480000002</v>
      </c>
      <c r="E55" s="54">
        <f t="shared" si="4"/>
        <v>38104.536912999996</v>
      </c>
      <c r="F55" s="54">
        <f t="shared" si="5"/>
        <v>44498.39795400649</v>
      </c>
      <c r="G55" s="54">
        <f t="shared" si="6"/>
        <v>51536.557426218365</v>
      </c>
      <c r="I55" s="12" t="s">
        <v>276</v>
      </c>
      <c r="J55" s="46">
        <v>0.10189999999999999</v>
      </c>
      <c r="K55" s="46">
        <v>9.5399999999999985E-2</v>
      </c>
      <c r="L55" s="46">
        <v>9.1999999999999998E-2</v>
      </c>
      <c r="M55" s="46">
        <v>8.2699999999999996E-2</v>
      </c>
      <c r="N55" s="46">
        <v>8.9100813980269825E-2</v>
      </c>
      <c r="O55" s="46">
        <v>9.3310285492271272E-2</v>
      </c>
      <c r="Q55" s="12" t="s">
        <v>83</v>
      </c>
      <c r="R55" s="53">
        <v>423928.69</v>
      </c>
      <c r="S55" s="53">
        <v>446197.59</v>
      </c>
      <c r="T55" s="53">
        <v>470045.19</v>
      </c>
      <c r="U55" s="53">
        <v>460756.19</v>
      </c>
      <c r="V55" s="53">
        <v>499416.29</v>
      </c>
      <c r="W55" s="53">
        <v>552313.79</v>
      </c>
    </row>
    <row r="56" spans="1:23" x14ac:dyDescent="0.3">
      <c r="A56" s="12" t="s">
        <v>42</v>
      </c>
      <c r="B56" s="54">
        <f t="shared" si="1"/>
        <v>5576.263911</v>
      </c>
      <c r="C56" s="54">
        <f t="shared" si="2"/>
        <v>5188.7790600000008</v>
      </c>
      <c r="D56" s="54">
        <f t="shared" si="3"/>
        <v>6104.4031779999996</v>
      </c>
      <c r="E56" s="54">
        <f t="shared" si="4"/>
        <v>5376.695275</v>
      </c>
      <c r="F56" s="54">
        <f t="shared" si="5"/>
        <v>7278.9774732478418</v>
      </c>
      <c r="G56" s="54">
        <f t="shared" si="6"/>
        <v>8260.5607489170252</v>
      </c>
      <c r="I56" s="12" t="s">
        <v>278</v>
      </c>
      <c r="J56" s="46">
        <v>0.12689999999999999</v>
      </c>
      <c r="K56" s="46">
        <v>0.1182</v>
      </c>
      <c r="L56" s="46">
        <v>0.13819999999999999</v>
      </c>
      <c r="M56" s="46">
        <v>0.1225</v>
      </c>
      <c r="N56" s="46">
        <v>0.13531913819433705</v>
      </c>
      <c r="O56" s="46">
        <v>0.15691007571474289</v>
      </c>
      <c r="Q56" s="12" t="s">
        <v>42</v>
      </c>
      <c r="R56" s="53">
        <v>43942.19</v>
      </c>
      <c r="S56" s="53">
        <v>43898.3</v>
      </c>
      <c r="T56" s="53">
        <v>44170.79</v>
      </c>
      <c r="U56" s="53">
        <v>43891.39</v>
      </c>
      <c r="V56" s="53">
        <v>53791.19</v>
      </c>
      <c r="W56" s="53">
        <v>52645.19</v>
      </c>
    </row>
    <row r="57" spans="1:23" x14ac:dyDescent="0.3">
      <c r="A57" s="12" t="s">
        <v>34</v>
      </c>
      <c r="B57" s="54">
        <f t="shared" si="1"/>
        <v>4595.9965660000007</v>
      </c>
      <c r="C57" s="54">
        <f t="shared" si="2"/>
        <v>4719.4358219999995</v>
      </c>
      <c r="D57" s="54">
        <f t="shared" si="3"/>
        <v>5431.2883410000004</v>
      </c>
      <c r="E57" s="54">
        <f t="shared" si="4"/>
        <v>4674.1121910000002</v>
      </c>
      <c r="F57" s="54">
        <f t="shared" si="5"/>
        <v>5592.8781420710966</v>
      </c>
      <c r="G57" s="54">
        <f t="shared" si="6"/>
        <v>8843.6475609111567</v>
      </c>
      <c r="I57" s="12" t="s">
        <v>224</v>
      </c>
      <c r="J57" s="46">
        <v>9.9400000000000016E-2</v>
      </c>
      <c r="K57" s="46">
        <v>9.7799999999999998E-2</v>
      </c>
      <c r="L57" s="46">
        <v>0.10390000000000001</v>
      </c>
      <c r="M57" s="46">
        <v>8.8900000000000007E-2</v>
      </c>
      <c r="N57" s="46">
        <v>9.0778297493618709E-2</v>
      </c>
      <c r="O57" s="46">
        <v>0.12600967510337946</v>
      </c>
      <c r="Q57" s="12" t="s">
        <v>34</v>
      </c>
      <c r="R57" s="53">
        <v>46237.39</v>
      </c>
      <c r="S57" s="53">
        <v>48255.99</v>
      </c>
      <c r="T57" s="53">
        <v>52274.19</v>
      </c>
      <c r="U57" s="53">
        <v>52577.19</v>
      </c>
      <c r="V57" s="53">
        <v>61610.3</v>
      </c>
      <c r="W57" s="53">
        <v>70182.289999999994</v>
      </c>
    </row>
    <row r="58" spans="1:23" x14ac:dyDescent="0.3">
      <c r="A58" s="12" t="s">
        <v>35</v>
      </c>
      <c r="B58" s="54">
        <f t="shared" si="1"/>
        <v>38819.810366000005</v>
      </c>
      <c r="C58" s="54">
        <f t="shared" si="2"/>
        <v>42915.833889000001</v>
      </c>
      <c r="D58" s="54">
        <f t="shared" si="3"/>
        <v>52491.675261999997</v>
      </c>
      <c r="E58" s="54">
        <f t="shared" si="4"/>
        <v>52399.357973999999</v>
      </c>
      <c r="F58" s="54">
        <f t="shared" si="5"/>
        <v>70163.933121474605</v>
      </c>
      <c r="G58" s="54">
        <f t="shared" si="6"/>
        <v>86996.662808430643</v>
      </c>
      <c r="I58" s="12" t="s">
        <v>277</v>
      </c>
      <c r="J58" s="46">
        <v>8.7400000000000005E-2</v>
      </c>
      <c r="K58" s="46">
        <v>8.4100000000000008E-2</v>
      </c>
      <c r="L58" s="46">
        <v>9.98E-2</v>
      </c>
      <c r="M58" s="46">
        <v>0.1026</v>
      </c>
      <c r="N58" s="46">
        <v>0.11287494387573392</v>
      </c>
      <c r="O58" s="46">
        <v>0.13394475682840867</v>
      </c>
      <c r="Q58" s="12" t="s">
        <v>35</v>
      </c>
      <c r="R58" s="53">
        <v>444162.59</v>
      </c>
      <c r="S58" s="53">
        <v>510295.29</v>
      </c>
      <c r="T58" s="53">
        <v>525968.68999999994</v>
      </c>
      <c r="U58" s="53">
        <v>510714.99</v>
      </c>
      <c r="V58" s="53">
        <v>621607.68999999994</v>
      </c>
      <c r="W58" s="53">
        <v>649496.59</v>
      </c>
    </row>
    <row r="59" spans="1:23" x14ac:dyDescent="0.3">
      <c r="A59" s="12" t="s">
        <v>94</v>
      </c>
      <c r="B59" s="54">
        <f t="shared" si="1"/>
        <v>11699.103662999998</v>
      </c>
      <c r="C59" s="54">
        <f t="shared" si="2"/>
        <v>11080.111137</v>
      </c>
      <c r="D59" s="54">
        <f t="shared" si="3"/>
        <v>10284.933810000002</v>
      </c>
      <c r="E59" s="54">
        <f t="shared" si="4"/>
        <v>9620.6452549999995</v>
      </c>
      <c r="F59" s="54">
        <f t="shared" si="5"/>
        <v>10983.67582357764</v>
      </c>
      <c r="G59" s="54">
        <f t="shared" si="6"/>
        <v>20645.099573310672</v>
      </c>
      <c r="I59" s="12" t="s">
        <v>225</v>
      </c>
      <c r="J59" s="46">
        <v>0.10469999999999999</v>
      </c>
      <c r="K59" s="46">
        <v>9.3299999999999994E-2</v>
      </c>
      <c r="L59" s="46">
        <v>8.4100000000000008E-2</v>
      </c>
      <c r="M59" s="46">
        <v>8.4500000000000006E-2</v>
      </c>
      <c r="N59" s="46">
        <v>8.5750417726140338E-2</v>
      </c>
      <c r="O59" s="46">
        <v>0.1365304759306474</v>
      </c>
      <c r="Q59" s="12" t="s">
        <v>94</v>
      </c>
      <c r="R59" s="53">
        <v>111739.29</v>
      </c>
      <c r="S59" s="53">
        <v>118757.89</v>
      </c>
      <c r="T59" s="53">
        <v>122294.1</v>
      </c>
      <c r="U59" s="53">
        <v>113853.79</v>
      </c>
      <c r="V59" s="53">
        <v>128088.89</v>
      </c>
      <c r="W59" s="53">
        <v>151212.39000000001</v>
      </c>
    </row>
    <row r="60" spans="1:23" x14ac:dyDescent="0.3">
      <c r="A60" s="12" t="s">
        <v>46</v>
      </c>
      <c r="B60" s="54">
        <f t="shared" si="1"/>
        <v>8809.999815000001</v>
      </c>
      <c r="C60" s="54">
        <f t="shared" si="2"/>
        <v>9569.0744100000011</v>
      </c>
      <c r="D60" s="54">
        <f t="shared" si="3"/>
        <v>11215.971887</v>
      </c>
      <c r="E60" s="54">
        <f t="shared" si="4"/>
        <v>10578.140711999999</v>
      </c>
      <c r="F60" s="54">
        <f t="shared" si="5"/>
        <v>14077.461438952567</v>
      </c>
      <c r="G60" s="54">
        <f t="shared" si="6"/>
        <v>17493.6222958008</v>
      </c>
      <c r="I60" s="12" t="s">
        <v>269</v>
      </c>
      <c r="J60" s="46">
        <v>0.11849999999999999</v>
      </c>
      <c r="K60" s="46">
        <v>0.11900000000000001</v>
      </c>
      <c r="L60" s="46">
        <v>0.1283</v>
      </c>
      <c r="M60" s="46">
        <v>0.12079999999999998</v>
      </c>
      <c r="N60" s="46">
        <v>0.13185328900233845</v>
      </c>
      <c r="O60" s="46">
        <v>0.15602645617773667</v>
      </c>
      <c r="Q60" s="12" t="s">
        <v>46</v>
      </c>
      <c r="R60" s="53">
        <v>74345.990000000005</v>
      </c>
      <c r="S60" s="53">
        <v>80412.39</v>
      </c>
      <c r="T60" s="53">
        <v>87419.89</v>
      </c>
      <c r="U60" s="53">
        <v>87567.39</v>
      </c>
      <c r="V60" s="53">
        <v>106766.1</v>
      </c>
      <c r="W60" s="53">
        <v>112119.59</v>
      </c>
    </row>
    <row r="61" spans="1:23" x14ac:dyDescent="0.3">
      <c r="A61" s="12" t="s">
        <v>44</v>
      </c>
      <c r="B61" s="54">
        <f t="shared" si="1"/>
        <v>31556.490595000003</v>
      </c>
      <c r="C61" s="54">
        <f t="shared" si="2"/>
        <v>32687.329512</v>
      </c>
      <c r="D61" s="54">
        <f t="shared" si="3"/>
        <v>33192.033094999999</v>
      </c>
      <c r="E61" s="54">
        <f t="shared" si="4"/>
        <v>27481.402443000003</v>
      </c>
      <c r="F61" s="54">
        <f t="shared" si="5"/>
        <v>27947.80189470886</v>
      </c>
      <c r="G61" s="54">
        <f t="shared" si="6"/>
        <v>36962.623219252207</v>
      </c>
      <c r="I61" s="12" t="s">
        <v>226</v>
      </c>
      <c r="J61" s="46">
        <v>0.12050000000000001</v>
      </c>
      <c r="K61" s="46">
        <v>0.11280000000000001</v>
      </c>
      <c r="L61" s="46">
        <v>0.1105</v>
      </c>
      <c r="M61" s="46">
        <v>9.5700000000000007E-2</v>
      </c>
      <c r="N61" s="46">
        <v>8.4690490984719577E-2</v>
      </c>
      <c r="O61" s="46">
        <v>0.11061517338925528</v>
      </c>
      <c r="Q61" s="12" t="s">
        <v>44</v>
      </c>
      <c r="R61" s="53">
        <v>261879.59</v>
      </c>
      <c r="S61" s="53">
        <v>289781.28999999998</v>
      </c>
      <c r="T61" s="53">
        <v>300380.39</v>
      </c>
      <c r="U61" s="53">
        <v>287161.99</v>
      </c>
      <c r="V61" s="53">
        <v>329999.28999999998</v>
      </c>
      <c r="W61" s="53">
        <v>334155.09000000003</v>
      </c>
    </row>
    <row r="62" spans="1:23" x14ac:dyDescent="0.3">
      <c r="A62" s="12" t="s">
        <v>36</v>
      </c>
      <c r="B62" s="54">
        <f t="shared" si="1"/>
        <v>9462.1832060000015</v>
      </c>
      <c r="C62" s="54">
        <f t="shared" si="2"/>
        <v>9505.1921180000008</v>
      </c>
      <c r="D62" s="54">
        <f t="shared" si="3"/>
        <v>11425.691685</v>
      </c>
      <c r="E62" s="54">
        <f t="shared" si="4"/>
        <v>11456.2672</v>
      </c>
      <c r="F62" s="54">
        <f t="shared" si="5"/>
        <v>16106.213821943882</v>
      </c>
      <c r="G62" s="54">
        <f t="shared" si="6"/>
        <v>20908.747891891038</v>
      </c>
      <c r="I62" s="12" t="s">
        <v>227</v>
      </c>
      <c r="J62" s="46">
        <v>9.9400000000000016E-2</v>
      </c>
      <c r="K62" s="46">
        <v>9.2200000000000004E-2</v>
      </c>
      <c r="L62" s="46">
        <v>0.1065</v>
      </c>
      <c r="M62" s="46">
        <v>0.11199999999999999</v>
      </c>
      <c r="N62" s="46">
        <v>0.13436872874190278</v>
      </c>
      <c r="O62" s="46">
        <v>0.16610248200957936</v>
      </c>
      <c r="Q62" s="12" t="s">
        <v>36</v>
      </c>
      <c r="R62" s="53">
        <v>95192.99</v>
      </c>
      <c r="S62" s="53">
        <v>103093.19</v>
      </c>
      <c r="T62" s="53">
        <v>107283.49</v>
      </c>
      <c r="U62" s="53">
        <v>102288.1</v>
      </c>
      <c r="V62" s="53">
        <v>119865.79</v>
      </c>
      <c r="W62" s="53">
        <v>125878.6</v>
      </c>
    </row>
    <row r="63" spans="1:23" x14ac:dyDescent="0.3">
      <c r="A63" s="12" t="s">
        <v>54</v>
      </c>
      <c r="B63" s="54">
        <f t="shared" si="1"/>
        <v>38186.360309000003</v>
      </c>
      <c r="C63" s="54">
        <f t="shared" si="2"/>
        <v>39808.636663999998</v>
      </c>
      <c r="D63" s="54">
        <f t="shared" si="3"/>
        <v>45579.262793999995</v>
      </c>
      <c r="E63" s="54">
        <f t="shared" si="4"/>
        <v>41238.512990000003</v>
      </c>
      <c r="F63" s="54">
        <f t="shared" si="5"/>
        <v>54884.789132023296</v>
      </c>
      <c r="G63" s="54">
        <f t="shared" si="6"/>
        <v>65084.450395915992</v>
      </c>
      <c r="I63" s="12" t="s">
        <v>228</v>
      </c>
      <c r="J63" s="46">
        <v>0.1051</v>
      </c>
      <c r="K63" s="46">
        <v>0.1016</v>
      </c>
      <c r="L63" s="46">
        <v>0.11259999999999999</v>
      </c>
      <c r="M63" s="46">
        <v>0.1061</v>
      </c>
      <c r="N63" s="46">
        <v>0.12173350042731272</v>
      </c>
      <c r="O63" s="46">
        <v>0.13451908941085347</v>
      </c>
      <c r="Q63" s="12" t="s">
        <v>54</v>
      </c>
      <c r="R63" s="53">
        <v>363333.59</v>
      </c>
      <c r="S63" s="53">
        <v>391817.29</v>
      </c>
      <c r="T63" s="53">
        <v>404789.19</v>
      </c>
      <c r="U63" s="53">
        <v>388675.9</v>
      </c>
      <c r="V63" s="53">
        <v>450860.19</v>
      </c>
      <c r="W63" s="53">
        <v>483830.59</v>
      </c>
    </row>
    <row r="64" spans="1:23" x14ac:dyDescent="0.3">
      <c r="A64" s="12" t="s">
        <v>23</v>
      </c>
      <c r="B64" s="54">
        <f t="shared" si="1"/>
        <v>20110.503589</v>
      </c>
      <c r="C64" s="54">
        <f t="shared" si="2"/>
        <v>18827.107631999999</v>
      </c>
      <c r="D64" s="54">
        <f t="shared" si="3"/>
        <v>19192.818321000002</v>
      </c>
      <c r="E64" s="54">
        <f t="shared" si="4"/>
        <v>20778.393280000004</v>
      </c>
      <c r="F64" s="54">
        <f t="shared" si="5"/>
        <v>30131.860971024511</v>
      </c>
      <c r="G64" s="54">
        <f t="shared" si="6"/>
        <v>34678.40322689039</v>
      </c>
      <c r="I64" s="12" t="s">
        <v>229</v>
      </c>
      <c r="J64" s="46">
        <v>0.1331</v>
      </c>
      <c r="K64" s="46">
        <v>0.1168</v>
      </c>
      <c r="L64" s="46">
        <v>0.11190000000000001</v>
      </c>
      <c r="M64" s="46">
        <v>0.11890000000000001</v>
      </c>
      <c r="N64" s="46">
        <v>0.14566215347020464</v>
      </c>
      <c r="O64" s="46">
        <v>0.16291259044350764</v>
      </c>
      <c r="Q64" s="12" t="s">
        <v>23</v>
      </c>
      <c r="R64" s="53">
        <v>151093.19</v>
      </c>
      <c r="S64" s="53">
        <v>161190.99</v>
      </c>
      <c r="T64" s="53">
        <v>171517.59</v>
      </c>
      <c r="U64" s="53">
        <v>174755.20000000001</v>
      </c>
      <c r="V64" s="53">
        <v>206861.29</v>
      </c>
      <c r="W64" s="53">
        <v>212865.09</v>
      </c>
    </row>
    <row r="65" spans="1:23" x14ac:dyDescent="0.3">
      <c r="A65" s="12" t="s">
        <v>49</v>
      </c>
      <c r="B65" s="54">
        <f t="shared" si="1"/>
        <v>12671.545513000001</v>
      </c>
      <c r="C65" s="54">
        <f t="shared" si="2"/>
        <v>13631.818850000001</v>
      </c>
      <c r="D65" s="54">
        <f t="shared" si="3"/>
        <v>13703.587404000002</v>
      </c>
      <c r="E65" s="54">
        <f t="shared" si="4"/>
        <v>11253.693444</v>
      </c>
      <c r="F65" s="54">
        <f t="shared" si="5"/>
        <v>13685.498952764852</v>
      </c>
      <c r="G65" s="54">
        <f t="shared" si="6"/>
        <v>16172.347245697742</v>
      </c>
      <c r="I65" s="12" t="s">
        <v>230</v>
      </c>
      <c r="J65" s="46">
        <v>0.1177</v>
      </c>
      <c r="K65" s="46">
        <v>0.12350000000000001</v>
      </c>
      <c r="L65" s="46">
        <v>0.11960000000000001</v>
      </c>
      <c r="M65" s="46">
        <v>9.9600000000000008E-2</v>
      </c>
      <c r="N65" s="46">
        <v>0.10315063349790492</v>
      </c>
      <c r="O65" s="46">
        <v>0.10901966144565746</v>
      </c>
      <c r="Q65" s="12" t="s">
        <v>49</v>
      </c>
      <c r="R65" s="53">
        <v>107659.69</v>
      </c>
      <c r="S65" s="53">
        <v>110379.1</v>
      </c>
      <c r="T65" s="53">
        <v>114578.49</v>
      </c>
      <c r="U65" s="53">
        <v>112988.89</v>
      </c>
      <c r="V65" s="53">
        <v>132674.89000000001</v>
      </c>
      <c r="W65" s="53">
        <v>148343.4</v>
      </c>
    </row>
    <row r="66" spans="1:23" x14ac:dyDescent="0.3">
      <c r="A66" s="12" t="s">
        <v>24</v>
      </c>
      <c r="B66" s="54">
        <f t="shared" si="1"/>
        <v>33694.623907000008</v>
      </c>
      <c r="C66" s="54">
        <f t="shared" si="2"/>
        <v>36586.227422999997</v>
      </c>
      <c r="D66" s="54">
        <f t="shared" si="3"/>
        <v>40990.352788000004</v>
      </c>
      <c r="E66" s="54">
        <f t="shared" si="4"/>
        <v>38854.638899999998</v>
      </c>
      <c r="F66" s="54">
        <f t="shared" si="5"/>
        <v>48285.1090427132</v>
      </c>
      <c r="G66" s="54">
        <f t="shared" si="6"/>
        <v>65364.764872234256</v>
      </c>
      <c r="I66" s="12" t="s">
        <v>231</v>
      </c>
      <c r="J66" s="46">
        <v>0.10730000000000001</v>
      </c>
      <c r="K66" s="46">
        <v>0.10769999999999999</v>
      </c>
      <c r="L66" s="46">
        <v>0.11320000000000001</v>
      </c>
      <c r="M66" s="46">
        <v>0.11</v>
      </c>
      <c r="N66" s="46">
        <v>0.12078766397814106</v>
      </c>
      <c r="O66" s="46">
        <v>0.15571659651926417</v>
      </c>
      <c r="Q66" s="12" t="s">
        <v>24</v>
      </c>
      <c r="R66" s="53">
        <v>314022.59000000003</v>
      </c>
      <c r="S66" s="53">
        <v>339704.99</v>
      </c>
      <c r="T66" s="53">
        <v>362105.59</v>
      </c>
      <c r="U66" s="53">
        <v>353223.99</v>
      </c>
      <c r="V66" s="53">
        <v>399751.99</v>
      </c>
      <c r="W66" s="53">
        <v>419767.49</v>
      </c>
    </row>
    <row r="67" spans="1:23" x14ac:dyDescent="0.3">
      <c r="A67" s="12" t="s">
        <v>68</v>
      </c>
      <c r="B67" s="54">
        <f t="shared" si="1"/>
        <v>23120.767305999998</v>
      </c>
      <c r="C67" s="54">
        <f t="shared" si="2"/>
        <v>22965.987615999999</v>
      </c>
      <c r="D67" s="54">
        <f t="shared" si="3"/>
        <v>24036.988520999999</v>
      </c>
      <c r="E67" s="54">
        <f t="shared" si="4"/>
        <v>26211.301963000002</v>
      </c>
      <c r="F67" s="54">
        <f t="shared" si="5"/>
        <v>35193.183864309234</v>
      </c>
      <c r="G67" s="54">
        <f t="shared" si="6"/>
        <v>44973.152744779851</v>
      </c>
      <c r="I67" s="12" t="s">
        <v>232</v>
      </c>
      <c r="J67" s="46">
        <v>0.12739999999999999</v>
      </c>
      <c r="K67" s="46">
        <v>0.11840000000000001</v>
      </c>
      <c r="L67" s="46">
        <v>0.11689999999999999</v>
      </c>
      <c r="M67" s="46">
        <v>0.12670000000000001</v>
      </c>
      <c r="N67" s="46">
        <v>0.14430119402559863</v>
      </c>
      <c r="O67" s="46">
        <v>0.16878089382894765</v>
      </c>
      <c r="Q67" s="12" t="s">
        <v>68</v>
      </c>
      <c r="R67" s="53">
        <v>181481.69</v>
      </c>
      <c r="S67" s="53">
        <v>193969.49</v>
      </c>
      <c r="T67" s="53">
        <v>205620.09</v>
      </c>
      <c r="U67" s="53">
        <v>206876.89</v>
      </c>
      <c r="V67" s="53">
        <v>243886.99</v>
      </c>
      <c r="W67" s="53">
        <v>266458.78999999998</v>
      </c>
    </row>
    <row r="68" spans="1:23" x14ac:dyDescent="0.3">
      <c r="A68" s="12" t="s">
        <v>41</v>
      </c>
      <c r="B68" s="54">
        <f t="shared" si="1"/>
        <v>9678.5103799999997</v>
      </c>
      <c r="C68" s="54">
        <f t="shared" si="2"/>
        <v>10044.808223999999</v>
      </c>
      <c r="D68" s="54">
        <f t="shared" si="3"/>
        <v>11117.941296000001</v>
      </c>
      <c r="E68" s="54">
        <f t="shared" si="4"/>
        <v>10400.581979999999</v>
      </c>
      <c r="F68" s="54">
        <f t="shared" si="5"/>
        <v>11788.311056069793</v>
      </c>
      <c r="G68" s="54">
        <f t="shared" si="6"/>
        <v>17483.525256590616</v>
      </c>
      <c r="I68" s="12" t="s">
        <v>233</v>
      </c>
      <c r="J68" s="46">
        <v>0.10779999999999999</v>
      </c>
      <c r="K68" s="46">
        <v>0.10559999999999999</v>
      </c>
      <c r="L68" s="46">
        <v>0.1104</v>
      </c>
      <c r="M68" s="46">
        <v>0.10199999999999999</v>
      </c>
      <c r="N68" s="46">
        <v>0.10351502799626339</v>
      </c>
      <c r="O68" s="46">
        <v>0.14236053643622112</v>
      </c>
      <c r="Q68" s="12" t="s">
        <v>41</v>
      </c>
      <c r="R68" s="53">
        <v>89782.1</v>
      </c>
      <c r="S68" s="53">
        <v>95121.29</v>
      </c>
      <c r="T68" s="53">
        <v>100705.99</v>
      </c>
      <c r="U68" s="53">
        <v>101966.49</v>
      </c>
      <c r="V68" s="53">
        <v>113880.19</v>
      </c>
      <c r="W68" s="53">
        <v>122811.6</v>
      </c>
    </row>
    <row r="69" spans="1:23" x14ac:dyDescent="0.3">
      <c r="A69" s="12" t="s">
        <v>101</v>
      </c>
      <c r="B69" s="54">
        <f t="shared" ref="B69:B99" si="7">J69*R69</f>
        <v>179590.4448</v>
      </c>
      <c r="C69" s="54">
        <f t="shared" ref="C69:C99" si="8">K69*S69</f>
        <v>188749.90244000003</v>
      </c>
      <c r="D69" s="54">
        <f t="shared" ref="D69:D99" si="9">L69*T69</f>
        <v>201032.61992</v>
      </c>
      <c r="E69" s="54">
        <f t="shared" ref="E69:E99" si="10">M69*U69</f>
        <v>179960.38913999998</v>
      </c>
      <c r="F69" s="54">
        <f t="shared" ref="F69:F99" si="11">N69*V69</f>
        <v>235051.03976693665</v>
      </c>
      <c r="G69" s="54">
        <f t="shared" ref="G69:G99" si="12">O69*W69</f>
        <v>297351.16368845786</v>
      </c>
      <c r="I69" s="12" t="s">
        <v>234</v>
      </c>
      <c r="J69" s="46">
        <v>0.13400000000000001</v>
      </c>
      <c r="K69" s="46">
        <v>0.13190000000000002</v>
      </c>
      <c r="L69" s="46">
        <v>0.13419999999999999</v>
      </c>
      <c r="M69" s="46">
        <v>0.12179999999999999</v>
      </c>
      <c r="N69" s="46">
        <v>0.13862984059846817</v>
      </c>
      <c r="O69" s="46">
        <v>0.16491904485966147</v>
      </c>
      <c r="Q69" s="12" t="s">
        <v>101</v>
      </c>
      <c r="R69" s="53">
        <v>1340227.2</v>
      </c>
      <c r="S69" s="53">
        <v>1431007.6</v>
      </c>
      <c r="T69" s="53">
        <v>1498007.6</v>
      </c>
      <c r="U69" s="53">
        <v>1477507.3</v>
      </c>
      <c r="V69" s="53">
        <v>1695529.9</v>
      </c>
      <c r="W69" s="53">
        <v>1803012.89</v>
      </c>
    </row>
    <row r="70" spans="1:23" x14ac:dyDescent="0.3">
      <c r="A70" s="12" t="s">
        <v>55</v>
      </c>
      <c r="B70" s="54">
        <f t="shared" si="7"/>
        <v>6991.3862499999996</v>
      </c>
      <c r="C70" s="54">
        <f t="shared" si="8"/>
        <v>6728.1512900000007</v>
      </c>
      <c r="D70" s="54">
        <f t="shared" si="9"/>
        <v>8447.6255110000002</v>
      </c>
      <c r="E70" s="54">
        <f t="shared" si="10"/>
        <v>8282.7626279999986</v>
      </c>
      <c r="F70" s="54">
        <f t="shared" si="11"/>
        <v>10056.59782960482</v>
      </c>
      <c r="G70" s="54">
        <f t="shared" si="12"/>
        <v>13294.618319622115</v>
      </c>
      <c r="I70" s="12" t="s">
        <v>235</v>
      </c>
      <c r="J70" s="46">
        <v>0.125</v>
      </c>
      <c r="K70" s="46">
        <v>0.11230000000000001</v>
      </c>
      <c r="L70" s="46">
        <v>0.13489999999999999</v>
      </c>
      <c r="M70" s="46">
        <v>0.13719999999999999</v>
      </c>
      <c r="N70" s="46">
        <v>0.14826160233024635</v>
      </c>
      <c r="O70" s="46">
        <v>0.18191797432142259</v>
      </c>
      <c r="Q70" s="12" t="s">
        <v>55</v>
      </c>
      <c r="R70" s="53">
        <v>55931.09</v>
      </c>
      <c r="S70" s="53">
        <v>59912.3</v>
      </c>
      <c r="T70" s="53">
        <v>62621.39</v>
      </c>
      <c r="U70" s="53">
        <v>60369.99</v>
      </c>
      <c r="V70" s="53">
        <v>67830.09</v>
      </c>
      <c r="W70" s="53">
        <v>73080.289999999994</v>
      </c>
    </row>
    <row r="71" spans="1:23" x14ac:dyDescent="0.3">
      <c r="A71" s="12" t="s">
        <v>16</v>
      </c>
      <c r="B71" s="54">
        <f t="shared" si="7"/>
        <v>82177.849215000009</v>
      </c>
      <c r="C71" s="54">
        <f t="shared" si="8"/>
        <v>86615.335678999982</v>
      </c>
      <c r="D71" s="54">
        <f t="shared" si="9"/>
        <v>89476.394201999996</v>
      </c>
      <c r="E71" s="54">
        <f t="shared" si="10"/>
        <v>71348.166929999992</v>
      </c>
      <c r="F71" s="54">
        <f t="shared" si="11"/>
        <v>102429.72124569135</v>
      </c>
      <c r="G71" s="54">
        <f t="shared" si="12"/>
        <v>127784.88227746944</v>
      </c>
      <c r="I71" s="12" t="s">
        <v>236</v>
      </c>
      <c r="J71" s="46">
        <v>0.14850000000000002</v>
      </c>
      <c r="K71" s="46">
        <v>0.14809999999999998</v>
      </c>
      <c r="L71" s="46">
        <v>0.14580000000000001</v>
      </c>
      <c r="M71" s="46">
        <v>0.127</v>
      </c>
      <c r="N71" s="46">
        <v>0.15587676283195651</v>
      </c>
      <c r="O71" s="46">
        <v>0.1808599564866685</v>
      </c>
      <c r="Q71" s="12" t="s">
        <v>16</v>
      </c>
      <c r="R71" s="53">
        <v>553386.18999999994</v>
      </c>
      <c r="S71" s="53">
        <v>584843.59</v>
      </c>
      <c r="T71" s="53">
        <v>613692.68999999994</v>
      </c>
      <c r="U71" s="53">
        <v>561796.59</v>
      </c>
      <c r="V71" s="53">
        <v>657119.89</v>
      </c>
      <c r="W71" s="53">
        <v>706540.49</v>
      </c>
    </row>
    <row r="72" spans="1:23" x14ac:dyDescent="0.3">
      <c r="A72" s="12" t="s">
        <v>19</v>
      </c>
      <c r="B72" s="54">
        <f t="shared" si="7"/>
        <v>56631.562944000005</v>
      </c>
      <c r="C72" s="54">
        <f t="shared" si="8"/>
        <v>65058.725119999996</v>
      </c>
      <c r="D72" s="54">
        <f t="shared" si="9"/>
        <v>65923.339860000007</v>
      </c>
      <c r="E72" s="54">
        <f t="shared" si="10"/>
        <v>62728.213691000004</v>
      </c>
      <c r="F72" s="54">
        <f t="shared" si="11"/>
        <v>70657.507821429783</v>
      </c>
      <c r="G72" s="54">
        <f t="shared" si="12"/>
        <v>84030.885374529389</v>
      </c>
      <c r="I72" s="12" t="s">
        <v>237</v>
      </c>
      <c r="J72" s="46">
        <v>0.1216</v>
      </c>
      <c r="K72" s="46">
        <v>0.128</v>
      </c>
      <c r="L72" s="46">
        <v>0.12570000000000001</v>
      </c>
      <c r="M72" s="46">
        <v>0.11990000000000001</v>
      </c>
      <c r="N72" s="46">
        <v>0.11985797198116725</v>
      </c>
      <c r="O72" s="46">
        <v>0.1383216959607402</v>
      </c>
      <c r="Q72" s="12" t="s">
        <v>19</v>
      </c>
      <c r="R72" s="53">
        <v>465720.09</v>
      </c>
      <c r="S72" s="53">
        <v>508271.29</v>
      </c>
      <c r="T72" s="53">
        <v>524449.80000000005</v>
      </c>
      <c r="U72" s="53">
        <v>523171.09</v>
      </c>
      <c r="V72" s="53">
        <v>589510.29</v>
      </c>
      <c r="W72" s="53">
        <v>607503.29</v>
      </c>
    </row>
    <row r="73" spans="1:23" x14ac:dyDescent="0.3">
      <c r="A73" s="12" t="s">
        <v>17</v>
      </c>
      <c r="B73" s="54">
        <f t="shared" si="7"/>
        <v>27371.992320000001</v>
      </c>
      <c r="C73" s="54">
        <f t="shared" si="8"/>
        <v>33297.149150999991</v>
      </c>
      <c r="D73" s="54">
        <f t="shared" si="9"/>
        <v>34268.015507000004</v>
      </c>
      <c r="E73" s="54">
        <f t="shared" si="10"/>
        <v>31606.915440000004</v>
      </c>
      <c r="F73" s="54">
        <f t="shared" si="11"/>
        <v>34099.141923945303</v>
      </c>
      <c r="G73" s="54">
        <f t="shared" si="12"/>
        <v>40104.381061446686</v>
      </c>
      <c r="I73" s="12" t="s">
        <v>266</v>
      </c>
      <c r="J73" s="46">
        <v>0.128</v>
      </c>
      <c r="K73" s="46">
        <v>0.14489999999999997</v>
      </c>
      <c r="L73" s="46">
        <v>0.14530000000000001</v>
      </c>
      <c r="M73" s="46">
        <v>0.13600000000000001</v>
      </c>
      <c r="N73" s="46">
        <v>0.13186582157991411</v>
      </c>
      <c r="O73" s="46">
        <v>0.15158514876323503</v>
      </c>
      <c r="Q73" s="12" t="s">
        <v>17</v>
      </c>
      <c r="R73" s="53">
        <v>213843.69</v>
      </c>
      <c r="S73" s="53">
        <v>229793.99</v>
      </c>
      <c r="T73" s="53">
        <v>235843.19</v>
      </c>
      <c r="U73" s="53">
        <v>232403.79</v>
      </c>
      <c r="V73" s="53">
        <v>258589.69</v>
      </c>
      <c r="W73" s="53">
        <v>264566.69</v>
      </c>
    </row>
    <row r="74" spans="1:23" x14ac:dyDescent="0.3">
      <c r="A74" s="12" t="s">
        <v>60</v>
      </c>
      <c r="B74" s="54">
        <f t="shared" si="7"/>
        <v>8214.1298819999993</v>
      </c>
      <c r="C74" s="54">
        <f t="shared" si="8"/>
        <v>10255.148015000001</v>
      </c>
      <c r="D74" s="54">
        <f t="shared" si="9"/>
        <v>9908.3921850000006</v>
      </c>
      <c r="E74" s="54">
        <f t="shared" si="10"/>
        <v>10092.391679999999</v>
      </c>
      <c r="F74" s="54">
        <f t="shared" si="11"/>
        <v>10326.775726818589</v>
      </c>
      <c r="G74" s="54">
        <f t="shared" si="12"/>
        <v>12716.637221573046</v>
      </c>
      <c r="I74" s="12" t="s">
        <v>272</v>
      </c>
      <c r="J74" s="46">
        <v>0.12179999999999999</v>
      </c>
      <c r="K74" s="46">
        <v>0.13850000000000001</v>
      </c>
      <c r="L74" s="46">
        <v>0.13150000000000001</v>
      </c>
      <c r="M74" s="46">
        <v>0.13439999999999999</v>
      </c>
      <c r="N74" s="46">
        <v>0.12165823679986047</v>
      </c>
      <c r="O74" s="46">
        <v>0.13921182883904012</v>
      </c>
      <c r="Q74" s="12" t="s">
        <v>60</v>
      </c>
      <c r="R74" s="53">
        <v>67439.490000000005</v>
      </c>
      <c r="S74" s="53">
        <v>74044.39</v>
      </c>
      <c r="T74" s="53">
        <v>75348.990000000005</v>
      </c>
      <c r="U74" s="53">
        <v>75092.2</v>
      </c>
      <c r="V74" s="53">
        <v>84883.49</v>
      </c>
      <c r="W74" s="53">
        <v>91347.39</v>
      </c>
    </row>
    <row r="75" spans="1:23" x14ac:dyDescent="0.3">
      <c r="A75" s="12" t="s">
        <v>95</v>
      </c>
      <c r="B75" s="54">
        <f t="shared" si="7"/>
        <v>21265.573417000003</v>
      </c>
      <c r="C75" s="54">
        <f t="shared" si="8"/>
        <v>22610.277634000002</v>
      </c>
      <c r="D75" s="54">
        <f t="shared" si="9"/>
        <v>22946.527443999999</v>
      </c>
      <c r="E75" s="54">
        <f t="shared" si="10"/>
        <v>22214.53427</v>
      </c>
      <c r="F75" s="54">
        <f t="shared" si="11"/>
        <v>26788.196722697932</v>
      </c>
      <c r="G75" s="54">
        <f t="shared" si="12"/>
        <v>31984.500603698216</v>
      </c>
      <c r="I75" s="12" t="s">
        <v>238</v>
      </c>
      <c r="J75" s="46">
        <v>0.11530000000000001</v>
      </c>
      <c r="K75" s="46">
        <v>0.1106</v>
      </c>
      <c r="L75" s="46">
        <v>0.1076</v>
      </c>
      <c r="M75" s="46">
        <v>0.10300000000000001</v>
      </c>
      <c r="N75" s="46">
        <v>0.10887869273164437</v>
      </c>
      <c r="O75" s="46">
        <v>0.12712986329976889</v>
      </c>
      <c r="Q75" s="12" t="s">
        <v>95</v>
      </c>
      <c r="R75" s="53">
        <v>184436.89</v>
      </c>
      <c r="S75" s="53">
        <v>204432.89</v>
      </c>
      <c r="T75" s="53">
        <v>213257.69</v>
      </c>
      <c r="U75" s="53">
        <v>215675.09</v>
      </c>
      <c r="V75" s="53">
        <v>246037.09</v>
      </c>
      <c r="W75" s="53">
        <v>251589.2</v>
      </c>
    </row>
    <row r="76" spans="1:23" x14ac:dyDescent="0.3">
      <c r="A76" s="12" t="s">
        <v>82</v>
      </c>
      <c r="B76" s="54">
        <f t="shared" si="7"/>
        <v>34262.520868</v>
      </c>
      <c r="C76" s="54">
        <f t="shared" si="8"/>
        <v>31745.360538000001</v>
      </c>
      <c r="D76" s="54">
        <f t="shared" si="9"/>
        <v>37720.211571000007</v>
      </c>
      <c r="E76" s="54">
        <f t="shared" si="10"/>
        <v>37933.755757999999</v>
      </c>
      <c r="F76" s="54">
        <f t="shared" si="11"/>
        <v>50366.750597871447</v>
      </c>
      <c r="G76" s="54">
        <f t="shared" si="12"/>
        <v>70238.331182069654</v>
      </c>
      <c r="I76" s="12" t="s">
        <v>239</v>
      </c>
      <c r="J76" s="46">
        <v>0.12920000000000001</v>
      </c>
      <c r="K76" s="46">
        <v>0.1142</v>
      </c>
      <c r="L76" s="46">
        <v>0.12690000000000001</v>
      </c>
      <c r="M76" s="46">
        <v>0.1142</v>
      </c>
      <c r="N76" s="46">
        <v>0.13217201976329171</v>
      </c>
      <c r="O76" s="46">
        <v>0.16888729119645099</v>
      </c>
      <c r="Q76" s="12" t="s">
        <v>82</v>
      </c>
      <c r="R76" s="53">
        <v>265189.78999999998</v>
      </c>
      <c r="S76" s="53">
        <v>277980.39</v>
      </c>
      <c r="T76" s="53">
        <v>297243.59000000003</v>
      </c>
      <c r="U76" s="53">
        <v>332169.49</v>
      </c>
      <c r="V76" s="53">
        <v>381069.69</v>
      </c>
      <c r="W76" s="53">
        <v>415888.79</v>
      </c>
    </row>
    <row r="77" spans="1:23" x14ac:dyDescent="0.3">
      <c r="A77" s="12" t="s">
        <v>102</v>
      </c>
      <c r="B77" s="54">
        <f t="shared" si="7"/>
        <v>187125.63408000002</v>
      </c>
      <c r="C77" s="54" t="e">
        <f t="shared" si="8"/>
        <v>#VALUE!</v>
      </c>
      <c r="D77" s="54" t="e">
        <f t="shared" si="9"/>
        <v>#VALUE!</v>
      </c>
      <c r="E77" s="54" t="e">
        <f t="shared" si="10"/>
        <v>#VALUE!</v>
      </c>
      <c r="F77" s="54">
        <f t="shared" si="11"/>
        <v>220275.74852518598</v>
      </c>
      <c r="G77" s="54">
        <f t="shared" si="12"/>
        <v>278673.79289132683</v>
      </c>
      <c r="I77" s="12" t="s">
        <v>240</v>
      </c>
      <c r="J77" s="46">
        <v>0.12240000000000001</v>
      </c>
      <c r="K77" s="46" t="e">
        <v>#VALUE!</v>
      </c>
      <c r="L77" s="46" t="e">
        <v>#VALUE!</v>
      </c>
      <c r="M77" s="46" t="e">
        <v>#VALUE!</v>
      </c>
      <c r="N77" s="46">
        <v>0.12046024583693128</v>
      </c>
      <c r="O77" s="46">
        <v>0.14007304332118573</v>
      </c>
      <c r="Q77" s="12" t="s">
        <v>102</v>
      </c>
      <c r="R77" s="53">
        <v>1528804.2</v>
      </c>
      <c r="S77" s="53">
        <v>1465831.8</v>
      </c>
      <c r="T77" s="53">
        <v>1564594.59</v>
      </c>
      <c r="U77" s="53">
        <v>1536451.3</v>
      </c>
      <c r="V77" s="53">
        <v>1828617.79</v>
      </c>
      <c r="W77" s="53">
        <v>1989489.1</v>
      </c>
    </row>
    <row r="78" spans="1:23" x14ac:dyDescent="0.3">
      <c r="A78" s="12" t="s">
        <v>58</v>
      </c>
      <c r="B78" s="54">
        <f t="shared" si="7"/>
        <v>1434.424293</v>
      </c>
      <c r="C78" s="54">
        <f t="shared" si="8"/>
        <v>1501.4203199999999</v>
      </c>
      <c r="D78" s="54">
        <f t="shared" si="9"/>
        <v>1854.450065</v>
      </c>
      <c r="E78" s="54">
        <f t="shared" si="10"/>
        <v>1973.1735979999999</v>
      </c>
      <c r="F78" s="54">
        <f t="shared" si="11"/>
        <v>2831.8827879799737</v>
      </c>
      <c r="G78" s="54">
        <f t="shared" si="12"/>
        <v>4105.1497943870609</v>
      </c>
      <c r="I78" s="12" t="s">
        <v>271</v>
      </c>
      <c r="J78" s="46">
        <v>0.12570000000000001</v>
      </c>
      <c r="K78" s="46">
        <v>0.1164</v>
      </c>
      <c r="L78" s="46">
        <v>0.1235</v>
      </c>
      <c r="M78" s="46">
        <v>0.12619999999999998</v>
      </c>
      <c r="N78" s="46">
        <v>0.14673811747618509</v>
      </c>
      <c r="O78" s="46">
        <v>0.18259238790491047</v>
      </c>
      <c r="Q78" s="12" t="s">
        <v>58</v>
      </c>
      <c r="R78" s="53">
        <v>11411.49</v>
      </c>
      <c r="S78" s="53">
        <v>12898.8</v>
      </c>
      <c r="T78" s="53">
        <v>15015.79</v>
      </c>
      <c r="U78" s="53">
        <v>15635.29</v>
      </c>
      <c r="V78" s="53">
        <v>19298.89</v>
      </c>
      <c r="W78" s="53">
        <v>22482.59</v>
      </c>
    </row>
    <row r="79" spans="1:23" x14ac:dyDescent="0.3">
      <c r="A79" s="12" t="s">
        <v>14</v>
      </c>
      <c r="B79" s="54">
        <f t="shared" si="7"/>
        <v>2088.1845499999999</v>
      </c>
      <c r="C79" s="54">
        <f t="shared" si="8"/>
        <v>2347.9348800000002</v>
      </c>
      <c r="D79" s="54">
        <f t="shared" si="9"/>
        <v>2151.8335999999999</v>
      </c>
      <c r="E79" s="54">
        <f t="shared" si="10"/>
        <v>1507.6348000000003</v>
      </c>
      <c r="F79" s="54">
        <f t="shared" si="11"/>
        <v>2040.1342050655524</v>
      </c>
      <c r="G79" s="54">
        <f t="shared" si="12"/>
        <v>2127.8068170293818</v>
      </c>
      <c r="I79" s="12" t="s">
        <v>265</v>
      </c>
      <c r="J79" s="46">
        <v>0.1865</v>
      </c>
      <c r="K79" s="46">
        <v>0.19190000000000002</v>
      </c>
      <c r="L79" s="46">
        <v>0.158</v>
      </c>
      <c r="M79" s="46">
        <v>0.11900000000000001</v>
      </c>
      <c r="N79" s="46">
        <v>0.13311337610508167</v>
      </c>
      <c r="O79" s="46">
        <v>0.12372912125911521</v>
      </c>
      <c r="Q79" s="12" t="s">
        <v>14</v>
      </c>
      <c r="R79" s="53">
        <v>11196.7</v>
      </c>
      <c r="S79" s="53">
        <v>12235.2</v>
      </c>
      <c r="T79" s="53">
        <v>13619.2</v>
      </c>
      <c r="U79" s="53">
        <v>12669.2</v>
      </c>
      <c r="V79" s="53">
        <v>15326.29</v>
      </c>
      <c r="W79" s="53">
        <v>17197.3</v>
      </c>
    </row>
    <row r="80" spans="1:23" x14ac:dyDescent="0.3">
      <c r="A80" s="12" t="s">
        <v>77</v>
      </c>
      <c r="B80" s="54">
        <f t="shared" si="7"/>
        <v>4768.8684119999989</v>
      </c>
      <c r="C80" s="54">
        <f t="shared" si="8"/>
        <v>4880.9173409999994</v>
      </c>
      <c r="D80" s="54">
        <f t="shared" si="9"/>
        <v>4936.5071579999994</v>
      </c>
      <c r="E80" s="54">
        <f t="shared" si="10"/>
        <v>4588.9087799999998</v>
      </c>
      <c r="F80" s="54">
        <f t="shared" si="11"/>
        <v>5365.4332837139809</v>
      </c>
      <c r="G80" s="54">
        <f t="shared" si="12"/>
        <v>5243.2226612942477</v>
      </c>
      <c r="I80" s="12" t="s">
        <v>241</v>
      </c>
      <c r="J80" s="46">
        <v>0.11879999999999999</v>
      </c>
      <c r="K80" s="46">
        <v>0.11789999999999999</v>
      </c>
      <c r="L80" s="46">
        <v>0.11219999999999999</v>
      </c>
      <c r="M80" s="46">
        <v>0.1011</v>
      </c>
      <c r="N80" s="46">
        <v>0.1065233964999612</v>
      </c>
      <c r="O80" s="46">
        <v>0.10177696749533982</v>
      </c>
      <c r="Q80" s="12" t="s">
        <v>77</v>
      </c>
      <c r="R80" s="53">
        <v>40141.99</v>
      </c>
      <c r="S80" s="53">
        <v>41398.79</v>
      </c>
      <c r="T80" s="53">
        <v>43997.39</v>
      </c>
      <c r="U80" s="53">
        <v>45389.8</v>
      </c>
      <c r="V80" s="53">
        <v>50368.59</v>
      </c>
      <c r="W80" s="53">
        <v>51516.79</v>
      </c>
    </row>
    <row r="81" spans="1:23" x14ac:dyDescent="0.3">
      <c r="A81" s="12" t="s">
        <v>12</v>
      </c>
      <c r="B81" s="54">
        <f t="shared" si="7"/>
        <v>20451.503995999999</v>
      </c>
      <c r="C81" s="54">
        <f t="shared" si="8"/>
        <v>21239.397722000002</v>
      </c>
      <c r="D81" s="54">
        <f t="shared" si="9"/>
        <v>23722.624336000001</v>
      </c>
      <c r="E81" s="54">
        <f t="shared" si="10"/>
        <v>23134.206909000004</v>
      </c>
      <c r="F81" s="54">
        <f t="shared" si="11"/>
        <v>29260.763967064824</v>
      </c>
      <c r="G81" s="54">
        <f t="shared" si="12"/>
        <v>36990.656231394387</v>
      </c>
      <c r="I81" s="12" t="s">
        <v>242</v>
      </c>
      <c r="J81" s="46">
        <v>0.12039999999999999</v>
      </c>
      <c r="K81" s="46">
        <v>0.11780000000000002</v>
      </c>
      <c r="L81" s="46">
        <v>0.12640000000000001</v>
      </c>
      <c r="M81" s="46">
        <v>0.12710000000000002</v>
      </c>
      <c r="N81" s="46">
        <v>0.1416071428100987</v>
      </c>
      <c r="O81" s="46">
        <v>0.15717470345175438</v>
      </c>
      <c r="Q81" s="12" t="s">
        <v>12</v>
      </c>
      <c r="R81" s="53">
        <v>169862.99</v>
      </c>
      <c r="S81" s="53">
        <v>180300.49</v>
      </c>
      <c r="T81" s="53">
        <v>187678.99</v>
      </c>
      <c r="U81" s="53">
        <v>182015.79</v>
      </c>
      <c r="V81" s="53">
        <v>206633.39</v>
      </c>
      <c r="W81" s="53">
        <v>235347.39</v>
      </c>
    </row>
    <row r="82" spans="1:23" x14ac:dyDescent="0.3">
      <c r="A82" s="12" t="s">
        <v>61</v>
      </c>
      <c r="B82" s="54">
        <f t="shared" si="7"/>
        <v>33675.050829</v>
      </c>
      <c r="C82" s="54">
        <f t="shared" si="8"/>
        <v>35904.789326000006</v>
      </c>
      <c r="D82" s="54">
        <f t="shared" si="9"/>
        <v>40226.981886000009</v>
      </c>
      <c r="E82" s="54">
        <f t="shared" si="10"/>
        <v>29908.981872</v>
      </c>
      <c r="F82" s="54">
        <f t="shared" si="11"/>
        <v>38292.135488766064</v>
      </c>
      <c r="G82" s="54">
        <f t="shared" si="12"/>
        <v>38716.125860842221</v>
      </c>
      <c r="I82" s="12" t="s">
        <v>243</v>
      </c>
      <c r="J82" s="46">
        <v>0.1211</v>
      </c>
      <c r="K82" s="46">
        <v>0.12140000000000001</v>
      </c>
      <c r="L82" s="46">
        <v>0.12740000000000001</v>
      </c>
      <c r="M82" s="46">
        <v>0.10079999999999999</v>
      </c>
      <c r="N82" s="46">
        <v>0.10982317845017725</v>
      </c>
      <c r="O82" s="46">
        <v>0.10799137137589788</v>
      </c>
      <c r="Q82" s="12" t="s">
        <v>61</v>
      </c>
      <c r="R82" s="53">
        <v>278076.39</v>
      </c>
      <c r="S82" s="53">
        <v>295756.09000000003</v>
      </c>
      <c r="T82" s="53">
        <v>315753.39</v>
      </c>
      <c r="U82" s="53">
        <v>296716.09000000003</v>
      </c>
      <c r="V82" s="53">
        <v>348670.8</v>
      </c>
      <c r="W82" s="53">
        <v>358511.29</v>
      </c>
    </row>
    <row r="83" spans="1:23" x14ac:dyDescent="0.3">
      <c r="A83" s="12" t="s">
        <v>72</v>
      </c>
      <c r="B83" s="54">
        <f t="shared" si="7"/>
        <v>18504.362079000002</v>
      </c>
      <c r="C83" s="54">
        <f t="shared" si="8"/>
        <v>17548.134351000001</v>
      </c>
      <c r="D83" s="54">
        <f t="shared" si="9"/>
        <v>19545.800001</v>
      </c>
      <c r="E83" s="54">
        <f t="shared" si="10"/>
        <v>17641.888676999999</v>
      </c>
      <c r="F83" s="54">
        <f t="shared" si="11"/>
        <v>21457.874040314622</v>
      </c>
      <c r="G83" s="54">
        <f t="shared" si="12"/>
        <v>21536.304608998165</v>
      </c>
      <c r="I83" s="12" t="s">
        <v>244</v>
      </c>
      <c r="J83" s="46">
        <v>0.10710000000000001</v>
      </c>
      <c r="K83" s="46">
        <v>9.3900000000000011E-2</v>
      </c>
      <c r="L83" s="46">
        <v>9.5899999999999999E-2</v>
      </c>
      <c r="M83" s="46">
        <v>8.7300000000000003E-2</v>
      </c>
      <c r="N83" s="46">
        <v>8.6294521497586804E-2</v>
      </c>
      <c r="O83" s="46">
        <v>8.3833036230331143E-2</v>
      </c>
      <c r="Q83" s="12" t="s">
        <v>72</v>
      </c>
      <c r="R83" s="53">
        <v>172776.49</v>
      </c>
      <c r="S83" s="53">
        <v>186881.09</v>
      </c>
      <c r="T83" s="53">
        <v>203814.39</v>
      </c>
      <c r="U83" s="53">
        <v>202083.49</v>
      </c>
      <c r="V83" s="53">
        <v>248658.59</v>
      </c>
      <c r="W83" s="53">
        <v>256895.2</v>
      </c>
    </row>
    <row r="84" spans="1:23" x14ac:dyDescent="0.3">
      <c r="A84" s="12" t="s">
        <v>76</v>
      </c>
      <c r="B84" s="54">
        <f t="shared" si="7"/>
        <v>20315.741352000001</v>
      </c>
      <c r="C84" s="54">
        <f t="shared" si="8"/>
        <v>21198.89243</v>
      </c>
      <c r="D84" s="54">
        <f t="shared" si="9"/>
        <v>23106.001295999999</v>
      </c>
      <c r="E84" s="54">
        <f t="shared" si="10"/>
        <v>22285.605141999993</v>
      </c>
      <c r="F84" s="54">
        <f t="shared" si="11"/>
        <v>26069.071093183909</v>
      </c>
      <c r="G84" s="54">
        <f t="shared" si="12"/>
        <v>43305.565743318053</v>
      </c>
      <c r="I84" s="12" t="s">
        <v>274</v>
      </c>
      <c r="J84" s="46">
        <v>0.1128</v>
      </c>
      <c r="K84" s="46">
        <v>0.107</v>
      </c>
      <c r="L84" s="46">
        <v>0.1104</v>
      </c>
      <c r="M84" s="46">
        <v>0.10579999999999998</v>
      </c>
      <c r="N84" s="46">
        <v>0.10607717783629803</v>
      </c>
      <c r="O84" s="46">
        <v>0.15687347991590361</v>
      </c>
      <c r="Q84" s="12" t="s">
        <v>76</v>
      </c>
      <c r="R84" s="53">
        <v>180104.09</v>
      </c>
      <c r="S84" s="53">
        <v>198120.49</v>
      </c>
      <c r="T84" s="53">
        <v>209293.49</v>
      </c>
      <c r="U84" s="53">
        <v>210638.99</v>
      </c>
      <c r="V84" s="53">
        <v>245755.7</v>
      </c>
      <c r="W84" s="53">
        <v>276054.09000000003</v>
      </c>
    </row>
    <row r="85" spans="1:23" x14ac:dyDescent="0.3">
      <c r="A85" s="12" t="s">
        <v>6</v>
      </c>
      <c r="B85" s="54">
        <f t="shared" si="7"/>
        <v>38721.14933700001</v>
      </c>
      <c r="C85" s="54">
        <f t="shared" si="8"/>
        <v>36671.395088999998</v>
      </c>
      <c r="D85" s="54">
        <f t="shared" si="9"/>
        <v>41899.793981000003</v>
      </c>
      <c r="E85" s="54">
        <f t="shared" si="10"/>
        <v>40923.434112000003</v>
      </c>
      <c r="F85" s="54">
        <f t="shared" si="11"/>
        <v>53698.672332898343</v>
      </c>
      <c r="G85" s="54">
        <f t="shared" si="12"/>
        <v>74432.648335954262</v>
      </c>
      <c r="I85" s="12" t="s">
        <v>245</v>
      </c>
      <c r="J85" s="46">
        <v>0.15530000000000002</v>
      </c>
      <c r="K85" s="46">
        <v>0.1361</v>
      </c>
      <c r="L85" s="46">
        <v>0.1459</v>
      </c>
      <c r="M85" s="46">
        <v>0.14080000000000001</v>
      </c>
      <c r="N85" s="46">
        <v>0.14488723563941328</v>
      </c>
      <c r="O85" s="46">
        <v>0.17810774169681287</v>
      </c>
      <c r="Q85" s="12" t="s">
        <v>6</v>
      </c>
      <c r="R85" s="53">
        <v>249331.29</v>
      </c>
      <c r="S85" s="53">
        <v>269444.49</v>
      </c>
      <c r="T85" s="53">
        <v>287181.59000000003</v>
      </c>
      <c r="U85" s="53">
        <v>290649.39</v>
      </c>
      <c r="V85" s="53">
        <v>370623.9</v>
      </c>
      <c r="W85" s="53">
        <v>417907.99</v>
      </c>
    </row>
    <row r="86" spans="1:23" x14ac:dyDescent="0.3">
      <c r="A86" s="12" t="s">
        <v>64</v>
      </c>
      <c r="B86" s="54">
        <f t="shared" si="7"/>
        <v>18773.54148</v>
      </c>
      <c r="C86" s="54">
        <f t="shared" si="8"/>
        <v>19255.596278000001</v>
      </c>
      <c r="D86" s="54">
        <f t="shared" si="9"/>
        <v>21776.112666000001</v>
      </c>
      <c r="E86" s="54">
        <f t="shared" si="10"/>
        <v>19510.812474999999</v>
      </c>
      <c r="F86" s="54">
        <f t="shared" si="11"/>
        <v>24897.221870847381</v>
      </c>
      <c r="G86" s="54">
        <f t="shared" si="12"/>
        <v>32373.417292364928</v>
      </c>
      <c r="I86" s="12" t="s">
        <v>246</v>
      </c>
      <c r="J86" s="46">
        <v>0.1074</v>
      </c>
      <c r="K86" s="46">
        <v>0.1042</v>
      </c>
      <c r="L86" s="46">
        <v>0.1094</v>
      </c>
      <c r="M86" s="46">
        <v>0.10249999999999999</v>
      </c>
      <c r="N86" s="46">
        <v>0.11612137031066203</v>
      </c>
      <c r="O86" s="46">
        <v>0.13975034379127796</v>
      </c>
      <c r="Q86" s="12" t="s">
        <v>64</v>
      </c>
      <c r="R86" s="53">
        <v>174800.2</v>
      </c>
      <c r="S86" s="53">
        <v>184794.59</v>
      </c>
      <c r="T86" s="53">
        <v>199050.39</v>
      </c>
      <c r="U86" s="53">
        <v>190349.39</v>
      </c>
      <c r="V86" s="53">
        <v>214406.89</v>
      </c>
      <c r="W86" s="53">
        <v>231651.79</v>
      </c>
    </row>
    <row r="87" spans="1:23" x14ac:dyDescent="0.3">
      <c r="A87" s="12" t="s">
        <v>5</v>
      </c>
      <c r="B87" s="54">
        <f t="shared" si="7"/>
        <v>9621.6043460000001</v>
      </c>
      <c r="C87" s="54">
        <f t="shared" si="8"/>
        <v>10903.40768</v>
      </c>
      <c r="D87" s="54">
        <f t="shared" si="9"/>
        <v>12352.813615000001</v>
      </c>
      <c r="E87" s="54">
        <f t="shared" si="10"/>
        <v>11829.771600000002</v>
      </c>
      <c r="F87" s="54">
        <f t="shared" si="11"/>
        <v>16315.239525697993</v>
      </c>
      <c r="G87" s="54">
        <f t="shared" si="12"/>
        <v>19257.817577981914</v>
      </c>
      <c r="I87" s="12" t="s">
        <v>247</v>
      </c>
      <c r="J87" s="46">
        <v>0.12140000000000001</v>
      </c>
      <c r="K87" s="46">
        <v>0.1298</v>
      </c>
      <c r="L87" s="46">
        <v>0.13850000000000001</v>
      </c>
      <c r="M87" s="46">
        <v>0.13100000000000001</v>
      </c>
      <c r="N87" s="46">
        <v>0.14985323531460307</v>
      </c>
      <c r="O87" s="46">
        <v>0.15794858115574636</v>
      </c>
      <c r="Q87" s="12" t="s">
        <v>5</v>
      </c>
      <c r="R87" s="53">
        <v>79255.39</v>
      </c>
      <c r="S87" s="53">
        <v>84001.600000000006</v>
      </c>
      <c r="T87" s="53">
        <v>89189.99</v>
      </c>
      <c r="U87" s="53">
        <v>90303.6</v>
      </c>
      <c r="V87" s="53">
        <v>108874.79</v>
      </c>
      <c r="W87" s="53">
        <v>121924.6</v>
      </c>
    </row>
    <row r="88" spans="1:23" x14ac:dyDescent="0.3">
      <c r="A88" s="12" t="s">
        <v>103</v>
      </c>
      <c r="B88" s="54">
        <f t="shared" si="7"/>
        <v>55316.941658999989</v>
      </c>
      <c r="C88" s="54" t="e">
        <f t="shared" si="8"/>
        <v>#VALUE!</v>
      </c>
      <c r="D88" s="54" t="e">
        <f t="shared" si="9"/>
        <v>#VALUE!</v>
      </c>
      <c r="E88" s="54" t="e">
        <f t="shared" si="10"/>
        <v>#VALUE!</v>
      </c>
      <c r="F88" s="54">
        <f t="shared" si="11"/>
        <v>100145.22222724179</v>
      </c>
      <c r="G88" s="54">
        <f t="shared" si="12"/>
        <v>106513.37592775247</v>
      </c>
      <c r="I88" s="12" t="s">
        <v>248</v>
      </c>
      <c r="J88" s="46">
        <v>8.6099999999999996E-2</v>
      </c>
      <c r="K88" s="46" t="e">
        <v>#VALUE!</v>
      </c>
      <c r="L88" s="46" t="e">
        <v>#VALUE!</v>
      </c>
      <c r="M88" s="46" t="e">
        <v>#VALUE!</v>
      </c>
      <c r="N88" s="46">
        <v>9.6925267902260775E-2</v>
      </c>
      <c r="O88" s="46">
        <v>9.3314849846703365E-2</v>
      </c>
      <c r="Q88" s="12" t="s">
        <v>103</v>
      </c>
      <c r="R88" s="53">
        <v>642473.18999999994</v>
      </c>
      <c r="S88" s="53">
        <v>853378.8</v>
      </c>
      <c r="T88" s="53">
        <v>914105.99</v>
      </c>
      <c r="U88" s="53">
        <v>884794.59</v>
      </c>
      <c r="V88" s="53">
        <v>1033221</v>
      </c>
      <c r="W88" s="53">
        <v>1141440.79</v>
      </c>
    </row>
    <row r="89" spans="1:23" x14ac:dyDescent="0.3">
      <c r="A89" s="12" t="s">
        <v>1</v>
      </c>
      <c r="B89" s="54">
        <f t="shared" si="7"/>
        <v>9288.2178359999998</v>
      </c>
      <c r="C89" s="54">
        <f t="shared" si="8"/>
        <v>10178.600570999999</v>
      </c>
      <c r="D89" s="54">
        <f t="shared" si="9"/>
        <v>10214.433672000001</v>
      </c>
      <c r="E89" s="54">
        <f t="shared" si="10"/>
        <v>9436.4746269999996</v>
      </c>
      <c r="F89" s="54">
        <f t="shared" si="11"/>
        <v>11027.757298616589</v>
      </c>
      <c r="G89" s="54">
        <f t="shared" si="12"/>
        <v>10648.917103849944</v>
      </c>
      <c r="I89" s="12" t="s">
        <v>262</v>
      </c>
      <c r="J89" s="46">
        <v>0.1124</v>
      </c>
      <c r="K89" s="46">
        <v>0.11789999999999999</v>
      </c>
      <c r="L89" s="46">
        <v>0.1128</v>
      </c>
      <c r="M89" s="46">
        <v>0.1033</v>
      </c>
      <c r="N89" s="46">
        <v>0.1083639842251327</v>
      </c>
      <c r="O89" s="46">
        <v>9.9042198069847417E-2</v>
      </c>
      <c r="Q89" s="12" t="s">
        <v>1</v>
      </c>
      <c r="R89" s="53">
        <v>82635.39</v>
      </c>
      <c r="S89" s="53">
        <v>86332.49</v>
      </c>
      <c r="T89" s="53">
        <v>90553.49</v>
      </c>
      <c r="U89" s="53">
        <v>91350.19</v>
      </c>
      <c r="V89" s="53">
        <v>101765.89</v>
      </c>
      <c r="W89" s="53">
        <v>107518.99</v>
      </c>
    </row>
    <row r="90" spans="1:23" x14ac:dyDescent="0.3">
      <c r="A90" s="12" t="s">
        <v>62</v>
      </c>
      <c r="B90" s="54">
        <f t="shared" si="7"/>
        <v>4847.7554280000004</v>
      </c>
      <c r="C90" s="54">
        <f t="shared" si="8"/>
        <v>5760.0759049999988</v>
      </c>
      <c r="D90" s="54">
        <f t="shared" si="9"/>
        <v>5765.7075750000004</v>
      </c>
      <c r="E90" s="54">
        <f t="shared" si="10"/>
        <v>6483.9053299999996</v>
      </c>
      <c r="F90" s="54">
        <f t="shared" si="11"/>
        <v>10026.77101546692</v>
      </c>
      <c r="G90" s="54">
        <f t="shared" si="12"/>
        <v>7949.869960232425</v>
      </c>
      <c r="I90" s="12" t="s">
        <v>249</v>
      </c>
      <c r="J90" s="46">
        <v>6.1200000000000004E-2</v>
      </c>
      <c r="K90" s="46">
        <v>6.9499999999999992E-2</v>
      </c>
      <c r="L90" s="46">
        <v>6.7500000000000004E-2</v>
      </c>
      <c r="M90" s="46">
        <v>7.6299999999999993E-2</v>
      </c>
      <c r="N90" s="46">
        <v>0.10329306060678121</v>
      </c>
      <c r="O90" s="46">
        <v>7.2472960627507826E-2</v>
      </c>
      <c r="Q90" s="12" t="s">
        <v>57</v>
      </c>
      <c r="R90" s="53">
        <v>79211.69</v>
      </c>
      <c r="S90" s="53">
        <v>82878.789999999994</v>
      </c>
      <c r="T90" s="53">
        <v>85417.89</v>
      </c>
      <c r="U90" s="53">
        <v>84979.1</v>
      </c>
      <c r="V90" s="53">
        <v>97071.1</v>
      </c>
      <c r="W90" s="53">
        <v>109694.29</v>
      </c>
    </row>
    <row r="91" spans="1:23" x14ac:dyDescent="0.3">
      <c r="A91" s="12" t="s">
        <v>57</v>
      </c>
      <c r="B91" s="54">
        <f t="shared" si="7"/>
        <v>12100.252145999999</v>
      </c>
      <c r="C91" s="54">
        <f t="shared" si="8"/>
        <v>11942.627775000001</v>
      </c>
      <c r="D91" s="54">
        <f t="shared" si="9"/>
        <v>11139.272804</v>
      </c>
      <c r="E91" s="54">
        <f t="shared" si="10"/>
        <v>10135.771594000002</v>
      </c>
      <c r="F91" s="54">
        <f t="shared" si="11"/>
        <v>11209.682576341071</v>
      </c>
      <c r="G91" s="54">
        <f t="shared" si="12"/>
        <v>18359.609771197356</v>
      </c>
      <c r="I91" s="12" t="s">
        <v>250</v>
      </c>
      <c r="J91" s="46">
        <v>0.1074</v>
      </c>
      <c r="K91" s="46">
        <v>9.7500000000000003E-2</v>
      </c>
      <c r="L91" s="46">
        <v>8.3599999999999994E-2</v>
      </c>
      <c r="M91" s="46">
        <v>8.0600000000000005E-2</v>
      </c>
      <c r="N91" s="46">
        <v>7.4920821796688741E-2</v>
      </c>
      <c r="O91" s="46">
        <v>0.11099154476247733</v>
      </c>
      <c r="Q91" s="12" t="s">
        <v>62</v>
      </c>
      <c r="R91" s="53">
        <v>112665.29</v>
      </c>
      <c r="S91" s="53">
        <v>122488.49</v>
      </c>
      <c r="T91" s="53">
        <v>133244.89000000001</v>
      </c>
      <c r="U91" s="53">
        <v>125753.99</v>
      </c>
      <c r="V91" s="53">
        <v>149620.39000000001</v>
      </c>
      <c r="W91" s="53">
        <v>165414.49</v>
      </c>
    </row>
    <row r="92" spans="1:23" x14ac:dyDescent="0.3">
      <c r="A92" s="12" t="s">
        <v>9</v>
      </c>
      <c r="B92" s="54">
        <f t="shared" si="7"/>
        <v>2537.7383220000002</v>
      </c>
      <c r="C92" s="54">
        <f t="shared" si="8"/>
        <v>2624.253467</v>
      </c>
      <c r="D92" s="54">
        <f t="shared" si="9"/>
        <v>2620.4320199999997</v>
      </c>
      <c r="E92" s="54">
        <f t="shared" si="10"/>
        <v>2233.4684999999999</v>
      </c>
      <c r="F92" s="54">
        <f t="shared" si="11"/>
        <v>3329.8147807851192</v>
      </c>
      <c r="G92" s="54">
        <f t="shared" si="12"/>
        <v>3317.077425544152</v>
      </c>
      <c r="I92" s="12" t="s">
        <v>251</v>
      </c>
      <c r="J92" s="46">
        <v>0.12179999999999999</v>
      </c>
      <c r="K92" s="46">
        <v>0.1133</v>
      </c>
      <c r="L92" s="46">
        <v>0.1042</v>
      </c>
      <c r="M92" s="46">
        <v>8.5000000000000006E-2</v>
      </c>
      <c r="N92" s="46">
        <v>0.10712142231656749</v>
      </c>
      <c r="O92" s="46">
        <v>9.26084809058208E-2</v>
      </c>
      <c r="Q92" s="12" t="s">
        <v>9</v>
      </c>
      <c r="R92" s="53">
        <v>20835.29</v>
      </c>
      <c r="S92" s="53">
        <v>23161.99</v>
      </c>
      <c r="T92" s="53">
        <v>25148.1</v>
      </c>
      <c r="U92" s="53">
        <v>26276.1</v>
      </c>
      <c r="V92" s="53">
        <v>31084.49</v>
      </c>
      <c r="W92" s="53">
        <v>35818.29</v>
      </c>
    </row>
    <row r="93" spans="1:23" x14ac:dyDescent="0.3">
      <c r="A93" s="12" t="s">
        <v>10</v>
      </c>
      <c r="B93" s="54">
        <f t="shared" si="7"/>
        <v>14659.082958000001</v>
      </c>
      <c r="C93" s="54">
        <f t="shared" si="8"/>
        <v>17475.678202999999</v>
      </c>
      <c r="D93" s="54">
        <f t="shared" si="9"/>
        <v>17081.799174</v>
      </c>
      <c r="E93" s="54">
        <f t="shared" si="10"/>
        <v>12484.877379999998</v>
      </c>
      <c r="F93" s="54">
        <f t="shared" si="11"/>
        <v>21763.50379079175</v>
      </c>
      <c r="G93" s="54">
        <f t="shared" si="12"/>
        <v>22700.231851323922</v>
      </c>
      <c r="I93" s="12" t="s">
        <v>252</v>
      </c>
      <c r="J93" s="46">
        <v>7.22E-2</v>
      </c>
      <c r="K93" s="46">
        <v>8.1699999999999995E-2</v>
      </c>
      <c r="L93" s="46">
        <v>7.2599999999999998E-2</v>
      </c>
      <c r="M93" s="46">
        <v>6.1999999999999993E-2</v>
      </c>
      <c r="N93" s="46">
        <v>8.5372153014800348E-2</v>
      </c>
      <c r="O93" s="46">
        <v>7.8415486711574167E-2</v>
      </c>
      <c r="Q93" s="12" t="s">
        <v>10</v>
      </c>
      <c r="R93" s="53">
        <v>203034.39</v>
      </c>
      <c r="S93" s="53">
        <v>213900.59</v>
      </c>
      <c r="T93" s="53">
        <v>235286.49</v>
      </c>
      <c r="U93" s="53">
        <v>201368.99</v>
      </c>
      <c r="V93" s="53">
        <v>254925.09</v>
      </c>
      <c r="W93" s="53">
        <v>289486.59000000003</v>
      </c>
    </row>
    <row r="94" spans="1:23" x14ac:dyDescent="0.3">
      <c r="A94" s="12" t="s">
        <v>75</v>
      </c>
      <c r="B94" s="54">
        <f t="shared" si="7"/>
        <v>12930.233264999999</v>
      </c>
      <c r="C94" s="54">
        <f t="shared" si="8"/>
        <v>13867.252547999999</v>
      </c>
      <c r="D94" s="54">
        <f t="shared" si="9"/>
        <v>13560.09463</v>
      </c>
      <c r="E94" s="54">
        <f t="shared" si="10"/>
        <v>12875.851120000001</v>
      </c>
      <c r="F94" s="54">
        <f t="shared" si="11"/>
        <v>17895.816863107462</v>
      </c>
      <c r="G94" s="54">
        <f t="shared" si="12"/>
        <v>17581.737578823711</v>
      </c>
      <c r="I94" s="12" t="s">
        <v>253</v>
      </c>
      <c r="J94" s="46">
        <v>0.10349999999999999</v>
      </c>
      <c r="K94" s="46">
        <v>0.1052</v>
      </c>
      <c r="L94" s="46">
        <v>9.6999999999999989E-2</v>
      </c>
      <c r="M94" s="46">
        <v>8.8000000000000009E-2</v>
      </c>
      <c r="N94" s="46">
        <v>0.10812660381596963</v>
      </c>
      <c r="O94" s="46">
        <v>9.7568614972381659E-2</v>
      </c>
      <c r="Q94" s="12" t="s">
        <v>75</v>
      </c>
      <c r="R94" s="53">
        <v>124929.79</v>
      </c>
      <c r="S94" s="53">
        <v>131817.99</v>
      </c>
      <c r="T94" s="53">
        <v>139794.79</v>
      </c>
      <c r="U94" s="53">
        <v>146316.49</v>
      </c>
      <c r="V94" s="53">
        <v>165507.99</v>
      </c>
      <c r="W94" s="53">
        <v>180198.7</v>
      </c>
    </row>
    <row r="95" spans="1:23" x14ac:dyDescent="0.3">
      <c r="A95" s="12" t="s">
        <v>73</v>
      </c>
      <c r="B95" s="54">
        <f t="shared" si="7"/>
        <v>8372.4560530000017</v>
      </c>
      <c r="C95" s="54">
        <f t="shared" si="8"/>
        <v>8936.4061380000003</v>
      </c>
      <c r="D95" s="54">
        <f t="shared" si="9"/>
        <v>8999.4252830000005</v>
      </c>
      <c r="E95" s="54">
        <f t="shared" si="10"/>
        <v>9397.4523659999977</v>
      </c>
      <c r="F95" s="54">
        <f t="shared" si="11"/>
        <v>12919.112550713049</v>
      </c>
      <c r="G95" s="54">
        <f t="shared" si="12"/>
        <v>14566.21772551797</v>
      </c>
      <c r="I95" s="12" t="s">
        <v>254</v>
      </c>
      <c r="J95" s="46">
        <v>9.9700000000000011E-2</v>
      </c>
      <c r="K95" s="46">
        <v>0.1002</v>
      </c>
      <c r="L95" s="46">
        <v>9.4700000000000006E-2</v>
      </c>
      <c r="M95" s="46">
        <v>9.5399999999999985E-2</v>
      </c>
      <c r="N95" s="46">
        <v>0.1155524780751664</v>
      </c>
      <c r="O95" s="46">
        <v>0.12050516875987814</v>
      </c>
      <c r="Q95" s="12" t="s">
        <v>73</v>
      </c>
      <c r="R95" s="53">
        <v>83976.49</v>
      </c>
      <c r="S95" s="53">
        <v>89185.69</v>
      </c>
      <c r="T95" s="53">
        <v>95030.89</v>
      </c>
      <c r="U95" s="53">
        <v>98505.79</v>
      </c>
      <c r="V95" s="53">
        <v>111802.99</v>
      </c>
      <c r="W95" s="53">
        <v>120876.29</v>
      </c>
    </row>
    <row r="96" spans="1:23" x14ac:dyDescent="0.3">
      <c r="A96" s="12" t="s">
        <v>8</v>
      </c>
      <c r="B96" s="54">
        <f t="shared" si="7"/>
        <v>1720.773555</v>
      </c>
      <c r="C96" s="54">
        <f t="shared" si="8"/>
        <v>1974.114693</v>
      </c>
      <c r="D96" s="54">
        <f t="shared" si="9"/>
        <v>1925.1498869999998</v>
      </c>
      <c r="E96" s="54">
        <f t="shared" si="10"/>
        <v>1711.140418</v>
      </c>
      <c r="F96" s="54">
        <f t="shared" si="11"/>
        <v>2492.4419436033722</v>
      </c>
      <c r="G96" s="54">
        <f t="shared" si="12"/>
        <v>2716.8548661758823</v>
      </c>
      <c r="I96" s="12" t="s">
        <v>255</v>
      </c>
      <c r="J96" s="46">
        <v>0.11449999999999999</v>
      </c>
      <c r="K96" s="46">
        <v>0.1237</v>
      </c>
      <c r="L96" s="46">
        <v>0.1173</v>
      </c>
      <c r="M96" s="46">
        <v>0.11019999999999999</v>
      </c>
      <c r="N96" s="46">
        <v>0.12916756849944847</v>
      </c>
      <c r="O96" s="46">
        <v>0.12384755070868024</v>
      </c>
      <c r="Q96" s="12" t="s">
        <v>8</v>
      </c>
      <c r="R96" s="53">
        <v>15028.59</v>
      </c>
      <c r="S96" s="53">
        <v>15958.89</v>
      </c>
      <c r="T96" s="53">
        <v>16412.189999999999</v>
      </c>
      <c r="U96" s="53">
        <v>15527.59</v>
      </c>
      <c r="V96" s="53">
        <v>19296.189999999999</v>
      </c>
      <c r="W96" s="53">
        <v>21937.09</v>
      </c>
    </row>
    <row r="97" spans="1:23" x14ac:dyDescent="0.3">
      <c r="A97" s="12" t="s">
        <v>3</v>
      </c>
      <c r="B97" s="54">
        <f t="shared" si="7"/>
        <v>6254.1263460000009</v>
      </c>
      <c r="C97" s="54">
        <f t="shared" si="8"/>
        <v>8254.5075130000005</v>
      </c>
      <c r="D97" s="54">
        <f t="shared" si="9"/>
        <v>5289.094779</v>
      </c>
      <c r="E97" s="54">
        <f t="shared" si="10"/>
        <v>5130.0235329999996</v>
      </c>
      <c r="F97" s="54">
        <f t="shared" si="11"/>
        <v>6741.9922290484219</v>
      </c>
      <c r="G97" s="54">
        <f t="shared" si="12"/>
        <v>7995.2080504693467</v>
      </c>
      <c r="H97" s="4"/>
      <c r="I97" s="12" t="s">
        <v>256</v>
      </c>
      <c r="J97" s="46">
        <v>9.1400000000000009E-2</v>
      </c>
      <c r="K97" s="46">
        <v>0.11269999999999999</v>
      </c>
      <c r="L97" s="46">
        <v>6.8100000000000008E-2</v>
      </c>
      <c r="M97" s="46">
        <v>6.4699999999999994E-2</v>
      </c>
      <c r="N97" s="46">
        <v>7.9280349834041669E-2</v>
      </c>
      <c r="O97" s="46">
        <v>8.6543314537516736E-2</v>
      </c>
      <c r="Q97" s="12" t="s">
        <v>3</v>
      </c>
      <c r="R97" s="53">
        <v>68425.89</v>
      </c>
      <c r="S97" s="53">
        <v>73243.19</v>
      </c>
      <c r="T97" s="53">
        <v>77666.59</v>
      </c>
      <c r="U97" s="53">
        <v>79289.39</v>
      </c>
      <c r="V97" s="53">
        <v>85039.89</v>
      </c>
      <c r="W97" s="53">
        <v>92383.89</v>
      </c>
    </row>
    <row r="98" spans="1:23" x14ac:dyDescent="0.3">
      <c r="A98" s="12" t="s">
        <v>74</v>
      </c>
      <c r="B98" s="54">
        <f t="shared" si="7"/>
        <v>840.20742000000007</v>
      </c>
      <c r="C98" s="54">
        <f t="shared" si="8"/>
        <v>938.3684310000001</v>
      </c>
      <c r="D98" s="54">
        <f t="shared" si="9"/>
        <v>960.36372500000004</v>
      </c>
      <c r="E98" s="54">
        <f t="shared" si="10"/>
        <v>808.59173999999996</v>
      </c>
      <c r="F98" s="54">
        <f t="shared" si="11"/>
        <v>976.18679501867825</v>
      </c>
      <c r="G98" s="54">
        <f t="shared" si="12"/>
        <v>853.92934679335133</v>
      </c>
      <c r="H98" s="4"/>
      <c r="I98" s="12" t="s">
        <v>257</v>
      </c>
      <c r="J98" s="46">
        <v>7.8000000000000014E-2</v>
      </c>
      <c r="K98" s="46">
        <v>8.1900000000000014E-2</v>
      </c>
      <c r="L98" s="46">
        <v>7.7499999999999999E-2</v>
      </c>
      <c r="M98" s="46">
        <v>6.6000000000000003E-2</v>
      </c>
      <c r="N98" s="46">
        <v>7.2291444287267831E-2</v>
      </c>
      <c r="O98" s="46">
        <v>6.2703212799074745E-2</v>
      </c>
      <c r="Q98" s="12" t="s">
        <v>74</v>
      </c>
      <c r="R98" s="53">
        <v>10771.89</v>
      </c>
      <c r="S98" s="53">
        <v>11457.49</v>
      </c>
      <c r="T98" s="53">
        <v>12391.79</v>
      </c>
      <c r="U98" s="53">
        <v>12251.39</v>
      </c>
      <c r="V98" s="53">
        <v>13503.49</v>
      </c>
      <c r="W98" s="53">
        <v>13618.59</v>
      </c>
    </row>
    <row r="99" spans="1:23" x14ac:dyDescent="0.3">
      <c r="A99" s="12" t="s">
        <v>18</v>
      </c>
      <c r="B99" s="54">
        <f t="shared" si="7"/>
        <v>40.118650000000002</v>
      </c>
      <c r="C99" s="54">
        <f t="shared" si="8"/>
        <v>70.574070999999989</v>
      </c>
      <c r="D99" s="54">
        <f t="shared" si="9"/>
        <v>40.749680999999995</v>
      </c>
      <c r="E99" s="54">
        <f t="shared" si="10"/>
        <v>37.469601999999995</v>
      </c>
      <c r="F99" s="54">
        <f t="shared" si="11"/>
        <v>27.232027530988496</v>
      </c>
      <c r="G99" s="54">
        <f t="shared" si="12"/>
        <v>34.642768670985042</v>
      </c>
      <c r="H99" s="4"/>
      <c r="I99" s="12" t="s">
        <v>258</v>
      </c>
      <c r="J99" s="46">
        <v>1.43E-2</v>
      </c>
      <c r="K99" s="46">
        <v>2.3899999999999998E-2</v>
      </c>
      <c r="L99" s="46">
        <v>1.29E-2</v>
      </c>
      <c r="M99" s="46">
        <v>1.18E-2</v>
      </c>
      <c r="N99" s="46">
        <v>7.5573356009170523E-3</v>
      </c>
      <c r="O99" s="46">
        <v>7.7095461814725404E-3</v>
      </c>
      <c r="Q99" s="12" t="s">
        <v>18</v>
      </c>
      <c r="R99" s="53">
        <v>2805.5</v>
      </c>
      <c r="S99" s="53">
        <v>2952.89</v>
      </c>
      <c r="T99" s="53">
        <v>3158.89</v>
      </c>
      <c r="U99" s="53">
        <v>3175.39</v>
      </c>
      <c r="V99" s="53">
        <v>3603.39</v>
      </c>
      <c r="W99" s="53">
        <v>4493.49</v>
      </c>
    </row>
    <row r="100" spans="1:23" x14ac:dyDescent="0.3">
      <c r="H100" s="4"/>
    </row>
    <row r="101" spans="1:23" x14ac:dyDescent="0.3">
      <c r="H101" s="4"/>
    </row>
  </sheetData>
  <autoFilter ref="I3:O98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161F6-E9A2-4EC5-893E-E6E96098DAF9}">
  <sheetPr codeName="Лист20">
    <tabColor theme="4" tint="0.79998168889431442"/>
    <pageSetUpPr fitToPage="1"/>
  </sheetPr>
  <dimension ref="A1:Z99"/>
  <sheetViews>
    <sheetView showGridLines="0" workbookViewId="0"/>
  </sheetViews>
  <sheetFormatPr defaultRowHeight="16.5" x14ac:dyDescent="0.3"/>
  <cols>
    <col min="1" max="1" width="108.5703125" style="9" customWidth="1"/>
    <col min="2" max="7" width="9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25" t="s">
        <v>155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3" spans="1:26" x14ac:dyDescent="0.3">
      <c r="A3" s="10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6" x14ac:dyDescent="0.3">
      <c r="A4" s="11" t="s">
        <v>124</v>
      </c>
      <c r="B4" s="18">
        <v>12135449</v>
      </c>
      <c r="C4" s="18">
        <v>14856625</v>
      </c>
      <c r="D4" s="18">
        <v>17489335</v>
      </c>
      <c r="E4" s="18">
        <v>19864464</v>
      </c>
      <c r="F4" s="18">
        <v>24432332</v>
      </c>
      <c r="G4" s="18">
        <v>26847637</v>
      </c>
    </row>
    <row r="5" spans="1:26" x14ac:dyDescent="0.3">
      <c r="A5" s="11" t="s">
        <v>145</v>
      </c>
      <c r="B5" s="18">
        <v>3580420</v>
      </c>
      <c r="C5" s="18">
        <v>4436861</v>
      </c>
      <c r="D5" s="18">
        <v>5266882</v>
      </c>
      <c r="E5" s="18">
        <v>6025671</v>
      </c>
      <c r="F5" s="18">
        <v>7517818</v>
      </c>
      <c r="G5" s="18">
        <v>8284524</v>
      </c>
    </row>
    <row r="6" spans="1:26" x14ac:dyDescent="0.3">
      <c r="A6" s="11" t="s">
        <v>50</v>
      </c>
      <c r="B6" s="18">
        <v>102195</v>
      </c>
      <c r="C6" s="18">
        <v>123972</v>
      </c>
      <c r="D6" s="18">
        <v>145291</v>
      </c>
      <c r="E6" s="18">
        <v>167960</v>
      </c>
      <c r="F6" s="18">
        <v>204209</v>
      </c>
      <c r="G6" s="18">
        <v>219785</v>
      </c>
    </row>
    <row r="7" spans="1:26" x14ac:dyDescent="0.3">
      <c r="A7" s="11" t="s">
        <v>48</v>
      </c>
      <c r="B7" s="18">
        <v>71167</v>
      </c>
      <c r="C7" s="18">
        <v>86914</v>
      </c>
      <c r="D7" s="18">
        <v>101275</v>
      </c>
      <c r="E7" s="18">
        <v>113999</v>
      </c>
      <c r="F7" s="18">
        <v>137370</v>
      </c>
      <c r="G7" s="18">
        <v>147338</v>
      </c>
    </row>
    <row r="8" spans="1:26" x14ac:dyDescent="0.3">
      <c r="A8" s="11" t="s">
        <v>20</v>
      </c>
      <c r="B8" s="18">
        <v>87160</v>
      </c>
      <c r="C8" s="18">
        <v>106880</v>
      </c>
      <c r="D8" s="18">
        <v>125112</v>
      </c>
      <c r="E8" s="18">
        <v>140771</v>
      </c>
      <c r="F8" s="18">
        <v>170451</v>
      </c>
      <c r="G8" s="18">
        <v>183694</v>
      </c>
    </row>
    <row r="9" spans="1:26" x14ac:dyDescent="0.3">
      <c r="A9" s="11" t="s">
        <v>4</v>
      </c>
      <c r="B9" s="18">
        <v>149137</v>
      </c>
      <c r="C9" s="18">
        <v>185319</v>
      </c>
      <c r="D9" s="18">
        <v>220494</v>
      </c>
      <c r="E9" s="18">
        <v>250592</v>
      </c>
      <c r="F9" s="18">
        <v>304226</v>
      </c>
      <c r="G9" s="18">
        <v>330390</v>
      </c>
    </row>
    <row r="10" spans="1:26" x14ac:dyDescent="0.3">
      <c r="A10" s="11" t="s">
        <v>45</v>
      </c>
      <c r="B10" s="18">
        <v>57866</v>
      </c>
      <c r="C10" s="18">
        <v>70577</v>
      </c>
      <c r="D10" s="18">
        <v>79074</v>
      </c>
      <c r="E10" s="18">
        <v>86899</v>
      </c>
      <c r="F10" s="18">
        <v>104587</v>
      </c>
      <c r="G10" s="18">
        <v>110801</v>
      </c>
    </row>
    <row r="11" spans="1:26" x14ac:dyDescent="0.3">
      <c r="A11" s="11" t="s">
        <v>40</v>
      </c>
      <c r="B11" s="18">
        <v>89898</v>
      </c>
      <c r="C11" s="18">
        <v>112700</v>
      </c>
      <c r="D11" s="18">
        <v>133156</v>
      </c>
      <c r="E11" s="18">
        <v>149333</v>
      </c>
      <c r="F11" s="18">
        <v>180773</v>
      </c>
      <c r="G11" s="18">
        <v>194506</v>
      </c>
    </row>
    <row r="12" spans="1:26" x14ac:dyDescent="0.3">
      <c r="A12" s="11" t="s">
        <v>37</v>
      </c>
      <c r="B12" s="18">
        <v>39787</v>
      </c>
      <c r="C12" s="18">
        <v>46990</v>
      </c>
      <c r="D12" s="18">
        <v>55215</v>
      </c>
      <c r="E12" s="18">
        <v>61868</v>
      </c>
      <c r="F12" s="18">
        <v>75338</v>
      </c>
      <c r="G12" s="18">
        <v>80580</v>
      </c>
    </row>
    <row r="13" spans="1:26" x14ac:dyDescent="0.3">
      <c r="A13" s="11" t="s">
        <v>56</v>
      </c>
      <c r="B13" s="18">
        <v>75192</v>
      </c>
      <c r="C13" s="18">
        <v>90307</v>
      </c>
      <c r="D13" s="18">
        <v>103926</v>
      </c>
      <c r="E13" s="18">
        <v>115829</v>
      </c>
      <c r="F13" s="18">
        <v>139706</v>
      </c>
      <c r="G13" s="18">
        <v>150710</v>
      </c>
    </row>
    <row r="14" spans="1:26" x14ac:dyDescent="0.3">
      <c r="A14" s="11" t="s">
        <v>51</v>
      </c>
      <c r="B14" s="18">
        <v>71231</v>
      </c>
      <c r="C14" s="18">
        <v>88140</v>
      </c>
      <c r="D14" s="18">
        <v>105264</v>
      </c>
      <c r="E14" s="18">
        <v>119340</v>
      </c>
      <c r="F14" s="18">
        <v>144509</v>
      </c>
      <c r="G14" s="18">
        <v>154527</v>
      </c>
    </row>
    <row r="15" spans="1:26" x14ac:dyDescent="0.3">
      <c r="A15" s="11" t="s">
        <v>21</v>
      </c>
      <c r="B15" s="18">
        <v>907105</v>
      </c>
      <c r="C15" s="18">
        <v>1160089</v>
      </c>
      <c r="D15" s="18">
        <v>1417131</v>
      </c>
      <c r="E15" s="18">
        <v>1619815</v>
      </c>
      <c r="F15" s="18">
        <v>2003952</v>
      </c>
      <c r="G15" s="18">
        <v>2224980</v>
      </c>
    </row>
    <row r="16" spans="1:26" x14ac:dyDescent="0.3">
      <c r="A16" s="11" t="s">
        <v>70</v>
      </c>
      <c r="B16" s="18">
        <v>49108</v>
      </c>
      <c r="C16" s="18">
        <v>61063</v>
      </c>
      <c r="D16" s="18">
        <v>71782</v>
      </c>
      <c r="E16" s="18">
        <v>81441</v>
      </c>
      <c r="F16" s="18">
        <v>97785</v>
      </c>
      <c r="G16" s="18">
        <v>103740</v>
      </c>
    </row>
    <row r="17" spans="1:7" x14ac:dyDescent="0.3">
      <c r="A17" s="11" t="s">
        <v>59</v>
      </c>
      <c r="B17" s="18">
        <v>81551</v>
      </c>
      <c r="C17" s="18">
        <v>101007</v>
      </c>
      <c r="D17" s="18">
        <v>117982</v>
      </c>
      <c r="E17" s="18">
        <v>133595</v>
      </c>
      <c r="F17" s="18">
        <v>159783</v>
      </c>
      <c r="G17" s="18">
        <v>171520</v>
      </c>
    </row>
    <row r="18" spans="1:7" x14ac:dyDescent="0.3">
      <c r="A18" s="11" t="s">
        <v>43</v>
      </c>
      <c r="B18" s="18">
        <v>67306</v>
      </c>
      <c r="C18" s="18">
        <v>81180</v>
      </c>
      <c r="D18" s="18">
        <v>93138</v>
      </c>
      <c r="E18" s="18">
        <v>103099</v>
      </c>
      <c r="F18" s="18">
        <v>122286</v>
      </c>
      <c r="G18" s="18">
        <v>129448</v>
      </c>
    </row>
    <row r="19" spans="1:7" x14ac:dyDescent="0.3">
      <c r="A19" s="11" t="s">
        <v>15</v>
      </c>
      <c r="B19" s="18">
        <v>60442</v>
      </c>
      <c r="C19" s="18">
        <v>75985</v>
      </c>
      <c r="D19" s="18">
        <v>88622</v>
      </c>
      <c r="E19" s="18">
        <v>98838</v>
      </c>
      <c r="F19" s="18">
        <v>117965</v>
      </c>
      <c r="G19" s="18">
        <v>124130</v>
      </c>
    </row>
    <row r="20" spans="1:7" x14ac:dyDescent="0.3">
      <c r="A20" s="11" t="s">
        <v>38</v>
      </c>
      <c r="B20" s="18">
        <v>92301</v>
      </c>
      <c r="C20" s="18">
        <v>115817</v>
      </c>
      <c r="D20" s="18">
        <v>137840</v>
      </c>
      <c r="E20" s="18">
        <v>155116</v>
      </c>
      <c r="F20" s="18">
        <v>185542</v>
      </c>
      <c r="G20" s="18">
        <v>199668</v>
      </c>
    </row>
    <row r="21" spans="1:7" x14ac:dyDescent="0.3">
      <c r="A21" s="11" t="s">
        <v>39</v>
      </c>
      <c r="B21" s="18">
        <v>113447</v>
      </c>
      <c r="C21" s="18">
        <v>141634</v>
      </c>
      <c r="D21" s="18">
        <v>166206</v>
      </c>
      <c r="E21" s="18">
        <v>184898</v>
      </c>
      <c r="F21" s="18">
        <v>224118</v>
      </c>
      <c r="G21" s="18">
        <v>241379</v>
      </c>
    </row>
    <row r="22" spans="1:7" x14ac:dyDescent="0.3">
      <c r="A22" s="11" t="s">
        <v>78</v>
      </c>
      <c r="B22" s="18">
        <v>83524</v>
      </c>
      <c r="C22" s="18">
        <v>100756</v>
      </c>
      <c r="D22" s="18">
        <v>116428</v>
      </c>
      <c r="E22" s="18">
        <v>129664</v>
      </c>
      <c r="F22" s="18">
        <v>155801</v>
      </c>
      <c r="G22" s="18">
        <v>169038</v>
      </c>
    </row>
    <row r="23" spans="1:7" x14ac:dyDescent="0.3">
      <c r="A23" s="11" t="s">
        <v>13</v>
      </c>
      <c r="B23" s="18">
        <v>1382002</v>
      </c>
      <c r="C23" s="18">
        <v>1687531</v>
      </c>
      <c r="D23" s="18">
        <v>1988947</v>
      </c>
      <c r="E23" s="18">
        <v>2312616</v>
      </c>
      <c r="F23" s="18">
        <v>2989417</v>
      </c>
      <c r="G23" s="18">
        <v>3348289</v>
      </c>
    </row>
    <row r="24" spans="1:7" x14ac:dyDescent="0.3">
      <c r="A24" s="11" t="s">
        <v>146</v>
      </c>
      <c r="B24" s="18">
        <v>1401503</v>
      </c>
      <c r="C24" s="18">
        <v>1743455</v>
      </c>
      <c r="D24" s="18">
        <v>2078439</v>
      </c>
      <c r="E24" s="18">
        <v>2368723</v>
      </c>
      <c r="F24" s="18">
        <v>2908396</v>
      </c>
      <c r="G24" s="18">
        <v>3161205</v>
      </c>
    </row>
    <row r="25" spans="1:7" x14ac:dyDescent="0.3">
      <c r="A25" s="11" t="s">
        <v>71</v>
      </c>
      <c r="B25" s="18">
        <v>58418</v>
      </c>
      <c r="C25" s="18">
        <v>69540</v>
      </c>
      <c r="D25" s="18">
        <v>80483</v>
      </c>
      <c r="E25" s="18">
        <v>89939</v>
      </c>
      <c r="F25" s="18">
        <v>106076</v>
      </c>
      <c r="G25" s="18">
        <v>113604</v>
      </c>
    </row>
    <row r="26" spans="1:7" x14ac:dyDescent="0.3">
      <c r="A26" s="11" t="s">
        <v>65</v>
      </c>
      <c r="B26" s="18">
        <v>97733</v>
      </c>
      <c r="C26" s="18">
        <v>114332</v>
      </c>
      <c r="D26" s="18">
        <v>130093</v>
      </c>
      <c r="E26" s="18">
        <v>143567</v>
      </c>
      <c r="F26" s="18">
        <v>164486</v>
      </c>
      <c r="G26" s="18">
        <v>170725</v>
      </c>
    </row>
    <row r="27" spans="1:7" x14ac:dyDescent="0.3">
      <c r="A27" s="11" t="s">
        <v>53</v>
      </c>
      <c r="B27" s="18">
        <v>112390</v>
      </c>
      <c r="C27" s="18">
        <v>134689</v>
      </c>
      <c r="D27" s="18">
        <v>156461</v>
      </c>
      <c r="E27" s="18">
        <v>176241</v>
      </c>
      <c r="F27" s="18">
        <v>207788</v>
      </c>
      <c r="G27" s="18">
        <v>221984</v>
      </c>
    </row>
    <row r="28" spans="1:7" x14ac:dyDescent="0.3">
      <c r="A28" s="11" t="s">
        <v>7</v>
      </c>
      <c r="B28" s="18">
        <v>5634</v>
      </c>
      <c r="C28" s="18">
        <v>6944</v>
      </c>
      <c r="D28" s="18">
        <v>8092</v>
      </c>
      <c r="E28" s="18">
        <v>8951</v>
      </c>
      <c r="F28" s="18">
        <v>10645</v>
      </c>
      <c r="G28" s="18">
        <v>11357</v>
      </c>
    </row>
    <row r="29" spans="1:7" x14ac:dyDescent="0.3">
      <c r="A29" s="11" t="s">
        <v>147</v>
      </c>
      <c r="B29" s="18">
        <v>106756</v>
      </c>
      <c r="C29" s="18">
        <v>127745</v>
      </c>
      <c r="D29" s="18">
        <v>148368</v>
      </c>
      <c r="E29" s="18">
        <v>167290</v>
      </c>
      <c r="F29" s="18">
        <v>197143</v>
      </c>
      <c r="G29" s="18">
        <v>210627</v>
      </c>
    </row>
    <row r="30" spans="1:7" x14ac:dyDescent="0.3">
      <c r="A30" s="11" t="s">
        <v>80</v>
      </c>
      <c r="B30" s="18">
        <v>98067</v>
      </c>
      <c r="C30" s="18">
        <v>113437</v>
      </c>
      <c r="D30" s="18">
        <v>129472</v>
      </c>
      <c r="E30" s="18">
        <v>146354</v>
      </c>
      <c r="F30" s="18">
        <v>174588</v>
      </c>
      <c r="G30" s="18">
        <v>184562</v>
      </c>
    </row>
    <row r="31" spans="1:7" x14ac:dyDescent="0.3">
      <c r="A31" s="11" t="s">
        <v>69</v>
      </c>
      <c r="B31" s="18">
        <v>79953</v>
      </c>
      <c r="C31" s="18">
        <v>101287</v>
      </c>
      <c r="D31" s="18">
        <v>118930</v>
      </c>
      <c r="E31" s="18">
        <v>136328</v>
      </c>
      <c r="F31" s="18">
        <v>165824</v>
      </c>
      <c r="G31" s="18">
        <v>178816</v>
      </c>
    </row>
    <row r="32" spans="1:7" x14ac:dyDescent="0.3">
      <c r="A32" s="11" t="s">
        <v>33</v>
      </c>
      <c r="B32" s="18">
        <v>175056</v>
      </c>
      <c r="C32" s="18">
        <v>226628</v>
      </c>
      <c r="D32" s="18">
        <v>275926</v>
      </c>
      <c r="E32" s="18">
        <v>319378</v>
      </c>
      <c r="F32" s="18">
        <v>398085</v>
      </c>
      <c r="G32" s="18">
        <v>438498</v>
      </c>
    </row>
    <row r="33" spans="1:7" x14ac:dyDescent="0.3">
      <c r="A33" s="11" t="s">
        <v>30</v>
      </c>
      <c r="B33" s="18">
        <v>85438</v>
      </c>
      <c r="C33" s="18">
        <v>102223</v>
      </c>
      <c r="D33" s="18">
        <v>116048</v>
      </c>
      <c r="E33" s="18">
        <v>130609</v>
      </c>
      <c r="F33" s="18">
        <v>155419</v>
      </c>
      <c r="G33" s="18">
        <v>165353</v>
      </c>
    </row>
    <row r="34" spans="1:7" x14ac:dyDescent="0.3">
      <c r="A34" s="11" t="s">
        <v>52</v>
      </c>
      <c r="B34" s="18">
        <v>44751</v>
      </c>
      <c r="C34" s="18">
        <v>53703</v>
      </c>
      <c r="D34" s="18">
        <v>61418</v>
      </c>
      <c r="E34" s="18">
        <v>68507</v>
      </c>
      <c r="F34" s="18">
        <v>79296</v>
      </c>
      <c r="G34" s="18">
        <v>84019</v>
      </c>
    </row>
    <row r="35" spans="1:7" x14ac:dyDescent="0.3">
      <c r="A35" s="11" t="s">
        <v>31</v>
      </c>
      <c r="B35" s="18">
        <v>41019</v>
      </c>
      <c r="C35" s="18">
        <v>49594</v>
      </c>
      <c r="D35" s="18">
        <v>57526</v>
      </c>
      <c r="E35" s="18">
        <v>64679</v>
      </c>
      <c r="F35" s="18">
        <v>76691</v>
      </c>
      <c r="G35" s="18">
        <v>81299</v>
      </c>
    </row>
    <row r="36" spans="1:7" x14ac:dyDescent="0.3">
      <c r="A36" s="11" t="s">
        <v>32</v>
      </c>
      <c r="B36" s="18">
        <v>608678</v>
      </c>
      <c r="C36" s="18">
        <v>778023</v>
      </c>
      <c r="D36" s="18">
        <v>952083</v>
      </c>
      <c r="E36" s="18">
        <v>1093124</v>
      </c>
      <c r="F36" s="18">
        <v>1380145</v>
      </c>
      <c r="G36" s="18">
        <v>1522344</v>
      </c>
    </row>
    <row r="37" spans="1:7" x14ac:dyDescent="0.3">
      <c r="A37" s="11" t="s">
        <v>148</v>
      </c>
      <c r="B37" s="18">
        <v>1004430</v>
      </c>
      <c r="C37" s="18">
        <v>1240233</v>
      </c>
      <c r="D37" s="18">
        <v>1488241</v>
      </c>
      <c r="E37" s="18">
        <v>1695169</v>
      </c>
      <c r="F37" s="18">
        <v>2118891</v>
      </c>
      <c r="G37" s="18">
        <v>2386020</v>
      </c>
    </row>
    <row r="38" spans="1:7" x14ac:dyDescent="0.3">
      <c r="A38" s="11" t="s">
        <v>26</v>
      </c>
      <c r="B38" s="18">
        <v>29463</v>
      </c>
      <c r="C38" s="18">
        <v>36003</v>
      </c>
      <c r="D38" s="18">
        <v>42585</v>
      </c>
      <c r="E38" s="18">
        <v>47565</v>
      </c>
      <c r="F38" s="18">
        <v>58791</v>
      </c>
      <c r="G38" s="18">
        <v>66705</v>
      </c>
    </row>
    <row r="39" spans="1:7" x14ac:dyDescent="0.3">
      <c r="A39" s="11" t="s">
        <v>27</v>
      </c>
      <c r="B39" s="18">
        <v>22883</v>
      </c>
      <c r="C39" s="18">
        <v>28664</v>
      </c>
      <c r="D39" s="18">
        <v>34319</v>
      </c>
      <c r="E39" s="18">
        <v>39109</v>
      </c>
      <c r="F39" s="18">
        <v>48319</v>
      </c>
      <c r="G39" s="18">
        <v>54649</v>
      </c>
    </row>
    <row r="40" spans="1:7" x14ac:dyDescent="0.3">
      <c r="A40" s="11" t="s">
        <v>89</v>
      </c>
      <c r="B40" s="18">
        <v>16442</v>
      </c>
      <c r="C40" s="18">
        <v>29432</v>
      </c>
      <c r="D40" s="18">
        <v>44268</v>
      </c>
      <c r="E40" s="18">
        <v>60239</v>
      </c>
      <c r="F40" s="18">
        <v>87765</v>
      </c>
      <c r="G40" s="18">
        <v>100142</v>
      </c>
    </row>
    <row r="41" spans="1:7" x14ac:dyDescent="0.3">
      <c r="A41" s="11" t="s">
        <v>28</v>
      </c>
      <c r="B41" s="18">
        <v>398648</v>
      </c>
      <c r="C41" s="18">
        <v>494168</v>
      </c>
      <c r="D41" s="18">
        <v>597579</v>
      </c>
      <c r="E41" s="18">
        <v>685054</v>
      </c>
      <c r="F41" s="18">
        <v>876471</v>
      </c>
      <c r="G41" s="18">
        <v>1021580</v>
      </c>
    </row>
    <row r="42" spans="1:7" x14ac:dyDescent="0.3">
      <c r="A42" s="11" t="s">
        <v>25</v>
      </c>
      <c r="B42" s="18">
        <v>74864</v>
      </c>
      <c r="C42" s="18">
        <v>88340</v>
      </c>
      <c r="D42" s="18">
        <v>103373</v>
      </c>
      <c r="E42" s="18">
        <v>114893</v>
      </c>
      <c r="F42" s="18">
        <v>136828</v>
      </c>
      <c r="G42" s="18">
        <v>149721</v>
      </c>
    </row>
    <row r="43" spans="1:7" x14ac:dyDescent="0.3">
      <c r="A43" s="11" t="s">
        <v>22</v>
      </c>
      <c r="B43" s="18">
        <v>157634</v>
      </c>
      <c r="C43" s="18">
        <v>192774</v>
      </c>
      <c r="D43" s="18">
        <v>228230</v>
      </c>
      <c r="E43" s="18">
        <v>254761</v>
      </c>
      <c r="F43" s="18">
        <v>303996</v>
      </c>
      <c r="G43" s="18">
        <v>326303</v>
      </c>
    </row>
    <row r="44" spans="1:7" x14ac:dyDescent="0.3">
      <c r="A44" s="11" t="s">
        <v>29</v>
      </c>
      <c r="B44" s="18">
        <v>299701</v>
      </c>
      <c r="C44" s="18">
        <v>363023</v>
      </c>
      <c r="D44" s="18">
        <v>424878</v>
      </c>
      <c r="E44" s="18">
        <v>474815</v>
      </c>
      <c r="F44" s="18">
        <v>578548</v>
      </c>
      <c r="G44" s="18">
        <v>633018</v>
      </c>
    </row>
    <row r="45" spans="1:7" x14ac:dyDescent="0.3">
      <c r="A45" s="11" t="s">
        <v>123</v>
      </c>
      <c r="B45" s="18">
        <v>4796</v>
      </c>
      <c r="C45" s="18">
        <v>7830</v>
      </c>
      <c r="D45" s="18">
        <v>13008</v>
      </c>
      <c r="E45" s="18">
        <v>18733</v>
      </c>
      <c r="F45" s="18">
        <v>28173</v>
      </c>
      <c r="G45" s="18">
        <v>33903</v>
      </c>
    </row>
    <row r="46" spans="1:7" x14ac:dyDescent="0.3">
      <c r="A46" s="11" t="s">
        <v>149</v>
      </c>
      <c r="B46" s="18">
        <v>338862</v>
      </c>
      <c r="C46" s="18">
        <v>420377</v>
      </c>
      <c r="D46" s="18">
        <v>497861</v>
      </c>
      <c r="E46" s="18">
        <v>558204</v>
      </c>
      <c r="F46" s="18">
        <v>698284</v>
      </c>
      <c r="G46" s="18">
        <v>775871</v>
      </c>
    </row>
    <row r="47" spans="1:7" x14ac:dyDescent="0.3">
      <c r="A47" s="11" t="s">
        <v>63</v>
      </c>
      <c r="B47" s="18">
        <v>43491</v>
      </c>
      <c r="C47" s="18">
        <v>57170</v>
      </c>
      <c r="D47" s="18">
        <v>70177</v>
      </c>
      <c r="E47" s="18">
        <v>82087</v>
      </c>
      <c r="F47" s="18">
        <v>109436</v>
      </c>
      <c r="G47" s="18">
        <v>125835</v>
      </c>
    </row>
    <row r="48" spans="1:7" x14ac:dyDescent="0.3">
      <c r="A48" s="11" t="s">
        <v>81</v>
      </c>
      <c r="B48" s="18">
        <v>4356</v>
      </c>
      <c r="C48" s="18">
        <v>5974</v>
      </c>
      <c r="D48" s="18">
        <v>7416</v>
      </c>
      <c r="E48" s="18">
        <v>8317</v>
      </c>
      <c r="F48" s="18">
        <v>10148</v>
      </c>
      <c r="G48" s="18">
        <v>11367</v>
      </c>
    </row>
    <row r="49" spans="1:7" x14ac:dyDescent="0.3">
      <c r="A49" s="11" t="s">
        <v>91</v>
      </c>
      <c r="B49" s="18">
        <v>34059</v>
      </c>
      <c r="C49" s="18">
        <v>40558</v>
      </c>
      <c r="D49" s="18">
        <v>47926</v>
      </c>
      <c r="E49" s="18">
        <v>53666</v>
      </c>
      <c r="F49" s="18">
        <v>66303</v>
      </c>
      <c r="G49" s="18">
        <v>72818</v>
      </c>
    </row>
    <row r="50" spans="1:7" x14ac:dyDescent="0.3">
      <c r="A50" s="11" t="s">
        <v>92</v>
      </c>
      <c r="B50" s="18">
        <v>21593</v>
      </c>
      <c r="C50" s="18">
        <v>27009</v>
      </c>
      <c r="D50" s="18">
        <v>32266</v>
      </c>
      <c r="E50" s="18">
        <v>36014</v>
      </c>
      <c r="F50" s="18">
        <v>46920</v>
      </c>
      <c r="G50" s="18">
        <v>54138</v>
      </c>
    </row>
    <row r="51" spans="1:7" x14ac:dyDescent="0.3">
      <c r="A51" s="11" t="s">
        <v>47</v>
      </c>
      <c r="B51" s="18">
        <v>38561</v>
      </c>
      <c r="C51" s="18">
        <v>47250</v>
      </c>
      <c r="D51" s="18">
        <v>54277</v>
      </c>
      <c r="E51" s="18">
        <v>59675</v>
      </c>
      <c r="F51" s="18">
        <v>73558</v>
      </c>
      <c r="G51" s="18">
        <v>82259</v>
      </c>
    </row>
    <row r="52" spans="1:7" x14ac:dyDescent="0.3">
      <c r="A52" s="11" t="s">
        <v>93</v>
      </c>
      <c r="B52" s="18">
        <v>22645</v>
      </c>
      <c r="C52" s="18">
        <v>28816</v>
      </c>
      <c r="D52" s="18">
        <v>34426</v>
      </c>
      <c r="E52" s="18">
        <v>38481</v>
      </c>
      <c r="F52" s="18">
        <v>48586</v>
      </c>
      <c r="G52" s="18">
        <v>55477</v>
      </c>
    </row>
    <row r="53" spans="1:7" x14ac:dyDescent="0.3">
      <c r="A53" s="11" t="s">
        <v>11</v>
      </c>
      <c r="B53" s="18">
        <v>174159</v>
      </c>
      <c r="C53" s="18">
        <v>213599</v>
      </c>
      <c r="D53" s="18">
        <v>251373</v>
      </c>
      <c r="E53" s="18">
        <v>279964</v>
      </c>
      <c r="F53" s="18">
        <v>343334</v>
      </c>
      <c r="G53" s="18">
        <v>373977</v>
      </c>
    </row>
    <row r="54" spans="1:7" x14ac:dyDescent="0.3">
      <c r="A54" s="11" t="s">
        <v>150</v>
      </c>
      <c r="B54" s="18">
        <v>2250311</v>
      </c>
      <c r="C54" s="18">
        <v>2751777</v>
      </c>
      <c r="D54" s="18">
        <v>3210790</v>
      </c>
      <c r="E54" s="18">
        <v>3618916</v>
      </c>
      <c r="F54" s="18">
        <v>4382404</v>
      </c>
      <c r="G54" s="18">
        <v>4748255</v>
      </c>
    </row>
    <row r="55" spans="1:7" x14ac:dyDescent="0.3">
      <c r="A55" s="11" t="s">
        <v>83</v>
      </c>
      <c r="B55" s="18">
        <v>324134</v>
      </c>
      <c r="C55" s="18">
        <v>404555</v>
      </c>
      <c r="D55" s="18">
        <v>481935</v>
      </c>
      <c r="E55" s="18">
        <v>547942</v>
      </c>
      <c r="F55" s="18">
        <v>677355</v>
      </c>
      <c r="G55" s="18">
        <v>745699</v>
      </c>
    </row>
    <row r="56" spans="1:7" x14ac:dyDescent="0.3">
      <c r="A56" s="11" t="s">
        <v>42</v>
      </c>
      <c r="B56" s="18">
        <v>44414</v>
      </c>
      <c r="C56" s="18">
        <v>55407</v>
      </c>
      <c r="D56" s="18">
        <v>63725</v>
      </c>
      <c r="E56" s="18">
        <v>70461</v>
      </c>
      <c r="F56" s="18">
        <v>83529</v>
      </c>
      <c r="G56" s="18">
        <v>88726</v>
      </c>
    </row>
    <row r="57" spans="1:7" x14ac:dyDescent="0.3">
      <c r="A57" s="11" t="s">
        <v>34</v>
      </c>
      <c r="B57" s="18">
        <v>50353</v>
      </c>
      <c r="C57" s="18">
        <v>63178</v>
      </c>
      <c r="D57" s="18">
        <v>72208</v>
      </c>
      <c r="E57" s="18">
        <v>79224</v>
      </c>
      <c r="F57" s="18">
        <v>89799</v>
      </c>
      <c r="G57" s="18">
        <v>97074</v>
      </c>
    </row>
    <row r="58" spans="1:7" x14ac:dyDescent="0.3">
      <c r="A58" s="11" t="s">
        <v>35</v>
      </c>
      <c r="B58" s="18">
        <v>309678</v>
      </c>
      <c r="C58" s="18">
        <v>391440</v>
      </c>
      <c r="D58" s="18">
        <v>468726</v>
      </c>
      <c r="E58" s="18">
        <v>544317</v>
      </c>
      <c r="F58" s="18">
        <v>691559</v>
      </c>
      <c r="G58" s="18">
        <v>775196</v>
      </c>
    </row>
    <row r="59" spans="1:7" x14ac:dyDescent="0.3">
      <c r="A59" s="11" t="s">
        <v>94</v>
      </c>
      <c r="B59" s="18">
        <v>128324</v>
      </c>
      <c r="C59" s="18">
        <v>155732</v>
      </c>
      <c r="D59" s="18">
        <v>181281</v>
      </c>
      <c r="E59" s="18">
        <v>206154</v>
      </c>
      <c r="F59" s="18">
        <v>251361</v>
      </c>
      <c r="G59" s="18">
        <v>279987</v>
      </c>
    </row>
    <row r="60" spans="1:7" x14ac:dyDescent="0.3">
      <c r="A60" s="11" t="s">
        <v>46</v>
      </c>
      <c r="B60" s="18">
        <v>93699</v>
      </c>
      <c r="C60" s="18">
        <v>115516</v>
      </c>
      <c r="D60" s="18">
        <v>131011</v>
      </c>
      <c r="E60" s="18">
        <v>149421</v>
      </c>
      <c r="F60" s="18">
        <v>177523</v>
      </c>
      <c r="G60" s="18">
        <v>191550</v>
      </c>
    </row>
    <row r="61" spans="1:7" x14ac:dyDescent="0.3">
      <c r="A61" s="11" t="s">
        <v>44</v>
      </c>
      <c r="B61" s="18">
        <v>232441</v>
      </c>
      <c r="C61" s="18">
        <v>275328</v>
      </c>
      <c r="D61" s="18">
        <v>317626</v>
      </c>
      <c r="E61" s="18">
        <v>355967</v>
      </c>
      <c r="F61" s="18">
        <v>421177</v>
      </c>
      <c r="G61" s="18">
        <v>454136</v>
      </c>
    </row>
    <row r="62" spans="1:7" x14ac:dyDescent="0.3">
      <c r="A62" s="11" t="s">
        <v>36</v>
      </c>
      <c r="B62" s="18">
        <v>91299</v>
      </c>
      <c r="C62" s="18">
        <v>111100</v>
      </c>
      <c r="D62" s="18">
        <v>127022</v>
      </c>
      <c r="E62" s="18">
        <v>142861</v>
      </c>
      <c r="F62" s="18">
        <v>167376</v>
      </c>
      <c r="G62" s="18">
        <v>178819</v>
      </c>
    </row>
    <row r="63" spans="1:7" x14ac:dyDescent="0.3">
      <c r="A63" s="11" t="s">
        <v>54</v>
      </c>
      <c r="B63" s="18">
        <v>236285</v>
      </c>
      <c r="C63" s="18">
        <v>284961</v>
      </c>
      <c r="D63" s="18">
        <v>326672</v>
      </c>
      <c r="E63" s="18">
        <v>361882</v>
      </c>
      <c r="F63" s="18">
        <v>431964</v>
      </c>
      <c r="G63" s="18">
        <v>459668</v>
      </c>
    </row>
    <row r="64" spans="1:7" x14ac:dyDescent="0.3">
      <c r="A64" s="11" t="s">
        <v>23</v>
      </c>
      <c r="B64" s="18">
        <v>160266</v>
      </c>
      <c r="C64" s="18">
        <v>193530</v>
      </c>
      <c r="D64" s="18">
        <v>225537</v>
      </c>
      <c r="E64" s="18">
        <v>252159</v>
      </c>
      <c r="F64" s="18">
        <v>303505</v>
      </c>
      <c r="G64" s="18">
        <v>328844</v>
      </c>
    </row>
    <row r="65" spans="1:7" x14ac:dyDescent="0.3">
      <c r="A65" s="11" t="s">
        <v>49</v>
      </c>
      <c r="B65" s="18">
        <v>82688</v>
      </c>
      <c r="C65" s="18">
        <v>102048</v>
      </c>
      <c r="D65" s="18">
        <v>119610</v>
      </c>
      <c r="E65" s="18">
        <v>136350</v>
      </c>
      <c r="F65" s="18">
        <v>167166</v>
      </c>
      <c r="G65" s="18">
        <v>179719</v>
      </c>
    </row>
    <row r="66" spans="1:7" x14ac:dyDescent="0.3">
      <c r="A66" s="11" t="s">
        <v>24</v>
      </c>
      <c r="B66" s="18">
        <v>250162</v>
      </c>
      <c r="C66" s="18">
        <v>298842</v>
      </c>
      <c r="D66" s="18">
        <v>346772</v>
      </c>
      <c r="E66" s="18">
        <v>382883</v>
      </c>
      <c r="F66" s="18">
        <v>454349</v>
      </c>
      <c r="G66" s="18">
        <v>474438</v>
      </c>
    </row>
    <row r="67" spans="1:7" x14ac:dyDescent="0.3">
      <c r="A67" s="11" t="s">
        <v>68</v>
      </c>
      <c r="B67" s="18">
        <v>153931</v>
      </c>
      <c r="C67" s="18">
        <v>189817</v>
      </c>
      <c r="D67" s="18">
        <v>223799</v>
      </c>
      <c r="E67" s="18">
        <v>252142</v>
      </c>
      <c r="F67" s="18">
        <v>301960</v>
      </c>
      <c r="G67" s="18">
        <v>321333</v>
      </c>
    </row>
    <row r="68" spans="1:7" x14ac:dyDescent="0.3">
      <c r="A68" s="11" t="s">
        <v>41</v>
      </c>
      <c r="B68" s="18">
        <v>92636</v>
      </c>
      <c r="C68" s="18">
        <v>110323</v>
      </c>
      <c r="D68" s="18">
        <v>124865</v>
      </c>
      <c r="E68" s="18">
        <v>137153</v>
      </c>
      <c r="F68" s="18">
        <v>163779</v>
      </c>
      <c r="G68" s="18">
        <v>173066</v>
      </c>
    </row>
    <row r="69" spans="1:7" x14ac:dyDescent="0.3">
      <c r="A69" s="11" t="s">
        <v>151</v>
      </c>
      <c r="B69" s="18">
        <v>1332949</v>
      </c>
      <c r="C69" s="18">
        <v>1591127</v>
      </c>
      <c r="D69" s="18">
        <v>1834342</v>
      </c>
      <c r="E69" s="18">
        <v>2053974</v>
      </c>
      <c r="F69" s="18">
        <v>2435570</v>
      </c>
      <c r="G69" s="18">
        <v>2645812</v>
      </c>
    </row>
    <row r="70" spans="1:7" x14ac:dyDescent="0.3">
      <c r="A70" s="11" t="s">
        <v>55</v>
      </c>
      <c r="B70" s="18">
        <v>59581</v>
      </c>
      <c r="C70" s="18">
        <v>71662</v>
      </c>
      <c r="D70" s="18">
        <v>83524</v>
      </c>
      <c r="E70" s="18">
        <v>93395</v>
      </c>
      <c r="F70" s="18">
        <v>111007</v>
      </c>
      <c r="G70" s="18">
        <v>118872</v>
      </c>
    </row>
    <row r="71" spans="1:7" x14ac:dyDescent="0.3">
      <c r="A71" s="11" t="s">
        <v>16</v>
      </c>
      <c r="B71" s="18">
        <v>397183</v>
      </c>
      <c r="C71" s="18">
        <v>474944</v>
      </c>
      <c r="D71" s="18">
        <v>551464</v>
      </c>
      <c r="E71" s="18">
        <v>620895</v>
      </c>
      <c r="F71" s="18">
        <v>741049</v>
      </c>
      <c r="G71" s="18">
        <v>806687</v>
      </c>
    </row>
    <row r="72" spans="1:7" x14ac:dyDescent="0.3">
      <c r="A72" s="11" t="s">
        <v>19</v>
      </c>
      <c r="B72" s="18">
        <v>601949</v>
      </c>
      <c r="C72" s="18">
        <v>717343</v>
      </c>
      <c r="D72" s="18">
        <v>820637</v>
      </c>
      <c r="E72" s="18">
        <v>917536</v>
      </c>
      <c r="F72" s="18">
        <v>1073392</v>
      </c>
      <c r="G72" s="18">
        <v>1174916</v>
      </c>
    </row>
    <row r="73" spans="1:7" x14ac:dyDescent="0.3">
      <c r="A73" s="11" t="s">
        <v>17</v>
      </c>
      <c r="B73" s="18">
        <v>312826</v>
      </c>
      <c r="C73" s="18">
        <v>367677</v>
      </c>
      <c r="D73" s="18">
        <v>415938</v>
      </c>
      <c r="E73" s="18">
        <v>463958</v>
      </c>
      <c r="F73" s="18">
        <v>540540</v>
      </c>
      <c r="G73" s="18">
        <v>580892</v>
      </c>
    </row>
    <row r="74" spans="1:7" x14ac:dyDescent="0.3">
      <c r="A74" s="11" t="s">
        <v>60</v>
      </c>
      <c r="B74" s="18">
        <v>113331</v>
      </c>
      <c r="C74" s="18">
        <v>133573</v>
      </c>
      <c r="D74" s="18">
        <v>153781</v>
      </c>
      <c r="E74" s="18">
        <v>171164</v>
      </c>
      <c r="F74" s="18">
        <v>197881</v>
      </c>
      <c r="G74" s="18">
        <v>212141</v>
      </c>
    </row>
    <row r="75" spans="1:7" x14ac:dyDescent="0.3">
      <c r="A75" s="11" t="s">
        <v>152</v>
      </c>
      <c r="B75" s="18">
        <v>175792</v>
      </c>
      <c r="C75" s="18">
        <v>216094</v>
      </c>
      <c r="D75" s="18">
        <v>250918</v>
      </c>
      <c r="E75" s="18">
        <v>282414</v>
      </c>
      <c r="F75" s="18">
        <v>334971</v>
      </c>
      <c r="G75" s="18">
        <v>381882</v>
      </c>
    </row>
    <row r="76" spans="1:7" x14ac:dyDescent="0.3">
      <c r="A76" s="11" t="s">
        <v>82</v>
      </c>
      <c r="B76" s="18">
        <v>274237</v>
      </c>
      <c r="C76" s="18">
        <v>327178</v>
      </c>
      <c r="D76" s="18">
        <v>378717</v>
      </c>
      <c r="E76" s="18">
        <v>422148</v>
      </c>
      <c r="F76" s="18">
        <v>510121</v>
      </c>
      <c r="G76" s="18">
        <v>545337</v>
      </c>
    </row>
    <row r="77" spans="1:7" x14ac:dyDescent="0.3">
      <c r="A77" s="11" t="s">
        <v>153</v>
      </c>
      <c r="B77" s="18">
        <v>1609585</v>
      </c>
      <c r="C77" s="18">
        <v>1734489</v>
      </c>
      <c r="D77" s="18">
        <v>2010427</v>
      </c>
      <c r="E77" s="18">
        <v>2273649</v>
      </c>
      <c r="F77" s="18">
        <v>2787697</v>
      </c>
      <c r="G77" s="18">
        <v>3056461</v>
      </c>
    </row>
    <row r="78" spans="1:7" x14ac:dyDescent="0.3">
      <c r="A78" s="11" t="s">
        <v>58</v>
      </c>
      <c r="B78" s="18">
        <v>12470</v>
      </c>
      <c r="C78" s="18">
        <v>15356</v>
      </c>
      <c r="D78" s="18">
        <v>18755</v>
      </c>
      <c r="E78" s="18">
        <v>22103</v>
      </c>
      <c r="F78" s="18">
        <v>28168</v>
      </c>
      <c r="G78" s="18">
        <v>30517</v>
      </c>
    </row>
    <row r="79" spans="1:7" x14ac:dyDescent="0.3">
      <c r="A79" s="11" t="s">
        <v>14</v>
      </c>
      <c r="B79" s="18">
        <v>74894</v>
      </c>
      <c r="C79" s="18">
        <v>30136</v>
      </c>
      <c r="D79" s="18">
        <v>36849</v>
      </c>
      <c r="E79" s="18">
        <v>43305</v>
      </c>
      <c r="F79" s="18">
        <v>56238</v>
      </c>
      <c r="G79" s="18">
        <v>67055</v>
      </c>
    </row>
    <row r="80" spans="1:7" x14ac:dyDescent="0.3">
      <c r="A80" s="11" t="s">
        <v>77</v>
      </c>
      <c r="B80" s="18">
        <v>23418</v>
      </c>
      <c r="C80" s="18">
        <v>46950</v>
      </c>
      <c r="D80" s="18">
        <v>54923</v>
      </c>
      <c r="E80" s="18">
        <v>62992</v>
      </c>
      <c r="F80" s="18">
        <v>79040</v>
      </c>
      <c r="G80" s="18">
        <v>88242</v>
      </c>
    </row>
    <row r="81" spans="1:7" x14ac:dyDescent="0.3">
      <c r="A81" s="11" t="s">
        <v>12</v>
      </c>
      <c r="B81" s="18">
        <v>39269</v>
      </c>
      <c r="C81" s="18">
        <v>181968</v>
      </c>
      <c r="D81" s="18">
        <v>213248</v>
      </c>
      <c r="E81" s="18">
        <v>245271</v>
      </c>
      <c r="F81" s="18">
        <v>299070</v>
      </c>
      <c r="G81" s="18">
        <v>325291</v>
      </c>
    </row>
    <row r="82" spans="1:7" x14ac:dyDescent="0.3">
      <c r="A82" s="11" t="s">
        <v>61</v>
      </c>
      <c r="B82" s="18">
        <v>150970</v>
      </c>
      <c r="C82" s="18">
        <v>338886</v>
      </c>
      <c r="D82" s="18">
        <v>388719</v>
      </c>
      <c r="E82" s="18">
        <v>435385</v>
      </c>
      <c r="F82" s="18">
        <v>530900</v>
      </c>
      <c r="G82" s="18">
        <v>587028</v>
      </c>
    </row>
    <row r="83" spans="1:7" x14ac:dyDescent="0.3">
      <c r="A83" s="11" t="s">
        <v>72</v>
      </c>
      <c r="B83" s="18">
        <v>86971</v>
      </c>
      <c r="C83" s="18">
        <v>271850</v>
      </c>
      <c r="D83" s="18">
        <v>310122</v>
      </c>
      <c r="E83" s="18">
        <v>344282</v>
      </c>
      <c r="F83" s="18">
        <v>423112</v>
      </c>
      <c r="G83" s="18">
        <v>460747</v>
      </c>
    </row>
    <row r="84" spans="1:7" x14ac:dyDescent="0.3">
      <c r="A84" s="11" t="s">
        <v>76</v>
      </c>
      <c r="B84" s="18">
        <v>287904</v>
      </c>
      <c r="C84" s="18">
        <v>243828</v>
      </c>
      <c r="D84" s="18">
        <v>283624</v>
      </c>
      <c r="E84" s="18">
        <v>317744</v>
      </c>
      <c r="F84" s="18">
        <v>384703</v>
      </c>
      <c r="G84" s="18">
        <v>415676</v>
      </c>
    </row>
    <row r="85" spans="1:7" x14ac:dyDescent="0.3">
      <c r="A85" s="11" t="s">
        <v>6</v>
      </c>
      <c r="B85" s="18">
        <v>232525</v>
      </c>
      <c r="C85" s="18">
        <v>324620</v>
      </c>
      <c r="D85" s="18">
        <v>378686</v>
      </c>
      <c r="E85" s="18">
        <v>433993</v>
      </c>
      <c r="F85" s="18">
        <v>540023</v>
      </c>
      <c r="G85" s="18">
        <v>597997</v>
      </c>
    </row>
    <row r="86" spans="1:7" x14ac:dyDescent="0.3">
      <c r="A86" s="11" t="s">
        <v>64</v>
      </c>
      <c r="B86" s="18">
        <v>202084</v>
      </c>
      <c r="C86" s="18">
        <v>174201</v>
      </c>
      <c r="D86" s="18">
        <v>202993</v>
      </c>
      <c r="E86" s="18">
        <v>229217</v>
      </c>
      <c r="F86" s="18">
        <v>277781</v>
      </c>
      <c r="G86" s="18">
        <v>300401</v>
      </c>
    </row>
    <row r="87" spans="1:7" x14ac:dyDescent="0.3">
      <c r="A87" s="11" t="s">
        <v>5</v>
      </c>
      <c r="B87" s="18">
        <v>266251</v>
      </c>
      <c r="C87" s="18">
        <v>106694</v>
      </c>
      <c r="D87" s="18">
        <v>122509</v>
      </c>
      <c r="E87" s="18">
        <v>139357</v>
      </c>
      <c r="F87" s="18">
        <v>168661</v>
      </c>
      <c r="G87" s="18">
        <v>183505</v>
      </c>
    </row>
    <row r="88" spans="1:7" x14ac:dyDescent="0.3">
      <c r="A88" s="11" t="s">
        <v>154</v>
      </c>
      <c r="B88" s="18">
        <v>143281</v>
      </c>
      <c r="C88" s="18">
        <v>938306</v>
      </c>
      <c r="D88" s="18">
        <v>1102351</v>
      </c>
      <c r="E88" s="18">
        <v>1270157</v>
      </c>
      <c r="F88" s="18">
        <v>1583272</v>
      </c>
      <c r="G88" s="18">
        <v>1789489</v>
      </c>
    </row>
    <row r="89" spans="1:7" x14ac:dyDescent="0.3">
      <c r="A89" s="11" t="s">
        <v>1</v>
      </c>
      <c r="B89" s="18">
        <v>89547</v>
      </c>
      <c r="C89" s="18">
        <v>84943</v>
      </c>
      <c r="D89" s="18">
        <v>97718</v>
      </c>
      <c r="E89" s="18">
        <v>112688</v>
      </c>
      <c r="F89" s="18">
        <v>142224</v>
      </c>
      <c r="G89" s="18">
        <v>159440</v>
      </c>
    </row>
    <row r="90" spans="1:7" x14ac:dyDescent="0.3">
      <c r="A90" s="11" t="s">
        <v>62</v>
      </c>
      <c r="B90" s="18">
        <v>617390</v>
      </c>
      <c r="C90" s="18">
        <v>171268</v>
      </c>
      <c r="D90" s="18">
        <v>196266</v>
      </c>
      <c r="E90" s="18">
        <v>218533</v>
      </c>
      <c r="F90" s="18">
        <v>262763</v>
      </c>
      <c r="G90" s="18">
        <v>303136</v>
      </c>
    </row>
    <row r="91" spans="1:7" x14ac:dyDescent="0.3">
      <c r="A91" s="11" t="s">
        <v>57</v>
      </c>
      <c r="B91" s="18">
        <v>139456</v>
      </c>
      <c r="C91" s="18">
        <v>102398</v>
      </c>
      <c r="D91" s="18">
        <v>117825</v>
      </c>
      <c r="E91" s="18">
        <v>132450</v>
      </c>
      <c r="F91" s="18">
        <v>163520</v>
      </c>
      <c r="G91" s="18">
        <v>180831</v>
      </c>
    </row>
    <row r="92" spans="1:7" x14ac:dyDescent="0.3">
      <c r="A92" s="12" t="s">
        <v>9</v>
      </c>
      <c r="B92" s="18">
        <v>34678</v>
      </c>
      <c r="C92" s="18">
        <v>43105</v>
      </c>
      <c r="D92" s="18">
        <v>51499</v>
      </c>
      <c r="E92" s="18">
        <v>58855</v>
      </c>
      <c r="F92" s="18">
        <v>72950</v>
      </c>
      <c r="G92" s="18">
        <v>80271</v>
      </c>
    </row>
    <row r="93" spans="1:7" x14ac:dyDescent="0.3">
      <c r="A93" s="12" t="s">
        <v>10</v>
      </c>
      <c r="B93" s="18">
        <v>151943</v>
      </c>
      <c r="C93" s="18">
        <v>186732</v>
      </c>
      <c r="D93" s="18">
        <v>224716</v>
      </c>
      <c r="E93" s="18">
        <v>265523</v>
      </c>
      <c r="F93" s="18">
        <v>343033</v>
      </c>
      <c r="G93" s="18">
        <v>395543</v>
      </c>
    </row>
    <row r="94" spans="1:7" x14ac:dyDescent="0.3">
      <c r="A94" s="12" t="s">
        <v>75</v>
      </c>
      <c r="B94" s="18">
        <v>124562</v>
      </c>
      <c r="C94" s="18">
        <v>148413</v>
      </c>
      <c r="D94" s="18">
        <v>176380</v>
      </c>
      <c r="E94" s="18">
        <v>204475</v>
      </c>
      <c r="F94" s="18">
        <v>252099</v>
      </c>
      <c r="G94" s="18">
        <v>283825</v>
      </c>
    </row>
    <row r="95" spans="1:7" x14ac:dyDescent="0.3">
      <c r="A95" s="12" t="s">
        <v>73</v>
      </c>
      <c r="B95" s="18">
        <v>72444</v>
      </c>
      <c r="C95" s="18">
        <v>86118</v>
      </c>
      <c r="D95" s="18">
        <v>100914</v>
      </c>
      <c r="E95" s="18">
        <v>116788</v>
      </c>
      <c r="F95" s="18">
        <v>144837</v>
      </c>
      <c r="G95" s="18">
        <v>166354</v>
      </c>
    </row>
    <row r="96" spans="1:7" x14ac:dyDescent="0.3">
      <c r="A96" s="12" t="s">
        <v>8</v>
      </c>
      <c r="B96" s="18">
        <v>20924</v>
      </c>
      <c r="C96" s="18">
        <v>24960</v>
      </c>
      <c r="D96" s="18">
        <v>29085</v>
      </c>
      <c r="E96" s="18">
        <v>32951</v>
      </c>
      <c r="F96" s="18">
        <v>41098</v>
      </c>
      <c r="G96" s="18">
        <v>44697</v>
      </c>
    </row>
    <row r="97" spans="1:7" x14ac:dyDescent="0.3">
      <c r="A97" s="12" t="s">
        <v>3</v>
      </c>
      <c r="B97" s="18">
        <v>56314</v>
      </c>
      <c r="C97" s="18">
        <v>69192</v>
      </c>
      <c r="D97" s="18">
        <v>82403</v>
      </c>
      <c r="E97" s="18">
        <v>98577</v>
      </c>
      <c r="F97" s="18">
        <v>125536</v>
      </c>
      <c r="G97" s="18">
        <v>136624</v>
      </c>
    </row>
    <row r="98" spans="1:7" x14ac:dyDescent="0.3">
      <c r="A98" s="12" t="s">
        <v>74</v>
      </c>
      <c r="B98" s="18">
        <v>11613</v>
      </c>
      <c r="C98" s="18">
        <v>14016</v>
      </c>
      <c r="D98" s="18">
        <v>16469</v>
      </c>
      <c r="E98" s="18">
        <v>18262</v>
      </c>
      <c r="F98" s="18">
        <v>21338</v>
      </c>
      <c r="G98" s="18">
        <v>23358</v>
      </c>
    </row>
    <row r="99" spans="1:7" x14ac:dyDescent="0.3">
      <c r="A99" s="12" t="s">
        <v>18</v>
      </c>
      <c r="B99" s="18">
        <v>5457</v>
      </c>
      <c r="C99" s="18">
        <v>7160</v>
      </c>
      <c r="D99" s="18">
        <v>9077</v>
      </c>
      <c r="E99" s="18">
        <v>11055</v>
      </c>
      <c r="F99" s="18">
        <v>13874</v>
      </c>
      <c r="G99" s="18">
        <v>15409</v>
      </c>
    </row>
  </sheetData>
  <autoFilter ref="A3:G97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1191D-8726-4D64-8713-174AF4502FD0}">
  <sheetPr codeName="Лист26">
    <tabColor theme="4" tint="0.79998168889431442"/>
    <pageSetUpPr fitToPage="1"/>
  </sheetPr>
  <dimension ref="A1:Z101"/>
  <sheetViews>
    <sheetView showGridLines="0" workbookViewId="0">
      <selection sqref="A1:J1048576"/>
    </sheetView>
  </sheetViews>
  <sheetFormatPr defaultRowHeight="16.5" x14ac:dyDescent="0.3"/>
  <cols>
    <col min="1" max="1" width="108.5703125" style="9" customWidth="1"/>
    <col min="2" max="7" width="12.85546875" style="4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47" t="s">
        <v>283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3" spans="1:26" x14ac:dyDescent="0.3">
      <c r="A3" s="48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6" x14ac:dyDescent="0.3">
      <c r="A4" s="12" t="s">
        <v>87</v>
      </c>
      <c r="B4" s="50">
        <v>1277937002.9000001</v>
      </c>
      <c r="C4" s="50">
        <v>1329649853.5999999</v>
      </c>
      <c r="D4" s="50">
        <v>1401131697.3</v>
      </c>
      <c r="E4" s="50">
        <v>1398303010.3</v>
      </c>
      <c r="F4" s="50">
        <v>1431558456.4000001</v>
      </c>
      <c r="G4" s="50">
        <v>1472013572.8</v>
      </c>
    </row>
    <row r="5" spans="1:26" x14ac:dyDescent="0.3">
      <c r="A5" s="12" t="s">
        <v>96</v>
      </c>
      <c r="B5" s="50">
        <v>437338701.49000001</v>
      </c>
      <c r="C5" s="50">
        <v>441848046.30000001</v>
      </c>
      <c r="D5" s="50">
        <v>468981723.38999999</v>
      </c>
      <c r="E5" s="50">
        <v>456563744.29000002</v>
      </c>
      <c r="F5" s="50">
        <v>473475748.60000002</v>
      </c>
      <c r="G5" s="50">
        <v>491942270.10000002</v>
      </c>
    </row>
    <row r="6" spans="1:26" x14ac:dyDescent="0.3">
      <c r="A6" s="12" t="s">
        <v>50</v>
      </c>
      <c r="B6" s="50">
        <v>10500952.1</v>
      </c>
      <c r="C6" s="50">
        <v>10731710.890000001</v>
      </c>
      <c r="D6" s="50">
        <v>10705861.289999999</v>
      </c>
      <c r="E6" s="50">
        <v>10661202.800000001</v>
      </c>
      <c r="F6" s="50">
        <v>11023913.9</v>
      </c>
      <c r="G6" s="50">
        <v>11362523.199999999</v>
      </c>
    </row>
    <row r="7" spans="1:26" x14ac:dyDescent="0.3">
      <c r="A7" s="12" t="s">
        <v>48</v>
      </c>
      <c r="B7" s="50">
        <v>8028387.9000000004</v>
      </c>
      <c r="C7" s="50">
        <v>8693615.1899999995</v>
      </c>
      <c r="D7" s="50">
        <v>9717814.0999999996</v>
      </c>
      <c r="E7" s="50">
        <v>9949480.4000000004</v>
      </c>
      <c r="F7" s="50">
        <v>10239157.09</v>
      </c>
      <c r="G7" s="50">
        <v>10496052.789999999</v>
      </c>
    </row>
    <row r="8" spans="1:26" x14ac:dyDescent="0.3">
      <c r="A8" s="12" t="s">
        <v>20</v>
      </c>
      <c r="B8" s="50">
        <v>9569046.8900000006</v>
      </c>
      <c r="C8" s="50">
        <v>10017455.300000001</v>
      </c>
      <c r="D8" s="50">
        <v>10384249.1</v>
      </c>
      <c r="E8" s="50">
        <v>10431999.59</v>
      </c>
      <c r="F8" s="50">
        <v>10626720</v>
      </c>
      <c r="G8" s="50">
        <v>10859927.300000001</v>
      </c>
    </row>
    <row r="9" spans="1:26" x14ac:dyDescent="0.3">
      <c r="A9" s="12" t="s">
        <v>4</v>
      </c>
      <c r="B9" s="50">
        <v>16385618.99</v>
      </c>
      <c r="C9" s="50">
        <v>16314410.6</v>
      </c>
      <c r="D9" s="50">
        <v>16558356.49</v>
      </c>
      <c r="E9" s="50">
        <v>17026479</v>
      </c>
      <c r="F9" s="50">
        <v>17252081.690000001</v>
      </c>
      <c r="G9" s="50">
        <v>18227949.100000001</v>
      </c>
    </row>
    <row r="10" spans="1:26" x14ac:dyDescent="0.3">
      <c r="A10" s="12" t="s">
        <v>45</v>
      </c>
      <c r="B10" s="50">
        <v>6044888.7000000002</v>
      </c>
      <c r="C10" s="50">
        <v>6619629.0999999996</v>
      </c>
      <c r="D10" s="50">
        <v>6845729.5</v>
      </c>
      <c r="E10" s="50">
        <v>6140820.9000000004</v>
      </c>
      <c r="F10" s="50">
        <v>6136637.7999999998</v>
      </c>
      <c r="G10" s="50">
        <v>6228507.4000000004</v>
      </c>
    </row>
    <row r="11" spans="1:26" x14ac:dyDescent="0.3">
      <c r="A11" s="12" t="s">
        <v>40</v>
      </c>
      <c r="B11" s="50">
        <v>7650310.0999999996</v>
      </c>
      <c r="C11" s="50">
        <v>8077830.2999999998</v>
      </c>
      <c r="D11" s="50">
        <v>8339866.29</v>
      </c>
      <c r="E11" s="50">
        <v>8344525.7999999998</v>
      </c>
      <c r="F11" s="50">
        <v>8577396.6899999995</v>
      </c>
      <c r="G11" s="50">
        <v>8648156</v>
      </c>
    </row>
    <row r="12" spans="1:26" x14ac:dyDescent="0.3">
      <c r="A12" s="12" t="s">
        <v>37</v>
      </c>
      <c r="B12" s="50">
        <v>4426584.6900000004</v>
      </c>
      <c r="C12" s="50">
        <v>4709146.1900000004</v>
      </c>
      <c r="D12" s="50">
        <v>4983551.5</v>
      </c>
      <c r="E12" s="50">
        <v>5084149.4000000004</v>
      </c>
      <c r="F12" s="50">
        <v>5359014.09</v>
      </c>
      <c r="G12" s="50">
        <v>5417928.0999999996</v>
      </c>
    </row>
    <row r="13" spans="1:26" x14ac:dyDescent="0.3">
      <c r="A13" s="12" t="s">
        <v>56</v>
      </c>
      <c r="B13" s="50">
        <v>7383226.2999999998</v>
      </c>
      <c r="C13" s="50">
        <v>7660674.9000000004</v>
      </c>
      <c r="D13" s="50">
        <v>7685929.7000000002</v>
      </c>
      <c r="E13" s="50">
        <v>7710723.7999999998</v>
      </c>
      <c r="F13" s="50">
        <v>8003095.4900000002</v>
      </c>
      <c r="G13" s="50">
        <v>8237521</v>
      </c>
    </row>
    <row r="14" spans="1:26" x14ac:dyDescent="0.3">
      <c r="A14" s="12" t="s">
        <v>51</v>
      </c>
      <c r="B14" s="50">
        <v>8452631.2899999991</v>
      </c>
      <c r="C14" s="50">
        <v>9459816.9000000004</v>
      </c>
      <c r="D14" s="50">
        <v>9965474.4000000004</v>
      </c>
      <c r="E14" s="50">
        <v>10200801.09</v>
      </c>
      <c r="F14" s="50">
        <v>10567845.189999999</v>
      </c>
      <c r="G14" s="50">
        <v>11260568.300000001</v>
      </c>
    </row>
    <row r="15" spans="1:26" x14ac:dyDescent="0.3">
      <c r="A15" s="12" t="s">
        <v>21</v>
      </c>
      <c r="B15" s="50">
        <v>31583898.100000001</v>
      </c>
      <c r="C15" s="50">
        <v>32562409.989999998</v>
      </c>
      <c r="D15" s="50">
        <v>34291080.899999999</v>
      </c>
      <c r="E15" s="50">
        <v>30923932.800000001</v>
      </c>
      <c r="F15" s="50">
        <v>32370421.5</v>
      </c>
      <c r="G15" s="50">
        <v>35330286</v>
      </c>
    </row>
    <row r="16" spans="1:26" x14ac:dyDescent="0.3">
      <c r="A16" s="12" t="s">
        <v>70</v>
      </c>
      <c r="B16" s="50">
        <v>5127936.59</v>
      </c>
      <c r="C16" s="50">
        <v>5436394.7999999998</v>
      </c>
      <c r="D16" s="50">
        <v>5661835.0999999996</v>
      </c>
      <c r="E16" s="50">
        <v>5674954.0999999996</v>
      </c>
      <c r="F16" s="50">
        <v>5760448.4000000004</v>
      </c>
      <c r="G16" s="50">
        <v>5795391</v>
      </c>
    </row>
    <row r="17" spans="1:7" x14ac:dyDescent="0.3">
      <c r="A17" s="12" t="s">
        <v>59</v>
      </c>
      <c r="B17" s="50">
        <v>8729452.9000000004</v>
      </c>
      <c r="C17" s="50">
        <v>9358883.2899999991</v>
      </c>
      <c r="D17" s="50">
        <v>9909192.3000000007</v>
      </c>
      <c r="E17" s="50">
        <v>10060443.4</v>
      </c>
      <c r="F17" s="50">
        <v>10340999.890000001</v>
      </c>
      <c r="G17" s="50">
        <v>10629109.390000001</v>
      </c>
    </row>
    <row r="18" spans="1:7" x14ac:dyDescent="0.3">
      <c r="A18" s="12" t="s">
        <v>43</v>
      </c>
      <c r="B18" s="50">
        <v>6080702.7999999998</v>
      </c>
      <c r="C18" s="50">
        <v>6448550.2000000002</v>
      </c>
      <c r="D18" s="50">
        <v>6577806.2000000002</v>
      </c>
      <c r="E18" s="50">
        <v>6600880.7999999998</v>
      </c>
      <c r="F18" s="50">
        <v>6793863.7999999998</v>
      </c>
      <c r="G18" s="50">
        <v>7006723.0999999996</v>
      </c>
    </row>
    <row r="19" spans="1:7" x14ac:dyDescent="0.3">
      <c r="A19" s="12" t="s">
        <v>15</v>
      </c>
      <c r="B19" s="50">
        <v>6243232.7999999998</v>
      </c>
      <c r="C19" s="50">
        <v>6288115.5999999996</v>
      </c>
      <c r="D19" s="50">
        <v>6665450.9000000004</v>
      </c>
      <c r="E19" s="50">
        <v>6798925.7999999998</v>
      </c>
      <c r="F19" s="50">
        <v>6997310.4000000004</v>
      </c>
      <c r="G19" s="50">
        <v>6945357.4000000004</v>
      </c>
    </row>
    <row r="20" spans="1:7" x14ac:dyDescent="0.3">
      <c r="A20" s="12" t="s">
        <v>38</v>
      </c>
      <c r="B20" s="50">
        <v>8411481</v>
      </c>
      <c r="C20" s="50">
        <v>8900407.6899999995</v>
      </c>
      <c r="D20" s="50">
        <v>9240649.5999999996</v>
      </c>
      <c r="E20" s="50">
        <v>9477503.6899999995</v>
      </c>
      <c r="F20" s="50">
        <v>9522011.6899999995</v>
      </c>
      <c r="G20" s="50">
        <v>9507938.8000000007</v>
      </c>
    </row>
    <row r="21" spans="1:7" x14ac:dyDescent="0.3">
      <c r="A21" s="12" t="s">
        <v>39</v>
      </c>
      <c r="B21" s="50">
        <v>11063511.59</v>
      </c>
      <c r="C21" s="50">
        <v>11375207.5</v>
      </c>
      <c r="D21" s="50">
        <v>11534222.59</v>
      </c>
      <c r="E21" s="50">
        <v>11575203.5</v>
      </c>
      <c r="F21" s="50">
        <v>11860017.890000001</v>
      </c>
      <c r="G21" s="50">
        <v>12149660.890000001</v>
      </c>
    </row>
    <row r="22" spans="1:7" x14ac:dyDescent="0.3">
      <c r="A22" s="12" t="s">
        <v>78</v>
      </c>
      <c r="B22" s="50">
        <v>8787501.8900000006</v>
      </c>
      <c r="C22" s="50">
        <v>9556690.1899999995</v>
      </c>
      <c r="D22" s="50">
        <v>9642501.4000000004</v>
      </c>
      <c r="E22" s="50">
        <v>8942105.0999999996</v>
      </c>
      <c r="F22" s="50">
        <v>8837067.6899999995</v>
      </c>
      <c r="G22" s="50">
        <v>9082801.1899999995</v>
      </c>
    </row>
    <row r="23" spans="1:7" x14ac:dyDescent="0.3">
      <c r="A23" s="12" t="s">
        <v>13</v>
      </c>
      <c r="B23" s="50">
        <v>272869336.79000002</v>
      </c>
      <c r="C23" s="50">
        <v>269637097.58999997</v>
      </c>
      <c r="D23" s="50">
        <v>290272152</v>
      </c>
      <c r="E23" s="50">
        <v>280959612.29000002</v>
      </c>
      <c r="F23" s="50">
        <v>293207745.30000001</v>
      </c>
      <c r="G23" s="50">
        <v>304755869.10000002</v>
      </c>
    </row>
    <row r="24" spans="1:7" x14ac:dyDescent="0.3">
      <c r="A24" s="12" t="s">
        <v>97</v>
      </c>
      <c r="B24" s="50">
        <v>151621967.09</v>
      </c>
      <c r="C24" s="50">
        <v>156508342.59999999</v>
      </c>
      <c r="D24" s="50">
        <v>161661957.38999999</v>
      </c>
      <c r="E24" s="50">
        <v>161216400.40000001</v>
      </c>
      <c r="F24" s="50">
        <v>161682798.59</v>
      </c>
      <c r="G24" s="50">
        <v>160715144.88999999</v>
      </c>
    </row>
    <row r="25" spans="1:7" x14ac:dyDescent="0.3">
      <c r="A25" s="12" t="s">
        <v>71</v>
      </c>
      <c r="B25" s="50">
        <v>5375219.9000000004</v>
      </c>
      <c r="C25" s="50">
        <v>5765655.7000000002</v>
      </c>
      <c r="D25" s="50">
        <v>6033068.5</v>
      </c>
      <c r="E25" s="50">
        <v>6352300.7999999998</v>
      </c>
      <c r="F25" s="50">
        <v>6451852.5</v>
      </c>
      <c r="G25" s="50">
        <v>6079597</v>
      </c>
    </row>
    <row r="26" spans="1:7" x14ac:dyDescent="0.3">
      <c r="A26" s="12" t="s">
        <v>65</v>
      </c>
      <c r="B26" s="50">
        <v>7025308.5</v>
      </c>
      <c r="C26" s="50">
        <v>7104107.5999999996</v>
      </c>
      <c r="D26" s="50">
        <v>7459568.1900000004</v>
      </c>
      <c r="E26" s="50">
        <v>7606952.6900000004</v>
      </c>
      <c r="F26" s="50">
        <v>7572704.7000000002</v>
      </c>
      <c r="G26" s="50">
        <v>7213348.4000000004</v>
      </c>
    </row>
    <row r="27" spans="1:7" x14ac:dyDescent="0.3">
      <c r="A27" s="12" t="s">
        <v>53</v>
      </c>
      <c r="B27" s="50">
        <v>9208021.4000000004</v>
      </c>
      <c r="C27" s="50">
        <v>9568258.9900000002</v>
      </c>
      <c r="D27" s="50">
        <v>9974215.4000000004</v>
      </c>
      <c r="E27" s="50">
        <v>10110949.4</v>
      </c>
      <c r="F27" s="50">
        <v>10202090.689999999</v>
      </c>
      <c r="G27" s="50">
        <v>10231136.189999999</v>
      </c>
    </row>
    <row r="28" spans="1:7" x14ac:dyDescent="0.3">
      <c r="A28" s="12" t="s">
        <v>7</v>
      </c>
      <c r="B28" s="50">
        <v>267240.8</v>
      </c>
      <c r="C28" s="50">
        <v>282471.8</v>
      </c>
      <c r="D28" s="50">
        <v>289965.59999999998</v>
      </c>
      <c r="E28" s="50">
        <v>289298.09999999998</v>
      </c>
      <c r="F28" s="50">
        <v>213270.1</v>
      </c>
      <c r="G28" s="50">
        <v>200924.6</v>
      </c>
    </row>
    <row r="29" spans="1:7" x14ac:dyDescent="0.3">
      <c r="A29" s="12" t="s">
        <v>88</v>
      </c>
      <c r="B29" s="50">
        <v>8940780.5899999999</v>
      </c>
      <c r="C29" s="50">
        <v>9285787.1899999995</v>
      </c>
      <c r="D29" s="50">
        <v>9684249.8000000007</v>
      </c>
      <c r="E29" s="50">
        <v>9821651.3000000007</v>
      </c>
      <c r="F29" s="50">
        <v>9988820.5999999996</v>
      </c>
      <c r="G29" s="50">
        <v>10030211.6</v>
      </c>
    </row>
    <row r="30" spans="1:7" x14ac:dyDescent="0.3">
      <c r="A30" s="12" t="s">
        <v>80</v>
      </c>
      <c r="B30" s="50">
        <v>7241373.7999999998</v>
      </c>
      <c r="C30" s="50">
        <v>7781436.9000000004</v>
      </c>
      <c r="D30" s="50">
        <v>8591635.3900000006</v>
      </c>
      <c r="E30" s="50">
        <v>8997116</v>
      </c>
      <c r="F30" s="50">
        <v>9183671.4000000004</v>
      </c>
      <c r="G30" s="50">
        <v>9089321.3000000007</v>
      </c>
    </row>
    <row r="31" spans="1:7" x14ac:dyDescent="0.3">
      <c r="A31" s="12" t="s">
        <v>69</v>
      </c>
      <c r="B31" s="50">
        <v>7837461.4000000004</v>
      </c>
      <c r="C31" s="50">
        <v>8376055.29</v>
      </c>
      <c r="D31" s="50">
        <v>8706721.5999999996</v>
      </c>
      <c r="E31" s="50">
        <v>8946829.6899999995</v>
      </c>
      <c r="F31" s="50">
        <v>9412395.9000000004</v>
      </c>
      <c r="G31" s="50">
        <v>9467557.8900000006</v>
      </c>
    </row>
    <row r="32" spans="1:7" x14ac:dyDescent="0.3">
      <c r="A32" s="12" t="s">
        <v>33</v>
      </c>
      <c r="B32" s="50">
        <v>2685763.5</v>
      </c>
      <c r="C32" s="50">
        <v>2778574.2</v>
      </c>
      <c r="D32" s="50">
        <v>2862924.8</v>
      </c>
      <c r="E32" s="50">
        <v>2950793.4</v>
      </c>
      <c r="F32" s="50">
        <v>3005479.3</v>
      </c>
      <c r="G32" s="50">
        <v>3312355.7</v>
      </c>
    </row>
    <row r="33" spans="1:7" x14ac:dyDescent="0.3">
      <c r="A33" s="12" t="s">
        <v>30</v>
      </c>
      <c r="B33" s="50">
        <v>7609493.5899999999</v>
      </c>
      <c r="C33" s="50">
        <v>8028537.79</v>
      </c>
      <c r="D33" s="50">
        <v>8233119.9000000004</v>
      </c>
      <c r="E33" s="50">
        <v>8331010.6900000004</v>
      </c>
      <c r="F33" s="50">
        <v>8370255</v>
      </c>
      <c r="G33" s="50">
        <v>8247748.4000000004</v>
      </c>
    </row>
    <row r="34" spans="1:7" x14ac:dyDescent="0.3">
      <c r="A34" s="12" t="s">
        <v>52</v>
      </c>
      <c r="B34" s="50">
        <v>3963978.49</v>
      </c>
      <c r="C34" s="50">
        <v>4152783.09</v>
      </c>
      <c r="D34" s="50">
        <v>4312631.59</v>
      </c>
      <c r="E34" s="50">
        <v>4362698.59</v>
      </c>
      <c r="F34" s="50">
        <v>4464704.99</v>
      </c>
      <c r="G34" s="50">
        <v>4495287.4000000004</v>
      </c>
    </row>
    <row r="35" spans="1:7" x14ac:dyDescent="0.3">
      <c r="A35" s="12" t="s">
        <v>31</v>
      </c>
      <c r="B35" s="50">
        <v>3676074.29</v>
      </c>
      <c r="C35" s="50">
        <v>3815765.1</v>
      </c>
      <c r="D35" s="50">
        <v>4104688.4</v>
      </c>
      <c r="E35" s="50">
        <v>4281713.49</v>
      </c>
      <c r="F35" s="50">
        <v>4390282.09</v>
      </c>
      <c r="G35" s="50">
        <v>4291671.7</v>
      </c>
    </row>
    <row r="36" spans="1:7" x14ac:dyDescent="0.3">
      <c r="A36" s="12" t="s">
        <v>32</v>
      </c>
      <c r="B36" s="50">
        <v>96999272.200000003</v>
      </c>
      <c r="C36" s="50">
        <v>99137167.900000006</v>
      </c>
      <c r="D36" s="50">
        <v>101383383.59999999</v>
      </c>
      <c r="E36" s="50">
        <v>99276035.590000004</v>
      </c>
      <c r="F36" s="50">
        <v>98629361.989999995</v>
      </c>
      <c r="G36" s="50">
        <v>98287120.900000006</v>
      </c>
    </row>
    <row r="37" spans="1:7" x14ac:dyDescent="0.3">
      <c r="A37" s="12" t="s">
        <v>98</v>
      </c>
      <c r="B37" s="50">
        <v>126964088.7</v>
      </c>
      <c r="C37" s="50">
        <v>135372020.59999999</v>
      </c>
      <c r="D37" s="50">
        <v>143309756.90000001</v>
      </c>
      <c r="E37" s="50">
        <v>146028808.19</v>
      </c>
      <c r="F37" s="50">
        <v>149538640.69</v>
      </c>
      <c r="G37" s="50">
        <v>153693138.59</v>
      </c>
    </row>
    <row r="38" spans="1:7" x14ac:dyDescent="0.3">
      <c r="A38" s="12" t="s">
        <v>26</v>
      </c>
      <c r="B38" s="50">
        <v>2373539.19</v>
      </c>
      <c r="C38" s="50">
        <v>2536652.5</v>
      </c>
      <c r="D38" s="50">
        <v>2673179.4900000002</v>
      </c>
      <c r="E38" s="50">
        <v>2744473.6000000001</v>
      </c>
      <c r="F38" s="50">
        <v>2891807.8</v>
      </c>
      <c r="G38" s="50">
        <v>3048908.5</v>
      </c>
    </row>
    <row r="39" spans="1:7" x14ac:dyDescent="0.3">
      <c r="A39" s="12" t="s">
        <v>27</v>
      </c>
      <c r="B39" s="50">
        <v>1342140.8899999999</v>
      </c>
      <c r="C39" s="50">
        <v>1529607.3</v>
      </c>
      <c r="D39" s="50">
        <v>1672184.4</v>
      </c>
      <c r="E39" s="50">
        <v>1652208.6</v>
      </c>
      <c r="F39" s="50">
        <v>1523592.4</v>
      </c>
      <c r="G39" s="50">
        <v>1530540</v>
      </c>
    </row>
    <row r="40" spans="1:7" x14ac:dyDescent="0.3">
      <c r="A40" s="12" t="s">
        <v>89</v>
      </c>
      <c r="B40" s="50">
        <v>6010860.7000000002</v>
      </c>
      <c r="C40" s="50">
        <v>6201471.2999999998</v>
      </c>
      <c r="D40" s="50">
        <v>6581445.9000000004</v>
      </c>
      <c r="E40" s="50">
        <v>7156033.79</v>
      </c>
      <c r="F40" s="50">
        <v>7398101.2999999998</v>
      </c>
      <c r="G40" s="50">
        <v>8688195.4000000004</v>
      </c>
    </row>
    <row r="41" spans="1:7" x14ac:dyDescent="0.3">
      <c r="A41" s="12" t="s">
        <v>28</v>
      </c>
      <c r="B41" s="50">
        <v>59673149.390000001</v>
      </c>
      <c r="C41" s="50">
        <v>63753055.899999999</v>
      </c>
      <c r="D41" s="50">
        <v>67153321.400000006</v>
      </c>
      <c r="E41" s="50">
        <v>68412532.799999997</v>
      </c>
      <c r="F41" s="50">
        <v>70845518.900000006</v>
      </c>
      <c r="G41" s="50">
        <v>71077932.900000006</v>
      </c>
    </row>
    <row r="42" spans="1:7" x14ac:dyDescent="0.3">
      <c r="A42" s="12" t="s">
        <v>25</v>
      </c>
      <c r="B42" s="50">
        <v>6484899.4000000004</v>
      </c>
      <c r="C42" s="50">
        <v>6753416.9000000004</v>
      </c>
      <c r="D42" s="50">
        <v>7108773.0899999999</v>
      </c>
      <c r="E42" s="50">
        <v>7203863.2999999998</v>
      </c>
      <c r="F42" s="50">
        <v>7147879.7999999998</v>
      </c>
      <c r="G42" s="50">
        <v>7337131.5999999996</v>
      </c>
    </row>
    <row r="43" spans="1:7" x14ac:dyDescent="0.3">
      <c r="A43" s="12" t="s">
        <v>22</v>
      </c>
      <c r="B43" s="50">
        <v>19178690.09</v>
      </c>
      <c r="C43" s="50">
        <v>20902144.199999999</v>
      </c>
      <c r="D43" s="50">
        <v>22172156.899999999</v>
      </c>
      <c r="E43" s="50">
        <v>22001391.899999999</v>
      </c>
      <c r="F43" s="50">
        <v>21851082.100000001</v>
      </c>
      <c r="G43" s="50">
        <v>22531946.899999999</v>
      </c>
    </row>
    <row r="44" spans="1:7" x14ac:dyDescent="0.3">
      <c r="A44" s="12" t="s">
        <v>29</v>
      </c>
      <c r="B44" s="50">
        <v>29732454.199999999</v>
      </c>
      <c r="C44" s="50">
        <v>31503325.289999999</v>
      </c>
      <c r="D44" s="50">
        <v>33534188.800000001</v>
      </c>
      <c r="E44" s="50">
        <v>34089935.590000004</v>
      </c>
      <c r="F44" s="50">
        <v>34965647.189999998</v>
      </c>
      <c r="G44" s="50">
        <v>35796247.689999998</v>
      </c>
    </row>
    <row r="45" spans="1:7" x14ac:dyDescent="0.3">
      <c r="A45" s="12" t="s">
        <v>90</v>
      </c>
      <c r="B45" s="50">
        <v>2168354.79</v>
      </c>
      <c r="C45" s="50">
        <v>2192347.19</v>
      </c>
      <c r="D45" s="50">
        <v>2414506.9</v>
      </c>
      <c r="E45" s="50">
        <v>2768368.6</v>
      </c>
      <c r="F45" s="50">
        <v>2915011.2</v>
      </c>
      <c r="G45" s="50">
        <v>3682235.59</v>
      </c>
    </row>
    <row r="46" spans="1:7" x14ac:dyDescent="0.3">
      <c r="A46" s="12" t="s">
        <v>99</v>
      </c>
      <c r="B46" s="50">
        <v>54525857.200000003</v>
      </c>
      <c r="C46" s="50">
        <v>58465474.700000003</v>
      </c>
      <c r="D46" s="50">
        <v>61687688.799999997</v>
      </c>
      <c r="E46" s="50">
        <v>62181227.100000001</v>
      </c>
      <c r="F46" s="50">
        <v>62473440.590000004</v>
      </c>
      <c r="G46" s="50">
        <v>66371963.5</v>
      </c>
    </row>
    <row r="47" spans="1:7" x14ac:dyDescent="0.3">
      <c r="A47" s="12" t="s">
        <v>63</v>
      </c>
      <c r="B47" s="50">
        <v>15394701</v>
      </c>
      <c r="C47" s="50">
        <v>16499133.9</v>
      </c>
      <c r="D47" s="50">
        <v>17278346.289999999</v>
      </c>
      <c r="E47" s="50">
        <v>17650617.690000001</v>
      </c>
      <c r="F47" s="50">
        <v>17841530.390000001</v>
      </c>
      <c r="G47" s="50">
        <v>19244147.390000001</v>
      </c>
    </row>
    <row r="48" spans="1:7" x14ac:dyDescent="0.3">
      <c r="A48" s="12" t="s">
        <v>81</v>
      </c>
      <c r="B48" s="50">
        <v>1781074.2</v>
      </c>
      <c r="C48" s="50">
        <v>1821164.8</v>
      </c>
      <c r="D48" s="50">
        <v>1777502.2</v>
      </c>
      <c r="E48" s="50">
        <v>1685935.9</v>
      </c>
      <c r="F48" s="50">
        <v>1535691.9</v>
      </c>
      <c r="G48" s="50">
        <v>1679254.3</v>
      </c>
    </row>
    <row r="49" spans="1:7" x14ac:dyDescent="0.3">
      <c r="A49" s="12" t="s">
        <v>91</v>
      </c>
      <c r="B49" s="50">
        <v>5329199.5</v>
      </c>
      <c r="C49" s="50">
        <v>5864716.5</v>
      </c>
      <c r="D49" s="50">
        <v>6296193.4900000002</v>
      </c>
      <c r="E49" s="50">
        <v>6383618.0999999996</v>
      </c>
      <c r="F49" s="50">
        <v>5908960.2000000002</v>
      </c>
      <c r="G49" s="50">
        <v>6473168.9000000004</v>
      </c>
    </row>
    <row r="50" spans="1:7" x14ac:dyDescent="0.3">
      <c r="A50" s="12" t="s">
        <v>92</v>
      </c>
      <c r="B50" s="50">
        <v>2277152.29</v>
      </c>
      <c r="C50" s="50">
        <v>2510047.7000000002</v>
      </c>
      <c r="D50" s="50">
        <v>2730331</v>
      </c>
      <c r="E50" s="50">
        <v>2708700.8</v>
      </c>
      <c r="F50" s="50">
        <v>2661673.4</v>
      </c>
      <c r="G50" s="50">
        <v>2668158.5</v>
      </c>
    </row>
    <row r="51" spans="1:7" x14ac:dyDescent="0.3">
      <c r="A51" s="12" t="s">
        <v>47</v>
      </c>
      <c r="B51" s="50">
        <v>4921877.09</v>
      </c>
      <c r="C51" s="50">
        <v>5423990.9000000004</v>
      </c>
      <c r="D51" s="50">
        <v>5778143.9000000004</v>
      </c>
      <c r="E51" s="50">
        <v>5946429.2000000002</v>
      </c>
      <c r="F51" s="50">
        <v>5788062.4000000004</v>
      </c>
      <c r="G51" s="50">
        <v>6125224.7000000002</v>
      </c>
    </row>
    <row r="52" spans="1:7" x14ac:dyDescent="0.3">
      <c r="A52" s="12" t="s">
        <v>93</v>
      </c>
      <c r="B52" s="50">
        <v>7892950.29</v>
      </c>
      <c r="C52" s="50">
        <v>8411344.5</v>
      </c>
      <c r="D52" s="50">
        <v>8487568.1999999993</v>
      </c>
      <c r="E52" s="50">
        <v>8241540.6900000004</v>
      </c>
      <c r="F52" s="50">
        <v>8403384.4900000002</v>
      </c>
      <c r="G52" s="50">
        <v>9119573.8000000007</v>
      </c>
    </row>
    <row r="53" spans="1:7" x14ac:dyDescent="0.3">
      <c r="A53" s="12" t="s">
        <v>11</v>
      </c>
      <c r="B53" s="50">
        <v>16928902.800000001</v>
      </c>
      <c r="C53" s="50">
        <v>17935076.390000001</v>
      </c>
      <c r="D53" s="50">
        <v>19339603.699999999</v>
      </c>
      <c r="E53" s="50">
        <v>19564384.699999999</v>
      </c>
      <c r="F53" s="50">
        <v>20334137.800000001</v>
      </c>
      <c r="G53" s="50">
        <v>21062435.890000001</v>
      </c>
    </row>
    <row r="54" spans="1:7" x14ac:dyDescent="0.3">
      <c r="A54" s="12" t="s">
        <v>100</v>
      </c>
      <c r="B54" s="50">
        <v>197266309.59</v>
      </c>
      <c r="C54" s="50">
        <v>211369432.59999999</v>
      </c>
      <c r="D54" s="50">
        <v>222967667.88999999</v>
      </c>
      <c r="E54" s="50">
        <v>223636793.19999999</v>
      </c>
      <c r="F54" s="50">
        <v>228024321.59</v>
      </c>
      <c r="G54" s="50">
        <v>231556490.80000001</v>
      </c>
    </row>
    <row r="55" spans="1:7" x14ac:dyDescent="0.3">
      <c r="A55" s="12" t="s">
        <v>83</v>
      </c>
      <c r="B55" s="50">
        <v>27827709.300000001</v>
      </c>
      <c r="C55" s="50">
        <v>30359696.300000001</v>
      </c>
      <c r="D55" s="50">
        <v>33371557.5</v>
      </c>
      <c r="E55" s="50">
        <v>34303986.399999999</v>
      </c>
      <c r="F55" s="50">
        <v>35862581.990000002</v>
      </c>
      <c r="G55" s="50">
        <v>37245208.200000003</v>
      </c>
    </row>
    <row r="56" spans="1:7" x14ac:dyDescent="0.3">
      <c r="A56" s="12" t="s">
        <v>42</v>
      </c>
      <c r="B56" s="50">
        <v>3866448.79</v>
      </c>
      <c r="C56" s="50">
        <v>4245591.9000000004</v>
      </c>
      <c r="D56" s="50">
        <v>4520417.09</v>
      </c>
      <c r="E56" s="50">
        <v>4578060.2</v>
      </c>
      <c r="F56" s="50">
        <v>4609013.79</v>
      </c>
      <c r="G56" s="50">
        <v>4556616.7</v>
      </c>
    </row>
    <row r="57" spans="1:7" x14ac:dyDescent="0.3">
      <c r="A57" s="12" t="s">
        <v>34</v>
      </c>
      <c r="B57" s="50">
        <v>4328865.5</v>
      </c>
      <c r="C57" s="50">
        <v>4649622.3</v>
      </c>
      <c r="D57" s="50">
        <v>4855255.7</v>
      </c>
      <c r="E57" s="50">
        <v>4753419.8</v>
      </c>
      <c r="F57" s="50">
        <v>4700168.4000000004</v>
      </c>
      <c r="G57" s="50">
        <v>4686672.5</v>
      </c>
    </row>
    <row r="58" spans="1:7" x14ac:dyDescent="0.3">
      <c r="A58" s="12" t="s">
        <v>35</v>
      </c>
      <c r="B58" s="50">
        <v>26988392</v>
      </c>
      <c r="C58" s="50">
        <v>28250263.300000001</v>
      </c>
      <c r="D58" s="50">
        <v>29437609.690000001</v>
      </c>
      <c r="E58" s="50">
        <v>28893771.5</v>
      </c>
      <c r="F58" s="50">
        <v>29761449.789999999</v>
      </c>
      <c r="G58" s="50">
        <v>30162815.890000001</v>
      </c>
    </row>
    <row r="59" spans="1:7" x14ac:dyDescent="0.3">
      <c r="A59" s="12" t="s">
        <v>94</v>
      </c>
      <c r="B59" s="50">
        <v>8087517.2000000002</v>
      </c>
      <c r="C59" s="50">
        <v>8409490.3900000006</v>
      </c>
      <c r="D59" s="50">
        <v>8998146.6899999995</v>
      </c>
      <c r="E59" s="50">
        <v>9225832.8000000007</v>
      </c>
      <c r="F59" s="50">
        <v>9591859.2899999991</v>
      </c>
      <c r="G59" s="50">
        <v>9510988.5999999996</v>
      </c>
    </row>
    <row r="60" spans="1:7" x14ac:dyDescent="0.3">
      <c r="A60" s="12" t="s">
        <v>46</v>
      </c>
      <c r="B60" s="50">
        <v>7286455.7999999998</v>
      </c>
      <c r="C60" s="50">
        <v>7939613.29</v>
      </c>
      <c r="D60" s="50">
        <v>8376128.2000000002</v>
      </c>
      <c r="E60" s="50">
        <v>8386143.4900000002</v>
      </c>
      <c r="F60" s="50">
        <v>8623875.9000000004</v>
      </c>
      <c r="G60" s="50">
        <v>8394360.0999999996</v>
      </c>
    </row>
    <row r="61" spans="1:7" x14ac:dyDescent="0.3">
      <c r="A61" s="12" t="s">
        <v>44</v>
      </c>
      <c r="B61" s="50">
        <v>18562271.09</v>
      </c>
      <c r="C61" s="50">
        <v>19219142.5</v>
      </c>
      <c r="D61" s="50">
        <v>19540887.300000001</v>
      </c>
      <c r="E61" s="50">
        <v>19871865.800000001</v>
      </c>
      <c r="F61" s="50">
        <v>20574055.190000001</v>
      </c>
      <c r="G61" s="50">
        <v>20912771.190000001</v>
      </c>
    </row>
    <row r="62" spans="1:7" x14ac:dyDescent="0.3">
      <c r="A62" s="12" t="s">
        <v>36</v>
      </c>
      <c r="B62" s="50">
        <v>7837311.2000000002</v>
      </c>
      <c r="C62" s="50">
        <v>8246442.4000000004</v>
      </c>
      <c r="D62" s="50">
        <v>8698706.5999999996</v>
      </c>
      <c r="E62" s="50">
        <v>8864154.5999999996</v>
      </c>
      <c r="F62" s="50">
        <v>8884248.9000000004</v>
      </c>
      <c r="G62" s="50">
        <v>8882623.8000000007</v>
      </c>
    </row>
    <row r="63" spans="1:7" x14ac:dyDescent="0.3">
      <c r="A63" s="12" t="s">
        <v>54</v>
      </c>
      <c r="B63" s="50">
        <v>23407922.789999999</v>
      </c>
      <c r="C63" s="50">
        <v>24694604.390000001</v>
      </c>
      <c r="D63" s="50">
        <v>25112703.600000001</v>
      </c>
      <c r="E63" s="50">
        <v>25010659.800000001</v>
      </c>
      <c r="F63" s="50">
        <v>25506248.100000001</v>
      </c>
      <c r="G63" s="50">
        <v>26562054.800000001</v>
      </c>
    </row>
    <row r="64" spans="1:7" x14ac:dyDescent="0.3">
      <c r="A64" s="12" t="s">
        <v>23</v>
      </c>
      <c r="B64" s="50">
        <v>12352723.390000001</v>
      </c>
      <c r="C64" s="50">
        <v>14027760.49</v>
      </c>
      <c r="D64" s="50">
        <v>14938958.699999999</v>
      </c>
      <c r="E64" s="50">
        <v>15116801.49</v>
      </c>
      <c r="F64" s="50">
        <v>15170751.9</v>
      </c>
      <c r="G64" s="50">
        <v>15288386.699999999</v>
      </c>
    </row>
    <row r="65" spans="1:7" x14ac:dyDescent="0.3">
      <c r="A65" s="12" t="s">
        <v>49</v>
      </c>
      <c r="B65" s="50">
        <v>8760551.2899999991</v>
      </c>
      <c r="C65" s="50">
        <v>9520523.0999999996</v>
      </c>
      <c r="D65" s="50">
        <v>10110795.49</v>
      </c>
      <c r="E65" s="50">
        <v>10040019.890000001</v>
      </c>
      <c r="F65" s="50">
        <v>10353636.689999999</v>
      </c>
      <c r="G65" s="50">
        <v>10830310.199999999</v>
      </c>
    </row>
    <row r="66" spans="1:7" x14ac:dyDescent="0.3">
      <c r="A66" s="12" t="s">
        <v>24</v>
      </c>
      <c r="B66" s="50">
        <v>24045614.100000001</v>
      </c>
      <c r="C66" s="50">
        <v>25521953.199999999</v>
      </c>
      <c r="D66" s="50">
        <v>27342172.899999999</v>
      </c>
      <c r="E66" s="50">
        <v>27034303.600000001</v>
      </c>
      <c r="F66" s="50">
        <v>26885962</v>
      </c>
      <c r="G66" s="50">
        <v>26845397.199999999</v>
      </c>
    </row>
    <row r="67" spans="1:7" x14ac:dyDescent="0.3">
      <c r="A67" s="12" t="s">
        <v>68</v>
      </c>
      <c r="B67" s="50">
        <v>16094286.300000001</v>
      </c>
      <c r="C67" s="50">
        <v>17853142.600000001</v>
      </c>
      <c r="D67" s="50">
        <v>18850798.190000001</v>
      </c>
      <c r="E67" s="50">
        <v>18823734.600000001</v>
      </c>
      <c r="F67" s="50">
        <v>18719015.100000001</v>
      </c>
      <c r="G67" s="50">
        <v>18802762.390000001</v>
      </c>
    </row>
    <row r="68" spans="1:7" x14ac:dyDescent="0.3">
      <c r="A68" s="12" t="s">
        <v>41</v>
      </c>
      <c r="B68" s="50">
        <v>7820240.7999999998</v>
      </c>
      <c r="C68" s="50">
        <v>8431586.3900000006</v>
      </c>
      <c r="D68" s="50">
        <v>8813530.1899999995</v>
      </c>
      <c r="E68" s="50">
        <v>8734039.1899999995</v>
      </c>
      <c r="F68" s="50">
        <v>8781454.5</v>
      </c>
      <c r="G68" s="50">
        <v>8875522.5</v>
      </c>
    </row>
    <row r="69" spans="1:7" x14ac:dyDescent="0.3">
      <c r="A69" s="12" t="s">
        <v>101</v>
      </c>
      <c r="B69" s="50">
        <v>108003830.90000001</v>
      </c>
      <c r="C69" s="50">
        <v>112024251.48999999</v>
      </c>
      <c r="D69" s="50">
        <v>115372993.90000001</v>
      </c>
      <c r="E69" s="50">
        <v>117408426.69</v>
      </c>
      <c r="F69" s="50">
        <v>121587475.40000001</v>
      </c>
      <c r="G69" s="50">
        <v>126765090.79000001</v>
      </c>
    </row>
    <row r="70" spans="1:7" x14ac:dyDescent="0.3">
      <c r="A70" s="12" t="s">
        <v>55</v>
      </c>
      <c r="B70" s="50">
        <v>4857282.9000000004</v>
      </c>
      <c r="C70" s="50">
        <v>4977840.5</v>
      </c>
      <c r="D70" s="50">
        <v>5099294.5999999996</v>
      </c>
      <c r="E70" s="50">
        <v>5154557.5</v>
      </c>
      <c r="F70" s="50">
        <v>5512624</v>
      </c>
      <c r="G70" s="50">
        <v>5674717.4000000004</v>
      </c>
    </row>
    <row r="71" spans="1:7" x14ac:dyDescent="0.3">
      <c r="A71" s="12" t="s">
        <v>16</v>
      </c>
      <c r="B71" s="50">
        <v>35325618.289999999</v>
      </c>
      <c r="C71" s="50">
        <v>36797118.789999999</v>
      </c>
      <c r="D71" s="50">
        <v>37801840.5</v>
      </c>
      <c r="E71" s="50">
        <v>38846581.990000002</v>
      </c>
      <c r="F71" s="50">
        <v>39649500.5</v>
      </c>
      <c r="G71" s="50">
        <v>41000433.689999998</v>
      </c>
    </row>
    <row r="72" spans="1:7" x14ac:dyDescent="0.3">
      <c r="A72" s="12" t="s">
        <v>19</v>
      </c>
      <c r="B72" s="50">
        <v>45147693.390000001</v>
      </c>
      <c r="C72" s="50">
        <v>46459498.590000004</v>
      </c>
      <c r="D72" s="50">
        <v>48048184.590000004</v>
      </c>
      <c r="E72" s="50">
        <v>48357650.5</v>
      </c>
      <c r="F72" s="50">
        <v>50475005.299999997</v>
      </c>
      <c r="G72" s="50">
        <v>52458228.990000002</v>
      </c>
    </row>
    <row r="73" spans="1:7" x14ac:dyDescent="0.3">
      <c r="A73" s="12" t="s">
        <v>17</v>
      </c>
      <c r="B73" s="50">
        <v>23080072.390000001</v>
      </c>
      <c r="C73" s="50">
        <v>24032039.989999998</v>
      </c>
      <c r="D73" s="50">
        <v>24705921.100000001</v>
      </c>
      <c r="E73" s="50">
        <v>24359617.100000001</v>
      </c>
      <c r="F73" s="50">
        <v>25699265.600000001</v>
      </c>
      <c r="G73" s="50">
        <v>26912807.890000001</v>
      </c>
    </row>
    <row r="74" spans="1:7" x14ac:dyDescent="0.3">
      <c r="A74" s="12" t="s">
        <v>60</v>
      </c>
      <c r="B74" s="50">
        <v>7670163.7999999998</v>
      </c>
      <c r="C74" s="50">
        <v>7695003.5999999996</v>
      </c>
      <c r="D74" s="50">
        <v>7722851.4000000004</v>
      </c>
      <c r="E74" s="50">
        <v>8139095.5999999996</v>
      </c>
      <c r="F74" s="50">
        <v>8175560.7999999998</v>
      </c>
      <c r="G74" s="50">
        <v>8213935.4000000004</v>
      </c>
    </row>
    <row r="75" spans="1:7" x14ac:dyDescent="0.3">
      <c r="A75" s="12" t="s">
        <v>95</v>
      </c>
      <c r="B75" s="50">
        <v>14397457.199999999</v>
      </c>
      <c r="C75" s="50">
        <v>14732455</v>
      </c>
      <c r="D75" s="50">
        <v>15619412.1</v>
      </c>
      <c r="E75" s="50">
        <v>15858937.800000001</v>
      </c>
      <c r="F75" s="50">
        <v>16600178.9</v>
      </c>
      <c r="G75" s="50">
        <v>17331485.699999999</v>
      </c>
    </row>
    <row r="76" spans="1:7" x14ac:dyDescent="0.3">
      <c r="A76" s="12" t="s">
        <v>82</v>
      </c>
      <c r="B76" s="50">
        <v>22673236.289999999</v>
      </c>
      <c r="C76" s="50">
        <v>23789793.600000001</v>
      </c>
      <c r="D76" s="50">
        <v>24423674.199999999</v>
      </c>
      <c r="E76" s="50">
        <v>25049636.699999999</v>
      </c>
      <c r="F76" s="50">
        <v>25950345.600000001</v>
      </c>
      <c r="G76" s="50">
        <v>27631710.699999999</v>
      </c>
    </row>
    <row r="77" spans="1:7" x14ac:dyDescent="0.3">
      <c r="A77" s="12" t="s">
        <v>102</v>
      </c>
      <c r="B77" s="50">
        <v>135622569.59</v>
      </c>
      <c r="C77" s="50"/>
      <c r="D77" s="50"/>
      <c r="E77" s="50"/>
      <c r="F77" s="50"/>
      <c r="G77" s="50"/>
    </row>
    <row r="78" spans="1:7" x14ac:dyDescent="0.3">
      <c r="A78" s="12" t="s">
        <v>102</v>
      </c>
      <c r="B78" s="50"/>
      <c r="C78" s="50">
        <v>127021243.8</v>
      </c>
      <c r="D78" s="50">
        <v>136163138.88999999</v>
      </c>
      <c r="E78" s="50">
        <v>139564668.40000001</v>
      </c>
      <c r="F78" s="50">
        <v>142545598.80000001</v>
      </c>
      <c r="G78" s="50">
        <v>148522229</v>
      </c>
    </row>
    <row r="79" spans="1:7" x14ac:dyDescent="0.3">
      <c r="A79" s="12" t="s">
        <v>58</v>
      </c>
      <c r="B79" s="50">
        <v>873117.8</v>
      </c>
      <c r="C79" s="50">
        <v>994295.8</v>
      </c>
      <c r="D79" s="50">
        <v>1089342.7</v>
      </c>
      <c r="E79" s="50">
        <v>1183976.5</v>
      </c>
      <c r="F79" s="50">
        <v>1256479.2</v>
      </c>
      <c r="G79" s="50">
        <v>1290556.1000000001</v>
      </c>
    </row>
    <row r="80" spans="1:7" x14ac:dyDescent="0.3">
      <c r="A80" s="12" t="s">
        <v>14</v>
      </c>
      <c r="B80" s="50">
        <v>1115391</v>
      </c>
      <c r="C80" s="50">
        <v>1261696.8999999999</v>
      </c>
      <c r="D80" s="50">
        <v>1436151</v>
      </c>
      <c r="E80" s="50">
        <v>1507421.7</v>
      </c>
      <c r="F80" s="50">
        <v>1482753.3</v>
      </c>
      <c r="G80" s="50">
        <v>1486289.8</v>
      </c>
    </row>
    <row r="81" spans="1:7" x14ac:dyDescent="0.3">
      <c r="A81" s="12" t="s">
        <v>77</v>
      </c>
      <c r="B81" s="50">
        <v>3580675.3</v>
      </c>
      <c r="C81" s="50">
        <v>3735786.2</v>
      </c>
      <c r="D81" s="50">
        <v>3897038.7</v>
      </c>
      <c r="E81" s="50">
        <v>4302494.99</v>
      </c>
      <c r="F81" s="50">
        <v>4398056.5</v>
      </c>
      <c r="G81" s="50">
        <v>4826910.9000000004</v>
      </c>
    </row>
    <row r="82" spans="1:7" x14ac:dyDescent="0.3">
      <c r="A82" s="12" t="s">
        <v>12</v>
      </c>
      <c r="B82" s="50">
        <v>14457195.6</v>
      </c>
      <c r="C82" s="50">
        <v>16077231.189999999</v>
      </c>
      <c r="D82" s="50">
        <v>18016514.390000001</v>
      </c>
      <c r="E82" s="50">
        <v>18412814.789999999</v>
      </c>
      <c r="F82" s="50">
        <v>18527392.890000001</v>
      </c>
      <c r="G82" s="50">
        <v>19658583.300000001</v>
      </c>
    </row>
    <row r="83" spans="1:7" x14ac:dyDescent="0.3">
      <c r="A83" s="12" t="s">
        <v>61</v>
      </c>
      <c r="B83" s="50">
        <v>20906543.190000001</v>
      </c>
      <c r="C83" s="50">
        <v>22401399</v>
      </c>
      <c r="D83" s="50">
        <v>24378923.289999999</v>
      </c>
      <c r="E83" s="50">
        <v>24203059.100000001</v>
      </c>
      <c r="F83" s="50">
        <v>24725227.890000001</v>
      </c>
      <c r="G83" s="50">
        <v>25225635.699999999</v>
      </c>
    </row>
    <row r="84" spans="1:7" x14ac:dyDescent="0.3">
      <c r="A84" s="12" t="s">
        <v>72</v>
      </c>
      <c r="B84" s="50">
        <v>16930257.989999998</v>
      </c>
      <c r="C84" s="50">
        <v>17953363.890000001</v>
      </c>
      <c r="D84" s="50">
        <v>18802773.199999999</v>
      </c>
      <c r="E84" s="50">
        <v>18551563.690000001</v>
      </c>
      <c r="F84" s="50">
        <v>18961223.489999998</v>
      </c>
      <c r="G84" s="50">
        <v>20313686.699999999</v>
      </c>
    </row>
    <row r="85" spans="1:7" x14ac:dyDescent="0.3">
      <c r="A85" s="12" t="s">
        <v>76</v>
      </c>
      <c r="B85" s="50">
        <v>17498083.699999999</v>
      </c>
      <c r="C85" s="50">
        <v>18663364.890000001</v>
      </c>
      <c r="D85" s="50">
        <v>20071683</v>
      </c>
      <c r="E85" s="50">
        <v>21875081.489999998</v>
      </c>
      <c r="F85" s="50">
        <v>22720057.690000001</v>
      </c>
      <c r="G85" s="50">
        <v>23726247.800000001</v>
      </c>
    </row>
    <row r="86" spans="1:7" x14ac:dyDescent="0.3">
      <c r="A86" s="12" t="s">
        <v>6</v>
      </c>
      <c r="B86" s="50">
        <v>23841526.699999999</v>
      </c>
      <c r="C86" s="50">
        <v>25247023.800000001</v>
      </c>
      <c r="D86" s="50">
        <v>27212701.399999999</v>
      </c>
      <c r="E86" s="50">
        <v>28381540.489999998</v>
      </c>
      <c r="F86" s="50">
        <v>29140477.5</v>
      </c>
      <c r="G86" s="50">
        <v>28999313.5</v>
      </c>
    </row>
    <row r="87" spans="1:7" x14ac:dyDescent="0.3">
      <c r="A87" s="12" t="s">
        <v>64</v>
      </c>
      <c r="B87" s="50">
        <v>11528801.49</v>
      </c>
      <c r="C87" s="50">
        <v>11860608.49</v>
      </c>
      <c r="D87" s="50">
        <v>12307775.390000001</v>
      </c>
      <c r="E87" s="50">
        <v>12551219.4</v>
      </c>
      <c r="F87" s="50">
        <v>13305460.300000001</v>
      </c>
      <c r="G87" s="50">
        <v>13893546.689999999</v>
      </c>
    </row>
    <row r="88" spans="1:7" x14ac:dyDescent="0.3">
      <c r="A88" s="12" t="s">
        <v>5</v>
      </c>
      <c r="B88" s="50">
        <v>8596211.1899999995</v>
      </c>
      <c r="C88" s="50">
        <v>8826473.5999999996</v>
      </c>
      <c r="D88" s="50">
        <v>8950235.8000000007</v>
      </c>
      <c r="E88" s="50">
        <v>8595496.1899999995</v>
      </c>
      <c r="F88" s="50">
        <v>8028470</v>
      </c>
      <c r="G88" s="50">
        <v>9101458.5</v>
      </c>
    </row>
    <row r="89" spans="1:7" x14ac:dyDescent="0.3">
      <c r="A89" s="12" t="s">
        <v>103</v>
      </c>
      <c r="B89" s="50">
        <v>66593678.299999997</v>
      </c>
      <c r="C89" s="50"/>
      <c r="D89" s="50"/>
      <c r="E89" s="50"/>
      <c r="F89" s="50"/>
      <c r="G89" s="50"/>
    </row>
    <row r="90" spans="1:7" x14ac:dyDescent="0.3">
      <c r="A90" s="12" t="s">
        <v>103</v>
      </c>
      <c r="B90" s="50"/>
      <c r="C90" s="50">
        <v>87041041.489999995</v>
      </c>
      <c r="D90" s="50">
        <v>90986770.099999994</v>
      </c>
      <c r="E90" s="50">
        <v>91702941.989999995</v>
      </c>
      <c r="F90" s="50">
        <v>92230432.099999994</v>
      </c>
      <c r="G90" s="50">
        <v>92447245.090000004</v>
      </c>
    </row>
    <row r="91" spans="1:7" x14ac:dyDescent="0.3">
      <c r="A91" s="12" t="s">
        <v>1</v>
      </c>
      <c r="B91" s="50">
        <v>7522481.2000000002</v>
      </c>
      <c r="C91" s="50">
        <v>7293976.2999999998</v>
      </c>
      <c r="D91" s="50">
        <v>7555479.4000000004</v>
      </c>
      <c r="E91" s="50">
        <v>7851400.79</v>
      </c>
      <c r="F91" s="50">
        <v>7758193.9000000004</v>
      </c>
      <c r="G91" s="50">
        <v>8215426.29</v>
      </c>
    </row>
    <row r="92" spans="1:7" x14ac:dyDescent="0.3">
      <c r="A92" s="12" t="s">
        <v>57</v>
      </c>
      <c r="B92" s="50">
        <v>8772284.4000000004</v>
      </c>
      <c r="C92" s="50">
        <v>8985008</v>
      </c>
      <c r="D92" s="50">
        <v>9648327.6999999993</v>
      </c>
      <c r="E92" s="50">
        <v>9757136.6999999993</v>
      </c>
      <c r="F92" s="50">
        <v>10445569.1</v>
      </c>
      <c r="G92" s="50">
        <v>10788686.800000001</v>
      </c>
    </row>
    <row r="93" spans="1:7" x14ac:dyDescent="0.3">
      <c r="A93" s="12" t="s">
        <v>62</v>
      </c>
      <c r="B93" s="50">
        <v>10347867</v>
      </c>
      <c r="C93" s="50">
        <v>10895356.699999999</v>
      </c>
      <c r="D93" s="50">
        <v>11560038.59</v>
      </c>
      <c r="E93" s="50">
        <v>12155703.9</v>
      </c>
      <c r="F93" s="50">
        <v>12621689.5</v>
      </c>
      <c r="G93" s="50">
        <v>13210339</v>
      </c>
    </row>
    <row r="94" spans="1:7" x14ac:dyDescent="0.3">
      <c r="A94" s="12" t="s">
        <v>9</v>
      </c>
      <c r="B94" s="50">
        <v>5041248.3</v>
      </c>
      <c r="C94" s="50">
        <v>5172518.3</v>
      </c>
      <c r="D94" s="50">
        <v>5243754.4000000004</v>
      </c>
      <c r="E94" s="50">
        <v>5621678.2999999998</v>
      </c>
      <c r="F94" s="50">
        <v>5057994.7</v>
      </c>
      <c r="G94" s="50">
        <v>4739895.3899999997</v>
      </c>
    </row>
    <row r="95" spans="1:7" x14ac:dyDescent="0.3">
      <c r="A95" s="12" t="s">
        <v>10</v>
      </c>
      <c r="B95" s="50">
        <v>18477449.100000001</v>
      </c>
      <c r="C95" s="50">
        <v>18597829.699999999</v>
      </c>
      <c r="D95" s="50">
        <v>19774434.600000001</v>
      </c>
      <c r="E95" s="50">
        <v>19725156.699999999</v>
      </c>
      <c r="F95" s="50">
        <v>19802151.600000001</v>
      </c>
      <c r="G95" s="50">
        <v>19422635.5</v>
      </c>
    </row>
    <row r="96" spans="1:7" x14ac:dyDescent="0.3">
      <c r="A96" s="12" t="s">
        <v>75</v>
      </c>
      <c r="B96" s="50">
        <v>16101525.890000001</v>
      </c>
      <c r="C96" s="50">
        <v>18573215.199999999</v>
      </c>
      <c r="D96" s="50">
        <v>18764438.100000001</v>
      </c>
      <c r="E96" s="50">
        <v>18051128.190000001</v>
      </c>
      <c r="F96" s="50">
        <v>18121488.600000001</v>
      </c>
      <c r="G96" s="50">
        <v>17584239.890000001</v>
      </c>
    </row>
    <row r="97" spans="1:7" x14ac:dyDescent="0.3">
      <c r="A97" s="12" t="s">
        <v>73</v>
      </c>
      <c r="B97" s="50">
        <v>6630360.4000000004</v>
      </c>
      <c r="C97" s="50">
        <v>7204036.6900000004</v>
      </c>
      <c r="D97" s="50">
        <v>7907674.7999999998</v>
      </c>
      <c r="E97" s="50">
        <v>8173674.4000000004</v>
      </c>
      <c r="F97" s="50">
        <v>8476773.6899999995</v>
      </c>
      <c r="G97" s="50">
        <v>8481204.8000000007</v>
      </c>
    </row>
    <row r="98" spans="1:7" x14ac:dyDescent="0.3">
      <c r="A98" s="12" t="s">
        <v>8</v>
      </c>
      <c r="B98" s="50">
        <v>2175286.5</v>
      </c>
      <c r="C98" s="50">
        <v>2269424.29</v>
      </c>
      <c r="D98" s="50">
        <v>2253777.09</v>
      </c>
      <c r="E98" s="50">
        <v>2194685</v>
      </c>
      <c r="F98" s="50">
        <v>2191581.7000000002</v>
      </c>
      <c r="G98" s="50">
        <v>2077645.2</v>
      </c>
    </row>
    <row r="99" spans="1:7" x14ac:dyDescent="0.3">
      <c r="A99" s="12" t="s">
        <v>3</v>
      </c>
      <c r="B99" s="50">
        <v>6206627.9000000004</v>
      </c>
      <c r="C99" s="50">
        <v>6340177.4000000004</v>
      </c>
      <c r="D99" s="50">
        <v>6499007.5999999996</v>
      </c>
      <c r="E99" s="50">
        <v>6397673.7999999998</v>
      </c>
      <c r="F99" s="50">
        <v>5989783.5</v>
      </c>
      <c r="G99" s="50">
        <v>6116748.7999999998</v>
      </c>
    </row>
    <row r="100" spans="1:7" x14ac:dyDescent="0.3">
      <c r="A100" s="12" t="s">
        <v>74</v>
      </c>
      <c r="B100" s="50">
        <v>958400.9</v>
      </c>
      <c r="C100" s="50">
        <v>1020488.9</v>
      </c>
      <c r="D100" s="50">
        <v>1054796.5</v>
      </c>
      <c r="E100" s="50">
        <v>1047527.49</v>
      </c>
      <c r="F100" s="50">
        <v>1063464.29</v>
      </c>
      <c r="G100" s="50">
        <v>1086024.19</v>
      </c>
    </row>
    <row r="101" spans="1:7" x14ac:dyDescent="0.3">
      <c r="A101" s="12" t="s">
        <v>18</v>
      </c>
      <c r="B101" s="50">
        <v>654912.30000000005</v>
      </c>
      <c r="C101" s="50">
        <v>689010</v>
      </c>
      <c r="D101" s="50">
        <v>725041.3</v>
      </c>
      <c r="E101" s="50">
        <v>727176.7</v>
      </c>
      <c r="F101" s="50">
        <v>701741.5</v>
      </c>
      <c r="G101" s="50">
        <v>724399.2</v>
      </c>
    </row>
  </sheetData>
  <autoFilter ref="A3:G98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09521-7946-470E-AB51-EE9B6BBCE68C}">
  <sheetPr codeName="Лист28">
    <tabColor theme="4" tint="0.79998168889431442"/>
    <pageSetUpPr fitToPage="1"/>
  </sheetPr>
  <dimension ref="A1:Z92"/>
  <sheetViews>
    <sheetView showGridLines="0" workbookViewId="0"/>
  </sheetViews>
  <sheetFormatPr defaultRowHeight="16.5" x14ac:dyDescent="0.3"/>
  <cols>
    <col min="1" max="1" width="108.5703125" style="9" customWidth="1"/>
    <col min="2" max="2" width="13.140625" style="4" bestFit="1" customWidth="1"/>
    <col min="3" max="7" width="9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47" t="s">
        <v>180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3" spans="1:26" x14ac:dyDescent="0.3">
      <c r="A3" s="48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6" x14ac:dyDescent="0.3">
      <c r="A4" s="12" t="s">
        <v>13</v>
      </c>
      <c r="B4" s="46">
        <v>0.32529999999999998</v>
      </c>
      <c r="C4" s="46">
        <v>0.32529999999999998</v>
      </c>
      <c r="D4" s="46">
        <v>0.32529999999999998</v>
      </c>
      <c r="E4" s="46">
        <v>0.32529999999999998</v>
      </c>
      <c r="F4" s="46">
        <v>0.32529999999999998</v>
      </c>
      <c r="G4" s="46">
        <v>0.32529999999999998</v>
      </c>
    </row>
    <row r="5" spans="1:26" x14ac:dyDescent="0.3">
      <c r="A5" s="12" t="s">
        <v>21</v>
      </c>
      <c r="B5" s="46">
        <v>0.28670000000000001</v>
      </c>
      <c r="C5" s="46">
        <v>0.28670000000000001</v>
      </c>
      <c r="D5" s="46">
        <v>0.28670000000000001</v>
      </c>
      <c r="E5" s="46">
        <v>0.28670000000000001</v>
      </c>
      <c r="F5" s="46">
        <v>0.28670000000000001</v>
      </c>
      <c r="G5" s="46">
        <v>0.28670000000000001</v>
      </c>
    </row>
    <row r="6" spans="1:26" x14ac:dyDescent="0.3">
      <c r="A6" s="12" t="s">
        <v>28</v>
      </c>
      <c r="B6" s="46">
        <v>0.33</v>
      </c>
      <c r="C6" s="46">
        <v>0.33</v>
      </c>
      <c r="D6" s="46">
        <v>0.33</v>
      </c>
      <c r="E6" s="46">
        <v>0.33</v>
      </c>
      <c r="F6" s="46">
        <v>0.33</v>
      </c>
      <c r="G6" s="46">
        <v>0.33</v>
      </c>
    </row>
    <row r="7" spans="1:26" x14ac:dyDescent="0.3">
      <c r="A7" s="12" t="s">
        <v>32</v>
      </c>
      <c r="B7" s="46">
        <v>0.3256</v>
      </c>
      <c r="C7" s="46">
        <v>0.3256</v>
      </c>
      <c r="D7" s="46">
        <v>0.3256</v>
      </c>
      <c r="E7" s="46">
        <v>0.3256</v>
      </c>
      <c r="F7" s="46">
        <v>0.3256</v>
      </c>
      <c r="G7" s="46">
        <v>0.3256</v>
      </c>
    </row>
    <row r="8" spans="1:26" x14ac:dyDescent="0.3">
      <c r="A8" s="12" t="s">
        <v>29</v>
      </c>
      <c r="B8" s="46">
        <v>0.1439</v>
      </c>
      <c r="C8" s="46">
        <v>0.1439</v>
      </c>
      <c r="D8" s="46">
        <v>0.1439</v>
      </c>
      <c r="E8" s="46">
        <v>0.1439</v>
      </c>
      <c r="F8" s="46">
        <v>0.1439</v>
      </c>
      <c r="G8" s="46">
        <v>0.1439</v>
      </c>
    </row>
    <row r="9" spans="1:26" x14ac:dyDescent="0.3">
      <c r="A9" s="12" t="s">
        <v>35</v>
      </c>
      <c r="B9" s="46">
        <v>0.15790000000000001</v>
      </c>
      <c r="C9" s="46">
        <v>0.15790000000000001</v>
      </c>
      <c r="D9" s="46">
        <v>0.15790000000000001</v>
      </c>
      <c r="E9" s="46">
        <v>0.15790000000000001</v>
      </c>
      <c r="F9" s="46">
        <v>0.15790000000000001</v>
      </c>
      <c r="G9" s="46">
        <v>0.15790000000000001</v>
      </c>
    </row>
    <row r="10" spans="1:26" x14ac:dyDescent="0.3">
      <c r="A10" s="12" t="s">
        <v>16</v>
      </c>
      <c r="B10" s="46">
        <v>0.114</v>
      </c>
      <c r="C10" s="46">
        <v>0.114</v>
      </c>
      <c r="D10" s="46">
        <v>0.114</v>
      </c>
      <c r="E10" s="46">
        <v>0.114</v>
      </c>
      <c r="F10" s="46">
        <v>0.114</v>
      </c>
      <c r="G10" s="46">
        <v>0.114</v>
      </c>
    </row>
    <row r="11" spans="1:26" x14ac:dyDescent="0.3">
      <c r="A11" s="12" t="s">
        <v>63</v>
      </c>
      <c r="B11" s="46">
        <v>0.18379999999999999</v>
      </c>
      <c r="C11" s="46">
        <v>0.18379999999999999</v>
      </c>
      <c r="D11" s="46">
        <v>0.18379999999999999</v>
      </c>
      <c r="E11" s="46">
        <v>0.18379999999999999</v>
      </c>
      <c r="F11" s="46">
        <v>0.18379999999999999</v>
      </c>
      <c r="G11" s="46">
        <v>0.18379999999999999</v>
      </c>
    </row>
    <row r="12" spans="1:26" x14ac:dyDescent="0.3">
      <c r="A12" s="12" t="s">
        <v>6</v>
      </c>
      <c r="B12" s="46">
        <v>0.1608</v>
      </c>
      <c r="C12" s="46">
        <v>0.1608</v>
      </c>
      <c r="D12" s="46">
        <v>0.1608</v>
      </c>
      <c r="E12" s="46">
        <v>0.1608</v>
      </c>
      <c r="F12" s="46">
        <v>0.1608</v>
      </c>
      <c r="G12" s="46">
        <v>0.1608</v>
      </c>
    </row>
    <row r="13" spans="1:26" x14ac:dyDescent="0.3">
      <c r="A13" s="12" t="s">
        <v>11</v>
      </c>
      <c r="B13" s="46">
        <v>0.1444</v>
      </c>
      <c r="C13" s="46">
        <v>0.1444</v>
      </c>
      <c r="D13" s="46">
        <v>0.1444</v>
      </c>
      <c r="E13" s="46">
        <v>0.1444</v>
      </c>
      <c r="F13" s="46">
        <v>0.1444</v>
      </c>
      <c r="G13" s="46">
        <v>0.1444</v>
      </c>
    </row>
    <row r="14" spans="1:26" x14ac:dyDescent="0.3">
      <c r="A14" s="12" t="s">
        <v>24</v>
      </c>
      <c r="B14" s="46">
        <v>0.1232</v>
      </c>
      <c r="C14" s="46">
        <v>0.1232</v>
      </c>
      <c r="D14" s="46">
        <v>0.1232</v>
      </c>
      <c r="E14" s="46">
        <v>0.1232</v>
      </c>
      <c r="F14" s="46">
        <v>0.1232</v>
      </c>
      <c r="G14" s="46">
        <v>0.1232</v>
      </c>
    </row>
    <row r="15" spans="1:26" x14ac:dyDescent="0.3">
      <c r="A15" s="12" t="s">
        <v>83</v>
      </c>
      <c r="B15" s="46">
        <v>9.2999999999999999E-2</v>
      </c>
      <c r="C15" s="46">
        <v>9.2999999999999999E-2</v>
      </c>
      <c r="D15" s="46">
        <v>9.2999999999999999E-2</v>
      </c>
      <c r="E15" s="46">
        <v>9.2999999999999999E-2</v>
      </c>
      <c r="F15" s="46">
        <v>9.2999999999999999E-2</v>
      </c>
      <c r="G15" s="46">
        <v>9.2999999999999999E-2</v>
      </c>
    </row>
    <row r="16" spans="1:26" x14ac:dyDescent="0.3">
      <c r="A16" s="12" t="s">
        <v>10</v>
      </c>
      <c r="B16" s="46">
        <v>0.17549999999999999</v>
      </c>
      <c r="C16" s="46">
        <v>0.17549999999999999</v>
      </c>
      <c r="D16" s="46">
        <v>0.17549999999999999</v>
      </c>
      <c r="E16" s="46">
        <v>0.17549999999999999</v>
      </c>
      <c r="F16" s="46">
        <v>0.17549999999999999</v>
      </c>
      <c r="G16" s="46">
        <v>0.17549999999999999</v>
      </c>
    </row>
    <row r="17" spans="1:7" x14ac:dyDescent="0.3">
      <c r="A17" s="12" t="s">
        <v>61</v>
      </c>
      <c r="B17" s="46">
        <v>0.1168</v>
      </c>
      <c r="C17" s="46">
        <v>0.1168</v>
      </c>
      <c r="D17" s="46">
        <v>0.1168</v>
      </c>
      <c r="E17" s="46">
        <v>0.1168</v>
      </c>
      <c r="F17" s="46">
        <v>0.1168</v>
      </c>
      <c r="G17" s="46">
        <v>0.1168</v>
      </c>
    </row>
    <row r="18" spans="1:7" x14ac:dyDescent="0.3">
      <c r="A18" s="12" t="s">
        <v>82</v>
      </c>
      <c r="B18" s="46">
        <v>8.8300000000000003E-2</v>
      </c>
      <c r="C18" s="46">
        <v>8.8300000000000003E-2</v>
      </c>
      <c r="D18" s="46">
        <v>8.8300000000000003E-2</v>
      </c>
      <c r="E18" s="46">
        <v>8.8300000000000003E-2</v>
      </c>
      <c r="F18" s="46">
        <v>8.8300000000000003E-2</v>
      </c>
      <c r="G18" s="46">
        <v>8.8300000000000003E-2</v>
      </c>
    </row>
    <row r="19" spans="1:7" x14ac:dyDescent="0.3">
      <c r="A19" s="12" t="s">
        <v>72</v>
      </c>
      <c r="B19" s="46">
        <v>0.12540000000000001</v>
      </c>
      <c r="C19" s="46">
        <v>0.12540000000000001</v>
      </c>
      <c r="D19" s="46">
        <v>0.12540000000000001</v>
      </c>
      <c r="E19" s="46">
        <v>0.12540000000000001</v>
      </c>
      <c r="F19" s="46">
        <v>0.12540000000000001</v>
      </c>
      <c r="G19" s="46">
        <v>0.12540000000000001</v>
      </c>
    </row>
    <row r="20" spans="1:7" x14ac:dyDescent="0.3">
      <c r="A20" s="12" t="s">
        <v>54</v>
      </c>
      <c r="B20" s="46">
        <v>8.6099999999999996E-2</v>
      </c>
      <c r="C20" s="46">
        <v>8.6099999999999996E-2</v>
      </c>
      <c r="D20" s="46">
        <v>8.6099999999999996E-2</v>
      </c>
      <c r="E20" s="46">
        <v>8.6099999999999996E-2</v>
      </c>
      <c r="F20" s="46">
        <v>8.6099999999999996E-2</v>
      </c>
      <c r="G20" s="46">
        <v>8.6099999999999996E-2</v>
      </c>
    </row>
    <row r="21" spans="1:7" x14ac:dyDescent="0.3">
      <c r="A21" s="12" t="s">
        <v>69</v>
      </c>
      <c r="B21" s="46">
        <v>0.29780000000000001</v>
      </c>
      <c r="C21" s="46">
        <v>0.29780000000000001</v>
      </c>
      <c r="D21" s="46">
        <v>0.29780000000000001</v>
      </c>
      <c r="E21" s="46">
        <v>0.29780000000000001</v>
      </c>
      <c r="F21" s="46">
        <v>0.29780000000000001</v>
      </c>
      <c r="G21" s="46">
        <v>0.29780000000000001</v>
      </c>
    </row>
    <row r="22" spans="1:7" x14ac:dyDescent="0.3">
      <c r="A22" s="12" t="s">
        <v>89</v>
      </c>
      <c r="B22" s="46">
        <v>0.13869999999999999</v>
      </c>
      <c r="C22" s="46">
        <v>0.13869999999999999</v>
      </c>
      <c r="D22" s="46">
        <v>0.13869999999999999</v>
      </c>
      <c r="E22" s="46">
        <v>0.13869999999999999</v>
      </c>
      <c r="F22" s="46">
        <v>0.13869999999999999</v>
      </c>
      <c r="G22" s="46">
        <v>0.13869999999999999</v>
      </c>
    </row>
    <row r="23" spans="1:7" x14ac:dyDescent="0.3">
      <c r="A23" s="12" t="s">
        <v>33</v>
      </c>
      <c r="B23" s="46">
        <v>0.1258</v>
      </c>
      <c r="C23" s="46">
        <v>0.1258</v>
      </c>
      <c r="D23" s="46">
        <v>0.1258</v>
      </c>
      <c r="E23" s="46">
        <v>0.1258</v>
      </c>
      <c r="F23" s="46">
        <v>0.1258</v>
      </c>
      <c r="G23" s="46">
        <v>0.1258</v>
      </c>
    </row>
    <row r="24" spans="1:7" x14ac:dyDescent="0.3">
      <c r="A24" s="12" t="s">
        <v>22</v>
      </c>
      <c r="B24" s="46">
        <v>8.5400000000000004E-2</v>
      </c>
      <c r="C24" s="46">
        <v>8.5400000000000004E-2</v>
      </c>
      <c r="D24" s="46">
        <v>8.5400000000000004E-2</v>
      </c>
      <c r="E24" s="46">
        <v>8.5400000000000004E-2</v>
      </c>
      <c r="F24" s="46">
        <v>8.5400000000000004E-2</v>
      </c>
      <c r="G24" s="46">
        <v>8.5400000000000004E-2</v>
      </c>
    </row>
    <row r="25" spans="1:7" x14ac:dyDescent="0.3">
      <c r="A25" s="12" t="s">
        <v>76</v>
      </c>
      <c r="B25" s="46">
        <v>7.8100000000000003E-2</v>
      </c>
      <c r="C25" s="46">
        <v>7.8100000000000003E-2</v>
      </c>
      <c r="D25" s="46">
        <v>7.8100000000000003E-2</v>
      </c>
      <c r="E25" s="46">
        <v>7.8100000000000003E-2</v>
      </c>
      <c r="F25" s="46">
        <v>7.8100000000000003E-2</v>
      </c>
      <c r="G25" s="46">
        <v>7.8100000000000003E-2</v>
      </c>
    </row>
    <row r="26" spans="1:7" x14ac:dyDescent="0.3">
      <c r="A26" s="12" t="s">
        <v>4</v>
      </c>
      <c r="B26" s="46">
        <v>9.35E-2</v>
      </c>
      <c r="C26" s="46">
        <v>9.35E-2</v>
      </c>
      <c r="D26" s="46">
        <v>9.35E-2</v>
      </c>
      <c r="E26" s="46">
        <v>9.35E-2</v>
      </c>
      <c r="F26" s="46">
        <v>9.35E-2</v>
      </c>
      <c r="G26" s="46">
        <v>9.35E-2</v>
      </c>
    </row>
    <row r="27" spans="1:7" x14ac:dyDescent="0.3">
      <c r="A27" s="12" t="s">
        <v>75</v>
      </c>
      <c r="B27" s="46">
        <v>0.15029999999999999</v>
      </c>
      <c r="C27" s="46">
        <v>0.15029999999999999</v>
      </c>
      <c r="D27" s="46">
        <v>0.15029999999999999</v>
      </c>
      <c r="E27" s="46">
        <v>0.15029999999999999</v>
      </c>
      <c r="F27" s="46">
        <v>0.15029999999999999</v>
      </c>
      <c r="G27" s="46">
        <v>0.15029999999999999</v>
      </c>
    </row>
    <row r="28" spans="1:7" x14ac:dyDescent="0.3">
      <c r="A28" s="12" t="s">
        <v>12</v>
      </c>
      <c r="B28" s="46">
        <v>8.0399999999999999E-2</v>
      </c>
      <c r="C28" s="46">
        <v>8.0399999999999999E-2</v>
      </c>
      <c r="D28" s="46">
        <v>8.0399999999999999E-2</v>
      </c>
      <c r="E28" s="46">
        <v>8.0399999999999999E-2</v>
      </c>
      <c r="F28" s="46">
        <v>8.0399999999999999E-2</v>
      </c>
      <c r="G28" s="46">
        <v>8.0399999999999999E-2</v>
      </c>
    </row>
    <row r="29" spans="1:7" x14ac:dyDescent="0.3">
      <c r="A29" s="12" t="s">
        <v>19</v>
      </c>
      <c r="B29" s="46">
        <v>0.15690000000000001</v>
      </c>
      <c r="C29" s="46">
        <v>0.15690000000000001</v>
      </c>
      <c r="D29" s="46">
        <v>0.15690000000000001</v>
      </c>
      <c r="E29" s="46">
        <v>0.15690000000000001</v>
      </c>
      <c r="F29" s="46">
        <v>0.15690000000000001</v>
      </c>
      <c r="G29" s="46">
        <v>0.15690000000000001</v>
      </c>
    </row>
    <row r="30" spans="1:7" x14ac:dyDescent="0.3">
      <c r="A30" s="12" t="s">
        <v>68</v>
      </c>
      <c r="B30" s="46">
        <v>7.4999999999999997E-2</v>
      </c>
      <c r="C30" s="46">
        <v>7.4999999999999997E-2</v>
      </c>
      <c r="D30" s="46">
        <v>7.4999999999999997E-2</v>
      </c>
      <c r="E30" s="46">
        <v>7.4999999999999997E-2</v>
      </c>
      <c r="F30" s="46">
        <v>7.4999999999999997E-2</v>
      </c>
      <c r="G30" s="46">
        <v>7.4999999999999997E-2</v>
      </c>
    </row>
    <row r="31" spans="1:7" x14ac:dyDescent="0.3">
      <c r="A31" s="12" t="s">
        <v>44</v>
      </c>
      <c r="B31" s="46">
        <v>6.9500000000000006E-2</v>
      </c>
      <c r="C31" s="46">
        <v>6.9500000000000006E-2</v>
      </c>
      <c r="D31" s="46">
        <v>6.9500000000000006E-2</v>
      </c>
      <c r="E31" s="46">
        <v>6.9500000000000006E-2</v>
      </c>
      <c r="F31" s="46">
        <v>6.9500000000000006E-2</v>
      </c>
      <c r="G31" s="46">
        <v>6.9500000000000006E-2</v>
      </c>
    </row>
    <row r="32" spans="1:7" x14ac:dyDescent="0.3">
      <c r="A32" s="12" t="s">
        <v>23</v>
      </c>
      <c r="B32" s="46">
        <v>7.7200000000000005E-2</v>
      </c>
      <c r="C32" s="46">
        <v>7.7200000000000005E-2</v>
      </c>
      <c r="D32" s="46">
        <v>7.7200000000000005E-2</v>
      </c>
      <c r="E32" s="46">
        <v>7.7200000000000005E-2</v>
      </c>
      <c r="F32" s="46">
        <v>7.7200000000000005E-2</v>
      </c>
      <c r="G32" s="46">
        <v>7.7200000000000005E-2</v>
      </c>
    </row>
    <row r="33" spans="1:7" x14ac:dyDescent="0.3">
      <c r="A33" s="12" t="s">
        <v>2</v>
      </c>
      <c r="B33" s="46">
        <v>0.34749999999999998</v>
      </c>
      <c r="C33" s="46">
        <v>0.34749999999999998</v>
      </c>
      <c r="D33" s="46">
        <v>0.34749999999999998</v>
      </c>
      <c r="E33" s="46">
        <v>0.34749999999999998</v>
      </c>
      <c r="F33" s="46">
        <v>0.34749999999999998</v>
      </c>
      <c r="G33" s="46">
        <v>0.34749999999999998</v>
      </c>
    </row>
    <row r="34" spans="1:7" x14ac:dyDescent="0.3">
      <c r="A34" s="12" t="s">
        <v>64</v>
      </c>
      <c r="B34" s="46">
        <v>7.3400000000000007E-2</v>
      </c>
      <c r="C34" s="46">
        <v>7.3400000000000007E-2</v>
      </c>
      <c r="D34" s="46">
        <v>7.3400000000000007E-2</v>
      </c>
      <c r="E34" s="46">
        <v>7.3400000000000007E-2</v>
      </c>
      <c r="F34" s="46">
        <v>7.3400000000000007E-2</v>
      </c>
      <c r="G34" s="46">
        <v>7.3400000000000007E-2</v>
      </c>
    </row>
    <row r="35" spans="1:7" x14ac:dyDescent="0.3">
      <c r="A35" s="12" t="s">
        <v>17</v>
      </c>
      <c r="B35" s="46">
        <v>9.7699999999999995E-2</v>
      </c>
      <c r="C35" s="46">
        <v>9.7699999999999995E-2</v>
      </c>
      <c r="D35" s="46">
        <v>9.7699999999999995E-2</v>
      </c>
      <c r="E35" s="46">
        <v>9.7699999999999995E-2</v>
      </c>
      <c r="F35" s="46">
        <v>9.7699999999999995E-2</v>
      </c>
      <c r="G35" s="46">
        <v>9.7699999999999995E-2</v>
      </c>
    </row>
    <row r="36" spans="1:7" x14ac:dyDescent="0.3">
      <c r="A36" s="12" t="s">
        <v>93</v>
      </c>
      <c r="B36" s="46">
        <v>0.1137</v>
      </c>
      <c r="C36" s="46">
        <v>0.1137</v>
      </c>
      <c r="D36" s="46">
        <v>0.1137</v>
      </c>
      <c r="E36" s="46">
        <v>0.1137</v>
      </c>
      <c r="F36" s="46">
        <v>0.1137</v>
      </c>
      <c r="G36" s="46">
        <v>0.1137</v>
      </c>
    </row>
    <row r="37" spans="1:7" x14ac:dyDescent="0.3">
      <c r="A37" s="12" t="s">
        <v>47</v>
      </c>
      <c r="B37" s="46">
        <v>0.1893</v>
      </c>
      <c r="C37" s="46">
        <v>0.1893</v>
      </c>
      <c r="D37" s="46">
        <v>0.1893</v>
      </c>
      <c r="E37" s="46">
        <v>0.1893</v>
      </c>
      <c r="F37" s="46">
        <v>0.1893</v>
      </c>
      <c r="G37" s="46">
        <v>0.1893</v>
      </c>
    </row>
    <row r="38" spans="1:7" x14ac:dyDescent="0.3">
      <c r="A38" s="12" t="s">
        <v>175</v>
      </c>
      <c r="B38" s="46">
        <v>2.7E-2</v>
      </c>
      <c r="C38" s="46">
        <v>2.7E-2</v>
      </c>
      <c r="D38" s="46">
        <v>2.7E-2</v>
      </c>
      <c r="E38" s="46">
        <v>2.7E-2</v>
      </c>
      <c r="F38" s="46">
        <v>2.7E-2</v>
      </c>
      <c r="G38" s="46">
        <v>2.7E-2</v>
      </c>
    </row>
    <row r="39" spans="1:7" x14ac:dyDescent="0.3">
      <c r="A39" s="12" t="s">
        <v>176</v>
      </c>
      <c r="B39" s="46">
        <v>7.1199999999999999E-2</v>
      </c>
      <c r="C39" s="46">
        <v>7.1199999999999999E-2</v>
      </c>
      <c r="D39" s="46">
        <v>7.1199999999999999E-2</v>
      </c>
      <c r="E39" s="46">
        <v>7.1199999999999999E-2</v>
      </c>
      <c r="F39" s="46">
        <v>7.1199999999999999E-2</v>
      </c>
      <c r="G39" s="46">
        <v>7.1199999999999999E-2</v>
      </c>
    </row>
    <row r="40" spans="1:7" x14ac:dyDescent="0.3">
      <c r="A40" s="12" t="s">
        <v>78</v>
      </c>
      <c r="B40" s="46">
        <v>9.0700000000000003E-2</v>
      </c>
      <c r="C40" s="46">
        <v>9.0700000000000003E-2</v>
      </c>
      <c r="D40" s="46">
        <v>9.0700000000000003E-2</v>
      </c>
      <c r="E40" s="46">
        <v>9.0700000000000003E-2</v>
      </c>
      <c r="F40" s="46">
        <v>9.0700000000000003E-2</v>
      </c>
      <c r="G40" s="46">
        <v>9.0700000000000003E-2</v>
      </c>
    </row>
    <row r="41" spans="1:7" x14ac:dyDescent="0.3">
      <c r="A41" s="12" t="s">
        <v>5</v>
      </c>
      <c r="B41" s="46">
        <v>0.1137</v>
      </c>
      <c r="C41" s="46">
        <v>0.1137</v>
      </c>
      <c r="D41" s="46">
        <v>0.1137</v>
      </c>
      <c r="E41" s="46">
        <v>0.1137</v>
      </c>
      <c r="F41" s="46">
        <v>0.1137</v>
      </c>
      <c r="G41" s="46">
        <v>0.1137</v>
      </c>
    </row>
    <row r="42" spans="1:7" x14ac:dyDescent="0.3">
      <c r="A42" s="12" t="s">
        <v>91</v>
      </c>
      <c r="B42" s="46">
        <v>0.12809999999999999</v>
      </c>
      <c r="C42" s="46">
        <v>0.12809999999999999</v>
      </c>
      <c r="D42" s="46">
        <v>0.12809999999999999</v>
      </c>
      <c r="E42" s="46">
        <v>0.12809999999999999</v>
      </c>
      <c r="F42" s="46">
        <v>0.12809999999999999</v>
      </c>
      <c r="G42" s="46">
        <v>0.12809999999999999</v>
      </c>
    </row>
    <row r="43" spans="1:7" x14ac:dyDescent="0.3">
      <c r="A43" s="12" t="s">
        <v>20</v>
      </c>
      <c r="B43" s="46">
        <v>8.0600000000000005E-2</v>
      </c>
      <c r="C43" s="46">
        <v>8.0600000000000005E-2</v>
      </c>
      <c r="D43" s="46">
        <v>8.0600000000000005E-2</v>
      </c>
      <c r="E43" s="46">
        <v>8.0600000000000005E-2</v>
      </c>
      <c r="F43" s="46">
        <v>8.0600000000000005E-2</v>
      </c>
      <c r="G43" s="46">
        <v>8.0600000000000005E-2</v>
      </c>
    </row>
    <row r="44" spans="1:7" x14ac:dyDescent="0.3">
      <c r="A44" s="12" t="s">
        <v>39</v>
      </c>
      <c r="B44" s="46">
        <v>6.9500000000000006E-2</v>
      </c>
      <c r="C44" s="46">
        <v>6.9500000000000006E-2</v>
      </c>
      <c r="D44" s="46">
        <v>6.9500000000000006E-2</v>
      </c>
      <c r="E44" s="46">
        <v>6.9500000000000006E-2</v>
      </c>
      <c r="F44" s="46">
        <v>6.9500000000000006E-2</v>
      </c>
      <c r="G44" s="46">
        <v>6.9500000000000006E-2</v>
      </c>
    </row>
    <row r="45" spans="1:7" x14ac:dyDescent="0.3">
      <c r="A45" s="12" t="s">
        <v>50</v>
      </c>
      <c r="B45" s="46">
        <v>7.1499999999999994E-2</v>
      </c>
      <c r="C45" s="46">
        <v>7.1499999999999994E-2</v>
      </c>
      <c r="D45" s="46">
        <v>7.1499999999999994E-2</v>
      </c>
      <c r="E45" s="46">
        <v>7.1499999999999994E-2</v>
      </c>
      <c r="F45" s="46">
        <v>7.1499999999999994E-2</v>
      </c>
      <c r="G45" s="46">
        <v>7.1499999999999994E-2</v>
      </c>
    </row>
    <row r="46" spans="1:7" x14ac:dyDescent="0.3">
      <c r="A46" s="12" t="s">
        <v>49</v>
      </c>
      <c r="B46" s="46">
        <v>7.3200000000000001E-2</v>
      </c>
      <c r="C46" s="46">
        <v>7.3200000000000001E-2</v>
      </c>
      <c r="D46" s="46">
        <v>7.3200000000000001E-2</v>
      </c>
      <c r="E46" s="46">
        <v>7.3200000000000001E-2</v>
      </c>
      <c r="F46" s="46">
        <v>7.3200000000000001E-2</v>
      </c>
      <c r="G46" s="46">
        <v>7.3200000000000001E-2</v>
      </c>
    </row>
    <row r="47" spans="1:7" x14ac:dyDescent="0.3">
      <c r="A47" s="12" t="s">
        <v>46</v>
      </c>
      <c r="B47" s="46">
        <v>7.4300000000000005E-2</v>
      </c>
      <c r="C47" s="46">
        <v>7.4300000000000005E-2</v>
      </c>
      <c r="D47" s="46">
        <v>7.4300000000000005E-2</v>
      </c>
      <c r="E47" s="46">
        <v>7.4300000000000005E-2</v>
      </c>
      <c r="F47" s="46">
        <v>7.4300000000000005E-2</v>
      </c>
      <c r="G47" s="46">
        <v>7.4300000000000005E-2</v>
      </c>
    </row>
    <row r="48" spans="1:7" x14ac:dyDescent="0.3">
      <c r="A48" s="12" t="s">
        <v>62</v>
      </c>
      <c r="B48" s="46">
        <v>0.105</v>
      </c>
      <c r="C48" s="46">
        <v>0.105</v>
      </c>
      <c r="D48" s="46">
        <v>0.105</v>
      </c>
      <c r="E48" s="46">
        <v>0.105</v>
      </c>
      <c r="F48" s="46">
        <v>0.105</v>
      </c>
      <c r="G48" s="46">
        <v>0.105</v>
      </c>
    </row>
    <row r="49" spans="1:7" x14ac:dyDescent="0.3">
      <c r="A49" s="12" t="s">
        <v>37</v>
      </c>
      <c r="B49" s="46">
        <v>0.1429</v>
      </c>
      <c r="C49" s="46">
        <v>0.1429</v>
      </c>
      <c r="D49" s="46">
        <v>0.1429</v>
      </c>
      <c r="E49" s="46">
        <v>0.1429</v>
      </c>
      <c r="F49" s="46">
        <v>0.1429</v>
      </c>
      <c r="G49" s="46">
        <v>0.1429</v>
      </c>
    </row>
    <row r="50" spans="1:7" x14ac:dyDescent="0.3">
      <c r="A50" s="12" t="s">
        <v>94</v>
      </c>
      <c r="B50" s="46">
        <v>6.1400000000000003E-2</v>
      </c>
      <c r="C50" s="46">
        <v>6.1400000000000003E-2</v>
      </c>
      <c r="D50" s="46">
        <v>6.1400000000000003E-2</v>
      </c>
      <c r="E50" s="46">
        <v>6.1400000000000003E-2</v>
      </c>
      <c r="F50" s="46">
        <v>6.1400000000000003E-2</v>
      </c>
      <c r="G50" s="46">
        <v>6.1400000000000003E-2</v>
      </c>
    </row>
    <row r="51" spans="1:7" x14ac:dyDescent="0.3">
      <c r="A51" s="12" t="s">
        <v>41</v>
      </c>
      <c r="B51" s="46">
        <v>7.0400000000000004E-2</v>
      </c>
      <c r="C51" s="46">
        <v>7.0400000000000004E-2</v>
      </c>
      <c r="D51" s="46">
        <v>7.0400000000000004E-2</v>
      </c>
      <c r="E51" s="46">
        <v>7.0400000000000004E-2</v>
      </c>
      <c r="F51" s="46">
        <v>7.0400000000000004E-2</v>
      </c>
      <c r="G51" s="46">
        <v>7.0400000000000004E-2</v>
      </c>
    </row>
    <row r="52" spans="1:7" x14ac:dyDescent="0.3">
      <c r="A52" s="12" t="s">
        <v>177</v>
      </c>
      <c r="B52" s="46">
        <v>0.22289999999999999</v>
      </c>
      <c r="C52" s="46">
        <v>0.22289999999999999</v>
      </c>
      <c r="D52" s="46">
        <v>0.22289999999999999</v>
      </c>
      <c r="E52" s="46">
        <v>0.22289999999999999</v>
      </c>
      <c r="F52" s="46">
        <v>0.22289999999999999</v>
      </c>
      <c r="G52" s="46">
        <v>0.22289999999999999</v>
      </c>
    </row>
    <row r="53" spans="1:7" x14ac:dyDescent="0.3">
      <c r="A53" s="12" t="s">
        <v>25</v>
      </c>
      <c r="B53" s="46">
        <v>9.0700000000000003E-2</v>
      </c>
      <c r="C53" s="46">
        <v>9.0700000000000003E-2</v>
      </c>
      <c r="D53" s="46">
        <v>9.0700000000000003E-2</v>
      </c>
      <c r="E53" s="46">
        <v>9.0700000000000003E-2</v>
      </c>
      <c r="F53" s="46">
        <v>9.0700000000000003E-2</v>
      </c>
      <c r="G53" s="46">
        <v>9.0700000000000003E-2</v>
      </c>
    </row>
    <row r="54" spans="1:7" x14ac:dyDescent="0.3">
      <c r="A54" s="12" t="s">
        <v>38</v>
      </c>
      <c r="B54" s="46">
        <v>6.2600000000000003E-2</v>
      </c>
      <c r="C54" s="46">
        <v>6.2600000000000003E-2</v>
      </c>
      <c r="D54" s="46">
        <v>6.2600000000000003E-2</v>
      </c>
      <c r="E54" s="46">
        <v>6.2600000000000003E-2</v>
      </c>
      <c r="F54" s="46">
        <v>6.2600000000000003E-2</v>
      </c>
      <c r="G54" s="46">
        <v>6.2600000000000003E-2</v>
      </c>
    </row>
    <row r="55" spans="1:7" x14ac:dyDescent="0.3">
      <c r="A55" s="12" t="s">
        <v>26</v>
      </c>
      <c r="B55" s="46">
        <v>0.20230000000000001</v>
      </c>
      <c r="C55" s="46">
        <v>0.20230000000000001</v>
      </c>
      <c r="D55" s="46">
        <v>0.20230000000000001</v>
      </c>
      <c r="E55" s="46">
        <v>0.20230000000000001</v>
      </c>
      <c r="F55" s="46">
        <v>0.20230000000000001</v>
      </c>
      <c r="G55" s="46">
        <v>0.20230000000000001</v>
      </c>
    </row>
    <row r="56" spans="1:7" x14ac:dyDescent="0.3">
      <c r="A56" s="12" t="s">
        <v>40</v>
      </c>
      <c r="B56" s="46">
        <v>8.5099999999999995E-2</v>
      </c>
      <c r="C56" s="46">
        <v>8.5099999999999995E-2</v>
      </c>
      <c r="D56" s="46">
        <v>8.5099999999999995E-2</v>
      </c>
      <c r="E56" s="46">
        <v>8.5099999999999995E-2</v>
      </c>
      <c r="F56" s="46">
        <v>8.5099999999999995E-2</v>
      </c>
      <c r="G56" s="46">
        <v>8.5099999999999995E-2</v>
      </c>
    </row>
    <row r="57" spans="1:7" x14ac:dyDescent="0.3">
      <c r="A57" s="12" t="s">
        <v>73</v>
      </c>
      <c r="B57" s="46">
        <v>0.1056</v>
      </c>
      <c r="C57" s="46">
        <v>0.1056</v>
      </c>
      <c r="D57" s="46">
        <v>0.1056</v>
      </c>
      <c r="E57" s="46">
        <v>0.1056</v>
      </c>
      <c r="F57" s="46">
        <v>0.1056</v>
      </c>
      <c r="G57" s="46">
        <v>0.1056</v>
      </c>
    </row>
    <row r="58" spans="1:7" x14ac:dyDescent="0.3">
      <c r="A58" s="12" t="s">
        <v>59</v>
      </c>
      <c r="B58" s="46">
        <v>6.5699999999999995E-2</v>
      </c>
      <c r="C58" s="46">
        <v>6.5699999999999995E-2</v>
      </c>
      <c r="D58" s="46">
        <v>6.5699999999999995E-2</v>
      </c>
      <c r="E58" s="46">
        <v>6.5699999999999995E-2</v>
      </c>
      <c r="F58" s="46">
        <v>6.5699999999999995E-2</v>
      </c>
      <c r="G58" s="46">
        <v>6.5699999999999995E-2</v>
      </c>
    </row>
    <row r="59" spans="1:7" x14ac:dyDescent="0.3">
      <c r="A59" s="12" t="s">
        <v>45</v>
      </c>
      <c r="B59" s="46">
        <v>7.0999999999999994E-2</v>
      </c>
      <c r="C59" s="46">
        <v>7.0999999999999994E-2</v>
      </c>
      <c r="D59" s="46">
        <v>7.0999999999999994E-2</v>
      </c>
      <c r="E59" s="46">
        <v>7.0999999999999994E-2</v>
      </c>
      <c r="F59" s="46">
        <v>7.0999999999999994E-2</v>
      </c>
      <c r="G59" s="46">
        <v>7.0999999999999994E-2</v>
      </c>
    </row>
    <row r="60" spans="1:7" x14ac:dyDescent="0.3">
      <c r="A60" s="12" t="s">
        <v>1</v>
      </c>
      <c r="B60" s="46">
        <v>7.7200000000000005E-2</v>
      </c>
      <c r="C60" s="46">
        <v>7.7200000000000005E-2</v>
      </c>
      <c r="D60" s="46">
        <v>7.7200000000000005E-2</v>
      </c>
      <c r="E60" s="46">
        <v>7.7200000000000005E-2</v>
      </c>
      <c r="F60" s="46">
        <v>7.7200000000000005E-2</v>
      </c>
      <c r="G60" s="46">
        <v>7.7200000000000005E-2</v>
      </c>
    </row>
    <row r="61" spans="1:7" x14ac:dyDescent="0.3">
      <c r="A61" s="12" t="s">
        <v>51</v>
      </c>
      <c r="B61" s="46">
        <v>6.3299999999999995E-2</v>
      </c>
      <c r="C61" s="46">
        <v>6.3299999999999995E-2</v>
      </c>
      <c r="D61" s="46">
        <v>6.3299999999999995E-2</v>
      </c>
      <c r="E61" s="46">
        <v>6.3299999999999995E-2</v>
      </c>
      <c r="F61" s="46">
        <v>6.3299999999999995E-2</v>
      </c>
      <c r="G61" s="46">
        <v>6.3299999999999995E-2</v>
      </c>
    </row>
    <row r="62" spans="1:7" x14ac:dyDescent="0.3">
      <c r="A62" s="12" t="s">
        <v>48</v>
      </c>
      <c r="B62" s="46">
        <v>5.5599999999999997E-2</v>
      </c>
      <c r="C62" s="46">
        <v>5.5599999999999997E-2</v>
      </c>
      <c r="D62" s="46">
        <v>5.5599999999999997E-2</v>
      </c>
      <c r="E62" s="46">
        <v>5.5599999999999997E-2</v>
      </c>
      <c r="F62" s="46">
        <v>5.5599999999999997E-2</v>
      </c>
      <c r="G62" s="46">
        <v>5.5599999999999997E-2</v>
      </c>
    </row>
    <row r="63" spans="1:7" x14ac:dyDescent="0.3">
      <c r="A63" s="12" t="s">
        <v>3</v>
      </c>
      <c r="B63" s="46">
        <v>0.1416</v>
      </c>
      <c r="C63" s="46">
        <v>0.1416</v>
      </c>
      <c r="D63" s="46">
        <v>0.1416</v>
      </c>
      <c r="E63" s="46">
        <v>0.1416</v>
      </c>
      <c r="F63" s="46">
        <v>0.1416</v>
      </c>
      <c r="G63" s="46">
        <v>0.1416</v>
      </c>
    </row>
    <row r="64" spans="1:7" x14ac:dyDescent="0.3">
      <c r="A64" s="12" t="s">
        <v>36</v>
      </c>
      <c r="B64" s="46">
        <v>4.3700000000000003E-2</v>
      </c>
      <c r="C64" s="46">
        <v>4.3700000000000003E-2</v>
      </c>
      <c r="D64" s="46">
        <v>4.3700000000000003E-2</v>
      </c>
      <c r="E64" s="46">
        <v>4.3700000000000003E-2</v>
      </c>
      <c r="F64" s="46">
        <v>4.3700000000000003E-2</v>
      </c>
      <c r="G64" s="46">
        <v>4.3700000000000003E-2</v>
      </c>
    </row>
    <row r="65" spans="1:7" x14ac:dyDescent="0.3">
      <c r="A65" s="12" t="s">
        <v>15</v>
      </c>
      <c r="B65" s="46">
        <v>5.5599999999999997E-2</v>
      </c>
      <c r="C65" s="46">
        <v>5.5599999999999997E-2</v>
      </c>
      <c r="D65" s="46">
        <v>5.5599999999999997E-2</v>
      </c>
      <c r="E65" s="46">
        <v>5.5599999999999997E-2</v>
      </c>
      <c r="F65" s="46">
        <v>5.5599999999999997E-2</v>
      </c>
      <c r="G65" s="46">
        <v>5.5599999999999997E-2</v>
      </c>
    </row>
    <row r="66" spans="1:7" x14ac:dyDescent="0.3">
      <c r="A66" s="12" t="s">
        <v>56</v>
      </c>
      <c r="B66" s="46">
        <v>5.0299999999999997E-2</v>
      </c>
      <c r="C66" s="46">
        <v>5.0299999999999997E-2</v>
      </c>
      <c r="D66" s="46">
        <v>5.0299999999999997E-2</v>
      </c>
      <c r="E66" s="46">
        <v>5.0299999999999997E-2</v>
      </c>
      <c r="F66" s="46">
        <v>5.0299999999999997E-2</v>
      </c>
      <c r="G66" s="46">
        <v>5.0299999999999997E-2</v>
      </c>
    </row>
    <row r="67" spans="1:7" x14ac:dyDescent="0.3">
      <c r="A67" s="12" t="s">
        <v>80</v>
      </c>
      <c r="B67" s="46">
        <v>4.7100000000000003E-2</v>
      </c>
      <c r="C67" s="46">
        <v>4.7100000000000003E-2</v>
      </c>
      <c r="D67" s="46">
        <v>4.7100000000000003E-2</v>
      </c>
      <c r="E67" s="46">
        <v>4.7100000000000003E-2</v>
      </c>
      <c r="F67" s="46">
        <v>4.7100000000000003E-2</v>
      </c>
      <c r="G67" s="46">
        <v>4.7100000000000003E-2</v>
      </c>
    </row>
    <row r="68" spans="1:7" x14ac:dyDescent="0.3">
      <c r="A68" s="12" t="s">
        <v>30</v>
      </c>
      <c r="B68" s="46">
        <v>6.88E-2</v>
      </c>
      <c r="C68" s="46">
        <v>6.88E-2</v>
      </c>
      <c r="D68" s="46">
        <v>6.88E-2</v>
      </c>
      <c r="E68" s="46">
        <v>6.88E-2</v>
      </c>
      <c r="F68" s="46">
        <v>6.88E-2</v>
      </c>
      <c r="G68" s="46">
        <v>6.88E-2</v>
      </c>
    </row>
    <row r="69" spans="1:7" x14ac:dyDescent="0.3">
      <c r="A69" s="12" t="s">
        <v>71</v>
      </c>
      <c r="B69" s="46">
        <v>8.6599999999999996E-2</v>
      </c>
      <c r="C69" s="46">
        <v>8.6599999999999996E-2</v>
      </c>
      <c r="D69" s="46">
        <v>8.6599999999999996E-2</v>
      </c>
      <c r="E69" s="46">
        <v>8.6599999999999996E-2</v>
      </c>
      <c r="F69" s="46">
        <v>8.6599999999999996E-2</v>
      </c>
      <c r="G69" s="46">
        <v>8.6599999999999996E-2</v>
      </c>
    </row>
    <row r="70" spans="1:7" x14ac:dyDescent="0.3">
      <c r="A70" s="12" t="s">
        <v>43</v>
      </c>
      <c r="B70" s="46">
        <v>5.3499999999999999E-2</v>
      </c>
      <c r="C70" s="46">
        <v>5.3499999999999999E-2</v>
      </c>
      <c r="D70" s="46">
        <v>5.3499999999999999E-2</v>
      </c>
      <c r="E70" s="46">
        <v>5.3499999999999999E-2</v>
      </c>
      <c r="F70" s="46">
        <v>5.3499999999999999E-2</v>
      </c>
      <c r="G70" s="46">
        <v>5.3499999999999999E-2</v>
      </c>
    </row>
    <row r="71" spans="1:7" x14ac:dyDescent="0.3">
      <c r="A71" s="12" t="s">
        <v>9</v>
      </c>
      <c r="B71" s="46">
        <v>0.1648</v>
      </c>
      <c r="C71" s="46">
        <v>0.1648</v>
      </c>
      <c r="D71" s="46">
        <v>0.1648</v>
      </c>
      <c r="E71" s="46">
        <v>0.1648</v>
      </c>
      <c r="F71" s="46">
        <v>0.1648</v>
      </c>
      <c r="G71" s="46">
        <v>0.1648</v>
      </c>
    </row>
    <row r="72" spans="1:7" x14ac:dyDescent="0.3">
      <c r="A72" s="12" t="s">
        <v>57</v>
      </c>
      <c r="B72" s="46">
        <v>4.7500000000000001E-2</v>
      </c>
      <c r="C72" s="46">
        <v>4.7500000000000001E-2</v>
      </c>
      <c r="D72" s="46">
        <v>4.7500000000000001E-2</v>
      </c>
      <c r="E72" s="46">
        <v>4.7500000000000001E-2</v>
      </c>
      <c r="F72" s="46">
        <v>4.7500000000000001E-2</v>
      </c>
      <c r="G72" s="46">
        <v>4.7500000000000001E-2</v>
      </c>
    </row>
    <row r="73" spans="1:7" x14ac:dyDescent="0.3">
      <c r="A73" s="12" t="s">
        <v>178</v>
      </c>
      <c r="B73" s="46">
        <v>0.05</v>
      </c>
      <c r="C73" s="46">
        <v>0.05</v>
      </c>
      <c r="D73" s="46">
        <v>0.05</v>
      </c>
      <c r="E73" s="46">
        <v>0.05</v>
      </c>
      <c r="F73" s="46">
        <v>0.05</v>
      </c>
      <c r="G73" s="46">
        <v>0.05</v>
      </c>
    </row>
    <row r="74" spans="1:7" x14ac:dyDescent="0.3">
      <c r="A74" s="12" t="s">
        <v>42</v>
      </c>
      <c r="B74" s="46">
        <v>7.2800000000000004E-2</v>
      </c>
      <c r="C74" s="46">
        <v>7.2800000000000004E-2</v>
      </c>
      <c r="D74" s="46">
        <v>7.2800000000000004E-2</v>
      </c>
      <c r="E74" s="46">
        <v>7.2800000000000004E-2</v>
      </c>
      <c r="F74" s="46">
        <v>7.2800000000000004E-2</v>
      </c>
      <c r="G74" s="46">
        <v>7.2800000000000004E-2</v>
      </c>
    </row>
    <row r="75" spans="1:7" x14ac:dyDescent="0.3">
      <c r="A75" s="12" t="s">
        <v>53</v>
      </c>
      <c r="B75" s="46">
        <v>3.6499999999999998E-2</v>
      </c>
      <c r="C75" s="46">
        <v>3.6499999999999998E-2</v>
      </c>
      <c r="D75" s="46">
        <v>3.6499999999999998E-2</v>
      </c>
      <c r="E75" s="46">
        <v>3.6499999999999998E-2</v>
      </c>
      <c r="F75" s="46">
        <v>3.6499999999999998E-2</v>
      </c>
      <c r="G75" s="46">
        <v>3.6499999999999998E-2</v>
      </c>
    </row>
    <row r="76" spans="1:7" x14ac:dyDescent="0.3">
      <c r="A76" s="12" t="s">
        <v>81</v>
      </c>
      <c r="B76" s="46">
        <v>8.9399999999999993E-2</v>
      </c>
      <c r="C76" s="46">
        <v>8.9399999999999993E-2</v>
      </c>
      <c r="D76" s="46">
        <v>8.9399999999999993E-2</v>
      </c>
      <c r="E76" s="46">
        <v>8.9399999999999993E-2</v>
      </c>
      <c r="F76" s="46">
        <v>8.9399999999999993E-2</v>
      </c>
      <c r="G76" s="46">
        <v>8.9399999999999993E-2</v>
      </c>
    </row>
    <row r="77" spans="1:7" x14ac:dyDescent="0.3">
      <c r="A77" s="12" t="s">
        <v>77</v>
      </c>
      <c r="B77" s="46">
        <v>8.2799999999999999E-2</v>
      </c>
      <c r="C77" s="46">
        <v>8.2799999999999999E-2</v>
      </c>
      <c r="D77" s="46">
        <v>8.2799999999999999E-2</v>
      </c>
      <c r="E77" s="46">
        <v>8.2799999999999999E-2</v>
      </c>
      <c r="F77" s="46">
        <v>8.2799999999999999E-2</v>
      </c>
      <c r="G77" s="46">
        <v>8.2799999999999999E-2</v>
      </c>
    </row>
    <row r="78" spans="1:7" x14ac:dyDescent="0.3">
      <c r="A78" s="12" t="s">
        <v>31</v>
      </c>
      <c r="B78" s="46">
        <v>6.3899999999999998E-2</v>
      </c>
      <c r="C78" s="46">
        <v>6.3899999999999998E-2</v>
      </c>
      <c r="D78" s="46">
        <v>6.3899999999999998E-2</v>
      </c>
      <c r="E78" s="46">
        <v>6.3899999999999998E-2</v>
      </c>
      <c r="F78" s="46">
        <v>6.3899999999999998E-2</v>
      </c>
      <c r="G78" s="46">
        <v>6.3899999999999998E-2</v>
      </c>
    </row>
    <row r="79" spans="1:7" x14ac:dyDescent="0.3">
      <c r="A79" s="12" t="s">
        <v>70</v>
      </c>
      <c r="B79" s="46">
        <v>5.0500000000000003E-2</v>
      </c>
      <c r="C79" s="46">
        <v>5.0500000000000003E-2</v>
      </c>
      <c r="D79" s="46">
        <v>5.0500000000000003E-2</v>
      </c>
      <c r="E79" s="46">
        <v>5.0500000000000003E-2</v>
      </c>
      <c r="F79" s="46">
        <v>5.0500000000000003E-2</v>
      </c>
      <c r="G79" s="46">
        <v>5.0500000000000003E-2</v>
      </c>
    </row>
    <row r="80" spans="1:7" x14ac:dyDescent="0.3">
      <c r="A80" s="12" t="s">
        <v>60</v>
      </c>
      <c r="B80" s="46">
        <v>7.5700000000000003E-2</v>
      </c>
      <c r="C80" s="46">
        <v>7.5700000000000003E-2</v>
      </c>
      <c r="D80" s="46">
        <v>7.5700000000000003E-2</v>
      </c>
      <c r="E80" s="46">
        <v>7.5700000000000003E-2</v>
      </c>
      <c r="F80" s="46">
        <v>7.5700000000000003E-2</v>
      </c>
      <c r="G80" s="46">
        <v>7.5700000000000003E-2</v>
      </c>
    </row>
    <row r="81" spans="1:7" x14ac:dyDescent="0.3">
      <c r="A81" s="12" t="s">
        <v>34</v>
      </c>
      <c r="B81" s="46">
        <v>4.2799999999999998E-2</v>
      </c>
      <c r="C81" s="46">
        <v>4.2799999999999998E-2</v>
      </c>
      <c r="D81" s="46">
        <v>4.2799999999999998E-2</v>
      </c>
      <c r="E81" s="46">
        <v>4.2799999999999998E-2</v>
      </c>
      <c r="F81" s="46">
        <v>4.2799999999999998E-2</v>
      </c>
      <c r="G81" s="46">
        <v>4.2799999999999998E-2</v>
      </c>
    </row>
    <row r="82" spans="1:7" x14ac:dyDescent="0.3">
      <c r="A82" s="12" t="s">
        <v>179</v>
      </c>
      <c r="B82" s="46">
        <v>1.5299999999999999E-2</v>
      </c>
      <c r="C82" s="46">
        <v>1.5299999999999999E-2</v>
      </c>
      <c r="D82" s="46">
        <v>1.5299999999999999E-2</v>
      </c>
      <c r="E82" s="46">
        <v>1.5299999999999999E-2</v>
      </c>
      <c r="F82" s="46">
        <v>1.5299999999999999E-2</v>
      </c>
      <c r="G82" s="46">
        <v>1.5299999999999999E-2</v>
      </c>
    </row>
    <row r="83" spans="1:7" x14ac:dyDescent="0.3">
      <c r="A83" s="12" t="s">
        <v>65</v>
      </c>
      <c r="B83" s="46">
        <v>3.9699999999999999E-2</v>
      </c>
      <c r="C83" s="46">
        <v>3.9699999999999999E-2</v>
      </c>
      <c r="D83" s="46">
        <v>3.9699999999999999E-2</v>
      </c>
      <c r="E83" s="46">
        <v>3.9699999999999999E-2</v>
      </c>
      <c r="F83" s="46">
        <v>3.9699999999999999E-2</v>
      </c>
      <c r="G83" s="46">
        <v>3.9699999999999999E-2</v>
      </c>
    </row>
    <row r="84" spans="1:7" x14ac:dyDescent="0.3">
      <c r="A84" s="12" t="s">
        <v>58</v>
      </c>
      <c r="B84" s="46">
        <v>0.15279999999999999</v>
      </c>
      <c r="C84" s="46">
        <v>0.15279999999999999</v>
      </c>
      <c r="D84" s="46">
        <v>0.15279999999999999</v>
      </c>
      <c r="E84" s="46">
        <v>0.15279999999999999</v>
      </c>
      <c r="F84" s="46">
        <v>0.15279999999999999</v>
      </c>
      <c r="G84" s="46">
        <v>0.15279999999999999</v>
      </c>
    </row>
    <row r="85" spans="1:7" x14ac:dyDescent="0.3">
      <c r="A85" s="12" t="s">
        <v>55</v>
      </c>
      <c r="B85" s="46">
        <v>3.3500000000000002E-2</v>
      </c>
      <c r="C85" s="46">
        <v>3.3500000000000002E-2</v>
      </c>
      <c r="D85" s="46">
        <v>3.3500000000000002E-2</v>
      </c>
      <c r="E85" s="46">
        <v>3.3500000000000002E-2</v>
      </c>
      <c r="F85" s="46">
        <v>3.3500000000000002E-2</v>
      </c>
      <c r="G85" s="46">
        <v>3.3500000000000002E-2</v>
      </c>
    </row>
    <row r="86" spans="1:7" x14ac:dyDescent="0.3">
      <c r="A86" s="12" t="s">
        <v>52</v>
      </c>
      <c r="B86" s="46">
        <v>4.4999999999999998E-2</v>
      </c>
      <c r="C86" s="46">
        <v>4.4999999999999998E-2</v>
      </c>
      <c r="D86" s="46">
        <v>4.4999999999999998E-2</v>
      </c>
      <c r="E86" s="46">
        <v>4.4999999999999998E-2</v>
      </c>
      <c r="F86" s="46">
        <v>4.4999999999999998E-2</v>
      </c>
      <c r="G86" s="46">
        <v>4.4999999999999998E-2</v>
      </c>
    </row>
    <row r="87" spans="1:7" x14ac:dyDescent="0.3">
      <c r="A87" s="12" t="s">
        <v>27</v>
      </c>
      <c r="B87" s="46">
        <v>6.7500000000000004E-2</v>
      </c>
      <c r="C87" s="46">
        <v>6.7500000000000004E-2</v>
      </c>
      <c r="D87" s="46">
        <v>6.7500000000000004E-2</v>
      </c>
      <c r="E87" s="46">
        <v>6.7500000000000004E-2</v>
      </c>
      <c r="F87" s="46">
        <v>6.7500000000000004E-2</v>
      </c>
      <c r="G87" s="46">
        <v>6.7500000000000004E-2</v>
      </c>
    </row>
    <row r="88" spans="1:7" x14ac:dyDescent="0.3">
      <c r="A88" s="12" t="s">
        <v>14</v>
      </c>
      <c r="B88" s="46">
        <v>4.4900000000000002E-2</v>
      </c>
      <c r="C88" s="46">
        <v>4.4900000000000002E-2</v>
      </c>
      <c r="D88" s="46">
        <v>4.4900000000000002E-2</v>
      </c>
      <c r="E88" s="46">
        <v>4.4900000000000002E-2</v>
      </c>
      <c r="F88" s="46">
        <v>4.4900000000000002E-2</v>
      </c>
      <c r="G88" s="46">
        <v>4.4900000000000002E-2</v>
      </c>
    </row>
    <row r="89" spans="1:7" x14ac:dyDescent="0.3">
      <c r="A89" s="12" t="s">
        <v>74</v>
      </c>
      <c r="B89" s="46">
        <v>6.4199999999999993E-2</v>
      </c>
      <c r="C89" s="46">
        <v>6.4199999999999993E-2</v>
      </c>
      <c r="D89" s="46">
        <v>6.4199999999999993E-2</v>
      </c>
      <c r="E89" s="46">
        <v>6.4199999999999993E-2</v>
      </c>
      <c r="F89" s="46">
        <v>6.4199999999999993E-2</v>
      </c>
      <c r="G89" s="46">
        <v>6.4199999999999993E-2</v>
      </c>
    </row>
    <row r="90" spans="1:7" x14ac:dyDescent="0.3">
      <c r="A90" s="12" t="s">
        <v>8</v>
      </c>
      <c r="B90" s="46">
        <v>6.7699999999999996E-2</v>
      </c>
      <c r="C90" s="46">
        <v>6.7699999999999996E-2</v>
      </c>
      <c r="D90" s="46">
        <v>6.7699999999999996E-2</v>
      </c>
      <c r="E90" s="46">
        <v>6.7699999999999996E-2</v>
      </c>
      <c r="F90" s="46">
        <v>6.7699999999999996E-2</v>
      </c>
      <c r="G90" s="46">
        <v>6.7699999999999996E-2</v>
      </c>
    </row>
    <row r="91" spans="1:7" x14ac:dyDescent="0.3">
      <c r="A91" s="12" t="s">
        <v>18</v>
      </c>
      <c r="B91" s="46">
        <v>5.3800000000000001E-2</v>
      </c>
      <c r="C91" s="46">
        <v>5.3800000000000001E-2</v>
      </c>
      <c r="D91" s="46">
        <v>5.3800000000000001E-2</v>
      </c>
      <c r="E91" s="46">
        <v>5.3800000000000001E-2</v>
      </c>
      <c r="F91" s="46">
        <v>5.3800000000000001E-2</v>
      </c>
      <c r="G91" s="46">
        <v>5.3800000000000001E-2</v>
      </c>
    </row>
    <row r="92" spans="1:7" x14ac:dyDescent="0.3">
      <c r="A92" s="12" t="s">
        <v>7</v>
      </c>
      <c r="B92" s="46">
        <v>3.7100000000000001E-2</v>
      </c>
      <c r="C92" s="46">
        <v>3.7100000000000001E-2</v>
      </c>
      <c r="D92" s="46">
        <v>3.7100000000000001E-2</v>
      </c>
      <c r="E92" s="46">
        <v>3.7100000000000001E-2</v>
      </c>
      <c r="F92" s="46">
        <v>3.7100000000000001E-2</v>
      </c>
      <c r="G92" s="46">
        <v>3.7100000000000001E-2</v>
      </c>
    </row>
  </sheetData>
  <autoFilter ref="A3:G92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55299-09C9-42AA-9BA1-3C0B35A9EDD1}">
  <sheetPr codeName="Лист7">
    <tabColor theme="4" tint="0.59999389629810485"/>
    <pageSetUpPr fitToPage="1"/>
  </sheetPr>
  <dimension ref="A1:Z101"/>
  <sheetViews>
    <sheetView showGridLines="0" workbookViewId="0"/>
  </sheetViews>
  <sheetFormatPr defaultRowHeight="16.5" x14ac:dyDescent="0.3"/>
  <cols>
    <col min="1" max="1" width="108.5703125" style="9" customWidth="1"/>
    <col min="2" max="2" width="13.140625" style="4" bestFit="1" customWidth="1"/>
    <col min="3" max="7" width="9.85546875" style="4" bestFit="1" customWidth="1"/>
    <col min="8" max="8" width="9.140625" style="4"/>
    <col min="9" max="9" width="47.7109375" style="9" customWidth="1"/>
    <col min="10" max="10" width="13.140625" style="4" bestFit="1" customWidth="1"/>
    <col min="11" max="15" width="9.85546875" style="4" bestFit="1" customWidth="1"/>
    <col min="16" max="16" width="9.140625" style="4"/>
    <col min="17" max="17" width="47.7109375" style="9" customWidth="1"/>
    <col min="18" max="18" width="13.140625" style="4" bestFit="1" customWidth="1"/>
    <col min="19" max="23" width="9.85546875" style="4" bestFit="1" customWidth="1"/>
    <col min="24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47" t="s">
        <v>284</v>
      </c>
      <c r="B1" s="24"/>
      <c r="C1" s="24"/>
      <c r="D1" s="24"/>
      <c r="E1" s="24"/>
      <c r="F1" s="24"/>
      <c r="G1" s="24"/>
      <c r="H1" s="24"/>
      <c r="I1" s="47" t="s">
        <v>285</v>
      </c>
      <c r="J1" s="24"/>
      <c r="K1" s="24"/>
      <c r="L1" s="24"/>
      <c r="M1" s="24"/>
      <c r="N1" s="24"/>
      <c r="O1" s="24"/>
      <c r="P1" s="24"/>
      <c r="Q1" s="47" t="s">
        <v>286</v>
      </c>
      <c r="R1" s="24"/>
      <c r="S1" s="24"/>
      <c r="T1" s="24"/>
      <c r="U1" s="24"/>
      <c r="V1" s="24"/>
      <c r="W1" s="24"/>
      <c r="X1" s="24"/>
      <c r="Y1" s="24"/>
      <c r="Z1" s="24"/>
    </row>
    <row r="3" spans="1:26" x14ac:dyDescent="0.3">
      <c r="A3" s="48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  <c r="I3" s="48" t="s">
        <v>129</v>
      </c>
      <c r="J3" s="19">
        <v>2017</v>
      </c>
      <c r="K3" s="20">
        <v>2018</v>
      </c>
      <c r="L3" s="20">
        <v>2019</v>
      </c>
      <c r="M3" s="20">
        <v>2020</v>
      </c>
      <c r="N3" s="20">
        <v>2021</v>
      </c>
      <c r="O3" s="20">
        <v>2022</v>
      </c>
      <c r="Q3" s="48" t="s">
        <v>129</v>
      </c>
      <c r="R3" s="19">
        <v>2017</v>
      </c>
      <c r="S3" s="20">
        <v>2018</v>
      </c>
      <c r="T3" s="20">
        <v>2019</v>
      </c>
      <c r="U3" s="20">
        <v>2020</v>
      </c>
      <c r="V3" s="20">
        <v>2021</v>
      </c>
      <c r="W3" s="20">
        <v>2022</v>
      </c>
    </row>
    <row r="4" spans="1:26" x14ac:dyDescent="0.3">
      <c r="A4" s="12" t="s">
        <v>87</v>
      </c>
      <c r="B4" s="63">
        <f>J4/R4</f>
        <v>0.58246700357709325</v>
      </c>
      <c r="C4" s="63">
        <f t="shared" ref="C4:G4" si="0">K4/S4</f>
        <v>0.65388185734329629</v>
      </c>
      <c r="D4" s="63">
        <f t="shared" si="0"/>
        <v>0.65328515934567288</v>
      </c>
      <c r="E4" s="63">
        <f t="shared" si="0"/>
        <v>0.73256648120209067</v>
      </c>
      <c r="F4" s="63">
        <f t="shared" si="0"/>
        <v>0.69753559634020901</v>
      </c>
      <c r="G4" s="63">
        <f t="shared" si="0"/>
        <v>0.64801529006715031</v>
      </c>
      <c r="I4" s="12" t="s">
        <v>87</v>
      </c>
      <c r="J4" s="50">
        <v>611436</v>
      </c>
      <c r="K4" s="50">
        <v>583942</v>
      </c>
      <c r="L4" s="50">
        <v>620730</v>
      </c>
      <c r="M4" s="50">
        <v>564704</v>
      </c>
      <c r="N4" s="50">
        <v>644209</v>
      </c>
      <c r="O4" s="50">
        <v>682850</v>
      </c>
      <c r="Q4" s="12" t="s">
        <v>87</v>
      </c>
      <c r="R4" s="50">
        <v>1049735</v>
      </c>
      <c r="S4" s="50">
        <v>893039</v>
      </c>
      <c r="T4" s="50">
        <v>950167</v>
      </c>
      <c r="U4" s="50">
        <v>770857</v>
      </c>
      <c r="V4" s="50">
        <v>923550</v>
      </c>
      <c r="W4" s="50">
        <v>1053756</v>
      </c>
    </row>
    <row r="5" spans="1:26" x14ac:dyDescent="0.3">
      <c r="A5" s="12" t="s">
        <v>96</v>
      </c>
      <c r="B5" s="63">
        <f t="shared" ref="B5:B68" si="1">J5/R5</f>
        <v>0.57335740224643184</v>
      </c>
      <c r="C5" s="63">
        <f t="shared" ref="C5:C68" si="2">K5/S5</f>
        <v>0.63966449021429794</v>
      </c>
      <c r="D5" s="63">
        <f t="shared" ref="D5:D68" si="3">L5/T5</f>
        <v>0.64867332316368509</v>
      </c>
      <c r="E5" s="63">
        <f t="shared" ref="E5:E68" si="4">M5/U5</f>
        <v>0.71865165701853218</v>
      </c>
      <c r="F5" s="63">
        <f t="shared" ref="F5:F68" si="5">N5/V5</f>
        <v>0.63461974810114408</v>
      </c>
      <c r="G5" s="63">
        <f t="shared" ref="G5:G68" si="6">O5/W5</f>
        <v>0.57200054151013635</v>
      </c>
      <c r="I5" s="12" t="s">
        <v>181</v>
      </c>
      <c r="J5" s="50">
        <v>162939</v>
      </c>
      <c r="K5" s="50">
        <v>153515</v>
      </c>
      <c r="L5" s="50">
        <v>168393</v>
      </c>
      <c r="M5" s="50">
        <v>147979</v>
      </c>
      <c r="N5" s="50">
        <v>165017</v>
      </c>
      <c r="O5" s="50">
        <v>169009</v>
      </c>
      <c r="Q5" s="12" t="s">
        <v>181</v>
      </c>
      <c r="R5" s="50">
        <v>284184</v>
      </c>
      <c r="S5" s="50">
        <v>239993</v>
      </c>
      <c r="T5" s="50">
        <v>259596</v>
      </c>
      <c r="U5" s="50">
        <v>205912</v>
      </c>
      <c r="V5" s="50">
        <v>260025</v>
      </c>
      <c r="W5" s="50">
        <v>295470</v>
      </c>
    </row>
    <row r="6" spans="1:26" x14ac:dyDescent="0.3">
      <c r="A6" s="12" t="s">
        <v>50</v>
      </c>
      <c r="B6" s="63">
        <f t="shared" si="1"/>
        <v>0.60086825551519452</v>
      </c>
      <c r="C6" s="63">
        <f t="shared" si="2"/>
        <v>0.64733512269938653</v>
      </c>
      <c r="D6" s="63">
        <f t="shared" si="3"/>
        <v>0.630586186883343</v>
      </c>
      <c r="E6" s="63">
        <f t="shared" si="4"/>
        <v>0.8487158908507223</v>
      </c>
      <c r="F6" s="63">
        <f t="shared" si="5"/>
        <v>0.69296330942729445</v>
      </c>
      <c r="G6" s="63">
        <f t="shared" si="6"/>
        <v>0.58345891321691334</v>
      </c>
      <c r="I6" s="12" t="s">
        <v>182</v>
      </c>
      <c r="J6" s="50">
        <v>6782</v>
      </c>
      <c r="K6" s="50">
        <v>6753</v>
      </c>
      <c r="L6" s="50">
        <v>6519</v>
      </c>
      <c r="M6" s="50">
        <v>6345</v>
      </c>
      <c r="N6" s="50">
        <v>6667</v>
      </c>
      <c r="O6" s="50">
        <v>6582</v>
      </c>
      <c r="Q6" s="12" t="s">
        <v>182</v>
      </c>
      <c r="R6" s="50">
        <v>11287</v>
      </c>
      <c r="S6" s="50">
        <v>10432</v>
      </c>
      <c r="T6" s="50">
        <v>10338</v>
      </c>
      <c r="U6" s="50">
        <v>7476</v>
      </c>
      <c r="V6" s="50">
        <v>9621</v>
      </c>
      <c r="W6" s="50">
        <v>11281</v>
      </c>
    </row>
    <row r="7" spans="1:26" x14ac:dyDescent="0.3">
      <c r="A7" s="12" t="s">
        <v>48</v>
      </c>
      <c r="B7" s="63">
        <f t="shared" si="1"/>
        <v>0.64425541831740851</v>
      </c>
      <c r="C7" s="63">
        <f t="shared" si="2"/>
        <v>0.74209947787853803</v>
      </c>
      <c r="D7" s="63">
        <f t="shared" si="3"/>
        <v>0.69718854784627293</v>
      </c>
      <c r="E7" s="63">
        <f t="shared" si="4"/>
        <v>0.91282865713781547</v>
      </c>
      <c r="F7" s="63">
        <f t="shared" si="5"/>
        <v>0.77427434801827022</v>
      </c>
      <c r="G7" s="63">
        <f t="shared" si="6"/>
        <v>0.73347691479337729</v>
      </c>
      <c r="I7" s="12" t="s">
        <v>183</v>
      </c>
      <c r="J7" s="50">
        <v>5529</v>
      </c>
      <c r="K7" s="50">
        <v>5401</v>
      </c>
      <c r="L7" s="50">
        <v>5406</v>
      </c>
      <c r="M7" s="50">
        <v>5173</v>
      </c>
      <c r="N7" s="50">
        <v>5255</v>
      </c>
      <c r="O7" s="50">
        <v>5449</v>
      </c>
      <c r="Q7" s="12" t="s">
        <v>183</v>
      </c>
      <c r="R7" s="50">
        <v>8582</v>
      </c>
      <c r="S7" s="50">
        <v>7278</v>
      </c>
      <c r="T7" s="50">
        <v>7754</v>
      </c>
      <c r="U7" s="50">
        <v>5667</v>
      </c>
      <c r="V7" s="50">
        <v>6787</v>
      </c>
      <c r="W7" s="50">
        <v>7429</v>
      </c>
    </row>
    <row r="8" spans="1:26" x14ac:dyDescent="0.3">
      <c r="A8" s="12" t="s">
        <v>20</v>
      </c>
      <c r="B8" s="63">
        <f t="shared" si="1"/>
        <v>0.6309718141255849</v>
      </c>
      <c r="C8" s="63">
        <f t="shared" si="2"/>
        <v>0.67824159586257848</v>
      </c>
      <c r="D8" s="63">
        <f t="shared" si="3"/>
        <v>0.67389174626500126</v>
      </c>
      <c r="E8" s="63">
        <f t="shared" si="4"/>
        <v>0.70817871456137749</v>
      </c>
      <c r="F8" s="63">
        <f t="shared" si="5"/>
        <v>0.72493345164152623</v>
      </c>
      <c r="G8" s="63">
        <f t="shared" si="6"/>
        <v>0.65929602888086647</v>
      </c>
      <c r="I8" s="12" t="s">
        <v>184</v>
      </c>
      <c r="J8" s="50">
        <v>5798</v>
      </c>
      <c r="K8" s="50">
        <v>5508</v>
      </c>
      <c r="L8" s="50">
        <v>5503</v>
      </c>
      <c r="M8" s="50">
        <v>4771</v>
      </c>
      <c r="N8" s="50">
        <v>5719</v>
      </c>
      <c r="O8" s="50">
        <v>5844</v>
      </c>
      <c r="Q8" s="12" t="s">
        <v>184</v>
      </c>
      <c r="R8" s="50">
        <v>9189</v>
      </c>
      <c r="S8" s="50">
        <v>8121</v>
      </c>
      <c r="T8" s="50">
        <v>8166</v>
      </c>
      <c r="U8" s="50">
        <v>6737</v>
      </c>
      <c r="V8" s="50">
        <v>7889</v>
      </c>
      <c r="W8" s="50">
        <v>8864</v>
      </c>
    </row>
    <row r="9" spans="1:26" x14ac:dyDescent="0.3">
      <c r="A9" s="12" t="s">
        <v>4</v>
      </c>
      <c r="B9" s="63">
        <f t="shared" si="1"/>
        <v>0.55665053355880811</v>
      </c>
      <c r="C9" s="63">
        <f t="shared" si="2"/>
        <v>0.66450946643717723</v>
      </c>
      <c r="D9" s="63">
        <f t="shared" si="3"/>
        <v>0.63208429453207804</v>
      </c>
      <c r="E9" s="63">
        <f t="shared" si="4"/>
        <v>0.79758003529115196</v>
      </c>
      <c r="F9" s="63">
        <f t="shared" si="5"/>
        <v>0.64462253350393961</v>
      </c>
      <c r="G9" s="63">
        <f t="shared" si="6"/>
        <v>0.59844961240310079</v>
      </c>
      <c r="I9" s="12" t="s">
        <v>185</v>
      </c>
      <c r="J9" s="50">
        <v>9546</v>
      </c>
      <c r="K9" s="50">
        <v>9652</v>
      </c>
      <c r="L9" s="50">
        <v>10138</v>
      </c>
      <c r="M9" s="50">
        <v>9492</v>
      </c>
      <c r="N9" s="50">
        <v>9572</v>
      </c>
      <c r="O9" s="50">
        <v>10036</v>
      </c>
      <c r="Q9" s="12" t="s">
        <v>185</v>
      </c>
      <c r="R9" s="50">
        <v>17149</v>
      </c>
      <c r="S9" s="50">
        <v>14525</v>
      </c>
      <c r="T9" s="50">
        <v>16039</v>
      </c>
      <c r="U9" s="50">
        <v>11901</v>
      </c>
      <c r="V9" s="50">
        <v>14849</v>
      </c>
      <c r="W9" s="50">
        <v>16770</v>
      </c>
    </row>
    <row r="10" spans="1:26" x14ac:dyDescent="0.3">
      <c r="A10" s="12" t="s">
        <v>45</v>
      </c>
      <c r="B10" s="63">
        <f t="shared" si="1"/>
        <v>0.61327128058850022</v>
      </c>
      <c r="C10" s="63">
        <f t="shared" si="2"/>
        <v>0.6980965808953119</v>
      </c>
      <c r="D10" s="63">
        <f t="shared" si="3"/>
        <v>0.71689497716894979</v>
      </c>
      <c r="E10" s="63">
        <f t="shared" si="4"/>
        <v>0.8391240261107602</v>
      </c>
      <c r="F10" s="63">
        <f t="shared" si="5"/>
        <v>0.81143711455802658</v>
      </c>
      <c r="G10" s="63">
        <f t="shared" si="6"/>
        <v>0.71143490655685782</v>
      </c>
      <c r="I10" s="12" t="s">
        <v>186</v>
      </c>
      <c r="J10" s="50">
        <v>4085</v>
      </c>
      <c r="K10" s="50">
        <v>3961</v>
      </c>
      <c r="L10" s="50">
        <v>4082</v>
      </c>
      <c r="M10" s="50">
        <v>3985</v>
      </c>
      <c r="N10" s="50">
        <v>4342</v>
      </c>
      <c r="O10" s="50">
        <v>4492</v>
      </c>
      <c r="Q10" s="12" t="s">
        <v>186</v>
      </c>
      <c r="R10" s="50">
        <v>6661</v>
      </c>
      <c r="S10" s="50">
        <v>5674</v>
      </c>
      <c r="T10" s="50">
        <v>5694</v>
      </c>
      <c r="U10" s="50">
        <v>4749</v>
      </c>
      <c r="V10" s="50">
        <v>5351</v>
      </c>
      <c r="W10" s="50">
        <v>6314</v>
      </c>
    </row>
    <row r="11" spans="1:26" x14ac:dyDescent="0.3">
      <c r="A11" s="12" t="s">
        <v>40</v>
      </c>
      <c r="B11" s="63">
        <f t="shared" si="1"/>
        <v>0.61292030712205459</v>
      </c>
      <c r="C11" s="63">
        <f t="shared" si="2"/>
        <v>0.68088997256933859</v>
      </c>
      <c r="D11" s="63">
        <f t="shared" si="3"/>
        <v>0.68723820161965932</v>
      </c>
      <c r="E11" s="63">
        <f t="shared" si="4"/>
        <v>0.79383886255924174</v>
      </c>
      <c r="F11" s="63">
        <f t="shared" si="5"/>
        <v>0.74971509971509975</v>
      </c>
      <c r="G11" s="63">
        <f t="shared" si="6"/>
        <v>0.77612586605080836</v>
      </c>
      <c r="I11" s="12" t="s">
        <v>187</v>
      </c>
      <c r="J11" s="50">
        <v>4630</v>
      </c>
      <c r="K11" s="50">
        <v>4468</v>
      </c>
      <c r="L11" s="50">
        <v>4922</v>
      </c>
      <c r="M11" s="50">
        <v>4355</v>
      </c>
      <c r="N11" s="50">
        <v>5263</v>
      </c>
      <c r="O11" s="50">
        <v>5377</v>
      </c>
      <c r="Q11" s="12" t="s">
        <v>187</v>
      </c>
      <c r="R11" s="50">
        <v>7554</v>
      </c>
      <c r="S11" s="50">
        <v>6562</v>
      </c>
      <c r="T11" s="50">
        <v>7162</v>
      </c>
      <c r="U11" s="50">
        <v>5486</v>
      </c>
      <c r="V11" s="50">
        <v>7020</v>
      </c>
      <c r="W11" s="50">
        <v>6928</v>
      </c>
    </row>
    <row r="12" spans="1:26" x14ac:dyDescent="0.3">
      <c r="A12" s="12" t="s">
        <v>37</v>
      </c>
      <c r="B12" s="63">
        <f t="shared" si="1"/>
        <v>0.62919042189281638</v>
      </c>
      <c r="C12" s="63">
        <f t="shared" si="2"/>
        <v>0.71602884082085416</v>
      </c>
      <c r="D12" s="63">
        <f t="shared" si="3"/>
        <v>0.78145879732739421</v>
      </c>
      <c r="E12" s="63">
        <f t="shared" si="4"/>
        <v>0.85413181666109061</v>
      </c>
      <c r="F12" s="63">
        <f t="shared" si="5"/>
        <v>0.79112426035502958</v>
      </c>
      <c r="G12" s="63">
        <f t="shared" si="6"/>
        <v>0.69751315160210425</v>
      </c>
      <c r="I12" s="12" t="s">
        <v>188</v>
      </c>
      <c r="J12" s="50">
        <v>2759</v>
      </c>
      <c r="K12" s="50">
        <v>2582</v>
      </c>
      <c r="L12" s="50">
        <v>2807</v>
      </c>
      <c r="M12" s="50">
        <v>2553</v>
      </c>
      <c r="N12" s="50">
        <v>2674</v>
      </c>
      <c r="O12" s="50">
        <v>2917</v>
      </c>
      <c r="Q12" s="12" t="s">
        <v>188</v>
      </c>
      <c r="R12" s="50">
        <v>4385</v>
      </c>
      <c r="S12" s="50">
        <v>3606</v>
      </c>
      <c r="T12" s="50">
        <v>3592</v>
      </c>
      <c r="U12" s="50">
        <v>2989</v>
      </c>
      <c r="V12" s="50">
        <v>3380</v>
      </c>
      <c r="W12" s="50">
        <v>4182</v>
      </c>
    </row>
    <row r="13" spans="1:26" x14ac:dyDescent="0.3">
      <c r="A13" s="12" t="s">
        <v>56</v>
      </c>
      <c r="B13" s="63">
        <f t="shared" si="1"/>
        <v>0.6406652913873131</v>
      </c>
      <c r="C13" s="63">
        <f t="shared" si="2"/>
        <v>0.70950122179100183</v>
      </c>
      <c r="D13" s="63">
        <f t="shared" si="3"/>
        <v>0.67888501742160279</v>
      </c>
      <c r="E13" s="63">
        <f t="shared" si="4"/>
        <v>0.85322307836872768</v>
      </c>
      <c r="F13" s="63">
        <f t="shared" si="5"/>
        <v>0.7042128603104213</v>
      </c>
      <c r="G13" s="63">
        <f t="shared" si="6"/>
        <v>0.66804315971759687</v>
      </c>
      <c r="I13" s="12" t="s">
        <v>189</v>
      </c>
      <c r="J13" s="50">
        <v>4969</v>
      </c>
      <c r="K13" s="50">
        <v>4936</v>
      </c>
      <c r="L13" s="50">
        <v>4871</v>
      </c>
      <c r="M13" s="50">
        <v>4540</v>
      </c>
      <c r="N13" s="50">
        <v>4764</v>
      </c>
      <c r="O13" s="50">
        <v>5015</v>
      </c>
      <c r="Q13" s="12" t="s">
        <v>189</v>
      </c>
      <c r="R13" s="50">
        <v>7756</v>
      </c>
      <c r="S13" s="50">
        <v>6957</v>
      </c>
      <c r="T13" s="50">
        <v>7175</v>
      </c>
      <c r="U13" s="50">
        <v>5321</v>
      </c>
      <c r="V13" s="50">
        <v>6765</v>
      </c>
      <c r="W13" s="50">
        <v>7507</v>
      </c>
    </row>
    <row r="14" spans="1:26" x14ac:dyDescent="0.3">
      <c r="A14" s="12" t="s">
        <v>51</v>
      </c>
      <c r="B14" s="63">
        <f t="shared" si="1"/>
        <v>0.61054692279456746</v>
      </c>
      <c r="C14" s="63">
        <f t="shared" si="2"/>
        <v>0.69770200148257966</v>
      </c>
      <c r="D14" s="63">
        <f t="shared" si="3"/>
        <v>0.6964285714285714</v>
      </c>
      <c r="E14" s="63">
        <f t="shared" si="4"/>
        <v>0.8484689413823272</v>
      </c>
      <c r="F14" s="63">
        <f t="shared" si="5"/>
        <v>0.76732452886184899</v>
      </c>
      <c r="G14" s="63">
        <f t="shared" si="6"/>
        <v>0.65638354700854706</v>
      </c>
      <c r="I14" s="12" t="s">
        <v>190</v>
      </c>
      <c r="J14" s="50">
        <v>4990</v>
      </c>
      <c r="K14" s="50">
        <v>4706</v>
      </c>
      <c r="L14" s="50">
        <v>4914</v>
      </c>
      <c r="M14" s="50">
        <v>4849</v>
      </c>
      <c r="N14" s="50">
        <v>5171</v>
      </c>
      <c r="O14" s="50">
        <v>4915</v>
      </c>
      <c r="Q14" s="12" t="s">
        <v>190</v>
      </c>
      <c r="R14" s="50">
        <v>8173</v>
      </c>
      <c r="S14" s="50">
        <v>6745</v>
      </c>
      <c r="T14" s="50">
        <v>7056</v>
      </c>
      <c r="U14" s="50">
        <v>5715</v>
      </c>
      <c r="V14" s="50">
        <v>6739</v>
      </c>
      <c r="W14" s="50">
        <v>7488</v>
      </c>
    </row>
    <row r="15" spans="1:26" x14ac:dyDescent="0.3">
      <c r="A15" s="12" t="s">
        <v>21</v>
      </c>
      <c r="B15" s="63">
        <f t="shared" si="1"/>
        <v>0.59409474367293968</v>
      </c>
      <c r="C15" s="63">
        <f t="shared" si="2"/>
        <v>0.59618151969030586</v>
      </c>
      <c r="D15" s="63">
        <f t="shared" si="3"/>
        <v>0.66698682034043011</v>
      </c>
      <c r="E15" s="63">
        <f t="shared" si="4"/>
        <v>0.69616963661774978</v>
      </c>
      <c r="F15" s="63">
        <f t="shared" si="5"/>
        <v>0.61389509888220117</v>
      </c>
      <c r="G15" s="63">
        <f t="shared" si="6"/>
        <v>0.5800307508864414</v>
      </c>
      <c r="I15" s="12" t="s">
        <v>191</v>
      </c>
      <c r="J15" s="50">
        <v>34789</v>
      </c>
      <c r="K15" s="50">
        <v>29415</v>
      </c>
      <c r="L15" s="50">
        <v>37500</v>
      </c>
      <c r="M15" s="50">
        <v>31879</v>
      </c>
      <c r="N15" s="50">
        <v>35698</v>
      </c>
      <c r="O15" s="50">
        <v>36970</v>
      </c>
      <c r="Q15" s="12" t="s">
        <v>191</v>
      </c>
      <c r="R15" s="50">
        <v>58558</v>
      </c>
      <c r="S15" s="50">
        <v>49339</v>
      </c>
      <c r="T15" s="50">
        <v>56223</v>
      </c>
      <c r="U15" s="50">
        <v>45792</v>
      </c>
      <c r="V15" s="50">
        <v>58150</v>
      </c>
      <c r="W15" s="50">
        <v>63738</v>
      </c>
    </row>
    <row r="16" spans="1:26" x14ac:dyDescent="0.3">
      <c r="A16" s="12" t="s">
        <v>70</v>
      </c>
      <c r="B16" s="63">
        <f t="shared" si="1"/>
        <v>0.61589772095608675</v>
      </c>
      <c r="C16" s="63">
        <f t="shared" si="2"/>
        <v>0.62909654561558903</v>
      </c>
      <c r="D16" s="63">
        <f t="shared" si="3"/>
        <v>0.69856358259400086</v>
      </c>
      <c r="E16" s="63">
        <f t="shared" si="4"/>
        <v>0.84161397169527252</v>
      </c>
      <c r="F16" s="63">
        <f t="shared" si="5"/>
        <v>0.73955495004541327</v>
      </c>
      <c r="G16" s="63">
        <f t="shared" si="6"/>
        <v>0.68211779715075482</v>
      </c>
      <c r="I16" s="12" t="s">
        <v>192</v>
      </c>
      <c r="J16" s="50">
        <v>3324</v>
      </c>
      <c r="K16" s="50">
        <v>2841</v>
      </c>
      <c r="L16" s="50">
        <v>3307</v>
      </c>
      <c r="M16" s="50">
        <v>2795</v>
      </c>
      <c r="N16" s="50">
        <v>3257</v>
      </c>
      <c r="O16" s="50">
        <v>3208</v>
      </c>
      <c r="Q16" s="12" t="s">
        <v>192</v>
      </c>
      <c r="R16" s="50">
        <v>5397</v>
      </c>
      <c r="S16" s="50">
        <v>4516</v>
      </c>
      <c r="T16" s="50">
        <v>4734</v>
      </c>
      <c r="U16" s="50">
        <v>3321</v>
      </c>
      <c r="V16" s="50">
        <v>4404</v>
      </c>
      <c r="W16" s="50">
        <v>4703</v>
      </c>
    </row>
    <row r="17" spans="1:23" x14ac:dyDescent="0.3">
      <c r="A17" s="12" t="s">
        <v>59</v>
      </c>
      <c r="B17" s="63">
        <f t="shared" si="1"/>
        <v>0.62062592410054218</v>
      </c>
      <c r="C17" s="63">
        <f t="shared" si="2"/>
        <v>0.71215094339622642</v>
      </c>
      <c r="D17" s="63">
        <f t="shared" si="3"/>
        <v>0.75245579567779963</v>
      </c>
      <c r="E17" s="63">
        <f t="shared" si="4"/>
        <v>0.85820749166503241</v>
      </c>
      <c r="F17" s="63">
        <f t="shared" si="5"/>
        <v>0.78583223249669754</v>
      </c>
      <c r="G17" s="63">
        <f t="shared" si="6"/>
        <v>0.62022533663094259</v>
      </c>
      <c r="I17" s="12" t="s">
        <v>193</v>
      </c>
      <c r="J17" s="50">
        <v>5037</v>
      </c>
      <c r="K17" s="50">
        <v>4718</v>
      </c>
      <c r="L17" s="50">
        <v>4979</v>
      </c>
      <c r="M17" s="50">
        <v>4376</v>
      </c>
      <c r="N17" s="50">
        <v>4759</v>
      </c>
      <c r="O17" s="50">
        <v>4514</v>
      </c>
      <c r="Q17" s="12" t="s">
        <v>193</v>
      </c>
      <c r="R17" s="50">
        <v>8116</v>
      </c>
      <c r="S17" s="50">
        <v>6625</v>
      </c>
      <c r="T17" s="50">
        <v>6617</v>
      </c>
      <c r="U17" s="50">
        <v>5099</v>
      </c>
      <c r="V17" s="50">
        <v>6056</v>
      </c>
      <c r="W17" s="50">
        <v>7278</v>
      </c>
    </row>
    <row r="18" spans="1:23" x14ac:dyDescent="0.3">
      <c r="A18" s="12" t="s">
        <v>43</v>
      </c>
      <c r="B18" s="63">
        <f t="shared" si="1"/>
        <v>0.66568869672637432</v>
      </c>
      <c r="C18" s="63">
        <f t="shared" si="2"/>
        <v>0.79339316402520532</v>
      </c>
      <c r="D18" s="63">
        <f t="shared" si="3"/>
        <v>0.76313025210084029</v>
      </c>
      <c r="E18" s="63">
        <f t="shared" si="4"/>
        <v>0.88007016005262007</v>
      </c>
      <c r="F18" s="63">
        <f t="shared" si="5"/>
        <v>0.75013779165901162</v>
      </c>
      <c r="G18" s="63">
        <f t="shared" si="6"/>
        <v>0.67933180478218147</v>
      </c>
      <c r="I18" s="12" t="s">
        <v>194</v>
      </c>
      <c r="J18" s="50">
        <v>4311</v>
      </c>
      <c r="K18" s="50">
        <v>4155</v>
      </c>
      <c r="L18" s="50">
        <v>4359</v>
      </c>
      <c r="M18" s="50">
        <v>4014</v>
      </c>
      <c r="N18" s="50">
        <v>4083</v>
      </c>
      <c r="O18" s="50">
        <v>4148</v>
      </c>
      <c r="Q18" s="12" t="s">
        <v>194</v>
      </c>
      <c r="R18" s="50">
        <v>6476</v>
      </c>
      <c r="S18" s="50">
        <v>5237</v>
      </c>
      <c r="T18" s="50">
        <v>5712</v>
      </c>
      <c r="U18" s="50">
        <v>4561</v>
      </c>
      <c r="V18" s="50">
        <v>5443</v>
      </c>
      <c r="W18" s="50">
        <v>6106</v>
      </c>
    </row>
    <row r="19" spans="1:23" x14ac:dyDescent="0.3">
      <c r="A19" s="12" t="s">
        <v>15</v>
      </c>
      <c r="B19" s="63">
        <f t="shared" si="1"/>
        <v>0.63846866316764439</v>
      </c>
      <c r="C19" s="63">
        <f t="shared" si="2"/>
        <v>0.69549741946965649</v>
      </c>
      <c r="D19" s="63">
        <f t="shared" si="3"/>
        <v>0.69675845242244683</v>
      </c>
      <c r="E19" s="63">
        <f t="shared" si="4"/>
        <v>0.76263924592973431</v>
      </c>
      <c r="F19" s="63">
        <f t="shared" si="5"/>
        <v>0.74214538018219001</v>
      </c>
      <c r="G19" s="63">
        <f t="shared" si="6"/>
        <v>0.65908702342280734</v>
      </c>
      <c r="I19" s="12" t="s">
        <v>195</v>
      </c>
      <c r="J19" s="50">
        <v>4136</v>
      </c>
      <c r="K19" s="50">
        <v>3908</v>
      </c>
      <c r="L19" s="50">
        <v>3998</v>
      </c>
      <c r="M19" s="50">
        <v>3560</v>
      </c>
      <c r="N19" s="50">
        <v>3992</v>
      </c>
      <c r="O19" s="50">
        <v>3855</v>
      </c>
      <c r="Q19" s="12" t="s">
        <v>195</v>
      </c>
      <c r="R19" s="50">
        <v>6478</v>
      </c>
      <c r="S19" s="50">
        <v>5619</v>
      </c>
      <c r="T19" s="50">
        <v>5738</v>
      </c>
      <c r="U19" s="50">
        <v>4668</v>
      </c>
      <c r="V19" s="50">
        <v>5379</v>
      </c>
      <c r="W19" s="50">
        <v>5849</v>
      </c>
    </row>
    <row r="20" spans="1:23" x14ac:dyDescent="0.3">
      <c r="A20" s="12" t="s">
        <v>38</v>
      </c>
      <c r="B20" s="63">
        <f t="shared" si="1"/>
        <v>0.62313797977601393</v>
      </c>
      <c r="C20" s="63">
        <f t="shared" si="2"/>
        <v>0.72366148531951646</v>
      </c>
      <c r="D20" s="63">
        <f t="shared" si="3"/>
        <v>0.73299252850963426</v>
      </c>
      <c r="E20" s="63">
        <f t="shared" si="4"/>
        <v>0.79815653804093112</v>
      </c>
      <c r="F20" s="63">
        <f t="shared" si="5"/>
        <v>0.75522346755223468</v>
      </c>
      <c r="G20" s="63">
        <f t="shared" si="6"/>
        <v>0.63716713881019826</v>
      </c>
      <c r="I20" s="12" t="s">
        <v>196</v>
      </c>
      <c r="J20" s="50">
        <v>5731</v>
      </c>
      <c r="K20" s="50">
        <v>5447</v>
      </c>
      <c r="L20" s="50">
        <v>5592</v>
      </c>
      <c r="M20" s="50">
        <v>5109</v>
      </c>
      <c r="N20" s="50">
        <v>5458</v>
      </c>
      <c r="O20" s="50">
        <v>5623</v>
      </c>
      <c r="Q20" s="12" t="s">
        <v>196</v>
      </c>
      <c r="R20" s="50">
        <v>9197</v>
      </c>
      <c r="S20" s="50">
        <v>7527</v>
      </c>
      <c r="T20" s="50">
        <v>7629</v>
      </c>
      <c r="U20" s="50">
        <v>6401</v>
      </c>
      <c r="V20" s="50">
        <v>7227</v>
      </c>
      <c r="W20" s="50">
        <v>8825</v>
      </c>
    </row>
    <row r="21" spans="1:23" x14ac:dyDescent="0.3">
      <c r="A21" s="12" t="s">
        <v>39</v>
      </c>
      <c r="B21" s="63">
        <f t="shared" si="1"/>
        <v>0.60789777094542663</v>
      </c>
      <c r="C21" s="63">
        <f t="shared" si="2"/>
        <v>0.71477581923577427</v>
      </c>
      <c r="D21" s="63">
        <f t="shared" si="3"/>
        <v>0.67654867256637163</v>
      </c>
      <c r="E21" s="63">
        <f t="shared" si="4"/>
        <v>0.80449826989619377</v>
      </c>
      <c r="F21" s="63">
        <f t="shared" si="5"/>
        <v>0.69959220661531496</v>
      </c>
      <c r="G21" s="63">
        <f t="shared" si="6"/>
        <v>0.59315441462465968</v>
      </c>
      <c r="I21" s="12" t="s">
        <v>197</v>
      </c>
      <c r="J21" s="50">
        <v>6327</v>
      </c>
      <c r="K21" s="50">
        <v>6042</v>
      </c>
      <c r="L21" s="50">
        <v>6116</v>
      </c>
      <c r="M21" s="50">
        <v>5580</v>
      </c>
      <c r="N21" s="50">
        <v>6176</v>
      </c>
      <c r="O21" s="50">
        <v>6100</v>
      </c>
      <c r="Q21" s="12" t="s">
        <v>197</v>
      </c>
      <c r="R21" s="50">
        <v>10408</v>
      </c>
      <c r="S21" s="50">
        <v>8453</v>
      </c>
      <c r="T21" s="50">
        <v>9040</v>
      </c>
      <c r="U21" s="50">
        <v>6936</v>
      </c>
      <c r="V21" s="50">
        <v>8828</v>
      </c>
      <c r="W21" s="50">
        <v>10284</v>
      </c>
    </row>
    <row r="22" spans="1:23" x14ac:dyDescent="0.3">
      <c r="A22" s="12" t="s">
        <v>78</v>
      </c>
      <c r="B22" s="63">
        <f t="shared" si="1"/>
        <v>0.5947030497592295</v>
      </c>
      <c r="C22" s="63">
        <f t="shared" si="2"/>
        <v>0.69068660774983004</v>
      </c>
      <c r="D22" s="63">
        <f t="shared" si="3"/>
        <v>0.67189249720044797</v>
      </c>
      <c r="E22" s="63">
        <f t="shared" si="4"/>
        <v>0.71304215027489315</v>
      </c>
      <c r="F22" s="63">
        <f t="shared" si="5"/>
        <v>0.70442790462974647</v>
      </c>
      <c r="G22" s="63">
        <f t="shared" si="6"/>
        <v>0.63262951424945191</v>
      </c>
      <c r="I22" s="12" t="s">
        <v>198</v>
      </c>
      <c r="J22" s="50">
        <v>5187</v>
      </c>
      <c r="K22" s="50">
        <v>5080</v>
      </c>
      <c r="L22" s="50">
        <v>5400</v>
      </c>
      <c r="M22" s="50">
        <v>4669</v>
      </c>
      <c r="N22" s="50">
        <v>5584</v>
      </c>
      <c r="O22" s="50">
        <v>5483</v>
      </c>
      <c r="Q22" s="12" t="s">
        <v>198</v>
      </c>
      <c r="R22" s="50">
        <v>8722</v>
      </c>
      <c r="S22" s="50">
        <v>7355</v>
      </c>
      <c r="T22" s="50">
        <v>8037</v>
      </c>
      <c r="U22" s="50">
        <v>6548</v>
      </c>
      <c r="V22" s="50">
        <v>7927</v>
      </c>
      <c r="W22" s="50">
        <v>8667</v>
      </c>
    </row>
    <row r="23" spans="1:23" x14ac:dyDescent="0.3">
      <c r="A23" s="12" t="s">
        <v>13</v>
      </c>
      <c r="B23" s="63">
        <f t="shared" si="1"/>
        <v>0.49956712839637718</v>
      </c>
      <c r="C23" s="63">
        <f t="shared" si="2"/>
        <v>0.58261515207764314</v>
      </c>
      <c r="D23" s="63">
        <f t="shared" si="3"/>
        <v>0.57883942574496317</v>
      </c>
      <c r="E23" s="63">
        <f t="shared" si="4"/>
        <v>0.60010519197535506</v>
      </c>
      <c r="F23" s="63">
        <f t="shared" si="5"/>
        <v>0.52809205305520912</v>
      </c>
      <c r="G23" s="63">
        <f t="shared" si="6"/>
        <v>0.4695178050882749</v>
      </c>
      <c r="I23" s="12" t="s">
        <v>264</v>
      </c>
      <c r="J23" s="50">
        <v>45009</v>
      </c>
      <c r="K23" s="50">
        <v>43942</v>
      </c>
      <c r="L23" s="50">
        <v>47980</v>
      </c>
      <c r="M23" s="50">
        <v>39934</v>
      </c>
      <c r="N23" s="50">
        <v>46583</v>
      </c>
      <c r="O23" s="50">
        <v>48481</v>
      </c>
      <c r="Q23" s="12" t="s">
        <v>264</v>
      </c>
      <c r="R23" s="50">
        <v>90096</v>
      </c>
      <c r="S23" s="50">
        <v>75422</v>
      </c>
      <c r="T23" s="50">
        <v>82890</v>
      </c>
      <c r="U23" s="50">
        <v>66545</v>
      </c>
      <c r="V23" s="50">
        <v>88210</v>
      </c>
      <c r="W23" s="50">
        <v>103257</v>
      </c>
    </row>
    <row r="24" spans="1:23" x14ac:dyDescent="0.3">
      <c r="A24" s="12" t="s">
        <v>97</v>
      </c>
      <c r="B24" s="63">
        <f t="shared" si="1"/>
        <v>0.5782573563458413</v>
      </c>
      <c r="C24" s="63">
        <f t="shared" si="2"/>
        <v>0.69412020905923344</v>
      </c>
      <c r="D24" s="63">
        <f t="shared" si="3"/>
        <v>0.66254849599435683</v>
      </c>
      <c r="E24" s="63">
        <f t="shared" si="4"/>
        <v>0.6985928500255183</v>
      </c>
      <c r="F24" s="63">
        <f t="shared" si="5"/>
        <v>0.64262096162596694</v>
      </c>
      <c r="G24" s="63">
        <f t="shared" si="6"/>
        <v>0.56450505501295933</v>
      </c>
      <c r="I24" s="12" t="s">
        <v>199</v>
      </c>
      <c r="J24" s="50">
        <v>63691</v>
      </c>
      <c r="K24" s="50">
        <v>63748</v>
      </c>
      <c r="L24" s="50">
        <v>65748</v>
      </c>
      <c r="M24" s="50">
        <v>57490</v>
      </c>
      <c r="N24" s="50">
        <v>63552</v>
      </c>
      <c r="O24" s="50">
        <v>65775</v>
      </c>
      <c r="Q24" s="12" t="s">
        <v>199</v>
      </c>
      <c r="R24" s="50">
        <v>110143</v>
      </c>
      <c r="S24" s="50">
        <v>91840</v>
      </c>
      <c r="T24" s="50">
        <v>99235</v>
      </c>
      <c r="U24" s="50">
        <v>82294</v>
      </c>
      <c r="V24" s="50">
        <v>98895</v>
      </c>
      <c r="W24" s="50">
        <v>116518</v>
      </c>
    </row>
    <row r="25" spans="1:23" x14ac:dyDescent="0.3">
      <c r="A25" s="12" t="s">
        <v>71</v>
      </c>
      <c r="B25" s="63">
        <f t="shared" si="1"/>
        <v>0.63714351959193138</v>
      </c>
      <c r="C25" s="63">
        <f t="shared" si="2"/>
        <v>0.62623448974423901</v>
      </c>
      <c r="D25" s="63">
        <f t="shared" si="3"/>
        <v>0.72147395171537487</v>
      </c>
      <c r="E25" s="63">
        <f t="shared" si="4"/>
        <v>0.73509526736324526</v>
      </c>
      <c r="F25" s="63">
        <f t="shared" si="5"/>
        <v>0.69380347420274824</v>
      </c>
      <c r="G25" s="63">
        <f t="shared" si="6"/>
        <v>0.58501560874089487</v>
      </c>
      <c r="I25" s="12" t="s">
        <v>200</v>
      </c>
      <c r="J25" s="50">
        <v>2748</v>
      </c>
      <c r="K25" s="50">
        <v>2473</v>
      </c>
      <c r="L25" s="50">
        <v>2839</v>
      </c>
      <c r="M25" s="50">
        <v>2392</v>
      </c>
      <c r="N25" s="50">
        <v>2676</v>
      </c>
      <c r="O25" s="50">
        <v>2811</v>
      </c>
      <c r="Q25" s="12" t="s">
        <v>200</v>
      </c>
      <c r="R25" s="50">
        <v>4313</v>
      </c>
      <c r="S25" s="50">
        <v>3949</v>
      </c>
      <c r="T25" s="50">
        <v>3935</v>
      </c>
      <c r="U25" s="50">
        <v>3254</v>
      </c>
      <c r="V25" s="50">
        <v>3857</v>
      </c>
      <c r="W25" s="50">
        <v>4805</v>
      </c>
    </row>
    <row r="26" spans="1:23" x14ac:dyDescent="0.3">
      <c r="A26" s="12" t="s">
        <v>65</v>
      </c>
      <c r="B26" s="63">
        <f t="shared" si="1"/>
        <v>0.71159347131078576</v>
      </c>
      <c r="C26" s="63">
        <f t="shared" si="2"/>
        <v>0.81851296335975998</v>
      </c>
      <c r="D26" s="63">
        <f t="shared" si="3"/>
        <v>0.8032445923460898</v>
      </c>
      <c r="E26" s="63">
        <f t="shared" si="4"/>
        <v>0.89757767245918907</v>
      </c>
      <c r="F26" s="63">
        <f t="shared" si="5"/>
        <v>0.84855334538878846</v>
      </c>
      <c r="G26" s="63">
        <f t="shared" si="6"/>
        <v>0.76322163907953167</v>
      </c>
      <c r="I26" s="12" t="s">
        <v>201</v>
      </c>
      <c r="J26" s="50">
        <v>4229</v>
      </c>
      <c r="K26" s="50">
        <v>3820</v>
      </c>
      <c r="L26" s="50">
        <v>3862</v>
      </c>
      <c r="M26" s="50">
        <v>3409</v>
      </c>
      <c r="N26" s="50">
        <v>3754</v>
      </c>
      <c r="O26" s="50">
        <v>3781</v>
      </c>
      <c r="Q26" s="12" t="s">
        <v>201</v>
      </c>
      <c r="R26" s="50">
        <v>5943</v>
      </c>
      <c r="S26" s="50">
        <v>4667</v>
      </c>
      <c r="T26" s="50">
        <v>4808</v>
      </c>
      <c r="U26" s="50">
        <v>3798</v>
      </c>
      <c r="V26" s="50">
        <v>4424</v>
      </c>
      <c r="W26" s="50">
        <v>4954</v>
      </c>
    </row>
    <row r="27" spans="1:23" x14ac:dyDescent="0.3">
      <c r="A27" s="12" t="s">
        <v>53</v>
      </c>
      <c r="B27" s="63">
        <f t="shared" si="1"/>
        <v>0.61706349206349209</v>
      </c>
      <c r="C27" s="63">
        <f t="shared" si="2"/>
        <v>0.7450067577714371</v>
      </c>
      <c r="D27" s="63">
        <f t="shared" si="3"/>
        <v>0.70481840544060192</v>
      </c>
      <c r="E27" s="63">
        <f t="shared" si="4"/>
        <v>0.8651428571428571</v>
      </c>
      <c r="F27" s="63">
        <f t="shared" si="5"/>
        <v>0.79530719357826485</v>
      </c>
      <c r="G27" s="63">
        <f t="shared" si="6"/>
        <v>0.70252123869553307</v>
      </c>
      <c r="I27" s="12" t="s">
        <v>202</v>
      </c>
      <c r="J27" s="50">
        <v>4976</v>
      </c>
      <c r="K27" s="50">
        <v>4961</v>
      </c>
      <c r="L27" s="50">
        <v>4871</v>
      </c>
      <c r="M27" s="50">
        <v>4542</v>
      </c>
      <c r="N27" s="50">
        <v>5152</v>
      </c>
      <c r="O27" s="50">
        <v>5127</v>
      </c>
      <c r="Q27" s="12" t="s">
        <v>202</v>
      </c>
      <c r="R27" s="50">
        <v>8064</v>
      </c>
      <c r="S27" s="50">
        <v>6659</v>
      </c>
      <c r="T27" s="50">
        <v>6911</v>
      </c>
      <c r="U27" s="50">
        <v>5250</v>
      </c>
      <c r="V27" s="50">
        <v>6478</v>
      </c>
      <c r="W27" s="50">
        <v>7298</v>
      </c>
    </row>
    <row r="28" spans="1:23" x14ac:dyDescent="0.3">
      <c r="A28" s="12" t="s">
        <v>7</v>
      </c>
      <c r="B28" s="63">
        <f t="shared" si="1"/>
        <v>0.54618473895582331</v>
      </c>
      <c r="C28" s="63">
        <f t="shared" si="2"/>
        <v>0.77619047619047621</v>
      </c>
      <c r="D28" s="63">
        <f t="shared" si="3"/>
        <v>0.77533039647577096</v>
      </c>
      <c r="E28" s="63">
        <f t="shared" si="4"/>
        <v>0.99371069182389937</v>
      </c>
      <c r="F28" s="63">
        <f t="shared" si="5"/>
        <v>0.85436893203883491</v>
      </c>
      <c r="G28" s="63">
        <f t="shared" si="6"/>
        <v>0.63888888888888884</v>
      </c>
      <c r="I28" s="12" t="s">
        <v>263</v>
      </c>
      <c r="J28" s="50">
        <v>136</v>
      </c>
      <c r="K28" s="50">
        <v>163</v>
      </c>
      <c r="L28" s="50">
        <v>176</v>
      </c>
      <c r="M28" s="50">
        <v>158</v>
      </c>
      <c r="N28" s="50">
        <v>176</v>
      </c>
      <c r="O28" s="50">
        <v>161</v>
      </c>
      <c r="Q28" s="12" t="s">
        <v>263</v>
      </c>
      <c r="R28" s="50">
        <v>249</v>
      </c>
      <c r="S28" s="50">
        <v>210</v>
      </c>
      <c r="T28" s="50">
        <v>227</v>
      </c>
      <c r="U28" s="50">
        <v>159</v>
      </c>
      <c r="V28" s="50">
        <v>206</v>
      </c>
      <c r="W28" s="50">
        <v>252</v>
      </c>
    </row>
    <row r="29" spans="1:23" x14ac:dyDescent="0.3">
      <c r="A29" s="12" t="s">
        <v>88</v>
      </c>
      <c r="B29" s="63">
        <f t="shared" si="1"/>
        <v>0.61932181701855404</v>
      </c>
      <c r="C29" s="63">
        <f t="shared" si="2"/>
        <v>0.74399131648317574</v>
      </c>
      <c r="D29" s="63">
        <f t="shared" si="3"/>
        <v>0.70242369838420105</v>
      </c>
      <c r="E29" s="63">
        <f t="shared" si="4"/>
        <v>0.86112747986643101</v>
      </c>
      <c r="F29" s="63">
        <f t="shared" si="5"/>
        <v>0.79336734693877553</v>
      </c>
      <c r="G29" s="63">
        <f t="shared" si="6"/>
        <v>0.70479704797047971</v>
      </c>
      <c r="I29" s="12" t="s">
        <v>203</v>
      </c>
      <c r="J29" s="50">
        <v>4840</v>
      </c>
      <c r="K29" s="50">
        <v>4798</v>
      </c>
      <c r="L29" s="50">
        <v>4695</v>
      </c>
      <c r="M29" s="50">
        <v>4384</v>
      </c>
      <c r="N29" s="50">
        <v>4976</v>
      </c>
      <c r="O29" s="50">
        <v>4966</v>
      </c>
      <c r="Q29" s="12" t="s">
        <v>203</v>
      </c>
      <c r="R29" s="50">
        <v>7815</v>
      </c>
      <c r="S29" s="50">
        <v>6449</v>
      </c>
      <c r="T29" s="50">
        <v>6684</v>
      </c>
      <c r="U29" s="50">
        <v>5091</v>
      </c>
      <c r="V29" s="50">
        <v>6272</v>
      </c>
      <c r="W29" s="50">
        <v>7046</v>
      </c>
    </row>
    <row r="30" spans="1:23" x14ac:dyDescent="0.3">
      <c r="A30" s="12" t="s">
        <v>80</v>
      </c>
      <c r="B30" s="63">
        <f t="shared" si="1"/>
        <v>0.60857179852388965</v>
      </c>
      <c r="C30" s="63">
        <f t="shared" si="2"/>
        <v>0.73277256551277903</v>
      </c>
      <c r="D30" s="63">
        <f t="shared" si="3"/>
        <v>0.67659450820862999</v>
      </c>
      <c r="E30" s="63">
        <f t="shared" si="4"/>
        <v>0.77313215778949285</v>
      </c>
      <c r="F30" s="63">
        <f t="shared" si="5"/>
        <v>0.7782479235229588</v>
      </c>
      <c r="G30" s="63">
        <f t="shared" si="6"/>
        <v>0.70149663600164769</v>
      </c>
      <c r="I30" s="12" t="s">
        <v>204</v>
      </c>
      <c r="J30" s="50">
        <v>4700</v>
      </c>
      <c r="K30" s="50">
        <v>4530</v>
      </c>
      <c r="L30" s="50">
        <v>4657</v>
      </c>
      <c r="M30" s="50">
        <v>4253</v>
      </c>
      <c r="N30" s="50">
        <v>4966</v>
      </c>
      <c r="O30" s="50">
        <v>5109</v>
      </c>
      <c r="Q30" s="12" t="s">
        <v>204</v>
      </c>
      <c r="R30" s="50">
        <v>7723</v>
      </c>
      <c r="S30" s="50">
        <v>6182</v>
      </c>
      <c r="T30" s="50">
        <v>6883</v>
      </c>
      <c r="U30" s="50">
        <v>5501</v>
      </c>
      <c r="V30" s="50">
        <v>6381</v>
      </c>
      <c r="W30" s="50">
        <v>7283</v>
      </c>
    </row>
    <row r="31" spans="1:23" x14ac:dyDescent="0.3">
      <c r="A31" s="12" t="s">
        <v>69</v>
      </c>
      <c r="B31" s="63">
        <f t="shared" si="1"/>
        <v>0.6437148696985181</v>
      </c>
      <c r="C31" s="63">
        <f t="shared" si="2"/>
        <v>0.74302391799544421</v>
      </c>
      <c r="D31" s="63">
        <f t="shared" si="3"/>
        <v>0.74060099717019268</v>
      </c>
      <c r="E31" s="63">
        <f t="shared" si="4"/>
        <v>0.78175895765472314</v>
      </c>
      <c r="F31" s="63">
        <f t="shared" si="5"/>
        <v>0.63465741097827488</v>
      </c>
      <c r="G31" s="63">
        <f t="shared" si="6"/>
        <v>0.58444238109976276</v>
      </c>
      <c r="I31" s="12" t="s">
        <v>205</v>
      </c>
      <c r="J31" s="50">
        <v>5039</v>
      </c>
      <c r="K31" s="50">
        <v>5219</v>
      </c>
      <c r="L31" s="50">
        <v>5496</v>
      </c>
      <c r="M31" s="50">
        <v>5040</v>
      </c>
      <c r="N31" s="50">
        <v>4937</v>
      </c>
      <c r="O31" s="50">
        <v>5665</v>
      </c>
      <c r="Q31" s="12" t="s">
        <v>205</v>
      </c>
      <c r="R31" s="50">
        <v>7828</v>
      </c>
      <c r="S31" s="50">
        <v>7024</v>
      </c>
      <c r="T31" s="50">
        <v>7421</v>
      </c>
      <c r="U31" s="50">
        <v>6447</v>
      </c>
      <c r="V31" s="50">
        <v>7779</v>
      </c>
      <c r="W31" s="50">
        <v>9693</v>
      </c>
    </row>
    <row r="32" spans="1:23" x14ac:dyDescent="0.3">
      <c r="A32" s="12" t="s">
        <v>33</v>
      </c>
      <c r="B32" s="63">
        <f t="shared" si="1"/>
        <v>0.8252545374059318</v>
      </c>
      <c r="C32" s="63">
        <f t="shared" si="2"/>
        <v>1.0049136786188579</v>
      </c>
      <c r="D32" s="63">
        <f t="shared" si="3"/>
        <v>0.97960492560287327</v>
      </c>
      <c r="E32" s="63">
        <f t="shared" si="4"/>
        <v>0.96806266947875863</v>
      </c>
      <c r="F32" s="63">
        <f t="shared" si="5"/>
        <v>0.88020833333333337</v>
      </c>
      <c r="G32" s="63">
        <f t="shared" si="6"/>
        <v>0.67267656141049903</v>
      </c>
      <c r="I32" s="12" t="s">
        <v>206</v>
      </c>
      <c r="J32" s="50">
        <v>7457</v>
      </c>
      <c r="K32" s="50">
        <v>7567</v>
      </c>
      <c r="L32" s="50">
        <v>7637</v>
      </c>
      <c r="M32" s="50">
        <v>6426</v>
      </c>
      <c r="N32" s="50">
        <v>7267</v>
      </c>
      <c r="O32" s="50">
        <v>6753</v>
      </c>
      <c r="Q32" s="12" t="s">
        <v>206</v>
      </c>
      <c r="R32" s="50">
        <v>9036</v>
      </c>
      <c r="S32" s="50">
        <v>7530</v>
      </c>
      <c r="T32" s="50">
        <v>7796</v>
      </c>
      <c r="U32" s="50">
        <v>6638</v>
      </c>
      <c r="V32" s="50">
        <v>8256</v>
      </c>
      <c r="W32" s="50">
        <v>10039</v>
      </c>
    </row>
    <row r="33" spans="1:23" x14ac:dyDescent="0.3">
      <c r="A33" s="12" t="s">
        <v>30</v>
      </c>
      <c r="B33" s="63">
        <f t="shared" si="1"/>
        <v>0.6888356984099846</v>
      </c>
      <c r="C33" s="63">
        <f t="shared" si="2"/>
        <v>0.77172400079538672</v>
      </c>
      <c r="D33" s="63">
        <f t="shared" si="3"/>
        <v>0.79399565475014811</v>
      </c>
      <c r="E33" s="63">
        <f t="shared" si="4"/>
        <v>0.79279491405698144</v>
      </c>
      <c r="F33" s="63">
        <f t="shared" si="5"/>
        <v>0.72965116279069764</v>
      </c>
      <c r="G33" s="63">
        <f t="shared" si="6"/>
        <v>0.68532360984503193</v>
      </c>
      <c r="I33" s="12" t="s">
        <v>207</v>
      </c>
      <c r="J33" s="50">
        <v>4029</v>
      </c>
      <c r="K33" s="50">
        <v>3881</v>
      </c>
      <c r="L33" s="50">
        <v>4020</v>
      </c>
      <c r="M33" s="50">
        <v>3367</v>
      </c>
      <c r="N33" s="50">
        <v>3514</v>
      </c>
      <c r="O33" s="50">
        <v>3759</v>
      </c>
      <c r="Q33" s="12" t="s">
        <v>207</v>
      </c>
      <c r="R33" s="50">
        <v>5849</v>
      </c>
      <c r="S33" s="50">
        <v>5029</v>
      </c>
      <c r="T33" s="50">
        <v>5063</v>
      </c>
      <c r="U33" s="50">
        <v>4247</v>
      </c>
      <c r="V33" s="50">
        <v>4816</v>
      </c>
      <c r="W33" s="50">
        <v>5485</v>
      </c>
    </row>
    <row r="34" spans="1:23" x14ac:dyDescent="0.3">
      <c r="A34" s="12" t="s">
        <v>52</v>
      </c>
      <c r="B34" s="63">
        <f t="shared" si="1"/>
        <v>0.6284434490481523</v>
      </c>
      <c r="C34" s="63">
        <f t="shared" si="2"/>
        <v>0.84</v>
      </c>
      <c r="D34" s="63">
        <f t="shared" si="3"/>
        <v>0.80228571428571427</v>
      </c>
      <c r="E34" s="63">
        <f t="shared" si="4"/>
        <v>0.91398929049531463</v>
      </c>
      <c r="F34" s="63">
        <f t="shared" si="5"/>
        <v>0.82109679352712017</v>
      </c>
      <c r="G34" s="63">
        <f t="shared" si="6"/>
        <v>0.69408129308295696</v>
      </c>
      <c r="I34" s="12" t="s">
        <v>208</v>
      </c>
      <c r="J34" s="50">
        <v>2806</v>
      </c>
      <c r="K34" s="50">
        <v>2667</v>
      </c>
      <c r="L34" s="50">
        <v>2808</v>
      </c>
      <c r="M34" s="50">
        <v>2731</v>
      </c>
      <c r="N34" s="50">
        <v>2740</v>
      </c>
      <c r="O34" s="50">
        <v>2920</v>
      </c>
      <c r="Q34" s="12" t="s">
        <v>208</v>
      </c>
      <c r="R34" s="50">
        <v>4465</v>
      </c>
      <c r="S34" s="50">
        <v>3175</v>
      </c>
      <c r="T34" s="50">
        <v>3500</v>
      </c>
      <c r="U34" s="50">
        <v>2988</v>
      </c>
      <c r="V34" s="50">
        <v>3337</v>
      </c>
      <c r="W34" s="50">
        <v>4207</v>
      </c>
    </row>
    <row r="35" spans="1:23" x14ac:dyDescent="0.3">
      <c r="A35" s="12" t="s">
        <v>31</v>
      </c>
      <c r="B35" s="63">
        <f t="shared" si="1"/>
        <v>0.64094416704493873</v>
      </c>
      <c r="C35" s="63">
        <f t="shared" si="2"/>
        <v>0.74230769230769234</v>
      </c>
      <c r="D35" s="63">
        <f t="shared" si="3"/>
        <v>0.7254464285714286</v>
      </c>
      <c r="E35" s="63">
        <f t="shared" si="4"/>
        <v>0.80659340659340661</v>
      </c>
      <c r="F35" s="63">
        <f t="shared" si="5"/>
        <v>0.80228758169934644</v>
      </c>
      <c r="G35" s="63">
        <f t="shared" si="6"/>
        <v>0.6379051298561923</v>
      </c>
      <c r="I35" s="12" t="s">
        <v>209</v>
      </c>
      <c r="J35" s="50">
        <v>2824</v>
      </c>
      <c r="K35" s="50">
        <v>2702</v>
      </c>
      <c r="L35" s="50">
        <v>2600</v>
      </c>
      <c r="M35" s="50">
        <v>2569</v>
      </c>
      <c r="N35" s="50">
        <v>2946</v>
      </c>
      <c r="O35" s="50">
        <v>2972</v>
      </c>
      <c r="Q35" s="12" t="s">
        <v>209</v>
      </c>
      <c r="R35" s="50">
        <v>4406</v>
      </c>
      <c r="S35" s="50">
        <v>3640</v>
      </c>
      <c r="T35" s="50">
        <v>3584</v>
      </c>
      <c r="U35" s="50">
        <v>3185</v>
      </c>
      <c r="V35" s="50">
        <v>3672</v>
      </c>
      <c r="W35" s="50">
        <v>4659</v>
      </c>
    </row>
    <row r="36" spans="1:23" x14ac:dyDescent="0.3">
      <c r="A36" s="12" t="s">
        <v>32</v>
      </c>
      <c r="B36" s="63">
        <f t="shared" si="1"/>
        <v>0.47381750323710869</v>
      </c>
      <c r="C36" s="63">
        <f t="shared" si="2"/>
        <v>0.58947368421052626</v>
      </c>
      <c r="D36" s="63">
        <f t="shared" si="3"/>
        <v>0.54643856164105886</v>
      </c>
      <c r="E36" s="63">
        <f t="shared" si="4"/>
        <v>0.55533596837944665</v>
      </c>
      <c r="F36" s="63">
        <f t="shared" si="5"/>
        <v>0.51307746267161036</v>
      </c>
      <c r="G36" s="63">
        <f t="shared" si="6"/>
        <v>0.46265599449178069</v>
      </c>
      <c r="I36" s="12" t="s">
        <v>268</v>
      </c>
      <c r="J36" s="50">
        <v>24883</v>
      </c>
      <c r="K36" s="50">
        <v>25928</v>
      </c>
      <c r="L36" s="50">
        <v>26958</v>
      </c>
      <c r="M36" s="50">
        <v>22761</v>
      </c>
      <c r="N36" s="50">
        <v>25600</v>
      </c>
      <c r="O36" s="50">
        <v>26878</v>
      </c>
      <c r="Q36" s="12" t="s">
        <v>268</v>
      </c>
      <c r="R36" s="50">
        <v>52516</v>
      </c>
      <c r="S36" s="50">
        <v>43985</v>
      </c>
      <c r="T36" s="50">
        <v>49334</v>
      </c>
      <c r="U36" s="50">
        <v>40986</v>
      </c>
      <c r="V36" s="50">
        <v>49895</v>
      </c>
      <c r="W36" s="50">
        <v>58095</v>
      </c>
    </row>
    <row r="37" spans="1:23" x14ac:dyDescent="0.3">
      <c r="A37" s="12" t="s">
        <v>98</v>
      </c>
      <c r="B37" s="63">
        <f t="shared" si="1"/>
        <v>0.582445298145983</v>
      </c>
      <c r="C37" s="63">
        <f t="shared" si="2"/>
        <v>0.6388731610890922</v>
      </c>
      <c r="D37" s="63">
        <f t="shared" si="3"/>
        <v>0.65362371888726212</v>
      </c>
      <c r="E37" s="63">
        <f t="shared" si="4"/>
        <v>0.76567469332121763</v>
      </c>
      <c r="F37" s="63">
        <f t="shared" si="5"/>
        <v>0.69341465021505677</v>
      </c>
      <c r="G37" s="63">
        <f t="shared" si="6"/>
        <v>0.66222159289676652</v>
      </c>
      <c r="I37" s="12" t="s">
        <v>210</v>
      </c>
      <c r="J37" s="50">
        <v>69742</v>
      </c>
      <c r="K37" s="50">
        <v>64316</v>
      </c>
      <c r="L37" s="50">
        <v>71428</v>
      </c>
      <c r="M37" s="50">
        <v>67410</v>
      </c>
      <c r="N37" s="50">
        <v>73676</v>
      </c>
      <c r="O37" s="50">
        <v>79505</v>
      </c>
      <c r="Q37" s="12" t="s">
        <v>210</v>
      </c>
      <c r="R37" s="50">
        <v>119740</v>
      </c>
      <c r="S37" s="50">
        <v>100671</v>
      </c>
      <c r="T37" s="50">
        <v>109280</v>
      </c>
      <c r="U37" s="50">
        <v>88040</v>
      </c>
      <c r="V37" s="50">
        <v>106251</v>
      </c>
      <c r="W37" s="50">
        <v>120058</v>
      </c>
    </row>
    <row r="38" spans="1:23" x14ac:dyDescent="0.3">
      <c r="A38" s="12" t="s">
        <v>26</v>
      </c>
      <c r="B38" s="63">
        <f t="shared" si="1"/>
        <v>0.65777954635893354</v>
      </c>
      <c r="C38" s="63">
        <f t="shared" si="2"/>
        <v>0.7987236131566029</v>
      </c>
      <c r="D38" s="63">
        <f t="shared" si="3"/>
        <v>0.75457385095939311</v>
      </c>
      <c r="E38" s="63">
        <f t="shared" si="4"/>
        <v>0.8559670781893004</v>
      </c>
      <c r="F38" s="63">
        <f t="shared" si="5"/>
        <v>0.79632063074901449</v>
      </c>
      <c r="G38" s="63">
        <f t="shared" si="6"/>
        <v>0.77865168539325846</v>
      </c>
      <c r="I38" s="12" t="s">
        <v>267</v>
      </c>
      <c r="J38" s="50">
        <v>1653</v>
      </c>
      <c r="K38" s="50">
        <v>1627</v>
      </c>
      <c r="L38" s="50">
        <v>1691</v>
      </c>
      <c r="M38" s="50">
        <v>1664</v>
      </c>
      <c r="N38" s="50">
        <v>1818</v>
      </c>
      <c r="O38" s="50">
        <v>2079</v>
      </c>
      <c r="Q38" s="12" t="s">
        <v>267</v>
      </c>
      <c r="R38" s="50">
        <v>2513</v>
      </c>
      <c r="S38" s="50">
        <v>2037</v>
      </c>
      <c r="T38" s="50">
        <v>2241</v>
      </c>
      <c r="U38" s="50">
        <v>1944</v>
      </c>
      <c r="V38" s="50">
        <v>2283</v>
      </c>
      <c r="W38" s="50">
        <v>2670</v>
      </c>
    </row>
    <row r="39" spans="1:23" x14ac:dyDescent="0.3">
      <c r="A39" s="12" t="s">
        <v>27</v>
      </c>
      <c r="B39" s="63">
        <f t="shared" si="1"/>
        <v>0.70056899004267426</v>
      </c>
      <c r="C39" s="63">
        <f t="shared" si="2"/>
        <v>0.77871362940275646</v>
      </c>
      <c r="D39" s="63">
        <f t="shared" si="3"/>
        <v>0.75276752767527677</v>
      </c>
      <c r="E39" s="63">
        <f t="shared" si="4"/>
        <v>0.88127413127413123</v>
      </c>
      <c r="F39" s="63">
        <f t="shared" si="5"/>
        <v>0.9366980325064157</v>
      </c>
      <c r="G39" s="63">
        <f t="shared" si="6"/>
        <v>1.0102115244347192</v>
      </c>
      <c r="I39" s="12" t="s">
        <v>211</v>
      </c>
      <c r="J39" s="50">
        <v>985</v>
      </c>
      <c r="K39" s="50">
        <v>1017</v>
      </c>
      <c r="L39" s="50">
        <v>1020</v>
      </c>
      <c r="M39" s="50">
        <v>913</v>
      </c>
      <c r="N39" s="50">
        <v>1095</v>
      </c>
      <c r="O39" s="50">
        <v>1385</v>
      </c>
      <c r="Q39" s="12" t="s">
        <v>211</v>
      </c>
      <c r="R39" s="50">
        <v>1406</v>
      </c>
      <c r="S39" s="50">
        <v>1306</v>
      </c>
      <c r="T39" s="50">
        <v>1355</v>
      </c>
      <c r="U39" s="50">
        <v>1036</v>
      </c>
      <c r="V39" s="50">
        <v>1169</v>
      </c>
      <c r="W39" s="50">
        <v>1371</v>
      </c>
    </row>
    <row r="40" spans="1:23" x14ac:dyDescent="0.3">
      <c r="A40" s="12" t="s">
        <v>89</v>
      </c>
      <c r="B40" s="63">
        <f t="shared" si="1"/>
        <v>0.4702702702702703</v>
      </c>
      <c r="C40" s="63">
        <f t="shared" si="2"/>
        <v>0.59247135842880527</v>
      </c>
      <c r="D40" s="63">
        <f t="shared" si="3"/>
        <v>0.53447624801752136</v>
      </c>
      <c r="E40" s="63">
        <f t="shared" si="4"/>
        <v>0.65404969055520679</v>
      </c>
      <c r="F40" s="63">
        <f t="shared" si="5"/>
        <v>0.57573802226165516</v>
      </c>
      <c r="G40" s="63">
        <f t="shared" si="6"/>
        <v>0.55736502347417838</v>
      </c>
      <c r="I40" s="12" t="s">
        <v>212</v>
      </c>
      <c r="J40" s="50">
        <v>6786</v>
      </c>
      <c r="K40" s="50">
        <v>6878</v>
      </c>
      <c r="L40" s="50">
        <v>7077</v>
      </c>
      <c r="M40" s="50">
        <v>7292</v>
      </c>
      <c r="N40" s="50">
        <v>7138</v>
      </c>
      <c r="O40" s="50">
        <v>7598</v>
      </c>
      <c r="Q40" s="12" t="s">
        <v>212</v>
      </c>
      <c r="R40" s="50">
        <v>14430</v>
      </c>
      <c r="S40" s="50">
        <v>11609</v>
      </c>
      <c r="T40" s="50">
        <v>13241</v>
      </c>
      <c r="U40" s="50">
        <v>11149</v>
      </c>
      <c r="V40" s="50">
        <v>12398</v>
      </c>
      <c r="W40" s="50">
        <v>13632</v>
      </c>
    </row>
    <row r="41" spans="1:23" x14ac:dyDescent="0.3">
      <c r="A41" s="12" t="s">
        <v>28</v>
      </c>
      <c r="B41" s="63">
        <f t="shared" si="1"/>
        <v>0.57100472016183412</v>
      </c>
      <c r="C41" s="63">
        <f t="shared" si="2"/>
        <v>0.55300718829187567</v>
      </c>
      <c r="D41" s="63">
        <f t="shared" si="3"/>
        <v>0.64439716312056738</v>
      </c>
      <c r="E41" s="63">
        <f t="shared" si="4"/>
        <v>0.75982016090866067</v>
      </c>
      <c r="F41" s="63">
        <f t="shared" si="5"/>
        <v>0.64816029997656432</v>
      </c>
      <c r="G41" s="63">
        <f t="shared" si="6"/>
        <v>0.62484427458350045</v>
      </c>
      <c r="I41" s="12" t="s">
        <v>213</v>
      </c>
      <c r="J41" s="50">
        <v>25404</v>
      </c>
      <c r="K41" s="50">
        <v>21387</v>
      </c>
      <c r="L41" s="50">
        <v>27258</v>
      </c>
      <c r="M41" s="50">
        <v>25688</v>
      </c>
      <c r="N41" s="50">
        <v>27657</v>
      </c>
      <c r="O41" s="50">
        <v>29592</v>
      </c>
      <c r="Q41" s="12" t="s">
        <v>213</v>
      </c>
      <c r="R41" s="50">
        <v>44490</v>
      </c>
      <c r="S41" s="50">
        <v>38674</v>
      </c>
      <c r="T41" s="50">
        <v>42300</v>
      </c>
      <c r="U41" s="50">
        <v>33808</v>
      </c>
      <c r="V41" s="50">
        <v>42670</v>
      </c>
      <c r="W41" s="50">
        <v>47359</v>
      </c>
    </row>
    <row r="42" spans="1:23" x14ac:dyDescent="0.3">
      <c r="A42" s="12" t="s">
        <v>25</v>
      </c>
      <c r="B42" s="63">
        <f t="shared" si="1"/>
        <v>0.62044880368554023</v>
      </c>
      <c r="C42" s="63">
        <f t="shared" si="2"/>
        <v>0.72933262524340592</v>
      </c>
      <c r="D42" s="63">
        <f t="shared" si="3"/>
        <v>0.69156504065040647</v>
      </c>
      <c r="E42" s="63">
        <f t="shared" si="4"/>
        <v>0.82643794147325933</v>
      </c>
      <c r="F42" s="63">
        <f t="shared" si="5"/>
        <v>0.93195761293920798</v>
      </c>
      <c r="G42" s="63">
        <f t="shared" si="6"/>
        <v>0.938227241615332</v>
      </c>
      <c r="I42" s="12" t="s">
        <v>214</v>
      </c>
      <c r="J42" s="50">
        <v>4175</v>
      </c>
      <c r="K42" s="50">
        <v>4120</v>
      </c>
      <c r="L42" s="50">
        <v>4083</v>
      </c>
      <c r="M42" s="50">
        <v>4095</v>
      </c>
      <c r="N42" s="50">
        <v>5013</v>
      </c>
      <c r="O42" s="50">
        <v>5483</v>
      </c>
      <c r="Q42" s="12" t="s">
        <v>214</v>
      </c>
      <c r="R42" s="50">
        <v>6729</v>
      </c>
      <c r="S42" s="50">
        <v>5649</v>
      </c>
      <c r="T42" s="50">
        <v>5904</v>
      </c>
      <c r="U42" s="50">
        <v>4955</v>
      </c>
      <c r="V42" s="50">
        <v>5379</v>
      </c>
      <c r="W42" s="50">
        <v>5844</v>
      </c>
    </row>
    <row r="43" spans="1:23" x14ac:dyDescent="0.3">
      <c r="A43" s="12" t="s">
        <v>22</v>
      </c>
      <c r="B43" s="63">
        <f t="shared" si="1"/>
        <v>0.6382499695752708</v>
      </c>
      <c r="C43" s="63">
        <f t="shared" si="2"/>
        <v>0.75419463087248317</v>
      </c>
      <c r="D43" s="63">
        <f t="shared" si="3"/>
        <v>0.73739725030915837</v>
      </c>
      <c r="E43" s="63">
        <f t="shared" si="4"/>
        <v>0.81688241639697945</v>
      </c>
      <c r="F43" s="63">
        <f t="shared" si="5"/>
        <v>0.81770063049739239</v>
      </c>
      <c r="G43" s="63">
        <f t="shared" si="6"/>
        <v>0.70264686894770823</v>
      </c>
      <c r="I43" s="12" t="s">
        <v>215</v>
      </c>
      <c r="J43" s="50">
        <v>10489</v>
      </c>
      <c r="K43" s="50">
        <v>9889</v>
      </c>
      <c r="L43" s="50">
        <v>10137</v>
      </c>
      <c r="M43" s="50">
        <v>9087</v>
      </c>
      <c r="N43" s="50">
        <v>10505</v>
      </c>
      <c r="O43" s="50">
        <v>10884</v>
      </c>
      <c r="Q43" s="12" t="s">
        <v>215</v>
      </c>
      <c r="R43" s="50">
        <v>16434</v>
      </c>
      <c r="S43" s="50">
        <v>13112</v>
      </c>
      <c r="T43" s="50">
        <v>13747</v>
      </c>
      <c r="U43" s="50">
        <v>11124</v>
      </c>
      <c r="V43" s="50">
        <v>12847</v>
      </c>
      <c r="W43" s="50">
        <v>15490</v>
      </c>
    </row>
    <row r="44" spans="1:23" x14ac:dyDescent="0.3">
      <c r="A44" s="12" t="s">
        <v>29</v>
      </c>
      <c r="B44" s="63">
        <f t="shared" si="1"/>
        <v>0.62165193745751191</v>
      </c>
      <c r="C44" s="63">
        <f t="shared" si="2"/>
        <v>0.70010826416456151</v>
      </c>
      <c r="D44" s="63">
        <f t="shared" si="3"/>
        <v>0.67972851357432129</v>
      </c>
      <c r="E44" s="63">
        <f t="shared" si="4"/>
        <v>0.79992356201031911</v>
      </c>
      <c r="F44" s="63">
        <f t="shared" si="5"/>
        <v>0.70982699501246882</v>
      </c>
      <c r="G44" s="63">
        <f t="shared" si="6"/>
        <v>0.68375836191381711</v>
      </c>
      <c r="I44" s="12" t="s">
        <v>216</v>
      </c>
      <c r="J44" s="50">
        <v>18289</v>
      </c>
      <c r="K44" s="50">
        <v>17460</v>
      </c>
      <c r="L44" s="50">
        <v>18127</v>
      </c>
      <c r="M44" s="50">
        <v>16744</v>
      </c>
      <c r="N44" s="50">
        <v>18217</v>
      </c>
      <c r="O44" s="50">
        <v>20136</v>
      </c>
      <c r="Q44" s="12" t="s">
        <v>216</v>
      </c>
      <c r="R44" s="50">
        <v>29420</v>
      </c>
      <c r="S44" s="50">
        <v>24939</v>
      </c>
      <c r="T44" s="50">
        <v>26668</v>
      </c>
      <c r="U44" s="50">
        <v>20932</v>
      </c>
      <c r="V44" s="50">
        <v>25664</v>
      </c>
      <c r="W44" s="50">
        <v>29449</v>
      </c>
    </row>
    <row r="45" spans="1:23" x14ac:dyDescent="0.3">
      <c r="A45" s="12" t="s">
        <v>90</v>
      </c>
      <c r="B45" s="63">
        <f t="shared" si="1"/>
        <v>0.4541454377026401</v>
      </c>
      <c r="C45" s="63">
        <f t="shared" si="2"/>
        <v>0.57937219730941703</v>
      </c>
      <c r="D45" s="63">
        <f t="shared" si="3"/>
        <v>0.53216527196652719</v>
      </c>
      <c r="E45" s="63">
        <f t="shared" si="4"/>
        <v>0.62322121604139713</v>
      </c>
      <c r="F45" s="63">
        <f t="shared" si="5"/>
        <v>0.58135902108825832</v>
      </c>
      <c r="G45" s="63">
        <f t="shared" si="6"/>
        <v>0.55338204100872024</v>
      </c>
      <c r="I45" s="12" t="s">
        <v>217</v>
      </c>
      <c r="J45" s="50">
        <v>1961</v>
      </c>
      <c r="K45" s="50">
        <v>1938</v>
      </c>
      <c r="L45" s="50">
        <v>2035</v>
      </c>
      <c r="M45" s="50">
        <v>1927</v>
      </c>
      <c r="N45" s="50">
        <v>2233</v>
      </c>
      <c r="O45" s="50">
        <v>2348</v>
      </c>
      <c r="Q45" s="12" t="s">
        <v>217</v>
      </c>
      <c r="R45" s="50">
        <v>4318</v>
      </c>
      <c r="S45" s="50">
        <v>3345</v>
      </c>
      <c r="T45" s="50">
        <v>3824</v>
      </c>
      <c r="U45" s="50">
        <v>3092</v>
      </c>
      <c r="V45" s="50">
        <v>3841</v>
      </c>
      <c r="W45" s="50">
        <v>4243</v>
      </c>
    </row>
    <row r="46" spans="1:23" x14ac:dyDescent="0.3">
      <c r="A46" s="12" t="s">
        <v>99</v>
      </c>
      <c r="B46" s="63">
        <f t="shared" si="1"/>
        <v>0.41891942984611896</v>
      </c>
      <c r="C46" s="63">
        <f t="shared" si="2"/>
        <v>0.44648206796199608</v>
      </c>
      <c r="D46" s="63">
        <f t="shared" si="3"/>
        <v>0.45133574440026375</v>
      </c>
      <c r="E46" s="63">
        <f t="shared" si="4"/>
        <v>0.50628318584070797</v>
      </c>
      <c r="F46" s="63">
        <f t="shared" si="5"/>
        <v>0.76087004771945399</v>
      </c>
      <c r="G46" s="63">
        <f t="shared" si="6"/>
        <v>1.3448317834363892</v>
      </c>
      <c r="I46" s="12" t="s">
        <v>218</v>
      </c>
      <c r="J46" s="50">
        <v>22160</v>
      </c>
      <c r="K46" s="50">
        <v>20865</v>
      </c>
      <c r="L46" s="50">
        <v>22588</v>
      </c>
      <c r="M46" s="50">
        <v>22884</v>
      </c>
      <c r="N46" s="50">
        <v>34281</v>
      </c>
      <c r="O46" s="50">
        <v>55243</v>
      </c>
      <c r="Q46" s="12" t="s">
        <v>218</v>
      </c>
      <c r="R46" s="50">
        <v>52898</v>
      </c>
      <c r="S46" s="50">
        <v>46732</v>
      </c>
      <c r="T46" s="50">
        <v>50047</v>
      </c>
      <c r="U46" s="50">
        <v>45200</v>
      </c>
      <c r="V46" s="50">
        <v>45055</v>
      </c>
      <c r="W46" s="50">
        <v>41078</v>
      </c>
    </row>
    <row r="47" spans="1:23" x14ac:dyDescent="0.3">
      <c r="A47" s="12" t="s">
        <v>63</v>
      </c>
      <c r="B47" s="63">
        <f t="shared" si="1"/>
        <v>0.29171855541718555</v>
      </c>
      <c r="C47" s="63">
        <f t="shared" si="2"/>
        <v>0.30431517137785064</v>
      </c>
      <c r="D47" s="63">
        <f t="shared" si="3"/>
        <v>0.33245185787903442</v>
      </c>
      <c r="E47" s="63">
        <f t="shared" si="4"/>
        <v>0.38395249474980087</v>
      </c>
      <c r="F47" s="63">
        <f t="shared" si="5"/>
        <v>0.72209044908285891</v>
      </c>
      <c r="G47" s="63">
        <f t="shared" si="6"/>
        <v>1.9736676458245908</v>
      </c>
      <c r="I47" s="12" t="s">
        <v>273</v>
      </c>
      <c r="J47" s="50">
        <v>4685</v>
      </c>
      <c r="K47" s="50">
        <v>4457</v>
      </c>
      <c r="L47" s="50">
        <v>4903</v>
      </c>
      <c r="M47" s="50">
        <v>5302</v>
      </c>
      <c r="N47" s="50">
        <v>9133</v>
      </c>
      <c r="O47" s="50">
        <v>18813</v>
      </c>
      <c r="Q47" s="12" t="s">
        <v>273</v>
      </c>
      <c r="R47" s="50">
        <v>16060</v>
      </c>
      <c r="S47" s="50">
        <v>14646</v>
      </c>
      <c r="T47" s="50">
        <v>14748</v>
      </c>
      <c r="U47" s="50">
        <v>13809</v>
      </c>
      <c r="V47" s="50">
        <v>12648</v>
      </c>
      <c r="W47" s="50">
        <v>9532</v>
      </c>
    </row>
    <row r="48" spans="1:23" x14ac:dyDescent="0.3">
      <c r="A48" s="12" t="s">
        <v>81</v>
      </c>
      <c r="B48" s="63">
        <f t="shared" si="1"/>
        <v>0.19436052366565962</v>
      </c>
      <c r="C48" s="63">
        <f t="shared" si="2"/>
        <v>0.21122286924298569</v>
      </c>
      <c r="D48" s="63">
        <f t="shared" si="3"/>
        <v>0.20473251028806586</v>
      </c>
      <c r="E48" s="63">
        <f t="shared" si="4"/>
        <v>0.27055702917771884</v>
      </c>
      <c r="F48" s="63">
        <f t="shared" si="5"/>
        <v>1.0844884488448845</v>
      </c>
      <c r="G48" s="63">
        <f t="shared" si="6"/>
        <v>2.5701394585726005</v>
      </c>
      <c r="I48" s="12" t="s">
        <v>275</v>
      </c>
      <c r="J48" s="50">
        <v>386</v>
      </c>
      <c r="K48" s="50">
        <v>399</v>
      </c>
      <c r="L48" s="50">
        <v>398</v>
      </c>
      <c r="M48" s="50">
        <v>510</v>
      </c>
      <c r="N48" s="50">
        <v>1643</v>
      </c>
      <c r="O48" s="50">
        <v>3133</v>
      </c>
      <c r="Q48" s="12" t="s">
        <v>275</v>
      </c>
      <c r="R48" s="50">
        <v>1986</v>
      </c>
      <c r="S48" s="50">
        <v>1889</v>
      </c>
      <c r="T48" s="50">
        <v>1944</v>
      </c>
      <c r="U48" s="50">
        <v>1885</v>
      </c>
      <c r="V48" s="50">
        <v>1515</v>
      </c>
      <c r="W48" s="50">
        <v>1219</v>
      </c>
    </row>
    <row r="49" spans="1:23" x14ac:dyDescent="0.3">
      <c r="A49" s="12" t="s">
        <v>91</v>
      </c>
      <c r="B49" s="63">
        <f t="shared" si="1"/>
        <v>0.51048218029350101</v>
      </c>
      <c r="C49" s="63">
        <f t="shared" si="2"/>
        <v>0.53724489795918362</v>
      </c>
      <c r="D49" s="63">
        <f t="shared" si="3"/>
        <v>0.50784530386740334</v>
      </c>
      <c r="E49" s="63">
        <f t="shared" si="4"/>
        <v>0.56773866801721951</v>
      </c>
      <c r="F49" s="63">
        <f t="shared" si="5"/>
        <v>0.72909698996655514</v>
      </c>
      <c r="G49" s="63">
        <f t="shared" si="6"/>
        <v>0.9637596446107084</v>
      </c>
      <c r="I49" s="12" t="s">
        <v>219</v>
      </c>
      <c r="J49" s="50">
        <v>2435</v>
      </c>
      <c r="K49" s="50">
        <v>2106</v>
      </c>
      <c r="L49" s="50">
        <v>2298</v>
      </c>
      <c r="M49" s="50">
        <v>2242</v>
      </c>
      <c r="N49" s="50">
        <v>3052</v>
      </c>
      <c r="O49" s="50">
        <v>4122</v>
      </c>
      <c r="Q49" s="12" t="s">
        <v>219</v>
      </c>
      <c r="R49" s="50">
        <v>4770</v>
      </c>
      <c r="S49" s="50">
        <v>3920</v>
      </c>
      <c r="T49" s="50">
        <v>4525</v>
      </c>
      <c r="U49" s="50">
        <v>3949</v>
      </c>
      <c r="V49" s="50">
        <v>4186</v>
      </c>
      <c r="W49" s="50">
        <v>4277</v>
      </c>
    </row>
    <row r="50" spans="1:23" x14ac:dyDescent="0.3">
      <c r="A50" s="12" t="s">
        <v>92</v>
      </c>
      <c r="B50" s="63">
        <f t="shared" si="1"/>
        <v>0.57633429871741826</v>
      </c>
      <c r="C50" s="63">
        <f t="shared" si="2"/>
        <v>0.69274269557021673</v>
      </c>
      <c r="D50" s="63">
        <f t="shared" si="3"/>
        <v>0.64950760966875565</v>
      </c>
      <c r="E50" s="63">
        <f t="shared" si="4"/>
        <v>0.72066458982346837</v>
      </c>
      <c r="F50" s="63">
        <f t="shared" si="5"/>
        <v>1.1679467485919099</v>
      </c>
      <c r="G50" s="63">
        <f t="shared" si="6"/>
        <v>1.5167870803229919</v>
      </c>
      <c r="I50" s="12" t="s">
        <v>220</v>
      </c>
      <c r="J50" s="50">
        <v>1393</v>
      </c>
      <c r="K50" s="50">
        <v>1470</v>
      </c>
      <c r="L50" s="50">
        <v>1451</v>
      </c>
      <c r="M50" s="50">
        <v>1388</v>
      </c>
      <c r="N50" s="50">
        <v>2281</v>
      </c>
      <c r="O50" s="50">
        <v>3569</v>
      </c>
      <c r="Q50" s="12" t="s">
        <v>220</v>
      </c>
      <c r="R50" s="50">
        <v>2417</v>
      </c>
      <c r="S50" s="50">
        <v>2122</v>
      </c>
      <c r="T50" s="50">
        <v>2234</v>
      </c>
      <c r="U50" s="50">
        <v>1926</v>
      </c>
      <c r="V50" s="50">
        <v>1953</v>
      </c>
      <c r="W50" s="50">
        <v>2353</v>
      </c>
    </row>
    <row r="51" spans="1:23" x14ac:dyDescent="0.3">
      <c r="A51" s="12" t="s">
        <v>47</v>
      </c>
      <c r="B51" s="63">
        <f t="shared" si="1"/>
        <v>0.51897289586305273</v>
      </c>
      <c r="C51" s="63">
        <f t="shared" si="2"/>
        <v>0.54684629516227801</v>
      </c>
      <c r="D51" s="63">
        <f t="shared" si="3"/>
        <v>0.5579888957433683</v>
      </c>
      <c r="E51" s="63">
        <f t="shared" si="4"/>
        <v>0.62288732394366197</v>
      </c>
      <c r="F51" s="63">
        <f t="shared" si="5"/>
        <v>1.0183058147882269</v>
      </c>
      <c r="G51" s="63">
        <f t="shared" si="6"/>
        <v>1.3810198300283285</v>
      </c>
      <c r="I51" s="12" t="s">
        <v>270</v>
      </c>
      <c r="J51" s="50">
        <v>1819</v>
      </c>
      <c r="K51" s="50">
        <v>1786</v>
      </c>
      <c r="L51" s="50">
        <v>1809</v>
      </c>
      <c r="M51" s="50">
        <v>1769</v>
      </c>
      <c r="N51" s="50">
        <v>2837</v>
      </c>
      <c r="O51" s="50">
        <v>3900</v>
      </c>
      <c r="Q51" s="12" t="s">
        <v>270</v>
      </c>
      <c r="R51" s="50">
        <v>3505</v>
      </c>
      <c r="S51" s="50">
        <v>3266</v>
      </c>
      <c r="T51" s="50">
        <v>3242</v>
      </c>
      <c r="U51" s="50">
        <v>2840</v>
      </c>
      <c r="V51" s="50">
        <v>2786</v>
      </c>
      <c r="W51" s="50">
        <v>2824</v>
      </c>
    </row>
    <row r="52" spans="1:23" x14ac:dyDescent="0.3">
      <c r="A52" s="12" t="s">
        <v>93</v>
      </c>
      <c r="B52" s="63">
        <f t="shared" si="1"/>
        <v>0.14851621808143547</v>
      </c>
      <c r="C52" s="63">
        <f t="shared" si="2"/>
        <v>0.11442349846558526</v>
      </c>
      <c r="D52" s="63">
        <f t="shared" si="3"/>
        <v>0.15655199072284501</v>
      </c>
      <c r="E52" s="63">
        <f t="shared" si="4"/>
        <v>0.17923483823348504</v>
      </c>
      <c r="F52" s="63">
        <f t="shared" si="5"/>
        <v>0.50413113006396593</v>
      </c>
      <c r="G52" s="63">
        <f t="shared" si="6"/>
        <v>2.0660592255125283</v>
      </c>
      <c r="I52" s="12" t="s">
        <v>221</v>
      </c>
      <c r="J52" s="50">
        <v>1076</v>
      </c>
      <c r="K52" s="50">
        <v>783</v>
      </c>
      <c r="L52" s="50">
        <v>1215</v>
      </c>
      <c r="M52" s="50">
        <v>1457</v>
      </c>
      <c r="N52" s="50">
        <v>3783</v>
      </c>
      <c r="O52" s="50">
        <v>9070</v>
      </c>
      <c r="Q52" s="12" t="s">
        <v>221</v>
      </c>
      <c r="R52" s="50">
        <v>7245</v>
      </c>
      <c r="S52" s="50">
        <v>6843</v>
      </c>
      <c r="T52" s="50">
        <v>7761</v>
      </c>
      <c r="U52" s="50">
        <v>8129</v>
      </c>
      <c r="V52" s="50">
        <v>7504</v>
      </c>
      <c r="W52" s="50">
        <v>4390</v>
      </c>
    </row>
    <row r="53" spans="1:23" x14ac:dyDescent="0.3">
      <c r="A53" s="12" t="s">
        <v>11</v>
      </c>
      <c r="B53" s="63">
        <f t="shared" si="1"/>
        <v>0.61282885013301802</v>
      </c>
      <c r="C53" s="63">
        <f t="shared" si="2"/>
        <v>0.702263989747971</v>
      </c>
      <c r="D53" s="63">
        <f t="shared" si="3"/>
        <v>0.67427691913037902</v>
      </c>
      <c r="E53" s="63">
        <f t="shared" si="4"/>
        <v>0.80682356657716003</v>
      </c>
      <c r="F53" s="63">
        <f t="shared" si="5"/>
        <v>0.79872778814907008</v>
      </c>
      <c r="G53" s="63">
        <f t="shared" si="6"/>
        <v>0.76660802038463871</v>
      </c>
      <c r="I53" s="12" t="s">
        <v>222</v>
      </c>
      <c r="J53" s="50">
        <v>10366</v>
      </c>
      <c r="K53" s="50">
        <v>9864</v>
      </c>
      <c r="L53" s="50">
        <v>10514</v>
      </c>
      <c r="M53" s="50">
        <v>10216</v>
      </c>
      <c r="N53" s="50">
        <v>11552</v>
      </c>
      <c r="O53" s="50">
        <v>12636</v>
      </c>
      <c r="Q53" s="12" t="s">
        <v>222</v>
      </c>
      <c r="R53" s="50">
        <v>16915</v>
      </c>
      <c r="S53" s="50">
        <v>14046</v>
      </c>
      <c r="T53" s="50">
        <v>15593</v>
      </c>
      <c r="U53" s="50">
        <v>12662</v>
      </c>
      <c r="V53" s="50">
        <v>14463</v>
      </c>
      <c r="W53" s="50">
        <v>16483</v>
      </c>
    </row>
    <row r="54" spans="1:23" x14ac:dyDescent="0.3">
      <c r="A54" s="12" t="s">
        <v>100</v>
      </c>
      <c r="B54" s="63">
        <f t="shared" si="1"/>
        <v>0.58486408535570766</v>
      </c>
      <c r="C54" s="63">
        <f t="shared" si="2"/>
        <v>0.64775099310177342</v>
      </c>
      <c r="D54" s="63">
        <f t="shared" si="3"/>
        <v>0.65257961419929233</v>
      </c>
      <c r="E54" s="63">
        <f t="shared" si="4"/>
        <v>0.75954908769402996</v>
      </c>
      <c r="F54" s="63">
        <f t="shared" si="5"/>
        <v>0.72467594815170422</v>
      </c>
      <c r="G54" s="63">
        <f t="shared" si="6"/>
        <v>0.65075977599845958</v>
      </c>
      <c r="I54" s="12" t="s">
        <v>223</v>
      </c>
      <c r="J54" s="50">
        <v>115992</v>
      </c>
      <c r="K54" s="50">
        <v>112024</v>
      </c>
      <c r="L54" s="50">
        <v>114345</v>
      </c>
      <c r="M54" s="50">
        <v>106526</v>
      </c>
      <c r="N54" s="50">
        <v>120760</v>
      </c>
      <c r="O54" s="50">
        <v>121668</v>
      </c>
      <c r="Q54" s="12" t="s">
        <v>223</v>
      </c>
      <c r="R54" s="50">
        <v>198323</v>
      </c>
      <c r="S54" s="50">
        <v>172943</v>
      </c>
      <c r="T54" s="50">
        <v>175220</v>
      </c>
      <c r="U54" s="50">
        <v>140249</v>
      </c>
      <c r="V54" s="50">
        <v>166640</v>
      </c>
      <c r="W54" s="50">
        <v>186963</v>
      </c>
    </row>
    <row r="55" spans="1:23" x14ac:dyDescent="0.3">
      <c r="A55" s="12" t="s">
        <v>83</v>
      </c>
      <c r="B55" s="63">
        <f t="shared" si="1"/>
        <v>0.55753669889008239</v>
      </c>
      <c r="C55" s="63">
        <f t="shared" si="2"/>
        <v>0.60644169360561384</v>
      </c>
      <c r="D55" s="63">
        <f t="shared" si="3"/>
        <v>0.61448523543495615</v>
      </c>
      <c r="E55" s="63">
        <f t="shared" si="4"/>
        <v>0.75625324338349764</v>
      </c>
      <c r="F55" s="63">
        <f t="shared" si="5"/>
        <v>0.725125889911443</v>
      </c>
      <c r="G55" s="63">
        <f t="shared" si="6"/>
        <v>0.68790920995198601</v>
      </c>
      <c r="I55" s="12" t="s">
        <v>276</v>
      </c>
      <c r="J55" s="50">
        <v>15572</v>
      </c>
      <c r="K55" s="50">
        <v>15383</v>
      </c>
      <c r="L55" s="50">
        <v>15399</v>
      </c>
      <c r="M55" s="50">
        <v>14573</v>
      </c>
      <c r="N55" s="50">
        <v>16704</v>
      </c>
      <c r="O55" s="50">
        <v>17336</v>
      </c>
      <c r="Q55" s="12" t="s">
        <v>276</v>
      </c>
      <c r="R55" s="50">
        <v>27930</v>
      </c>
      <c r="S55" s="50">
        <v>25366</v>
      </c>
      <c r="T55" s="50">
        <v>25060</v>
      </c>
      <c r="U55" s="50">
        <v>19270</v>
      </c>
      <c r="V55" s="50">
        <v>23036</v>
      </c>
      <c r="W55" s="50">
        <v>25201</v>
      </c>
    </row>
    <row r="56" spans="1:23" x14ac:dyDescent="0.3">
      <c r="A56" s="12" t="s">
        <v>42</v>
      </c>
      <c r="B56" s="63">
        <f t="shared" si="1"/>
        <v>0.61909497762307308</v>
      </c>
      <c r="C56" s="63">
        <f t="shared" si="2"/>
        <v>0.7277620396600567</v>
      </c>
      <c r="D56" s="63">
        <f t="shared" si="3"/>
        <v>0.676056338028169</v>
      </c>
      <c r="E56" s="63">
        <f t="shared" si="4"/>
        <v>0.86631419939577037</v>
      </c>
      <c r="F56" s="63">
        <f t="shared" si="5"/>
        <v>0.80431979368149575</v>
      </c>
      <c r="G56" s="63">
        <f t="shared" si="6"/>
        <v>0.74558699915942839</v>
      </c>
      <c r="I56" s="12" t="s">
        <v>278</v>
      </c>
      <c r="J56" s="50">
        <v>2490</v>
      </c>
      <c r="K56" s="50">
        <v>2569</v>
      </c>
      <c r="L56" s="50">
        <v>2400</v>
      </c>
      <c r="M56" s="50">
        <v>2294</v>
      </c>
      <c r="N56" s="50">
        <v>2495</v>
      </c>
      <c r="O56" s="50">
        <v>2661</v>
      </c>
      <c r="Q56" s="12" t="s">
        <v>278</v>
      </c>
      <c r="R56" s="50">
        <v>4022</v>
      </c>
      <c r="S56" s="50">
        <v>3530</v>
      </c>
      <c r="T56" s="50">
        <v>3550</v>
      </c>
      <c r="U56" s="50">
        <v>2648</v>
      </c>
      <c r="V56" s="50">
        <v>3102</v>
      </c>
      <c r="W56" s="50">
        <v>3569</v>
      </c>
    </row>
    <row r="57" spans="1:23" x14ac:dyDescent="0.3">
      <c r="A57" s="12" t="s">
        <v>34</v>
      </c>
      <c r="B57" s="63">
        <f t="shared" si="1"/>
        <v>0.56970740103270223</v>
      </c>
      <c r="C57" s="63">
        <f t="shared" si="2"/>
        <v>0.68608923884514439</v>
      </c>
      <c r="D57" s="63">
        <f t="shared" si="3"/>
        <v>0.63987058237929317</v>
      </c>
      <c r="E57" s="63">
        <f t="shared" si="4"/>
        <v>0.76372712146422628</v>
      </c>
      <c r="F57" s="63">
        <f t="shared" si="5"/>
        <v>0.69122126834671838</v>
      </c>
      <c r="G57" s="63">
        <f t="shared" si="6"/>
        <v>0.62741116751269033</v>
      </c>
      <c r="I57" s="12" t="s">
        <v>224</v>
      </c>
      <c r="J57" s="50">
        <v>2648</v>
      </c>
      <c r="K57" s="50">
        <v>2614</v>
      </c>
      <c r="L57" s="50">
        <v>2571</v>
      </c>
      <c r="M57" s="50">
        <v>2295</v>
      </c>
      <c r="N57" s="50">
        <v>2496</v>
      </c>
      <c r="O57" s="50">
        <v>2472</v>
      </c>
      <c r="Q57" s="12" t="s">
        <v>224</v>
      </c>
      <c r="R57" s="50">
        <v>4648</v>
      </c>
      <c r="S57" s="50">
        <v>3810</v>
      </c>
      <c r="T57" s="50">
        <v>4018</v>
      </c>
      <c r="U57" s="50">
        <v>3005</v>
      </c>
      <c r="V57" s="50">
        <v>3611</v>
      </c>
      <c r="W57" s="50">
        <v>3940</v>
      </c>
    </row>
    <row r="58" spans="1:23" x14ac:dyDescent="0.3">
      <c r="A58" s="12" t="s">
        <v>35</v>
      </c>
      <c r="B58" s="63">
        <f t="shared" si="1"/>
        <v>0.50355819125277979</v>
      </c>
      <c r="C58" s="63">
        <f t="shared" si="2"/>
        <v>0.54116227629197666</v>
      </c>
      <c r="D58" s="63">
        <f t="shared" si="3"/>
        <v>0.55063055612983258</v>
      </c>
      <c r="E58" s="63">
        <f t="shared" si="4"/>
        <v>0.58671834625322994</v>
      </c>
      <c r="F58" s="63">
        <f t="shared" si="5"/>
        <v>0.60355389670980564</v>
      </c>
      <c r="G58" s="63">
        <f t="shared" si="6"/>
        <v>0.53109733868027709</v>
      </c>
      <c r="I58" s="12" t="s">
        <v>277</v>
      </c>
      <c r="J58" s="50">
        <v>13586</v>
      </c>
      <c r="K58" s="50">
        <v>13456</v>
      </c>
      <c r="L58" s="50">
        <v>13317</v>
      </c>
      <c r="M58" s="50">
        <v>11353</v>
      </c>
      <c r="N58" s="50">
        <v>14877</v>
      </c>
      <c r="O58" s="50">
        <v>14568</v>
      </c>
      <c r="Q58" s="12" t="s">
        <v>277</v>
      </c>
      <c r="R58" s="50">
        <v>26980</v>
      </c>
      <c r="S58" s="50">
        <v>24865</v>
      </c>
      <c r="T58" s="50">
        <v>24185</v>
      </c>
      <c r="U58" s="50">
        <v>19350</v>
      </c>
      <c r="V58" s="50">
        <v>24649</v>
      </c>
      <c r="W58" s="50">
        <v>27430</v>
      </c>
    </row>
    <row r="59" spans="1:23" x14ac:dyDescent="0.3">
      <c r="A59" s="12" t="s">
        <v>94</v>
      </c>
      <c r="B59" s="63">
        <f t="shared" si="1"/>
        <v>0.54638854296388539</v>
      </c>
      <c r="C59" s="63">
        <f t="shared" si="2"/>
        <v>0.56581047743433466</v>
      </c>
      <c r="D59" s="63">
        <f t="shared" si="3"/>
        <v>0.62648756922351834</v>
      </c>
      <c r="E59" s="63">
        <f t="shared" si="4"/>
        <v>0.81828298887122419</v>
      </c>
      <c r="F59" s="63">
        <f t="shared" si="5"/>
        <v>0.71061991869918695</v>
      </c>
      <c r="G59" s="63">
        <f t="shared" si="6"/>
        <v>0.71879553181155897</v>
      </c>
      <c r="I59" s="12" t="s">
        <v>225</v>
      </c>
      <c r="J59" s="50">
        <v>5265</v>
      </c>
      <c r="K59" s="50">
        <v>3899</v>
      </c>
      <c r="L59" s="50">
        <v>5317</v>
      </c>
      <c r="M59" s="50">
        <v>5147</v>
      </c>
      <c r="N59" s="50">
        <v>5594</v>
      </c>
      <c r="O59" s="50">
        <v>5920</v>
      </c>
      <c r="Q59" s="12" t="s">
        <v>225</v>
      </c>
      <c r="R59" s="50">
        <v>9636</v>
      </c>
      <c r="S59" s="50">
        <v>6891</v>
      </c>
      <c r="T59" s="50">
        <v>8487</v>
      </c>
      <c r="U59" s="50">
        <v>6290</v>
      </c>
      <c r="V59" s="50">
        <v>7872</v>
      </c>
      <c r="W59" s="50">
        <v>8236</v>
      </c>
    </row>
    <row r="60" spans="1:23" x14ac:dyDescent="0.3">
      <c r="A60" s="12" t="s">
        <v>46</v>
      </c>
      <c r="B60" s="63">
        <f t="shared" si="1"/>
        <v>0.54211994421199439</v>
      </c>
      <c r="C60" s="63">
        <f t="shared" si="2"/>
        <v>0.60461131017292413</v>
      </c>
      <c r="D60" s="63">
        <f t="shared" si="3"/>
        <v>0.61347068145800321</v>
      </c>
      <c r="E60" s="63">
        <f t="shared" si="4"/>
        <v>0.79354419410745236</v>
      </c>
      <c r="F60" s="63">
        <f t="shared" si="5"/>
        <v>0.76961662486563953</v>
      </c>
      <c r="G60" s="63">
        <f t="shared" si="6"/>
        <v>0.71247187399549983</v>
      </c>
      <c r="I60" s="12" t="s">
        <v>269</v>
      </c>
      <c r="J60" s="50">
        <v>3887</v>
      </c>
      <c r="K60" s="50">
        <v>3881</v>
      </c>
      <c r="L60" s="50">
        <v>3871</v>
      </c>
      <c r="M60" s="50">
        <v>3663</v>
      </c>
      <c r="N60" s="50">
        <v>4296</v>
      </c>
      <c r="O60" s="50">
        <v>4433</v>
      </c>
      <c r="Q60" s="12" t="s">
        <v>269</v>
      </c>
      <c r="R60" s="50">
        <v>7170</v>
      </c>
      <c r="S60" s="50">
        <v>6419</v>
      </c>
      <c r="T60" s="50">
        <v>6310</v>
      </c>
      <c r="U60" s="50">
        <v>4616</v>
      </c>
      <c r="V60" s="50">
        <v>5582</v>
      </c>
      <c r="W60" s="50">
        <v>6222</v>
      </c>
    </row>
    <row r="61" spans="1:23" x14ac:dyDescent="0.3">
      <c r="A61" s="12" t="s">
        <v>44</v>
      </c>
      <c r="B61" s="63">
        <f t="shared" si="1"/>
        <v>0.57740282594068626</v>
      </c>
      <c r="C61" s="63">
        <f t="shared" si="2"/>
        <v>0.6514073803878655</v>
      </c>
      <c r="D61" s="63">
        <f t="shared" si="3"/>
        <v>0.65436500861710345</v>
      </c>
      <c r="E61" s="63">
        <f t="shared" si="4"/>
        <v>0.79529790166947467</v>
      </c>
      <c r="F61" s="63">
        <f t="shared" si="5"/>
        <v>0.72761680213439228</v>
      </c>
      <c r="G61" s="63">
        <f t="shared" si="6"/>
        <v>0.64341381001689468</v>
      </c>
      <c r="I61" s="12" t="s">
        <v>226</v>
      </c>
      <c r="J61" s="50">
        <v>11156</v>
      </c>
      <c r="K61" s="50">
        <v>10715</v>
      </c>
      <c r="L61" s="50">
        <v>11011</v>
      </c>
      <c r="M61" s="50">
        <v>10385</v>
      </c>
      <c r="N61" s="50">
        <v>11727</v>
      </c>
      <c r="O61" s="50">
        <v>11806</v>
      </c>
      <c r="Q61" s="12" t="s">
        <v>226</v>
      </c>
      <c r="R61" s="50">
        <v>19321</v>
      </c>
      <c r="S61" s="50">
        <v>16449</v>
      </c>
      <c r="T61" s="50">
        <v>16827</v>
      </c>
      <c r="U61" s="50">
        <v>13058</v>
      </c>
      <c r="V61" s="50">
        <v>16117</v>
      </c>
      <c r="W61" s="50">
        <v>18349</v>
      </c>
    </row>
    <row r="62" spans="1:23" x14ac:dyDescent="0.3">
      <c r="A62" s="12" t="s">
        <v>36</v>
      </c>
      <c r="B62" s="63">
        <f t="shared" si="1"/>
        <v>0.71144278606965172</v>
      </c>
      <c r="C62" s="63">
        <f t="shared" si="2"/>
        <v>0.76660572821450335</v>
      </c>
      <c r="D62" s="63">
        <f t="shared" si="3"/>
        <v>0.74767459028495498</v>
      </c>
      <c r="E62" s="63">
        <f t="shared" si="4"/>
        <v>0.84104199893673581</v>
      </c>
      <c r="F62" s="63">
        <f t="shared" si="5"/>
        <v>0.84430562229697259</v>
      </c>
      <c r="G62" s="63">
        <f t="shared" si="6"/>
        <v>0.67696591963930508</v>
      </c>
      <c r="I62" s="12" t="s">
        <v>227</v>
      </c>
      <c r="J62" s="50">
        <v>5291</v>
      </c>
      <c r="K62" s="50">
        <v>5032</v>
      </c>
      <c r="L62" s="50">
        <v>5064</v>
      </c>
      <c r="M62" s="50">
        <v>4746</v>
      </c>
      <c r="N62" s="50">
        <v>5271</v>
      </c>
      <c r="O62" s="50">
        <v>5105</v>
      </c>
      <c r="Q62" s="12" t="s">
        <v>227</v>
      </c>
      <c r="R62" s="50">
        <v>7437</v>
      </c>
      <c r="S62" s="50">
        <v>6564</v>
      </c>
      <c r="T62" s="50">
        <v>6773</v>
      </c>
      <c r="U62" s="50">
        <v>5643</v>
      </c>
      <c r="V62" s="50">
        <v>6243</v>
      </c>
      <c r="W62" s="50">
        <v>7541</v>
      </c>
    </row>
    <row r="63" spans="1:23" x14ac:dyDescent="0.3">
      <c r="A63" s="12" t="s">
        <v>54</v>
      </c>
      <c r="B63" s="63">
        <f t="shared" si="1"/>
        <v>0.59461942257217848</v>
      </c>
      <c r="C63" s="63">
        <f t="shared" si="2"/>
        <v>0.64736171297476419</v>
      </c>
      <c r="D63" s="63">
        <f t="shared" si="3"/>
        <v>0.69446147557735538</v>
      </c>
      <c r="E63" s="63">
        <f t="shared" si="4"/>
        <v>0.76585971446306644</v>
      </c>
      <c r="F63" s="63">
        <f t="shared" si="5"/>
        <v>0.70250705274924152</v>
      </c>
      <c r="G63" s="63">
        <f t="shared" si="6"/>
        <v>0.60812201740432303</v>
      </c>
      <c r="I63" s="12" t="s">
        <v>228</v>
      </c>
      <c r="J63" s="50">
        <v>13593</v>
      </c>
      <c r="K63" s="50">
        <v>12698</v>
      </c>
      <c r="L63" s="50">
        <v>13592</v>
      </c>
      <c r="M63" s="50">
        <v>12338</v>
      </c>
      <c r="N63" s="50">
        <v>13198</v>
      </c>
      <c r="O63" s="50">
        <v>12998</v>
      </c>
      <c r="Q63" s="12" t="s">
        <v>228</v>
      </c>
      <c r="R63" s="50">
        <v>22860</v>
      </c>
      <c r="S63" s="50">
        <v>19615</v>
      </c>
      <c r="T63" s="50">
        <v>19572</v>
      </c>
      <c r="U63" s="50">
        <v>16110</v>
      </c>
      <c r="V63" s="50">
        <v>18787</v>
      </c>
      <c r="W63" s="50">
        <v>21374</v>
      </c>
    </row>
    <row r="64" spans="1:23" x14ac:dyDescent="0.3">
      <c r="A64" s="12" t="s">
        <v>23</v>
      </c>
      <c r="B64" s="63">
        <f t="shared" si="1"/>
        <v>0.62599488864549102</v>
      </c>
      <c r="C64" s="63">
        <f t="shared" si="2"/>
        <v>0.65575936577024718</v>
      </c>
      <c r="D64" s="63">
        <f t="shared" si="3"/>
        <v>0.68465539661898567</v>
      </c>
      <c r="E64" s="63">
        <f t="shared" si="4"/>
        <v>0.77241899020346649</v>
      </c>
      <c r="F64" s="63">
        <f t="shared" si="5"/>
        <v>0.78842096379441307</v>
      </c>
      <c r="G64" s="63">
        <f t="shared" si="6"/>
        <v>0.75433753943217663</v>
      </c>
      <c r="I64" s="12" t="s">
        <v>229</v>
      </c>
      <c r="J64" s="50">
        <v>8573</v>
      </c>
      <c r="K64" s="50">
        <v>8437</v>
      </c>
      <c r="L64" s="50">
        <v>8424</v>
      </c>
      <c r="M64" s="50">
        <v>8200</v>
      </c>
      <c r="N64" s="50">
        <v>9342</v>
      </c>
      <c r="O64" s="50">
        <v>9565</v>
      </c>
      <c r="Q64" s="12" t="s">
        <v>229</v>
      </c>
      <c r="R64" s="50">
        <v>13695</v>
      </c>
      <c r="S64" s="50">
        <v>12866</v>
      </c>
      <c r="T64" s="50">
        <v>12304</v>
      </c>
      <c r="U64" s="50">
        <v>10616</v>
      </c>
      <c r="V64" s="50">
        <v>11849</v>
      </c>
      <c r="W64" s="50">
        <v>12680</v>
      </c>
    </row>
    <row r="65" spans="1:23" x14ac:dyDescent="0.3">
      <c r="A65" s="12" t="s">
        <v>49</v>
      </c>
      <c r="B65" s="63">
        <f t="shared" si="1"/>
        <v>0.64810499202747451</v>
      </c>
      <c r="C65" s="63">
        <f t="shared" si="2"/>
        <v>0.73319843908079207</v>
      </c>
      <c r="D65" s="63">
        <f t="shared" si="3"/>
        <v>0.72694494522257658</v>
      </c>
      <c r="E65" s="63">
        <f t="shared" si="4"/>
        <v>0.82525893752088209</v>
      </c>
      <c r="F65" s="63">
        <f t="shared" si="5"/>
        <v>0.78362312379253973</v>
      </c>
      <c r="G65" s="63">
        <f t="shared" si="6"/>
        <v>0.69224714679260135</v>
      </c>
      <c r="I65" s="12" t="s">
        <v>230</v>
      </c>
      <c r="J65" s="50">
        <v>5284</v>
      </c>
      <c r="K65" s="50">
        <v>5073</v>
      </c>
      <c r="L65" s="50">
        <v>5242</v>
      </c>
      <c r="M65" s="50">
        <v>4940</v>
      </c>
      <c r="N65" s="50">
        <v>5273</v>
      </c>
      <c r="O65" s="50">
        <v>5277</v>
      </c>
      <c r="Q65" s="12" t="s">
        <v>230</v>
      </c>
      <c r="R65" s="50">
        <v>8153</v>
      </c>
      <c r="S65" s="50">
        <v>6919</v>
      </c>
      <c r="T65" s="50">
        <v>7211</v>
      </c>
      <c r="U65" s="50">
        <v>5986</v>
      </c>
      <c r="V65" s="50">
        <v>6729</v>
      </c>
      <c r="W65" s="50">
        <v>7623</v>
      </c>
    </row>
    <row r="66" spans="1:23" x14ac:dyDescent="0.3">
      <c r="A66" s="12" t="s">
        <v>24</v>
      </c>
      <c r="B66" s="63">
        <f t="shared" si="1"/>
        <v>0.61082039911308206</v>
      </c>
      <c r="C66" s="63">
        <f t="shared" si="2"/>
        <v>0.72037228541882115</v>
      </c>
      <c r="D66" s="63">
        <f t="shared" si="3"/>
        <v>0.67434685245085846</v>
      </c>
      <c r="E66" s="63">
        <f t="shared" si="4"/>
        <v>0.77153739193519133</v>
      </c>
      <c r="F66" s="63">
        <f t="shared" si="5"/>
        <v>0.71078556480016331</v>
      </c>
      <c r="G66" s="63">
        <f t="shared" si="6"/>
        <v>0.64008660401695228</v>
      </c>
      <c r="I66" s="12" t="s">
        <v>231</v>
      </c>
      <c r="J66" s="50">
        <v>13774</v>
      </c>
      <c r="K66" s="50">
        <v>13932</v>
      </c>
      <c r="L66" s="50">
        <v>13551</v>
      </c>
      <c r="M66" s="50">
        <v>12762</v>
      </c>
      <c r="N66" s="50">
        <v>13925</v>
      </c>
      <c r="O66" s="50">
        <v>13895</v>
      </c>
      <c r="Q66" s="12" t="s">
        <v>231</v>
      </c>
      <c r="R66" s="50">
        <v>22550</v>
      </c>
      <c r="S66" s="50">
        <v>19340</v>
      </c>
      <c r="T66" s="50">
        <v>20095</v>
      </c>
      <c r="U66" s="50">
        <v>16541</v>
      </c>
      <c r="V66" s="50">
        <v>19591</v>
      </c>
      <c r="W66" s="50">
        <v>21708</v>
      </c>
    </row>
    <row r="67" spans="1:23" x14ac:dyDescent="0.3">
      <c r="A67" s="12" t="s">
        <v>68</v>
      </c>
      <c r="B67" s="63">
        <f t="shared" si="1"/>
        <v>0.6406389776357827</v>
      </c>
      <c r="C67" s="63">
        <f t="shared" si="2"/>
        <v>0.73737450562823248</v>
      </c>
      <c r="D67" s="63">
        <f t="shared" si="3"/>
        <v>0.72609078889378575</v>
      </c>
      <c r="E67" s="63">
        <f t="shared" si="4"/>
        <v>0.83447295977266678</v>
      </c>
      <c r="F67" s="63">
        <f t="shared" si="5"/>
        <v>0.81181102362204727</v>
      </c>
      <c r="G67" s="63">
        <f t="shared" si="6"/>
        <v>0.67775199793761276</v>
      </c>
      <c r="I67" s="12" t="s">
        <v>232</v>
      </c>
      <c r="J67" s="50">
        <v>10026</v>
      </c>
      <c r="K67" s="50">
        <v>9695</v>
      </c>
      <c r="L67" s="50">
        <v>9885</v>
      </c>
      <c r="M67" s="50">
        <v>9397</v>
      </c>
      <c r="N67" s="50">
        <v>10310</v>
      </c>
      <c r="O67" s="50">
        <v>10516</v>
      </c>
      <c r="Q67" s="12" t="s">
        <v>232</v>
      </c>
      <c r="R67" s="50">
        <v>15650</v>
      </c>
      <c r="S67" s="50">
        <v>13148</v>
      </c>
      <c r="T67" s="50">
        <v>13614</v>
      </c>
      <c r="U67" s="50">
        <v>11261</v>
      </c>
      <c r="V67" s="50">
        <v>12700</v>
      </c>
      <c r="W67" s="50">
        <v>15516</v>
      </c>
    </row>
    <row r="68" spans="1:23" x14ac:dyDescent="0.3">
      <c r="A68" s="12" t="s">
        <v>41</v>
      </c>
      <c r="B68" s="63">
        <f t="shared" si="1"/>
        <v>0.58602345544674161</v>
      </c>
      <c r="C68" s="63">
        <f t="shared" si="2"/>
        <v>0.64795419634129314</v>
      </c>
      <c r="D68" s="63">
        <f t="shared" si="3"/>
        <v>0.65164957028001114</v>
      </c>
      <c r="E68" s="63">
        <f t="shared" si="4"/>
        <v>0.75713065755764308</v>
      </c>
      <c r="F68" s="63">
        <f t="shared" si="5"/>
        <v>0.77554636739515648</v>
      </c>
      <c r="G68" s="63">
        <f t="shared" si="6"/>
        <v>0.67546870874042775</v>
      </c>
      <c r="I68" s="12" t="s">
        <v>233</v>
      </c>
      <c r="J68" s="50">
        <v>4847</v>
      </c>
      <c r="K68" s="50">
        <v>4640</v>
      </c>
      <c r="L68" s="50">
        <v>4701</v>
      </c>
      <c r="M68" s="50">
        <v>4433</v>
      </c>
      <c r="N68" s="50">
        <v>5252</v>
      </c>
      <c r="O68" s="50">
        <v>5116</v>
      </c>
      <c r="Q68" s="12" t="s">
        <v>233</v>
      </c>
      <c r="R68" s="50">
        <v>8271</v>
      </c>
      <c r="S68" s="50">
        <v>7161</v>
      </c>
      <c r="T68" s="50">
        <v>7214</v>
      </c>
      <c r="U68" s="50">
        <v>5855</v>
      </c>
      <c r="V68" s="50">
        <v>6772</v>
      </c>
      <c r="W68" s="50">
        <v>7574</v>
      </c>
    </row>
    <row r="69" spans="1:23" x14ac:dyDescent="0.3">
      <c r="A69" s="12" t="s">
        <v>101</v>
      </c>
      <c r="B69" s="63">
        <f t="shared" ref="B69:B92" si="7">J69/R69</f>
        <v>0.62844466197093185</v>
      </c>
      <c r="C69" s="63">
        <f t="shared" ref="C69:C101" si="8">K69/S69</f>
        <v>0.72998066259428585</v>
      </c>
      <c r="D69" s="63">
        <f t="shared" ref="D69:D101" si="9">L69/T69</f>
        <v>0.70696774805989981</v>
      </c>
      <c r="E69" s="63">
        <f t="shared" ref="E69:E101" si="10">M69/U69</f>
        <v>0.80159252916465407</v>
      </c>
      <c r="F69" s="63">
        <f t="shared" ref="F69:F101" si="11">N69/V69</f>
        <v>0.76534984490229452</v>
      </c>
      <c r="G69" s="63">
        <f t="shared" ref="G69:G101" si="12">O69/W69</f>
        <v>0.66702960981849324</v>
      </c>
      <c r="I69" s="12" t="s">
        <v>234</v>
      </c>
      <c r="J69" s="50">
        <v>59065</v>
      </c>
      <c r="K69" s="50">
        <v>57002</v>
      </c>
      <c r="L69" s="50">
        <v>59579</v>
      </c>
      <c r="M69" s="50">
        <v>54764</v>
      </c>
      <c r="N69" s="50">
        <v>63410</v>
      </c>
      <c r="O69" s="50">
        <v>63099</v>
      </c>
      <c r="Q69" s="12" t="s">
        <v>234</v>
      </c>
      <c r="R69" s="50">
        <v>93986</v>
      </c>
      <c r="S69" s="50">
        <v>78087</v>
      </c>
      <c r="T69" s="50">
        <v>84274</v>
      </c>
      <c r="U69" s="50">
        <v>68319</v>
      </c>
      <c r="V69" s="50">
        <v>82851</v>
      </c>
      <c r="W69" s="50">
        <v>94597</v>
      </c>
    </row>
    <row r="70" spans="1:23" x14ac:dyDescent="0.3">
      <c r="A70" s="12" t="s">
        <v>55</v>
      </c>
      <c r="B70" s="63">
        <f t="shared" si="7"/>
        <v>0.71027709575587517</v>
      </c>
      <c r="C70" s="63">
        <f t="shared" si="8"/>
        <v>0.72422625400213447</v>
      </c>
      <c r="D70" s="63">
        <f t="shared" si="9"/>
        <v>0.81460437710437705</v>
      </c>
      <c r="E70" s="63">
        <f t="shared" si="10"/>
        <v>0.91774234371045305</v>
      </c>
      <c r="F70" s="63">
        <f t="shared" si="11"/>
        <v>0.90913081650570671</v>
      </c>
      <c r="G70" s="63">
        <f t="shared" si="12"/>
        <v>0.79949922958397535</v>
      </c>
      <c r="I70" s="12" t="s">
        <v>235</v>
      </c>
      <c r="J70" s="50">
        <v>4050</v>
      </c>
      <c r="K70" s="50">
        <v>3393</v>
      </c>
      <c r="L70" s="50">
        <v>3871</v>
      </c>
      <c r="M70" s="50">
        <v>3626</v>
      </c>
      <c r="N70" s="50">
        <v>4142</v>
      </c>
      <c r="O70" s="50">
        <v>4151</v>
      </c>
      <c r="Q70" s="12" t="s">
        <v>235</v>
      </c>
      <c r="R70" s="50">
        <v>5702</v>
      </c>
      <c r="S70" s="50">
        <v>4685</v>
      </c>
      <c r="T70" s="50">
        <v>4752</v>
      </c>
      <c r="U70" s="50">
        <v>3951</v>
      </c>
      <c r="V70" s="50">
        <v>4556</v>
      </c>
      <c r="W70" s="50">
        <v>5192</v>
      </c>
    </row>
    <row r="71" spans="1:23" x14ac:dyDescent="0.3">
      <c r="A71" s="12" t="s">
        <v>16</v>
      </c>
      <c r="B71" s="63">
        <f t="shared" si="7"/>
        <v>0.60459679378188003</v>
      </c>
      <c r="C71" s="63">
        <f t="shared" si="8"/>
        <v>0.69026357482356326</v>
      </c>
      <c r="D71" s="63">
        <f t="shared" si="9"/>
        <v>0.6967310499338063</v>
      </c>
      <c r="E71" s="63">
        <f t="shared" si="10"/>
        <v>0.77598907465651379</v>
      </c>
      <c r="F71" s="63">
        <f t="shared" si="11"/>
        <v>0.75741900353934111</v>
      </c>
      <c r="G71" s="63">
        <f t="shared" si="12"/>
        <v>0.62908132224700875</v>
      </c>
      <c r="I71" s="12" t="s">
        <v>236</v>
      </c>
      <c r="J71" s="50">
        <v>19913</v>
      </c>
      <c r="K71" s="50">
        <v>19170</v>
      </c>
      <c r="L71" s="50">
        <v>20525</v>
      </c>
      <c r="M71" s="50">
        <v>18751</v>
      </c>
      <c r="N71" s="50">
        <v>22256</v>
      </c>
      <c r="O71" s="50">
        <v>21714</v>
      </c>
      <c r="Q71" s="12" t="s">
        <v>236</v>
      </c>
      <c r="R71" s="50">
        <v>32936</v>
      </c>
      <c r="S71" s="50">
        <v>27772</v>
      </c>
      <c r="T71" s="50">
        <v>29459</v>
      </c>
      <c r="U71" s="50">
        <v>24164</v>
      </c>
      <c r="V71" s="50">
        <v>29384</v>
      </c>
      <c r="W71" s="50">
        <v>34517</v>
      </c>
    </row>
    <row r="72" spans="1:23" x14ac:dyDescent="0.3">
      <c r="A72" s="12" t="s">
        <v>19</v>
      </c>
      <c r="B72" s="63">
        <f t="shared" si="7"/>
        <v>0.63063391968138072</v>
      </c>
      <c r="C72" s="63">
        <f t="shared" si="8"/>
        <v>0.75849317295188556</v>
      </c>
      <c r="D72" s="63">
        <f t="shared" si="9"/>
        <v>0.68915953478165459</v>
      </c>
      <c r="E72" s="63">
        <f t="shared" si="10"/>
        <v>0.75613369132487729</v>
      </c>
      <c r="F72" s="63">
        <f t="shared" si="11"/>
        <v>0.6926878204651854</v>
      </c>
      <c r="G72" s="63">
        <f t="shared" si="12"/>
        <v>0.6636667003741531</v>
      </c>
      <c r="I72" s="12" t="s">
        <v>237</v>
      </c>
      <c r="J72" s="50">
        <v>19001</v>
      </c>
      <c r="K72" s="50">
        <v>18665</v>
      </c>
      <c r="L72" s="50">
        <v>18843</v>
      </c>
      <c r="M72" s="50">
        <v>16334</v>
      </c>
      <c r="N72" s="50">
        <v>18643</v>
      </c>
      <c r="O72" s="50">
        <v>19689</v>
      </c>
      <c r="Q72" s="12" t="s">
        <v>237</v>
      </c>
      <c r="R72" s="50">
        <v>30130</v>
      </c>
      <c r="S72" s="50">
        <v>24608</v>
      </c>
      <c r="T72" s="50">
        <v>27342</v>
      </c>
      <c r="U72" s="50">
        <v>21602</v>
      </c>
      <c r="V72" s="50">
        <v>26914</v>
      </c>
      <c r="W72" s="50">
        <v>29667</v>
      </c>
    </row>
    <row r="73" spans="1:23" x14ac:dyDescent="0.3">
      <c r="A73" s="12" t="s">
        <v>17</v>
      </c>
      <c r="B73" s="63">
        <f t="shared" si="7"/>
        <v>0.64779559118236474</v>
      </c>
      <c r="C73" s="63">
        <f t="shared" si="8"/>
        <v>0.77994722955145124</v>
      </c>
      <c r="D73" s="63">
        <f t="shared" si="9"/>
        <v>0.69075278810408924</v>
      </c>
      <c r="E73" s="63">
        <f t="shared" si="10"/>
        <v>0.74565769426104622</v>
      </c>
      <c r="F73" s="63">
        <f t="shared" si="11"/>
        <v>0.70961476205891871</v>
      </c>
      <c r="G73" s="63">
        <f t="shared" si="12"/>
        <v>0.71608610567514674</v>
      </c>
      <c r="I73" s="12" t="s">
        <v>266</v>
      </c>
      <c r="J73" s="50">
        <v>9051</v>
      </c>
      <c r="K73" s="50">
        <v>8868</v>
      </c>
      <c r="L73" s="50">
        <v>8919</v>
      </c>
      <c r="M73" s="50">
        <v>7341</v>
      </c>
      <c r="N73" s="50">
        <f>N72-SUM(N74:N75)</f>
        <v>8768</v>
      </c>
      <c r="O73" s="50">
        <f>O72-SUM(O74:O75)</f>
        <v>9148</v>
      </c>
      <c r="Q73" s="12" t="s">
        <v>266</v>
      </c>
      <c r="R73" s="50">
        <v>13972</v>
      </c>
      <c r="S73" s="50">
        <v>11370</v>
      </c>
      <c r="T73" s="50">
        <v>12912</v>
      </c>
      <c r="U73" s="50">
        <v>9845</v>
      </c>
      <c r="V73" s="50">
        <f>V72-SUM(V74:V75)</f>
        <v>12356</v>
      </c>
      <c r="W73" s="50">
        <f>W72-SUM(W74:W75)</f>
        <v>12775</v>
      </c>
    </row>
    <row r="74" spans="1:23" x14ac:dyDescent="0.3">
      <c r="A74" s="12" t="s">
        <v>60</v>
      </c>
      <c r="B74" s="63">
        <f t="shared" si="7"/>
        <v>0.64568661971830987</v>
      </c>
      <c r="C74" s="63">
        <f t="shared" si="8"/>
        <v>0.83893956670467507</v>
      </c>
      <c r="D74" s="63">
        <f t="shared" si="9"/>
        <v>0.7461478192739619</v>
      </c>
      <c r="E74" s="63">
        <f t="shared" si="10"/>
        <v>0.82784479947831757</v>
      </c>
      <c r="F74" s="63">
        <f t="shared" si="11"/>
        <v>0.74257425742574257</v>
      </c>
      <c r="G74" s="63">
        <f t="shared" si="12"/>
        <v>0.64510818438381934</v>
      </c>
      <c r="I74" s="12" t="s">
        <v>272</v>
      </c>
      <c r="J74" s="50">
        <v>2934</v>
      </c>
      <c r="K74" s="50">
        <v>2943</v>
      </c>
      <c r="L74" s="50">
        <v>2857</v>
      </c>
      <c r="M74" s="50">
        <v>2539</v>
      </c>
      <c r="N74" s="50">
        <v>2850</v>
      </c>
      <c r="O74" s="50">
        <v>2743</v>
      </c>
      <c r="Q74" s="12" t="s">
        <v>272</v>
      </c>
      <c r="R74" s="50">
        <v>4544</v>
      </c>
      <c r="S74" s="50">
        <v>3508</v>
      </c>
      <c r="T74" s="50">
        <v>3829</v>
      </c>
      <c r="U74" s="50">
        <v>3067</v>
      </c>
      <c r="V74" s="50">
        <v>3838</v>
      </c>
      <c r="W74" s="50">
        <v>4252</v>
      </c>
    </row>
    <row r="75" spans="1:23" x14ac:dyDescent="0.3">
      <c r="A75" s="12" t="s">
        <v>95</v>
      </c>
      <c r="B75" s="63">
        <f t="shared" si="7"/>
        <v>0.6040985018081626</v>
      </c>
      <c r="C75" s="63">
        <f t="shared" si="8"/>
        <v>0.70441932168550869</v>
      </c>
      <c r="D75" s="63">
        <f t="shared" si="9"/>
        <v>0.66663522309216117</v>
      </c>
      <c r="E75" s="63">
        <f t="shared" si="10"/>
        <v>0.742692750287687</v>
      </c>
      <c r="F75" s="63">
        <f t="shared" si="11"/>
        <v>0.65531716417910446</v>
      </c>
      <c r="G75" s="63">
        <f t="shared" si="12"/>
        <v>0.6169303797468354</v>
      </c>
      <c r="I75" s="12" t="s">
        <v>238</v>
      </c>
      <c r="J75" s="50">
        <v>7016</v>
      </c>
      <c r="K75" s="50">
        <v>6854</v>
      </c>
      <c r="L75" s="50">
        <v>7067</v>
      </c>
      <c r="M75" s="50">
        <v>6454</v>
      </c>
      <c r="N75" s="50">
        <v>7025</v>
      </c>
      <c r="O75" s="50">
        <v>7798</v>
      </c>
      <c r="Q75" s="12" t="s">
        <v>238</v>
      </c>
      <c r="R75" s="50">
        <v>11614</v>
      </c>
      <c r="S75" s="50">
        <v>9730</v>
      </c>
      <c r="T75" s="50">
        <v>10601</v>
      </c>
      <c r="U75" s="50">
        <v>8690</v>
      </c>
      <c r="V75" s="50">
        <v>10720</v>
      </c>
      <c r="W75" s="50">
        <v>12640</v>
      </c>
    </row>
    <row r="76" spans="1:23" x14ac:dyDescent="0.3">
      <c r="A76" s="12" t="s">
        <v>82</v>
      </c>
      <c r="B76" s="63">
        <f t="shared" si="7"/>
        <v>0.63847251962883655</v>
      </c>
      <c r="C76" s="63">
        <f t="shared" si="8"/>
        <v>0.75035676909903914</v>
      </c>
      <c r="D76" s="63">
        <f t="shared" si="9"/>
        <v>0.71915848774261693</v>
      </c>
      <c r="E76" s="63">
        <f t="shared" si="10"/>
        <v>0.86297172347059459</v>
      </c>
      <c r="F76" s="63">
        <f t="shared" si="11"/>
        <v>0.83506841842069368</v>
      </c>
      <c r="G76" s="63">
        <f t="shared" si="12"/>
        <v>0.69565045002180725</v>
      </c>
      <c r="I76" s="12" t="s">
        <v>239</v>
      </c>
      <c r="J76" s="50">
        <v>16101</v>
      </c>
      <c r="K76" s="50">
        <v>15774</v>
      </c>
      <c r="L76" s="50">
        <v>16340</v>
      </c>
      <c r="M76" s="50">
        <v>16053</v>
      </c>
      <c r="N76" s="50">
        <v>18369</v>
      </c>
      <c r="O76" s="50">
        <v>17545</v>
      </c>
      <c r="Q76" s="12" t="s">
        <v>239</v>
      </c>
      <c r="R76" s="50">
        <v>25218</v>
      </c>
      <c r="S76" s="50">
        <v>21022</v>
      </c>
      <c r="T76" s="50">
        <v>22721</v>
      </c>
      <c r="U76" s="50">
        <v>18602</v>
      </c>
      <c r="V76" s="50">
        <v>21997</v>
      </c>
      <c r="W76" s="50">
        <v>25221</v>
      </c>
    </row>
    <row r="77" spans="1:23" x14ac:dyDescent="0.3">
      <c r="A77" s="12" t="s">
        <v>102</v>
      </c>
      <c r="B77" s="63">
        <f t="shared" si="7"/>
        <v>0.61530968766543148</v>
      </c>
      <c r="C77" s="63" t="e">
        <f t="shared" si="8"/>
        <v>#VALUE!</v>
      </c>
      <c r="D77" s="63" t="e">
        <f t="shared" si="9"/>
        <v>#VALUE!</v>
      </c>
      <c r="E77" s="63" t="e">
        <f t="shared" si="10"/>
        <v>#VALUE!</v>
      </c>
      <c r="F77" s="63" t="e">
        <f t="shared" si="11"/>
        <v>#VALUE!</v>
      </c>
      <c r="G77" s="63" t="e">
        <f t="shared" si="12"/>
        <v>#VALUE!</v>
      </c>
      <c r="I77" s="12" t="s">
        <v>240</v>
      </c>
      <c r="J77" s="50">
        <v>87174</v>
      </c>
      <c r="K77" s="50" t="s">
        <v>86</v>
      </c>
      <c r="L77" s="50" t="s">
        <v>86</v>
      </c>
      <c r="M77" s="50" t="s">
        <v>86</v>
      </c>
      <c r="N77" s="50" t="s">
        <v>86</v>
      </c>
      <c r="O77" s="50" t="s">
        <v>86</v>
      </c>
      <c r="Q77" s="12" t="s">
        <v>240</v>
      </c>
      <c r="R77" s="50">
        <v>141675</v>
      </c>
      <c r="S77" s="50"/>
      <c r="T77" s="50"/>
      <c r="U77" s="50"/>
      <c r="V77" s="50"/>
      <c r="W77" s="50"/>
    </row>
    <row r="78" spans="1:23" x14ac:dyDescent="0.3">
      <c r="A78" s="12" t="s">
        <v>102</v>
      </c>
      <c r="B78" s="63" t="e">
        <f t="shared" si="7"/>
        <v>#VALUE!</v>
      </c>
      <c r="C78" s="63">
        <f t="shared" si="8"/>
        <v>0.6904583921666344</v>
      </c>
      <c r="D78" s="63">
        <f t="shared" si="9"/>
        <v>0.68794760359919205</v>
      </c>
      <c r="E78" s="63">
        <f t="shared" si="10"/>
        <v>0.76956935140967708</v>
      </c>
      <c r="F78" s="63">
        <f t="shared" si="11"/>
        <v>0.73437571351593256</v>
      </c>
      <c r="G78" s="63">
        <f t="shared" si="12"/>
        <v>0.64968562723375223</v>
      </c>
      <c r="I78" s="12" t="s">
        <v>240</v>
      </c>
      <c r="J78" s="50" t="s">
        <v>86</v>
      </c>
      <c r="K78" s="50">
        <v>74816</v>
      </c>
      <c r="L78" s="50">
        <v>78673</v>
      </c>
      <c r="M78" s="50">
        <v>72034</v>
      </c>
      <c r="N78" s="50">
        <v>80409</v>
      </c>
      <c r="O78" s="50">
        <v>83801</v>
      </c>
      <c r="Q78" s="12" t="s">
        <v>240</v>
      </c>
      <c r="R78" s="50"/>
      <c r="S78" s="50">
        <v>108357</v>
      </c>
      <c r="T78" s="50">
        <v>114359</v>
      </c>
      <c r="U78" s="50">
        <v>93603</v>
      </c>
      <c r="V78" s="50">
        <v>109493</v>
      </c>
      <c r="W78" s="50">
        <v>128987</v>
      </c>
    </row>
    <row r="79" spans="1:23" x14ac:dyDescent="0.3">
      <c r="A79" s="12" t="s">
        <v>58</v>
      </c>
      <c r="B79" s="63">
        <f t="shared" si="7"/>
        <v>0.58269720101781175</v>
      </c>
      <c r="C79" s="63">
        <f t="shared" si="8"/>
        <v>0.62156448202959835</v>
      </c>
      <c r="D79" s="63">
        <f t="shared" si="9"/>
        <v>0.65714285714285714</v>
      </c>
      <c r="E79" s="63">
        <f t="shared" si="10"/>
        <v>0.80650154798761609</v>
      </c>
      <c r="F79" s="63">
        <f t="shared" si="11"/>
        <v>0.8271276595744681</v>
      </c>
      <c r="G79" s="63">
        <f t="shared" si="12"/>
        <v>0.7533333333333333</v>
      </c>
      <c r="I79" s="12" t="s">
        <v>271</v>
      </c>
      <c r="J79" s="50">
        <v>916</v>
      </c>
      <c r="K79" s="50">
        <v>882</v>
      </c>
      <c r="L79" s="50">
        <v>1012</v>
      </c>
      <c r="M79" s="50">
        <v>1042</v>
      </c>
      <c r="N79" s="50">
        <v>1244</v>
      </c>
      <c r="O79" s="50">
        <v>1356</v>
      </c>
      <c r="Q79" s="12" t="s">
        <v>271</v>
      </c>
      <c r="R79" s="50">
        <v>1572</v>
      </c>
      <c r="S79" s="50">
        <v>1419</v>
      </c>
      <c r="T79" s="50">
        <v>1540</v>
      </c>
      <c r="U79" s="50">
        <v>1292</v>
      </c>
      <c r="V79" s="50">
        <v>1504</v>
      </c>
      <c r="W79" s="50">
        <v>1800</v>
      </c>
    </row>
    <row r="80" spans="1:23" x14ac:dyDescent="0.3">
      <c r="A80" s="12" t="s">
        <v>14</v>
      </c>
      <c r="B80" s="63">
        <f t="shared" si="7"/>
        <v>0.2505582849486378</v>
      </c>
      <c r="C80" s="63">
        <f t="shared" si="8"/>
        <v>0.34802518603319976</v>
      </c>
      <c r="D80" s="63">
        <f t="shared" si="9"/>
        <v>0.34082568807339447</v>
      </c>
      <c r="E80" s="63">
        <f t="shared" si="10"/>
        <v>0.37323511356660527</v>
      </c>
      <c r="F80" s="63">
        <f t="shared" si="11"/>
        <v>0.68327868852459017</v>
      </c>
      <c r="G80" s="63">
        <f t="shared" si="12"/>
        <v>0.45836734693877551</v>
      </c>
      <c r="I80" s="12" t="s">
        <v>265</v>
      </c>
      <c r="J80" s="50">
        <v>561</v>
      </c>
      <c r="K80" s="50">
        <v>608</v>
      </c>
      <c r="L80" s="50">
        <v>743</v>
      </c>
      <c r="M80" s="50">
        <v>608</v>
      </c>
      <c r="N80" s="50">
        <v>1042</v>
      </c>
      <c r="O80" s="50">
        <v>1123</v>
      </c>
      <c r="Q80" s="12" t="s">
        <v>265</v>
      </c>
      <c r="R80" s="50">
        <v>2239</v>
      </c>
      <c r="S80" s="50">
        <v>1747</v>
      </c>
      <c r="T80" s="50">
        <v>2180</v>
      </c>
      <c r="U80" s="50">
        <v>1629</v>
      </c>
      <c r="V80" s="50">
        <v>1525</v>
      </c>
      <c r="W80" s="50">
        <v>2450</v>
      </c>
    </row>
    <row r="81" spans="1:23" x14ac:dyDescent="0.3">
      <c r="A81" s="12" t="s">
        <v>77</v>
      </c>
      <c r="B81" s="63">
        <f t="shared" si="7"/>
        <v>0.61965917510496415</v>
      </c>
      <c r="C81" s="63">
        <f t="shared" si="8"/>
        <v>0.65345911949685531</v>
      </c>
      <c r="D81" s="63">
        <f t="shared" si="9"/>
        <v>0.65296052631578949</v>
      </c>
      <c r="E81" s="63">
        <f t="shared" si="10"/>
        <v>0.84395011796427366</v>
      </c>
      <c r="F81" s="63">
        <f t="shared" si="11"/>
        <v>0.77764876632801161</v>
      </c>
      <c r="G81" s="63">
        <f t="shared" si="12"/>
        <v>0.70524835988753509</v>
      </c>
      <c r="I81" s="12" t="s">
        <v>241</v>
      </c>
      <c r="J81" s="50">
        <v>2509</v>
      </c>
      <c r="K81" s="50">
        <v>2078</v>
      </c>
      <c r="L81" s="50">
        <v>2382</v>
      </c>
      <c r="M81" s="50">
        <v>2504</v>
      </c>
      <c r="N81" s="50">
        <v>2679</v>
      </c>
      <c r="O81" s="50">
        <v>3010</v>
      </c>
      <c r="Q81" s="12" t="s">
        <v>241</v>
      </c>
      <c r="R81" s="50">
        <v>4049</v>
      </c>
      <c r="S81" s="50">
        <v>3180</v>
      </c>
      <c r="T81" s="50">
        <v>3648</v>
      </c>
      <c r="U81" s="50">
        <v>2967</v>
      </c>
      <c r="V81" s="50">
        <v>3445</v>
      </c>
      <c r="W81" s="50">
        <v>4268</v>
      </c>
    </row>
    <row r="82" spans="1:23" x14ac:dyDescent="0.3">
      <c r="A82" s="12" t="s">
        <v>12</v>
      </c>
      <c r="B82" s="63">
        <f t="shared" si="7"/>
        <v>0.7036212428786589</v>
      </c>
      <c r="C82" s="63">
        <f t="shared" si="8"/>
        <v>0.75939792753952051</v>
      </c>
      <c r="D82" s="63">
        <f t="shared" si="9"/>
        <v>0.75529394343254852</v>
      </c>
      <c r="E82" s="63">
        <f t="shared" si="10"/>
        <v>0.8656368657231619</v>
      </c>
      <c r="F82" s="63">
        <f t="shared" si="11"/>
        <v>0.7873688976080887</v>
      </c>
      <c r="G82" s="63">
        <f t="shared" si="12"/>
        <v>0.68908045977011489</v>
      </c>
      <c r="I82" s="12" t="s">
        <v>242</v>
      </c>
      <c r="J82" s="50">
        <v>10745</v>
      </c>
      <c r="K82" s="50">
        <v>10040</v>
      </c>
      <c r="L82" s="50">
        <v>10201</v>
      </c>
      <c r="M82" s="50">
        <v>10031</v>
      </c>
      <c r="N82" s="50">
        <v>10435</v>
      </c>
      <c r="O82" s="50">
        <v>10791</v>
      </c>
      <c r="Q82" s="12" t="s">
        <v>242</v>
      </c>
      <c r="R82" s="50">
        <v>15271</v>
      </c>
      <c r="S82" s="50">
        <v>13221</v>
      </c>
      <c r="T82" s="50">
        <v>13506</v>
      </c>
      <c r="U82" s="50">
        <v>11588</v>
      </c>
      <c r="V82" s="50">
        <v>13253</v>
      </c>
      <c r="W82" s="50">
        <v>15660</v>
      </c>
    </row>
    <row r="83" spans="1:23" x14ac:dyDescent="0.3">
      <c r="A83" s="12" t="s">
        <v>61</v>
      </c>
      <c r="B83" s="63">
        <f t="shared" si="7"/>
        <v>0.6108795788550121</v>
      </c>
      <c r="C83" s="63">
        <f t="shared" si="8"/>
        <v>0.71812890030940268</v>
      </c>
      <c r="D83" s="63">
        <f t="shared" si="9"/>
        <v>0.70142878185299751</v>
      </c>
      <c r="E83" s="63">
        <f t="shared" si="10"/>
        <v>0.78388391478851493</v>
      </c>
      <c r="F83" s="63">
        <f t="shared" si="11"/>
        <v>0.74423279891440919</v>
      </c>
      <c r="G83" s="63">
        <f t="shared" si="12"/>
        <v>0.68076024442846872</v>
      </c>
      <c r="I83" s="12" t="s">
        <v>243</v>
      </c>
      <c r="J83" s="50">
        <v>13925</v>
      </c>
      <c r="K83" s="50">
        <v>13694</v>
      </c>
      <c r="L83" s="50">
        <v>14286</v>
      </c>
      <c r="M83" s="50">
        <v>12695</v>
      </c>
      <c r="N83" s="50">
        <v>14808</v>
      </c>
      <c r="O83" s="50">
        <v>15151</v>
      </c>
      <c r="Q83" s="12" t="s">
        <v>243</v>
      </c>
      <c r="R83" s="50">
        <v>22795</v>
      </c>
      <c r="S83" s="50">
        <v>19069</v>
      </c>
      <c r="T83" s="50">
        <v>20367</v>
      </c>
      <c r="U83" s="50">
        <v>16195</v>
      </c>
      <c r="V83" s="50">
        <v>19897</v>
      </c>
      <c r="W83" s="50">
        <v>22256</v>
      </c>
    </row>
    <row r="84" spans="1:23" x14ac:dyDescent="0.3">
      <c r="A84" s="12" t="s">
        <v>72</v>
      </c>
      <c r="B84" s="63">
        <f t="shared" si="7"/>
        <v>0.58168708020545234</v>
      </c>
      <c r="C84" s="63">
        <f t="shared" si="8"/>
        <v>0.64688653271630248</v>
      </c>
      <c r="D84" s="63">
        <f t="shared" si="9"/>
        <v>0.66069354571096728</v>
      </c>
      <c r="E84" s="63">
        <f t="shared" si="10"/>
        <v>0.75887331958176252</v>
      </c>
      <c r="F84" s="63">
        <f t="shared" si="11"/>
        <v>0.70346256288842857</v>
      </c>
      <c r="G84" s="63">
        <f t="shared" si="12"/>
        <v>0.68125130999790395</v>
      </c>
      <c r="I84" s="12" t="s">
        <v>244</v>
      </c>
      <c r="J84" s="50">
        <v>11778</v>
      </c>
      <c r="K84" s="50">
        <v>11043</v>
      </c>
      <c r="L84" s="50">
        <v>11946</v>
      </c>
      <c r="M84" s="50">
        <v>10669</v>
      </c>
      <c r="N84" s="50">
        <v>11885</v>
      </c>
      <c r="O84" s="50">
        <v>13001</v>
      </c>
      <c r="Q84" s="12" t="s">
        <v>244</v>
      </c>
      <c r="R84" s="50">
        <v>20248</v>
      </c>
      <c r="S84" s="50">
        <v>17071</v>
      </c>
      <c r="T84" s="50">
        <v>18081</v>
      </c>
      <c r="U84" s="50">
        <v>14059</v>
      </c>
      <c r="V84" s="50">
        <v>16895</v>
      </c>
      <c r="W84" s="50">
        <v>19084</v>
      </c>
    </row>
    <row r="85" spans="1:23" x14ac:dyDescent="0.3">
      <c r="A85" s="12" t="s">
        <v>76</v>
      </c>
      <c r="B85" s="63">
        <f t="shared" si="7"/>
        <v>0.67138267290457132</v>
      </c>
      <c r="C85" s="63">
        <f t="shared" si="8"/>
        <v>0.72392407442210116</v>
      </c>
      <c r="D85" s="63">
        <f t="shared" si="9"/>
        <v>0.70952351446805872</v>
      </c>
      <c r="E85" s="63">
        <f t="shared" si="10"/>
        <v>0.78730487534216176</v>
      </c>
      <c r="F85" s="63">
        <f t="shared" si="11"/>
        <v>0.79162255161461093</v>
      </c>
      <c r="G85" s="63">
        <f t="shared" si="12"/>
        <v>0.62039194915254237</v>
      </c>
      <c r="I85" s="12" t="s">
        <v>274</v>
      </c>
      <c r="J85" s="50">
        <v>11911</v>
      </c>
      <c r="K85" s="50">
        <v>11556</v>
      </c>
      <c r="L85" s="50">
        <v>11451</v>
      </c>
      <c r="M85" s="50">
        <v>10642</v>
      </c>
      <c r="N85" s="50">
        <v>11963</v>
      </c>
      <c r="O85" s="50">
        <v>11713</v>
      </c>
      <c r="Q85" s="12" t="s">
        <v>274</v>
      </c>
      <c r="R85" s="50">
        <v>17741</v>
      </c>
      <c r="S85" s="50">
        <v>15963</v>
      </c>
      <c r="T85" s="50">
        <v>16139</v>
      </c>
      <c r="U85" s="50">
        <v>13517</v>
      </c>
      <c r="V85" s="50">
        <v>15112</v>
      </c>
      <c r="W85" s="50">
        <v>18880</v>
      </c>
    </row>
    <row r="86" spans="1:23" x14ac:dyDescent="0.3">
      <c r="A86" s="12" t="s">
        <v>6</v>
      </c>
      <c r="B86" s="63">
        <f t="shared" si="7"/>
        <v>0.61437693680157757</v>
      </c>
      <c r="C86" s="63">
        <f t="shared" si="8"/>
        <v>0.71112873980054392</v>
      </c>
      <c r="D86" s="63">
        <f t="shared" si="9"/>
        <v>0.68441123421798511</v>
      </c>
      <c r="E86" s="63">
        <f t="shared" si="10"/>
        <v>0.76569247136867136</v>
      </c>
      <c r="F86" s="63">
        <f t="shared" si="11"/>
        <v>0.68701812877682855</v>
      </c>
      <c r="G86" s="63">
        <f t="shared" si="12"/>
        <v>0.61644990900616981</v>
      </c>
      <c r="I86" s="12" t="s">
        <v>245</v>
      </c>
      <c r="J86" s="50">
        <v>13085</v>
      </c>
      <c r="K86" s="50">
        <v>12550</v>
      </c>
      <c r="L86" s="50">
        <v>13281</v>
      </c>
      <c r="M86" s="50">
        <v>12235</v>
      </c>
      <c r="N86" s="50">
        <v>13188</v>
      </c>
      <c r="O86" s="50">
        <v>13888</v>
      </c>
      <c r="Q86" s="12" t="s">
        <v>245</v>
      </c>
      <c r="R86" s="50">
        <v>21298</v>
      </c>
      <c r="S86" s="50">
        <v>17648</v>
      </c>
      <c r="T86" s="50">
        <v>19405</v>
      </c>
      <c r="U86" s="50">
        <v>15979</v>
      </c>
      <c r="V86" s="50">
        <v>19196</v>
      </c>
      <c r="W86" s="50">
        <v>22529</v>
      </c>
    </row>
    <row r="87" spans="1:23" x14ac:dyDescent="0.3">
      <c r="A87" s="12" t="s">
        <v>64</v>
      </c>
      <c r="B87" s="63">
        <f t="shared" si="7"/>
        <v>0.61453385324353071</v>
      </c>
      <c r="C87" s="63">
        <f t="shared" si="8"/>
        <v>0.6875461784746737</v>
      </c>
      <c r="D87" s="63">
        <f t="shared" si="9"/>
        <v>0.68363752801793143</v>
      </c>
      <c r="E87" s="63">
        <f t="shared" si="10"/>
        <v>0.73161340007701192</v>
      </c>
      <c r="F87" s="63">
        <f t="shared" si="11"/>
        <v>0.70794746590335078</v>
      </c>
      <c r="G87" s="63">
        <f t="shared" si="12"/>
        <v>0.60405396151475721</v>
      </c>
      <c r="I87" s="12" t="s">
        <v>246</v>
      </c>
      <c r="J87" s="50">
        <v>8668</v>
      </c>
      <c r="K87" s="50">
        <v>8375</v>
      </c>
      <c r="L87" s="50">
        <v>8540</v>
      </c>
      <c r="M87" s="50">
        <v>7600</v>
      </c>
      <c r="N87" s="50">
        <v>8409</v>
      </c>
      <c r="O87" s="50">
        <v>8821</v>
      </c>
      <c r="Q87" s="12" t="s">
        <v>246</v>
      </c>
      <c r="R87" s="50">
        <v>14105</v>
      </c>
      <c r="S87" s="50">
        <v>12181</v>
      </c>
      <c r="T87" s="50">
        <v>12492</v>
      </c>
      <c r="U87" s="50">
        <v>10388</v>
      </c>
      <c r="V87" s="50">
        <v>11878</v>
      </c>
      <c r="W87" s="50">
        <v>14603</v>
      </c>
    </row>
    <row r="88" spans="1:23" x14ac:dyDescent="0.3">
      <c r="A88" s="12" t="s">
        <v>5</v>
      </c>
      <c r="B88" s="63">
        <f t="shared" si="7"/>
        <v>0.57169576059850369</v>
      </c>
      <c r="C88" s="63">
        <f t="shared" si="8"/>
        <v>0.58180227471566059</v>
      </c>
      <c r="D88" s="63">
        <f t="shared" si="9"/>
        <v>0.69004427938865875</v>
      </c>
      <c r="E88" s="63">
        <f t="shared" si="10"/>
        <v>0.66922691601268991</v>
      </c>
      <c r="F88" s="63">
        <f t="shared" si="11"/>
        <v>0.70064820271066586</v>
      </c>
      <c r="G88" s="63">
        <f t="shared" si="12"/>
        <v>0.66340351347726967</v>
      </c>
      <c r="I88" s="12" t="s">
        <v>247</v>
      </c>
      <c r="J88" s="50">
        <v>4585</v>
      </c>
      <c r="K88" s="50">
        <v>3990</v>
      </c>
      <c r="L88" s="50">
        <v>4831</v>
      </c>
      <c r="M88" s="50">
        <v>4008</v>
      </c>
      <c r="N88" s="50">
        <v>4756</v>
      </c>
      <c r="O88" s="50">
        <v>4947</v>
      </c>
      <c r="Q88" s="12" t="s">
        <v>247</v>
      </c>
      <c r="R88" s="50">
        <v>8020</v>
      </c>
      <c r="S88" s="50">
        <v>6858</v>
      </c>
      <c r="T88" s="50">
        <v>7001</v>
      </c>
      <c r="U88" s="50">
        <v>5989</v>
      </c>
      <c r="V88" s="50">
        <v>6788</v>
      </c>
      <c r="W88" s="50">
        <v>7457</v>
      </c>
    </row>
    <row r="89" spans="1:23" x14ac:dyDescent="0.3">
      <c r="A89" s="12" t="s">
        <v>103</v>
      </c>
      <c r="B89" s="63">
        <f t="shared" si="7"/>
        <v>0.62872545402369528</v>
      </c>
      <c r="C89" s="63" t="e">
        <f t="shared" si="8"/>
        <v>#VALUE!</v>
      </c>
      <c r="D89" s="63" t="e">
        <f t="shared" si="9"/>
        <v>#VALUE!</v>
      </c>
      <c r="E89" s="63" t="e">
        <f t="shared" si="10"/>
        <v>#VALUE!</v>
      </c>
      <c r="F89" s="63" t="e">
        <f t="shared" si="11"/>
        <v>#VALUE!</v>
      </c>
      <c r="G89" s="63" t="e">
        <f t="shared" si="12"/>
        <v>#VALUE!</v>
      </c>
      <c r="I89" s="12" t="s">
        <v>248</v>
      </c>
      <c r="J89" s="50">
        <v>30673</v>
      </c>
      <c r="K89" s="50" t="s">
        <v>86</v>
      </c>
      <c r="L89" s="50" t="s">
        <v>86</v>
      </c>
      <c r="M89" s="50" t="s">
        <v>86</v>
      </c>
      <c r="N89" s="50" t="s">
        <v>86</v>
      </c>
      <c r="O89" s="50" t="s">
        <v>86</v>
      </c>
      <c r="Q89" s="12" t="s">
        <v>248</v>
      </c>
      <c r="R89" s="50">
        <v>48786</v>
      </c>
      <c r="S89" s="50"/>
      <c r="T89" s="50"/>
      <c r="U89" s="50"/>
      <c r="V89" s="50"/>
      <c r="W89" s="50"/>
    </row>
    <row r="90" spans="1:23" x14ac:dyDescent="0.3">
      <c r="A90" s="12" t="s">
        <v>103</v>
      </c>
      <c r="B90" s="63" t="e">
        <f t="shared" si="7"/>
        <v>#VALUE!</v>
      </c>
      <c r="C90" s="63">
        <f t="shared" si="8"/>
        <v>0.69200235224933848</v>
      </c>
      <c r="D90" s="63">
        <f t="shared" si="9"/>
        <v>0.68739253043538073</v>
      </c>
      <c r="E90" s="63">
        <f t="shared" si="10"/>
        <v>0.75395850973751055</v>
      </c>
      <c r="F90" s="63">
        <f t="shared" si="11"/>
        <v>0.79322782480677223</v>
      </c>
      <c r="G90" s="63">
        <f t="shared" si="12"/>
        <v>0.63851038025255047</v>
      </c>
      <c r="I90" s="12" t="s">
        <v>248</v>
      </c>
      <c r="J90" s="50" t="s">
        <v>86</v>
      </c>
      <c r="K90" s="50">
        <v>37656</v>
      </c>
      <c r="L90" s="50">
        <v>39976</v>
      </c>
      <c r="M90" s="50">
        <v>35617</v>
      </c>
      <c r="N90" s="50">
        <v>43104</v>
      </c>
      <c r="O90" s="50">
        <v>44750</v>
      </c>
      <c r="Q90" s="12" t="s">
        <v>248</v>
      </c>
      <c r="R90" s="50"/>
      <c r="S90" s="50">
        <v>54416</v>
      </c>
      <c r="T90" s="50">
        <v>58156</v>
      </c>
      <c r="U90" s="50">
        <v>47240</v>
      </c>
      <c r="V90" s="50">
        <v>54340</v>
      </c>
      <c r="W90" s="50">
        <v>70085</v>
      </c>
    </row>
    <row r="91" spans="1:23" x14ac:dyDescent="0.3">
      <c r="A91" s="12" t="s">
        <v>1</v>
      </c>
      <c r="B91" s="63">
        <f t="shared" si="7"/>
        <v>0.55123953892310118</v>
      </c>
      <c r="C91" s="63">
        <f t="shared" si="8"/>
        <v>0.62966954022988508</v>
      </c>
      <c r="D91" s="63">
        <f t="shared" si="9"/>
        <v>0.61958319550115781</v>
      </c>
      <c r="E91" s="63">
        <f t="shared" si="10"/>
        <v>0.80104355716878406</v>
      </c>
      <c r="F91" s="63">
        <f t="shared" si="11"/>
        <v>0.8624810318664643</v>
      </c>
      <c r="G91" s="63">
        <f t="shared" si="12"/>
        <v>0.76215542318880736</v>
      </c>
      <c r="I91" s="12" t="s">
        <v>262</v>
      </c>
      <c r="J91" s="50">
        <v>3491</v>
      </c>
      <c r="K91" s="50">
        <v>3506</v>
      </c>
      <c r="L91" s="50">
        <v>3746</v>
      </c>
      <c r="M91" s="50">
        <v>3531</v>
      </c>
      <c r="N91" s="50">
        <v>4547</v>
      </c>
      <c r="O91" s="50">
        <v>5502</v>
      </c>
      <c r="Q91" s="12" t="s">
        <v>262</v>
      </c>
      <c r="R91" s="50">
        <v>6333</v>
      </c>
      <c r="S91" s="50">
        <v>5568</v>
      </c>
      <c r="T91" s="50">
        <v>6046</v>
      </c>
      <c r="U91" s="50">
        <v>4408</v>
      </c>
      <c r="V91" s="50">
        <v>5272</v>
      </c>
      <c r="W91" s="50">
        <v>7219</v>
      </c>
    </row>
    <row r="92" spans="1:23" x14ac:dyDescent="0.3">
      <c r="A92" s="12" t="s">
        <v>57</v>
      </c>
      <c r="B92" s="63">
        <f t="shared" si="7"/>
        <v>0.62468765617191402</v>
      </c>
      <c r="C92" s="63">
        <f t="shared" si="8"/>
        <v>0.72803030303030303</v>
      </c>
      <c r="D92" s="63">
        <f t="shared" si="9"/>
        <v>0.68773790103317023</v>
      </c>
      <c r="E92" s="63">
        <f t="shared" si="10"/>
        <v>0.88136521263004197</v>
      </c>
      <c r="F92" s="63">
        <f t="shared" si="11"/>
        <v>0.86561206386753398</v>
      </c>
      <c r="G92" s="63">
        <f t="shared" si="12"/>
        <v>0.72894919972164229</v>
      </c>
      <c r="I92" s="12" t="s">
        <v>250</v>
      </c>
      <c r="J92" s="50">
        <v>5000</v>
      </c>
      <c r="K92" s="50">
        <v>4805</v>
      </c>
      <c r="L92" s="50">
        <v>5059</v>
      </c>
      <c r="M92" s="50">
        <v>4829</v>
      </c>
      <c r="N92" s="50">
        <v>5855</v>
      </c>
      <c r="O92" s="50">
        <v>6285</v>
      </c>
      <c r="Q92" s="12" t="s">
        <v>250</v>
      </c>
      <c r="R92" s="50">
        <v>8004</v>
      </c>
      <c r="S92" s="50">
        <v>6600</v>
      </c>
      <c r="T92" s="50">
        <v>7356</v>
      </c>
      <c r="U92" s="50">
        <v>5479</v>
      </c>
      <c r="V92" s="50">
        <v>6764</v>
      </c>
      <c r="W92" s="50">
        <v>8622</v>
      </c>
    </row>
    <row r="93" spans="1:23" x14ac:dyDescent="0.3">
      <c r="A93" s="12" t="s">
        <v>62</v>
      </c>
      <c r="B93" s="63">
        <f>J93/R93</f>
        <v>0.58052325581395348</v>
      </c>
      <c r="C93" s="63">
        <f t="shared" si="8"/>
        <v>0.54477611940298509</v>
      </c>
      <c r="D93" s="63">
        <f t="shared" si="9"/>
        <v>0.64332096474953615</v>
      </c>
      <c r="E93" s="63">
        <f t="shared" si="10"/>
        <v>0.72976618705035967</v>
      </c>
      <c r="F93" s="63">
        <f t="shared" si="11"/>
        <v>0.75339528234453179</v>
      </c>
      <c r="G93" s="63">
        <f t="shared" si="12"/>
        <v>0.65791828213540116</v>
      </c>
      <c r="I93" s="12" t="s">
        <v>249</v>
      </c>
      <c r="J93" s="50">
        <v>3994</v>
      </c>
      <c r="K93" s="50">
        <v>3285</v>
      </c>
      <c r="L93" s="50">
        <v>4161</v>
      </c>
      <c r="M93" s="50">
        <v>3246</v>
      </c>
      <c r="N93" s="50">
        <v>4216</v>
      </c>
      <c r="O93" s="50">
        <v>4412</v>
      </c>
      <c r="Q93" s="12" t="s">
        <v>249</v>
      </c>
      <c r="R93" s="50">
        <v>6880</v>
      </c>
      <c r="S93" s="50">
        <v>6030</v>
      </c>
      <c r="T93" s="50">
        <v>6468</v>
      </c>
      <c r="U93" s="50">
        <v>4448</v>
      </c>
      <c r="V93" s="50">
        <v>5596</v>
      </c>
      <c r="W93" s="50">
        <v>6706</v>
      </c>
    </row>
    <row r="94" spans="1:23" x14ac:dyDescent="0.3">
      <c r="A94" s="12" t="s">
        <v>9</v>
      </c>
      <c r="B94" s="63">
        <f t="shared" ref="B94:B101" si="13">J94/R94</f>
        <v>0.64998199495858844</v>
      </c>
      <c r="C94" s="63">
        <f t="shared" si="8"/>
        <v>0.70257510729613737</v>
      </c>
      <c r="D94" s="63">
        <f t="shared" si="9"/>
        <v>0.72809076682316121</v>
      </c>
      <c r="E94" s="63">
        <f t="shared" si="10"/>
        <v>0.67671232876712328</v>
      </c>
      <c r="F94" s="63">
        <f t="shared" si="11"/>
        <v>0.73205928237129481</v>
      </c>
      <c r="G94" s="63">
        <f t="shared" si="12"/>
        <v>0.58476190476190482</v>
      </c>
      <c r="I94" s="12" t="s">
        <v>251</v>
      </c>
      <c r="J94" s="50">
        <v>1805</v>
      </c>
      <c r="K94" s="50">
        <v>1637</v>
      </c>
      <c r="L94" s="50">
        <v>1861</v>
      </c>
      <c r="M94" s="50">
        <v>1482</v>
      </c>
      <c r="N94" s="50">
        <v>1877</v>
      </c>
      <c r="O94" s="50">
        <v>1842</v>
      </c>
      <c r="Q94" s="12" t="s">
        <v>251</v>
      </c>
      <c r="R94" s="50">
        <v>2777</v>
      </c>
      <c r="S94" s="50">
        <v>2330</v>
      </c>
      <c r="T94" s="50">
        <v>2556</v>
      </c>
      <c r="U94" s="50">
        <v>2190</v>
      </c>
      <c r="V94" s="50">
        <v>2564</v>
      </c>
      <c r="W94" s="50">
        <v>3150</v>
      </c>
    </row>
    <row r="95" spans="1:23" x14ac:dyDescent="0.3">
      <c r="A95" s="12" t="s">
        <v>10</v>
      </c>
      <c r="B95" s="63">
        <f t="shared" si="13"/>
        <v>0.59241796750557507</v>
      </c>
      <c r="C95" s="63">
        <f t="shared" si="8"/>
        <v>0.52198549410698092</v>
      </c>
      <c r="D95" s="63">
        <f t="shared" si="9"/>
        <v>0.65746854799471743</v>
      </c>
      <c r="E95" s="63">
        <f t="shared" si="10"/>
        <v>0.70798004987531171</v>
      </c>
      <c r="F95" s="63">
        <f t="shared" si="11"/>
        <v>0.7501604278074866</v>
      </c>
      <c r="G95" s="63">
        <f t="shared" si="12"/>
        <v>0.57653233999322717</v>
      </c>
      <c r="I95" s="12" t="s">
        <v>252</v>
      </c>
      <c r="J95" s="50">
        <v>9298</v>
      </c>
      <c r="K95" s="50">
        <v>9212</v>
      </c>
      <c r="L95" s="50">
        <v>9459</v>
      </c>
      <c r="M95" s="50">
        <v>8517</v>
      </c>
      <c r="N95" s="50">
        <v>10521</v>
      </c>
      <c r="O95" s="50">
        <v>10215</v>
      </c>
      <c r="Q95" s="12" t="s">
        <v>252</v>
      </c>
      <c r="R95" s="50">
        <v>15695</v>
      </c>
      <c r="S95" s="50">
        <v>17648</v>
      </c>
      <c r="T95" s="50">
        <v>14387</v>
      </c>
      <c r="U95" s="50">
        <v>12030</v>
      </c>
      <c r="V95" s="50">
        <v>14025</v>
      </c>
      <c r="W95" s="50">
        <v>17718</v>
      </c>
    </row>
    <row r="96" spans="1:23" x14ac:dyDescent="0.3">
      <c r="A96" s="12" t="s">
        <v>75</v>
      </c>
      <c r="B96" s="63">
        <f t="shared" si="13"/>
        <v>0.66372530212929215</v>
      </c>
      <c r="C96" s="63">
        <f t="shared" si="8"/>
        <v>0.75539160045402953</v>
      </c>
      <c r="D96" s="63">
        <f t="shared" si="9"/>
        <v>0.70499692811796022</v>
      </c>
      <c r="E96" s="63">
        <f t="shared" si="10"/>
        <v>0.7624862620588595</v>
      </c>
      <c r="F96" s="63">
        <f t="shared" si="11"/>
        <v>0.81782555145000557</v>
      </c>
      <c r="G96" s="63">
        <f t="shared" si="12"/>
        <v>0.63452308229339383</v>
      </c>
      <c r="I96" s="12" t="s">
        <v>253</v>
      </c>
      <c r="J96" s="50">
        <v>6920</v>
      </c>
      <c r="K96" s="50">
        <v>6655</v>
      </c>
      <c r="L96" s="50">
        <v>6885</v>
      </c>
      <c r="M96" s="50">
        <v>6244</v>
      </c>
      <c r="N96" s="50">
        <v>7304</v>
      </c>
      <c r="O96" s="50">
        <v>7271</v>
      </c>
      <c r="Q96" s="12" t="s">
        <v>253</v>
      </c>
      <c r="R96" s="50">
        <v>10426</v>
      </c>
      <c r="S96" s="50">
        <v>8810</v>
      </c>
      <c r="T96" s="50">
        <v>9766</v>
      </c>
      <c r="U96" s="50">
        <v>8189</v>
      </c>
      <c r="V96" s="50">
        <v>8931</v>
      </c>
      <c r="W96" s="50">
        <v>11459</v>
      </c>
    </row>
    <row r="97" spans="1:23" x14ac:dyDescent="0.3">
      <c r="A97" s="12" t="s">
        <v>73</v>
      </c>
      <c r="B97" s="63">
        <f t="shared" si="13"/>
        <v>0.65031878371750862</v>
      </c>
      <c r="C97" s="63">
        <f t="shared" si="8"/>
        <v>0.71326601671309198</v>
      </c>
      <c r="D97" s="63">
        <f t="shared" si="9"/>
        <v>0.74319758136226211</v>
      </c>
      <c r="E97" s="63">
        <f t="shared" si="10"/>
        <v>0.73604766633565044</v>
      </c>
      <c r="F97" s="63">
        <f t="shared" si="11"/>
        <v>0.79410148378823964</v>
      </c>
      <c r="G97" s="63">
        <f t="shared" si="12"/>
        <v>0.6305268731797723</v>
      </c>
      <c r="I97" s="12" t="s">
        <v>254</v>
      </c>
      <c r="J97" s="50">
        <v>3978</v>
      </c>
      <c r="K97" s="50">
        <v>4097</v>
      </c>
      <c r="L97" s="50">
        <v>4179</v>
      </c>
      <c r="M97" s="50">
        <v>3706</v>
      </c>
      <c r="N97" s="50">
        <v>4335</v>
      </c>
      <c r="O97" s="50">
        <v>4763</v>
      </c>
      <c r="Q97" s="12" t="s">
        <v>254</v>
      </c>
      <c r="R97" s="50">
        <v>6117</v>
      </c>
      <c r="S97" s="50">
        <v>5744</v>
      </c>
      <c r="T97" s="50">
        <v>5623</v>
      </c>
      <c r="U97" s="50">
        <v>5035</v>
      </c>
      <c r="V97" s="50">
        <v>5459</v>
      </c>
      <c r="W97" s="50">
        <v>7554</v>
      </c>
    </row>
    <row r="98" spans="1:23" x14ac:dyDescent="0.3">
      <c r="A98" s="12" t="s">
        <v>8</v>
      </c>
      <c r="B98" s="63">
        <f t="shared" si="13"/>
        <v>0.72993311036789299</v>
      </c>
      <c r="C98" s="63">
        <f t="shared" si="8"/>
        <v>0.72535211267605637</v>
      </c>
      <c r="D98" s="63">
        <f t="shared" si="9"/>
        <v>0.77032520325203258</v>
      </c>
      <c r="E98" s="63">
        <f t="shared" si="10"/>
        <v>0.86961869618696186</v>
      </c>
      <c r="F98" s="63">
        <f t="shared" si="11"/>
        <v>0.79685966633954852</v>
      </c>
      <c r="G98" s="63">
        <f t="shared" si="12"/>
        <v>0.55430410297666932</v>
      </c>
      <c r="I98" s="12" t="s">
        <v>255</v>
      </c>
      <c r="J98" s="50">
        <v>873</v>
      </c>
      <c r="K98" s="50">
        <v>721</v>
      </c>
      <c r="L98" s="50">
        <v>758</v>
      </c>
      <c r="M98" s="50">
        <v>707</v>
      </c>
      <c r="N98" s="50">
        <v>812</v>
      </c>
      <c r="O98" s="50">
        <v>689</v>
      </c>
      <c r="Q98" s="12" t="s">
        <v>255</v>
      </c>
      <c r="R98" s="50">
        <v>1196</v>
      </c>
      <c r="S98" s="50">
        <v>994</v>
      </c>
      <c r="T98" s="50">
        <v>984</v>
      </c>
      <c r="U98" s="50">
        <v>813</v>
      </c>
      <c r="V98" s="50">
        <v>1019</v>
      </c>
      <c r="W98" s="50">
        <v>1243</v>
      </c>
    </row>
    <row r="99" spans="1:23" x14ac:dyDescent="0.3">
      <c r="A99" s="12" t="s">
        <v>3</v>
      </c>
      <c r="B99" s="63">
        <f t="shared" si="13"/>
        <v>0.68010953447846656</v>
      </c>
      <c r="C99" s="63">
        <f t="shared" si="8"/>
        <v>0.74603608529250953</v>
      </c>
      <c r="D99" s="63">
        <f t="shared" si="9"/>
        <v>0.78514000554477403</v>
      </c>
      <c r="E99" s="63">
        <f t="shared" si="10"/>
        <v>0.72649572649572647</v>
      </c>
      <c r="F99" s="63">
        <f t="shared" si="11"/>
        <v>0.68567375886524817</v>
      </c>
      <c r="G99" s="63">
        <f t="shared" si="12"/>
        <v>0.54218682737838997</v>
      </c>
      <c r="I99" s="12" t="s">
        <v>256</v>
      </c>
      <c r="J99" s="50">
        <v>2732</v>
      </c>
      <c r="K99" s="50">
        <v>2729</v>
      </c>
      <c r="L99" s="50">
        <v>2832</v>
      </c>
      <c r="M99" s="50">
        <v>2465</v>
      </c>
      <c r="N99" s="50">
        <v>2417</v>
      </c>
      <c r="O99" s="50">
        <v>2519</v>
      </c>
      <c r="Q99" s="12" t="s">
        <v>256</v>
      </c>
      <c r="R99" s="50">
        <v>4017</v>
      </c>
      <c r="S99" s="50">
        <v>3658</v>
      </c>
      <c r="T99" s="50">
        <v>3607</v>
      </c>
      <c r="U99" s="50">
        <v>3393</v>
      </c>
      <c r="V99" s="50">
        <v>3525</v>
      </c>
      <c r="W99" s="50">
        <v>4646</v>
      </c>
    </row>
    <row r="100" spans="1:23" x14ac:dyDescent="0.3">
      <c r="A100" s="12" t="s">
        <v>74</v>
      </c>
      <c r="B100" s="63">
        <f t="shared" si="13"/>
        <v>0.62945368171021376</v>
      </c>
      <c r="C100" s="63">
        <f t="shared" si="8"/>
        <v>0.8004158004158004</v>
      </c>
      <c r="D100" s="63">
        <f t="shared" si="9"/>
        <v>0.78664007976071781</v>
      </c>
      <c r="E100" s="63">
        <f t="shared" si="10"/>
        <v>0.68139773895169575</v>
      </c>
      <c r="F100" s="63">
        <f t="shared" si="11"/>
        <v>1.1182432432432432</v>
      </c>
      <c r="G100" s="63">
        <f t="shared" si="12"/>
        <v>0.77174721189591078</v>
      </c>
      <c r="I100" s="12" t="s">
        <v>257</v>
      </c>
      <c r="J100" s="50">
        <v>795</v>
      </c>
      <c r="K100" s="50">
        <v>770</v>
      </c>
      <c r="L100" s="50">
        <v>789</v>
      </c>
      <c r="M100" s="50">
        <v>663</v>
      </c>
      <c r="N100" s="50">
        <v>993</v>
      </c>
      <c r="O100" s="50">
        <v>1038</v>
      </c>
      <c r="Q100" s="12" t="s">
        <v>257</v>
      </c>
      <c r="R100" s="50">
        <v>1263</v>
      </c>
      <c r="S100" s="50">
        <v>962</v>
      </c>
      <c r="T100" s="50">
        <v>1003</v>
      </c>
      <c r="U100" s="50">
        <v>973</v>
      </c>
      <c r="V100" s="50">
        <v>888</v>
      </c>
      <c r="W100" s="50">
        <v>1345</v>
      </c>
    </row>
    <row r="101" spans="1:23" x14ac:dyDescent="0.3">
      <c r="A101" s="12" t="s">
        <v>18</v>
      </c>
      <c r="B101" s="63">
        <f t="shared" si="13"/>
        <v>0.66987951807228918</v>
      </c>
      <c r="C101" s="63">
        <f t="shared" si="8"/>
        <v>0.6713483146067416</v>
      </c>
      <c r="D101" s="63">
        <f t="shared" si="9"/>
        <v>0.68611111111111112</v>
      </c>
      <c r="E101" s="63">
        <f t="shared" si="10"/>
        <v>0.80496453900709219</v>
      </c>
      <c r="F101" s="63">
        <f t="shared" si="11"/>
        <v>0.76430976430976427</v>
      </c>
      <c r="G101" s="63">
        <f t="shared" si="12"/>
        <v>0.50591016548463352</v>
      </c>
      <c r="I101" s="12" t="s">
        <v>258</v>
      </c>
      <c r="J101" s="50">
        <v>278</v>
      </c>
      <c r="K101" s="50">
        <v>239</v>
      </c>
      <c r="L101" s="50">
        <v>247</v>
      </c>
      <c r="M101" s="50">
        <v>227</v>
      </c>
      <c r="N101" s="50">
        <v>227</v>
      </c>
      <c r="O101" s="50">
        <v>214</v>
      </c>
      <c r="Q101" s="12" t="s">
        <v>258</v>
      </c>
      <c r="R101" s="50">
        <v>415</v>
      </c>
      <c r="S101" s="50">
        <v>356</v>
      </c>
      <c r="T101" s="50">
        <v>360</v>
      </c>
      <c r="U101" s="50">
        <v>282</v>
      </c>
      <c r="V101" s="50">
        <v>297</v>
      </c>
      <c r="W101" s="50">
        <v>423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152EF-918D-4692-9B81-A232B6D79870}">
  <sheetPr codeName="Лист29">
    <tabColor theme="4" tint="0.59999389629810485"/>
    <pageSetUpPr fitToPage="1"/>
  </sheetPr>
  <dimension ref="A1:K99"/>
  <sheetViews>
    <sheetView showGridLines="0" workbookViewId="0">
      <selection activeCell="A10" sqref="A10"/>
    </sheetView>
  </sheetViews>
  <sheetFormatPr defaultRowHeight="16.5" x14ac:dyDescent="0.3"/>
  <cols>
    <col min="1" max="1" width="108.5703125" style="9" customWidth="1"/>
    <col min="2" max="2" width="13.140625" style="4" bestFit="1" customWidth="1"/>
    <col min="3" max="7" width="9.85546875" style="4" bestFit="1" customWidth="1"/>
    <col min="8" max="240" width="9.140625" style="4"/>
    <col min="241" max="241" width="108.5703125" style="4" customWidth="1"/>
    <col min="242" max="242" width="1.5703125" style="4" customWidth="1"/>
    <col min="243" max="243" width="6" style="4" customWidth="1"/>
    <col min="244" max="496" width="9.140625" style="4"/>
    <col min="497" max="497" width="108.5703125" style="4" customWidth="1"/>
    <col min="498" max="498" width="1.5703125" style="4" customWidth="1"/>
    <col min="499" max="499" width="6" style="4" customWidth="1"/>
    <col min="500" max="752" width="9.140625" style="4"/>
    <col min="753" max="753" width="108.5703125" style="4" customWidth="1"/>
    <col min="754" max="754" width="1.5703125" style="4" customWidth="1"/>
    <col min="755" max="755" width="6" style="4" customWidth="1"/>
    <col min="756" max="1008" width="9.140625" style="4"/>
    <col min="1009" max="1009" width="108.5703125" style="4" customWidth="1"/>
    <col min="1010" max="1010" width="1.5703125" style="4" customWidth="1"/>
    <col min="1011" max="1011" width="6" style="4" customWidth="1"/>
    <col min="1012" max="1264" width="9.140625" style="4"/>
    <col min="1265" max="1265" width="108.5703125" style="4" customWidth="1"/>
    <col min="1266" max="1266" width="1.5703125" style="4" customWidth="1"/>
    <col min="1267" max="1267" width="6" style="4" customWidth="1"/>
    <col min="1268" max="1520" width="9.140625" style="4"/>
    <col min="1521" max="1521" width="108.5703125" style="4" customWidth="1"/>
    <col min="1522" max="1522" width="1.5703125" style="4" customWidth="1"/>
    <col min="1523" max="1523" width="6" style="4" customWidth="1"/>
    <col min="1524" max="1776" width="9.140625" style="4"/>
    <col min="1777" max="1777" width="108.5703125" style="4" customWidth="1"/>
    <col min="1778" max="1778" width="1.5703125" style="4" customWidth="1"/>
    <col min="1779" max="1779" width="6" style="4" customWidth="1"/>
    <col min="1780" max="2032" width="9.140625" style="4"/>
    <col min="2033" max="2033" width="108.5703125" style="4" customWidth="1"/>
    <col min="2034" max="2034" width="1.5703125" style="4" customWidth="1"/>
    <col min="2035" max="2035" width="6" style="4" customWidth="1"/>
    <col min="2036" max="2288" width="9.140625" style="4"/>
    <col min="2289" max="2289" width="108.5703125" style="4" customWidth="1"/>
    <col min="2290" max="2290" width="1.5703125" style="4" customWidth="1"/>
    <col min="2291" max="2291" width="6" style="4" customWidth="1"/>
    <col min="2292" max="2544" width="9.140625" style="4"/>
    <col min="2545" max="2545" width="108.5703125" style="4" customWidth="1"/>
    <col min="2546" max="2546" width="1.5703125" style="4" customWidth="1"/>
    <col min="2547" max="2547" width="6" style="4" customWidth="1"/>
    <col min="2548" max="2800" width="9.140625" style="4"/>
    <col min="2801" max="2801" width="108.5703125" style="4" customWidth="1"/>
    <col min="2802" max="2802" width="1.5703125" style="4" customWidth="1"/>
    <col min="2803" max="2803" width="6" style="4" customWidth="1"/>
    <col min="2804" max="3056" width="9.140625" style="4"/>
    <col min="3057" max="3057" width="108.5703125" style="4" customWidth="1"/>
    <col min="3058" max="3058" width="1.5703125" style="4" customWidth="1"/>
    <col min="3059" max="3059" width="6" style="4" customWidth="1"/>
    <col min="3060" max="3312" width="9.140625" style="4"/>
    <col min="3313" max="3313" width="108.5703125" style="4" customWidth="1"/>
    <col min="3314" max="3314" width="1.5703125" style="4" customWidth="1"/>
    <col min="3315" max="3315" width="6" style="4" customWidth="1"/>
    <col min="3316" max="3568" width="9.140625" style="4"/>
    <col min="3569" max="3569" width="108.5703125" style="4" customWidth="1"/>
    <col min="3570" max="3570" width="1.5703125" style="4" customWidth="1"/>
    <col min="3571" max="3571" width="6" style="4" customWidth="1"/>
    <col min="3572" max="3824" width="9.140625" style="4"/>
    <col min="3825" max="3825" width="108.5703125" style="4" customWidth="1"/>
    <col min="3826" max="3826" width="1.5703125" style="4" customWidth="1"/>
    <col min="3827" max="3827" width="6" style="4" customWidth="1"/>
    <col min="3828" max="4080" width="9.140625" style="4"/>
    <col min="4081" max="4081" width="108.5703125" style="4" customWidth="1"/>
    <col min="4082" max="4082" width="1.5703125" style="4" customWidth="1"/>
    <col min="4083" max="4083" width="6" style="4" customWidth="1"/>
    <col min="4084" max="4336" width="9.140625" style="4"/>
    <col min="4337" max="4337" width="108.5703125" style="4" customWidth="1"/>
    <col min="4338" max="4338" width="1.5703125" style="4" customWidth="1"/>
    <col min="4339" max="4339" width="6" style="4" customWidth="1"/>
    <col min="4340" max="4592" width="9.140625" style="4"/>
    <col min="4593" max="4593" width="108.5703125" style="4" customWidth="1"/>
    <col min="4594" max="4594" width="1.5703125" style="4" customWidth="1"/>
    <col min="4595" max="4595" width="6" style="4" customWidth="1"/>
    <col min="4596" max="4848" width="9.140625" style="4"/>
    <col min="4849" max="4849" width="108.5703125" style="4" customWidth="1"/>
    <col min="4850" max="4850" width="1.5703125" style="4" customWidth="1"/>
    <col min="4851" max="4851" width="6" style="4" customWidth="1"/>
    <col min="4852" max="5104" width="9.140625" style="4"/>
    <col min="5105" max="5105" width="108.5703125" style="4" customWidth="1"/>
    <col min="5106" max="5106" width="1.5703125" style="4" customWidth="1"/>
    <col min="5107" max="5107" width="6" style="4" customWidth="1"/>
    <col min="5108" max="5360" width="9.140625" style="4"/>
    <col min="5361" max="5361" width="108.5703125" style="4" customWidth="1"/>
    <col min="5362" max="5362" width="1.5703125" style="4" customWidth="1"/>
    <col min="5363" max="5363" width="6" style="4" customWidth="1"/>
    <col min="5364" max="5616" width="9.140625" style="4"/>
    <col min="5617" max="5617" width="108.5703125" style="4" customWidth="1"/>
    <col min="5618" max="5618" width="1.5703125" style="4" customWidth="1"/>
    <col min="5619" max="5619" width="6" style="4" customWidth="1"/>
    <col min="5620" max="5872" width="9.140625" style="4"/>
    <col min="5873" max="5873" width="108.5703125" style="4" customWidth="1"/>
    <col min="5874" max="5874" width="1.5703125" style="4" customWidth="1"/>
    <col min="5875" max="5875" width="6" style="4" customWidth="1"/>
    <col min="5876" max="6128" width="9.140625" style="4"/>
    <col min="6129" max="6129" width="108.5703125" style="4" customWidth="1"/>
    <col min="6130" max="6130" width="1.5703125" style="4" customWidth="1"/>
    <col min="6131" max="6131" width="6" style="4" customWidth="1"/>
    <col min="6132" max="6384" width="9.140625" style="4"/>
    <col min="6385" max="6385" width="108.5703125" style="4" customWidth="1"/>
    <col min="6386" max="6386" width="1.5703125" style="4" customWidth="1"/>
    <col min="6387" max="6387" width="6" style="4" customWidth="1"/>
    <col min="6388" max="6640" width="9.140625" style="4"/>
    <col min="6641" max="6641" width="108.5703125" style="4" customWidth="1"/>
    <col min="6642" max="6642" width="1.5703125" style="4" customWidth="1"/>
    <col min="6643" max="6643" width="6" style="4" customWidth="1"/>
    <col min="6644" max="6896" width="9.140625" style="4"/>
    <col min="6897" max="6897" width="108.5703125" style="4" customWidth="1"/>
    <col min="6898" max="6898" width="1.5703125" style="4" customWidth="1"/>
    <col min="6899" max="6899" width="6" style="4" customWidth="1"/>
    <col min="6900" max="7152" width="9.140625" style="4"/>
    <col min="7153" max="7153" width="108.5703125" style="4" customWidth="1"/>
    <col min="7154" max="7154" width="1.5703125" style="4" customWidth="1"/>
    <col min="7155" max="7155" width="6" style="4" customWidth="1"/>
    <col min="7156" max="7408" width="9.140625" style="4"/>
    <col min="7409" max="7409" width="108.5703125" style="4" customWidth="1"/>
    <col min="7410" max="7410" width="1.5703125" style="4" customWidth="1"/>
    <col min="7411" max="7411" width="6" style="4" customWidth="1"/>
    <col min="7412" max="7664" width="9.140625" style="4"/>
    <col min="7665" max="7665" width="108.5703125" style="4" customWidth="1"/>
    <col min="7666" max="7666" width="1.5703125" style="4" customWidth="1"/>
    <col min="7667" max="7667" width="6" style="4" customWidth="1"/>
    <col min="7668" max="7920" width="9.140625" style="4"/>
    <col min="7921" max="7921" width="108.5703125" style="4" customWidth="1"/>
    <col min="7922" max="7922" width="1.5703125" style="4" customWidth="1"/>
    <col min="7923" max="7923" width="6" style="4" customWidth="1"/>
    <col min="7924" max="8176" width="9.140625" style="4"/>
    <col min="8177" max="8177" width="108.5703125" style="4" customWidth="1"/>
    <col min="8178" max="8178" width="1.5703125" style="4" customWidth="1"/>
    <col min="8179" max="8179" width="6" style="4" customWidth="1"/>
    <col min="8180" max="8432" width="9.140625" style="4"/>
    <col min="8433" max="8433" width="108.5703125" style="4" customWidth="1"/>
    <col min="8434" max="8434" width="1.5703125" style="4" customWidth="1"/>
    <col min="8435" max="8435" width="6" style="4" customWidth="1"/>
    <col min="8436" max="8688" width="9.140625" style="4"/>
    <col min="8689" max="8689" width="108.5703125" style="4" customWidth="1"/>
    <col min="8690" max="8690" width="1.5703125" style="4" customWidth="1"/>
    <col min="8691" max="8691" width="6" style="4" customWidth="1"/>
    <col min="8692" max="8944" width="9.140625" style="4"/>
    <col min="8945" max="8945" width="108.5703125" style="4" customWidth="1"/>
    <col min="8946" max="8946" width="1.5703125" style="4" customWidth="1"/>
    <col min="8947" max="8947" width="6" style="4" customWidth="1"/>
    <col min="8948" max="9200" width="9.140625" style="4"/>
    <col min="9201" max="9201" width="108.5703125" style="4" customWidth="1"/>
    <col min="9202" max="9202" width="1.5703125" style="4" customWidth="1"/>
    <col min="9203" max="9203" width="6" style="4" customWidth="1"/>
    <col min="9204" max="9456" width="9.140625" style="4"/>
    <col min="9457" max="9457" width="108.5703125" style="4" customWidth="1"/>
    <col min="9458" max="9458" width="1.5703125" style="4" customWidth="1"/>
    <col min="9459" max="9459" width="6" style="4" customWidth="1"/>
    <col min="9460" max="9712" width="9.140625" style="4"/>
    <col min="9713" max="9713" width="108.5703125" style="4" customWidth="1"/>
    <col min="9714" max="9714" width="1.5703125" style="4" customWidth="1"/>
    <col min="9715" max="9715" width="6" style="4" customWidth="1"/>
    <col min="9716" max="9968" width="9.140625" style="4"/>
    <col min="9969" max="9969" width="108.5703125" style="4" customWidth="1"/>
    <col min="9970" max="9970" width="1.5703125" style="4" customWidth="1"/>
    <col min="9971" max="9971" width="6" style="4" customWidth="1"/>
    <col min="9972" max="10224" width="9.140625" style="4"/>
    <col min="10225" max="10225" width="108.5703125" style="4" customWidth="1"/>
    <col min="10226" max="10226" width="1.5703125" style="4" customWidth="1"/>
    <col min="10227" max="10227" width="6" style="4" customWidth="1"/>
    <col min="10228" max="10480" width="9.140625" style="4"/>
    <col min="10481" max="10481" width="108.5703125" style="4" customWidth="1"/>
    <col min="10482" max="10482" width="1.5703125" style="4" customWidth="1"/>
    <col min="10483" max="10483" width="6" style="4" customWidth="1"/>
    <col min="10484" max="10736" width="9.140625" style="4"/>
    <col min="10737" max="10737" width="108.5703125" style="4" customWidth="1"/>
    <col min="10738" max="10738" width="1.5703125" style="4" customWidth="1"/>
    <col min="10739" max="10739" width="6" style="4" customWidth="1"/>
    <col min="10740" max="10992" width="9.140625" style="4"/>
    <col min="10993" max="10993" width="108.5703125" style="4" customWidth="1"/>
    <col min="10994" max="10994" width="1.5703125" style="4" customWidth="1"/>
    <col min="10995" max="10995" width="6" style="4" customWidth="1"/>
    <col min="10996" max="11248" width="9.140625" style="4"/>
    <col min="11249" max="11249" width="108.5703125" style="4" customWidth="1"/>
    <col min="11250" max="11250" width="1.5703125" style="4" customWidth="1"/>
    <col min="11251" max="11251" width="6" style="4" customWidth="1"/>
    <col min="11252" max="11504" width="9.140625" style="4"/>
    <col min="11505" max="11505" width="108.5703125" style="4" customWidth="1"/>
    <col min="11506" max="11506" width="1.5703125" style="4" customWidth="1"/>
    <col min="11507" max="11507" width="6" style="4" customWidth="1"/>
    <col min="11508" max="11760" width="9.140625" style="4"/>
    <col min="11761" max="11761" width="108.5703125" style="4" customWidth="1"/>
    <col min="11762" max="11762" width="1.5703125" style="4" customWidth="1"/>
    <col min="11763" max="11763" width="6" style="4" customWidth="1"/>
    <col min="11764" max="12016" width="9.140625" style="4"/>
    <col min="12017" max="12017" width="108.5703125" style="4" customWidth="1"/>
    <col min="12018" max="12018" width="1.5703125" style="4" customWidth="1"/>
    <col min="12019" max="12019" width="6" style="4" customWidth="1"/>
    <col min="12020" max="12272" width="9.140625" style="4"/>
    <col min="12273" max="12273" width="108.5703125" style="4" customWidth="1"/>
    <col min="12274" max="12274" width="1.5703125" style="4" customWidth="1"/>
    <col min="12275" max="12275" width="6" style="4" customWidth="1"/>
    <col min="12276" max="12528" width="9.140625" style="4"/>
    <col min="12529" max="12529" width="108.5703125" style="4" customWidth="1"/>
    <col min="12530" max="12530" width="1.5703125" style="4" customWidth="1"/>
    <col min="12531" max="12531" width="6" style="4" customWidth="1"/>
    <col min="12532" max="12784" width="9.140625" style="4"/>
    <col min="12785" max="12785" width="108.5703125" style="4" customWidth="1"/>
    <col min="12786" max="12786" width="1.5703125" style="4" customWidth="1"/>
    <col min="12787" max="12787" width="6" style="4" customWidth="1"/>
    <col min="12788" max="13040" width="9.140625" style="4"/>
    <col min="13041" max="13041" width="108.5703125" style="4" customWidth="1"/>
    <col min="13042" max="13042" width="1.5703125" style="4" customWidth="1"/>
    <col min="13043" max="13043" width="6" style="4" customWidth="1"/>
    <col min="13044" max="13296" width="9.140625" style="4"/>
    <col min="13297" max="13297" width="108.5703125" style="4" customWidth="1"/>
    <col min="13298" max="13298" width="1.5703125" style="4" customWidth="1"/>
    <col min="13299" max="13299" width="6" style="4" customWidth="1"/>
    <col min="13300" max="13552" width="9.140625" style="4"/>
    <col min="13553" max="13553" width="108.5703125" style="4" customWidth="1"/>
    <col min="13554" max="13554" width="1.5703125" style="4" customWidth="1"/>
    <col min="13555" max="13555" width="6" style="4" customWidth="1"/>
    <col min="13556" max="13808" width="9.140625" style="4"/>
    <col min="13809" max="13809" width="108.5703125" style="4" customWidth="1"/>
    <col min="13810" max="13810" width="1.5703125" style="4" customWidth="1"/>
    <col min="13811" max="13811" width="6" style="4" customWidth="1"/>
    <col min="13812" max="14064" width="9.140625" style="4"/>
    <col min="14065" max="14065" width="108.5703125" style="4" customWidth="1"/>
    <col min="14066" max="14066" width="1.5703125" style="4" customWidth="1"/>
    <col min="14067" max="14067" width="6" style="4" customWidth="1"/>
    <col min="14068" max="14320" width="9.140625" style="4"/>
    <col min="14321" max="14321" width="108.5703125" style="4" customWidth="1"/>
    <col min="14322" max="14322" width="1.5703125" style="4" customWidth="1"/>
    <col min="14323" max="14323" width="6" style="4" customWidth="1"/>
    <col min="14324" max="14576" width="9.140625" style="4"/>
    <col min="14577" max="14577" width="108.5703125" style="4" customWidth="1"/>
    <col min="14578" max="14578" width="1.5703125" style="4" customWidth="1"/>
    <col min="14579" max="14579" width="6" style="4" customWidth="1"/>
    <col min="14580" max="14832" width="9.140625" style="4"/>
    <col min="14833" max="14833" width="108.5703125" style="4" customWidth="1"/>
    <col min="14834" max="14834" width="1.5703125" style="4" customWidth="1"/>
    <col min="14835" max="14835" width="6" style="4" customWidth="1"/>
    <col min="14836" max="15088" width="9.140625" style="4"/>
    <col min="15089" max="15089" width="108.5703125" style="4" customWidth="1"/>
    <col min="15090" max="15090" width="1.5703125" style="4" customWidth="1"/>
    <col min="15091" max="15091" width="6" style="4" customWidth="1"/>
    <col min="15092" max="15344" width="9.140625" style="4"/>
    <col min="15345" max="15345" width="108.5703125" style="4" customWidth="1"/>
    <col min="15346" max="15346" width="1.5703125" style="4" customWidth="1"/>
    <col min="15347" max="15347" width="6" style="4" customWidth="1"/>
    <col min="15348" max="15600" width="9.140625" style="4"/>
    <col min="15601" max="15601" width="108.5703125" style="4" customWidth="1"/>
    <col min="15602" max="15602" width="1.5703125" style="4" customWidth="1"/>
    <col min="15603" max="15603" width="6" style="4" customWidth="1"/>
    <col min="15604" max="15856" width="9.140625" style="4"/>
    <col min="15857" max="15857" width="108.5703125" style="4" customWidth="1"/>
    <col min="15858" max="15858" width="1.5703125" style="4" customWidth="1"/>
    <col min="15859" max="15859" width="6" style="4" customWidth="1"/>
    <col min="15860" max="16112" width="9.140625" style="4"/>
    <col min="16113" max="16113" width="108.5703125" style="4" customWidth="1"/>
    <col min="16114" max="16114" width="1.5703125" style="4" customWidth="1"/>
    <col min="16115" max="16115" width="6" style="4" customWidth="1"/>
    <col min="16116" max="16384" width="9.140625" style="4"/>
  </cols>
  <sheetData>
    <row r="1" spans="1:11" x14ac:dyDescent="0.3">
      <c r="A1" s="8" t="s">
        <v>290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3" spans="1:11" x14ac:dyDescent="0.3">
      <c r="A3" s="48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11" x14ac:dyDescent="0.3">
      <c r="A4" s="12" t="s">
        <v>60</v>
      </c>
      <c r="B4" s="63">
        <v>0.21062416998671979</v>
      </c>
      <c r="C4" s="63">
        <v>0.21569171056279457</v>
      </c>
      <c r="D4" s="63">
        <v>0.22</v>
      </c>
      <c r="E4" s="63">
        <v>0.217</v>
      </c>
      <c r="F4" s="63">
        <v>0.22800000000000001</v>
      </c>
      <c r="G4" s="63">
        <v>0.22500000000000001</v>
      </c>
    </row>
    <row r="5" spans="1:11" x14ac:dyDescent="0.3">
      <c r="A5" s="12" t="s">
        <v>12</v>
      </c>
      <c r="B5" s="63">
        <v>0.23059164188448897</v>
      </c>
      <c r="C5" s="63">
        <v>0.23637218045112782</v>
      </c>
      <c r="D5" s="63">
        <v>0.218</v>
      </c>
      <c r="E5" s="63">
        <v>0.23899999999999999</v>
      </c>
      <c r="F5" s="63">
        <v>0.23300000000000001</v>
      </c>
      <c r="G5" s="63">
        <v>0.24</v>
      </c>
    </row>
    <row r="6" spans="1:11" x14ac:dyDescent="0.3">
      <c r="A6" s="12" t="s">
        <v>73</v>
      </c>
      <c r="B6" s="63">
        <v>0.30024315466751245</v>
      </c>
      <c r="C6" s="63">
        <v>0.30730821606899683</v>
      </c>
      <c r="D6" s="63">
        <v>0.30099999999999999</v>
      </c>
      <c r="E6" s="63">
        <v>0.29899999999999999</v>
      </c>
      <c r="F6" s="63">
        <v>0.313</v>
      </c>
      <c r="G6" s="63">
        <v>0.314</v>
      </c>
    </row>
    <row r="7" spans="1:11" x14ac:dyDescent="0.3">
      <c r="A7" s="12" t="s">
        <v>53</v>
      </c>
      <c r="B7" s="63">
        <v>0.25470099265595997</v>
      </c>
      <c r="C7" s="63">
        <v>0.26333570412517782</v>
      </c>
      <c r="D7" s="63">
        <v>0.255</v>
      </c>
      <c r="E7" s="63">
        <v>0.26100000000000001</v>
      </c>
      <c r="F7" s="63">
        <v>0.26</v>
      </c>
      <c r="G7" s="63">
        <v>0.25800000000000001</v>
      </c>
    </row>
    <row r="8" spans="1:11" x14ac:dyDescent="0.3">
      <c r="A8" s="12" t="s">
        <v>287</v>
      </c>
      <c r="B8" s="63">
        <v>0.24628902917590856</v>
      </c>
      <c r="C8" s="63">
        <v>0.25531514581373471</v>
      </c>
      <c r="D8" s="63">
        <v>0.247</v>
      </c>
      <c r="E8" s="63">
        <v>0.25</v>
      </c>
      <c r="F8" s="63">
        <v>0.251</v>
      </c>
      <c r="G8" s="63">
        <v>0.248</v>
      </c>
    </row>
    <row r="9" spans="1:11" x14ac:dyDescent="0.3">
      <c r="A9" s="12" t="s">
        <v>25</v>
      </c>
      <c r="B9" s="63">
        <v>0.22387938060309698</v>
      </c>
      <c r="C9" s="63">
        <v>0.2127153891859774</v>
      </c>
      <c r="D9" s="63">
        <v>0.215</v>
      </c>
      <c r="E9" s="63">
        <v>0.23699999999999999</v>
      </c>
      <c r="F9" s="63">
        <v>0.23800000000000002</v>
      </c>
      <c r="G9" s="63">
        <v>0.25700000000000001</v>
      </c>
    </row>
    <row r="10" spans="1:11" x14ac:dyDescent="0.3">
      <c r="A10" s="12" t="s">
        <v>50</v>
      </c>
      <c r="B10" s="63">
        <v>0.13860730139799907</v>
      </c>
      <c r="C10" s="63">
        <v>0.13333798980233288</v>
      </c>
      <c r="D10" s="63">
        <v>0.13699999999999998</v>
      </c>
      <c r="E10" s="63">
        <v>0.14000000000000001</v>
      </c>
      <c r="F10" s="63">
        <v>0.13900000000000001</v>
      </c>
      <c r="G10" s="63">
        <v>0.14699999999999999</v>
      </c>
    </row>
    <row r="11" spans="1:11" x14ac:dyDescent="0.3">
      <c r="A11" s="12" t="s">
        <v>48</v>
      </c>
      <c r="B11" s="63">
        <v>0.17951160374090752</v>
      </c>
      <c r="C11" s="63">
        <v>0.17746428250516669</v>
      </c>
      <c r="D11" s="63">
        <v>0.17</v>
      </c>
      <c r="E11" s="63">
        <v>0.19</v>
      </c>
      <c r="F11" s="63">
        <v>0.19600000000000001</v>
      </c>
      <c r="G11" s="63">
        <v>0.19600000000000001</v>
      </c>
    </row>
    <row r="12" spans="1:11" x14ac:dyDescent="0.3">
      <c r="A12" s="12" t="s">
        <v>20</v>
      </c>
      <c r="B12" s="63">
        <v>0.20013477088948786</v>
      </c>
      <c r="C12" s="63">
        <v>0.19585598361301504</v>
      </c>
      <c r="D12" s="63">
        <v>0.19600000000000001</v>
      </c>
      <c r="E12" s="63">
        <v>0.20899999999999999</v>
      </c>
      <c r="F12" s="63">
        <v>0.21</v>
      </c>
      <c r="G12" s="63">
        <v>0.2</v>
      </c>
    </row>
    <row r="13" spans="1:11" x14ac:dyDescent="0.3">
      <c r="A13" s="12" t="s">
        <v>22</v>
      </c>
      <c r="B13" s="63">
        <v>0.22565773785867582</v>
      </c>
      <c r="C13" s="63">
        <v>0.22603233883631116</v>
      </c>
      <c r="D13" s="63">
        <v>0.22899999999999998</v>
      </c>
      <c r="E13" s="63">
        <v>0.23499999999999999</v>
      </c>
      <c r="F13" s="63">
        <v>0.23699999999999999</v>
      </c>
      <c r="G13" s="63">
        <v>0.245</v>
      </c>
    </row>
    <row r="14" spans="1:11" x14ac:dyDescent="0.3">
      <c r="A14" s="12" t="s">
        <v>80</v>
      </c>
      <c r="B14" s="63">
        <v>0.25355766380077083</v>
      </c>
      <c r="C14" s="63">
        <v>0.26120857699805067</v>
      </c>
      <c r="D14" s="63">
        <v>0.25600000000000001</v>
      </c>
      <c r="E14" s="63">
        <v>0.26400000000000001</v>
      </c>
      <c r="F14" s="63">
        <v>0.26800000000000002</v>
      </c>
      <c r="G14" s="63">
        <v>0.27600000000000002</v>
      </c>
    </row>
    <row r="15" spans="1:11" x14ac:dyDescent="0.3">
      <c r="A15" s="12" t="s">
        <v>4</v>
      </c>
      <c r="B15" s="63">
        <v>0.16253911488600806</v>
      </c>
      <c r="C15" s="63">
        <v>0.15617140195621798</v>
      </c>
      <c r="D15" s="63">
        <v>0.161</v>
      </c>
      <c r="E15" s="63">
        <v>0.158</v>
      </c>
      <c r="F15" s="63">
        <v>0.16500000000000001</v>
      </c>
      <c r="G15" s="63">
        <v>0.16300000000000001</v>
      </c>
    </row>
    <row r="16" spans="1:11" x14ac:dyDescent="0.3">
      <c r="A16" s="12" t="s">
        <v>13</v>
      </c>
      <c r="B16" s="63">
        <v>0.18424577076459189</v>
      </c>
      <c r="C16" s="63">
        <v>0.1843530622125393</v>
      </c>
      <c r="D16" s="63">
        <v>0.18100000000000002</v>
      </c>
      <c r="E16" s="63">
        <v>0.20100000000000001</v>
      </c>
      <c r="F16" s="63">
        <v>0.20499999999999999</v>
      </c>
      <c r="G16" s="63">
        <v>0.20300000000000001</v>
      </c>
    </row>
    <row r="17" spans="1:7" x14ac:dyDescent="0.3">
      <c r="A17" s="12" t="s">
        <v>32</v>
      </c>
      <c r="B17" s="63">
        <v>0.17711278195488725</v>
      </c>
      <c r="C17" s="63">
        <v>0.17706136857066995</v>
      </c>
      <c r="D17" s="63">
        <v>0.18</v>
      </c>
      <c r="E17" s="63">
        <v>0.187</v>
      </c>
      <c r="F17" s="63">
        <v>0.191</v>
      </c>
      <c r="G17" s="63">
        <v>0.191</v>
      </c>
    </row>
    <row r="18" spans="1:7" x14ac:dyDescent="0.3">
      <c r="A18" s="12" t="s">
        <v>126</v>
      </c>
      <c r="B18" s="63">
        <v>0.14763576295684494</v>
      </c>
      <c r="C18" s="63">
        <v>0.15244723843735969</v>
      </c>
      <c r="D18" s="63">
        <v>0.156</v>
      </c>
      <c r="E18" s="63">
        <v>0.161</v>
      </c>
      <c r="F18" s="63">
        <v>0.14699999999999999</v>
      </c>
      <c r="G18" s="63">
        <v>0.16800000000000001</v>
      </c>
    </row>
    <row r="19" spans="1:7" x14ac:dyDescent="0.3">
      <c r="A19" s="12" t="s">
        <v>103</v>
      </c>
      <c r="B19" s="63">
        <v>0.29988482719239667</v>
      </c>
      <c r="C19" s="63">
        <v>0.28290495259888854</v>
      </c>
      <c r="D19" s="63">
        <v>0.30399999999999999</v>
      </c>
      <c r="E19" s="63">
        <v>0.29899999999999999</v>
      </c>
      <c r="F19" s="63">
        <v>0.307</v>
      </c>
      <c r="G19" s="63">
        <v>0.31</v>
      </c>
    </row>
    <row r="20" spans="1:7" x14ac:dyDescent="0.3">
      <c r="A20" s="12" t="s">
        <v>74</v>
      </c>
      <c r="B20" s="63">
        <v>0.33002092050209197</v>
      </c>
      <c r="C20" s="63">
        <v>0.33830580713905162</v>
      </c>
      <c r="D20" s="63">
        <v>0.32500000000000001</v>
      </c>
      <c r="E20" s="63">
        <v>0.33200000000000002</v>
      </c>
      <c r="F20" s="63">
        <v>0.32799999999999996</v>
      </c>
      <c r="G20" s="63">
        <v>0.379</v>
      </c>
    </row>
    <row r="21" spans="1:7" x14ac:dyDescent="0.3">
      <c r="A21" s="12" t="s">
        <v>57</v>
      </c>
      <c r="B21" s="63">
        <v>0.3203309692671395</v>
      </c>
      <c r="C21" s="63">
        <v>0.32341650671785027</v>
      </c>
      <c r="D21" s="63">
        <v>0.318</v>
      </c>
      <c r="E21" s="63">
        <v>0.309</v>
      </c>
      <c r="F21" s="63">
        <v>0.33700000000000002</v>
      </c>
      <c r="G21" s="63">
        <v>0.34200000000000003</v>
      </c>
    </row>
    <row r="22" spans="1:7" x14ac:dyDescent="0.3">
      <c r="A22" s="12" t="s">
        <v>45</v>
      </c>
      <c r="B22" s="63">
        <v>0.22185128983308039</v>
      </c>
      <c r="C22" s="63">
        <v>0.20949873862016014</v>
      </c>
      <c r="D22" s="63">
        <v>0.21299999999999999</v>
      </c>
      <c r="E22" s="63">
        <v>0.21299999999999999</v>
      </c>
      <c r="F22" s="63">
        <v>0.22600000000000001</v>
      </c>
      <c r="G22" s="63">
        <v>0.23</v>
      </c>
    </row>
    <row r="23" spans="1:7" x14ac:dyDescent="0.3">
      <c r="A23" s="12" t="s">
        <v>72</v>
      </c>
      <c r="B23" s="63">
        <v>0.31141289182401638</v>
      </c>
      <c r="C23" s="63">
        <v>0.30427594255519175</v>
      </c>
      <c r="D23" s="63">
        <v>0.29499999999999998</v>
      </c>
      <c r="E23" s="63">
        <v>0.29799999999999999</v>
      </c>
      <c r="F23" s="63">
        <v>0.3</v>
      </c>
      <c r="G23" s="63">
        <v>0.29799999999999999</v>
      </c>
    </row>
    <row r="24" spans="1:7" x14ac:dyDescent="0.3">
      <c r="A24" s="12" t="s">
        <v>91</v>
      </c>
      <c r="B24" s="63">
        <v>0.1046145542862283</v>
      </c>
      <c r="C24" s="63">
        <v>0.1015718356466587</v>
      </c>
      <c r="D24" s="63">
        <v>9.6000000000000002E-2</v>
      </c>
      <c r="E24" s="63">
        <v>0.10400000000000001</v>
      </c>
      <c r="F24" s="63">
        <v>0.10099999999999999</v>
      </c>
      <c r="G24" s="63">
        <v>0.111</v>
      </c>
    </row>
    <row r="25" spans="1:7" x14ac:dyDescent="0.3">
      <c r="A25" s="12" t="s">
        <v>69</v>
      </c>
      <c r="B25" s="63">
        <v>0.18490253769768297</v>
      </c>
      <c r="C25" s="63">
        <v>0.18661630834785978</v>
      </c>
      <c r="D25" s="63">
        <v>0.192</v>
      </c>
      <c r="E25" s="63">
        <v>0.19800000000000001</v>
      </c>
      <c r="F25" s="63">
        <v>0.19399999999999998</v>
      </c>
      <c r="G25" s="63">
        <v>0.20199999999999999</v>
      </c>
    </row>
    <row r="26" spans="1:7" x14ac:dyDescent="0.3">
      <c r="A26" s="12" t="s">
        <v>40</v>
      </c>
      <c r="B26" s="63">
        <v>0.19963486992240986</v>
      </c>
      <c r="C26" s="63">
        <v>0.19777885079671656</v>
      </c>
      <c r="D26" s="63">
        <v>0.20399999999999999</v>
      </c>
      <c r="E26" s="63">
        <v>0.20300000000000001</v>
      </c>
      <c r="F26" s="63">
        <v>0.20699999999999999</v>
      </c>
      <c r="G26" s="63">
        <v>0.20699999999999999</v>
      </c>
    </row>
    <row r="27" spans="1:7" x14ac:dyDescent="0.3">
      <c r="A27" s="12" t="s">
        <v>9</v>
      </c>
      <c r="B27" s="63">
        <v>0.26785714285714285</v>
      </c>
      <c r="C27" s="63">
        <v>0.22622183201638865</v>
      </c>
      <c r="D27" s="63">
        <v>0.23199999999999998</v>
      </c>
      <c r="E27" s="63">
        <v>0.25700000000000001</v>
      </c>
      <c r="F27" s="63">
        <v>0.26200000000000001</v>
      </c>
      <c r="G27" s="63">
        <v>0.26300000000000001</v>
      </c>
    </row>
    <row r="28" spans="1:7" x14ac:dyDescent="0.3">
      <c r="A28" s="12" t="s">
        <v>92</v>
      </c>
      <c r="B28" s="63">
        <v>0.17832031249999999</v>
      </c>
      <c r="C28" s="63">
        <v>0.16086434573829533</v>
      </c>
      <c r="D28" s="63">
        <v>0.13800000000000001</v>
      </c>
      <c r="E28" s="63">
        <v>0.188</v>
      </c>
      <c r="F28" s="63">
        <v>0.21299999999999999</v>
      </c>
      <c r="G28" s="63">
        <v>0.24299999999999999</v>
      </c>
    </row>
    <row r="29" spans="1:7" x14ac:dyDescent="0.3">
      <c r="A29" s="12" t="s">
        <v>76</v>
      </c>
      <c r="B29" s="63">
        <v>0.27050222504767957</v>
      </c>
      <c r="C29" s="63">
        <v>0.26748304446119064</v>
      </c>
      <c r="D29" s="63">
        <v>0.26600000000000001</v>
      </c>
      <c r="E29" s="63">
        <v>0.27500000000000002</v>
      </c>
      <c r="F29" s="63">
        <v>0.27699999999999997</v>
      </c>
      <c r="G29" s="63">
        <v>0.27600000000000002</v>
      </c>
    </row>
    <row r="30" spans="1:7" x14ac:dyDescent="0.3">
      <c r="A30" s="12" t="s">
        <v>36</v>
      </c>
      <c r="B30" s="63">
        <v>0.24199184624344788</v>
      </c>
      <c r="C30" s="63">
        <v>0.23531277253627214</v>
      </c>
      <c r="D30" s="63">
        <v>0.23399999999999999</v>
      </c>
      <c r="E30" s="63">
        <v>0.23199999999999998</v>
      </c>
      <c r="F30" s="63">
        <v>0.23800000000000002</v>
      </c>
      <c r="G30" s="63">
        <v>0.247</v>
      </c>
    </row>
    <row r="31" spans="1:7" x14ac:dyDescent="0.3">
      <c r="A31" s="12" t="s">
        <v>37</v>
      </c>
      <c r="B31" s="63">
        <v>0.17705013039698639</v>
      </c>
      <c r="C31" s="63">
        <v>0.17784911717495988</v>
      </c>
      <c r="D31" s="63">
        <v>0.187</v>
      </c>
      <c r="E31" s="63">
        <v>0.193</v>
      </c>
      <c r="F31" s="63">
        <v>0.19699999999999998</v>
      </c>
      <c r="G31" s="63">
        <v>0.20800000000000002</v>
      </c>
    </row>
    <row r="32" spans="1:7" x14ac:dyDescent="0.3">
      <c r="A32" s="12" t="s">
        <v>28</v>
      </c>
      <c r="B32" s="63">
        <v>0.1847184867081742</v>
      </c>
      <c r="C32" s="63">
        <v>0.18039647235698011</v>
      </c>
      <c r="D32" s="63">
        <v>0.18600000000000003</v>
      </c>
      <c r="E32" s="63">
        <v>0.193</v>
      </c>
      <c r="F32" s="63">
        <v>0.19899999999999998</v>
      </c>
      <c r="G32" s="63">
        <v>0.20100000000000001</v>
      </c>
    </row>
    <row r="33" spans="1:7" x14ac:dyDescent="0.3">
      <c r="A33" s="12" t="s">
        <v>61</v>
      </c>
      <c r="B33" s="63">
        <v>0.25994038580507284</v>
      </c>
      <c r="C33" s="63">
        <v>0.25961165627703048</v>
      </c>
      <c r="D33" s="63">
        <v>0.25900000000000001</v>
      </c>
      <c r="E33" s="63">
        <v>0.25900000000000001</v>
      </c>
      <c r="F33" s="63">
        <v>0.26700000000000002</v>
      </c>
      <c r="G33" s="63">
        <v>0.26899999999999996</v>
      </c>
    </row>
    <row r="34" spans="1:7" x14ac:dyDescent="0.3">
      <c r="A34" s="12" t="s">
        <v>55</v>
      </c>
      <c r="B34" s="63">
        <v>0.22737353469215335</v>
      </c>
      <c r="C34" s="63">
        <v>0.22865077528349922</v>
      </c>
      <c r="D34" s="63">
        <v>0.23399999999999999</v>
      </c>
      <c r="E34" s="63">
        <v>0.23800000000000002</v>
      </c>
      <c r="F34" s="63">
        <v>0.24199999999999999</v>
      </c>
      <c r="G34" s="63">
        <v>0.254</v>
      </c>
    </row>
    <row r="35" spans="1:7" x14ac:dyDescent="0.3">
      <c r="A35" s="12" t="s">
        <v>56</v>
      </c>
      <c r="B35" s="63">
        <v>0.18002236302646291</v>
      </c>
      <c r="C35" s="63">
        <v>0.17726209048361935</v>
      </c>
      <c r="D35" s="63">
        <v>0.17899999999999999</v>
      </c>
      <c r="E35" s="63">
        <v>0.17499999999999999</v>
      </c>
      <c r="F35" s="63">
        <v>0.182</v>
      </c>
      <c r="G35" s="63">
        <v>0.17899999999999999</v>
      </c>
    </row>
    <row r="36" spans="1:7" x14ac:dyDescent="0.3">
      <c r="A36" s="12" t="s">
        <v>33</v>
      </c>
      <c r="B36" s="63">
        <v>0.21958852120647179</v>
      </c>
      <c r="C36" s="63">
        <v>0.21347670250896059</v>
      </c>
      <c r="D36" s="63">
        <v>0.22</v>
      </c>
      <c r="E36" s="63">
        <v>0.22</v>
      </c>
      <c r="F36" s="63">
        <v>0.22800000000000001</v>
      </c>
      <c r="G36" s="63">
        <v>0.23100000000000001</v>
      </c>
    </row>
    <row r="37" spans="1:7" x14ac:dyDescent="0.3">
      <c r="A37" s="12" t="s">
        <v>51</v>
      </c>
      <c r="B37" s="63">
        <v>0.16751708034247165</v>
      </c>
      <c r="C37" s="63">
        <v>0.1683204704152885</v>
      </c>
      <c r="D37" s="63">
        <v>0.16500000000000001</v>
      </c>
      <c r="E37" s="63">
        <v>0.16800000000000001</v>
      </c>
      <c r="F37" s="63">
        <v>0.17300000000000001</v>
      </c>
      <c r="G37" s="63">
        <v>0.17600000000000002</v>
      </c>
    </row>
    <row r="38" spans="1:7" x14ac:dyDescent="0.3">
      <c r="A38" s="12" t="s">
        <v>8</v>
      </c>
      <c r="B38" s="63">
        <v>0.3373570520965693</v>
      </c>
      <c r="C38" s="63">
        <v>0.32445690259285215</v>
      </c>
      <c r="D38" s="63">
        <v>0.314</v>
      </c>
      <c r="E38" s="63">
        <v>0.35299999999999998</v>
      </c>
      <c r="F38" s="63">
        <v>0.34399999999999997</v>
      </c>
      <c r="G38" s="63">
        <v>0.315</v>
      </c>
    </row>
    <row r="39" spans="1:7" x14ac:dyDescent="0.3">
      <c r="A39" s="12" t="s">
        <v>21</v>
      </c>
      <c r="B39" s="63">
        <v>0.19341971830985916</v>
      </c>
      <c r="C39" s="63">
        <v>0.19309647602541882</v>
      </c>
      <c r="D39" s="63">
        <v>0.18600000000000003</v>
      </c>
      <c r="E39" s="63">
        <v>0.20800000000000002</v>
      </c>
      <c r="F39" s="63">
        <v>0.21</v>
      </c>
      <c r="G39" s="63">
        <v>0.21299999999999999</v>
      </c>
    </row>
    <row r="40" spans="1:7" x14ac:dyDescent="0.3">
      <c r="A40" s="12" t="s">
        <v>30</v>
      </c>
      <c r="B40" s="63">
        <v>0.1969270166453265</v>
      </c>
      <c r="C40" s="63">
        <v>0.19486692015209126</v>
      </c>
      <c r="D40" s="63">
        <v>0.18</v>
      </c>
      <c r="E40" s="63">
        <v>0.18899999999999997</v>
      </c>
      <c r="F40" s="63">
        <v>0.20699999999999999</v>
      </c>
      <c r="G40" s="63">
        <v>0.20399999999999999</v>
      </c>
    </row>
    <row r="41" spans="1:7" x14ac:dyDescent="0.3">
      <c r="A41" s="12" t="s">
        <v>7</v>
      </c>
      <c r="B41" s="63">
        <v>0.40209267563527651</v>
      </c>
      <c r="C41" s="63">
        <v>0.40129449838187703</v>
      </c>
      <c r="D41" s="63">
        <v>0.37799999999999995</v>
      </c>
      <c r="E41" s="63">
        <v>0.434</v>
      </c>
      <c r="F41" s="63">
        <v>0.39799999999999996</v>
      </c>
      <c r="G41" s="63">
        <v>0.42899999999999999</v>
      </c>
    </row>
    <row r="42" spans="1:7" x14ac:dyDescent="0.3">
      <c r="A42" s="12" t="s">
        <v>54</v>
      </c>
      <c r="B42" s="63">
        <v>0.16631042660966824</v>
      </c>
      <c r="C42" s="63">
        <v>0.15905187220886294</v>
      </c>
      <c r="D42" s="63">
        <v>0.16300000000000001</v>
      </c>
      <c r="E42" s="63">
        <v>0.17100000000000001</v>
      </c>
      <c r="F42" s="63">
        <v>0.16899999999999998</v>
      </c>
      <c r="G42" s="63">
        <v>0.17300000000000001</v>
      </c>
    </row>
    <row r="43" spans="1:7" x14ac:dyDescent="0.3">
      <c r="A43" s="12" t="s">
        <v>52</v>
      </c>
      <c r="B43" s="63">
        <v>0.21593994569557581</v>
      </c>
      <c r="C43" s="63">
        <v>0.21300256629597947</v>
      </c>
      <c r="D43" s="63">
        <v>0.22899999999999998</v>
      </c>
      <c r="E43" s="63">
        <v>0.247</v>
      </c>
      <c r="F43" s="63">
        <v>0.25600000000000001</v>
      </c>
      <c r="G43" s="63">
        <v>0.252</v>
      </c>
    </row>
    <row r="44" spans="1:7" x14ac:dyDescent="0.3">
      <c r="A44" s="12" t="s">
        <v>6</v>
      </c>
      <c r="B44" s="63">
        <v>0.20340803529958199</v>
      </c>
      <c r="C44" s="63">
        <v>0.20631714259480305</v>
      </c>
      <c r="D44" s="63">
        <v>0.21199999999999999</v>
      </c>
      <c r="E44" s="63">
        <v>0.214</v>
      </c>
      <c r="F44" s="63">
        <v>0.22399999999999998</v>
      </c>
      <c r="G44" s="63">
        <v>0.223</v>
      </c>
    </row>
    <row r="45" spans="1:7" x14ac:dyDescent="0.3">
      <c r="A45" s="12" t="s">
        <v>64</v>
      </c>
      <c r="B45" s="63">
        <v>0.2336547819163054</v>
      </c>
      <c r="C45" s="63">
        <v>0.22618935910669044</v>
      </c>
      <c r="D45" s="63">
        <v>0.22800000000000001</v>
      </c>
      <c r="E45" s="63">
        <v>0.223</v>
      </c>
      <c r="F45" s="63">
        <v>0.22699999999999998</v>
      </c>
      <c r="G45" s="63">
        <v>0.23499999999999999</v>
      </c>
    </row>
    <row r="46" spans="1:7" x14ac:dyDescent="0.3">
      <c r="A46" s="12" t="s">
        <v>23</v>
      </c>
      <c r="B46" s="63">
        <v>0.19772905246671887</v>
      </c>
      <c r="C46" s="63">
        <v>0.19091368459736324</v>
      </c>
      <c r="D46" s="63">
        <v>0.19899999999999998</v>
      </c>
      <c r="E46" s="63">
        <v>0.19600000000000001</v>
      </c>
      <c r="F46" s="63">
        <v>0.19800000000000001</v>
      </c>
      <c r="G46" s="63">
        <v>0.20100000000000001</v>
      </c>
    </row>
    <row r="47" spans="1:7" x14ac:dyDescent="0.3">
      <c r="A47" s="12" t="s">
        <v>70</v>
      </c>
      <c r="B47" s="63">
        <v>0.19626823793490464</v>
      </c>
      <c r="C47" s="63">
        <v>0.18509687034277195</v>
      </c>
      <c r="D47" s="63">
        <v>0.19</v>
      </c>
      <c r="E47" s="63">
        <v>0.19699999999999998</v>
      </c>
      <c r="F47" s="63">
        <v>0.183</v>
      </c>
      <c r="G47" s="63">
        <v>0.2</v>
      </c>
    </row>
    <row r="48" spans="1:7" x14ac:dyDescent="0.3">
      <c r="A48" s="12" t="s">
        <v>49</v>
      </c>
      <c r="B48" s="63">
        <v>0.13504445562825029</v>
      </c>
      <c r="C48" s="63">
        <v>0.12932763582453999</v>
      </c>
      <c r="D48" s="63">
        <v>0.13600000000000001</v>
      </c>
      <c r="E48" s="63">
        <v>0.14300000000000002</v>
      </c>
      <c r="F48" s="63">
        <v>0.14899999999999999</v>
      </c>
      <c r="G48" s="63">
        <v>0.156</v>
      </c>
    </row>
    <row r="49" spans="1:7" x14ac:dyDescent="0.3">
      <c r="A49" s="12" t="s">
        <v>44</v>
      </c>
      <c r="B49" s="63">
        <v>0.28441171862760456</v>
      </c>
      <c r="C49" s="63">
        <v>0.27839869945133106</v>
      </c>
      <c r="D49" s="63">
        <v>0.28499999999999998</v>
      </c>
      <c r="E49" s="63">
        <v>0.28499999999999998</v>
      </c>
      <c r="F49" s="63">
        <v>0.28999999999999998</v>
      </c>
      <c r="G49" s="63">
        <v>0.29399999999999998</v>
      </c>
    </row>
    <row r="50" spans="1:7" x14ac:dyDescent="0.3">
      <c r="A50" s="12" t="s">
        <v>100</v>
      </c>
      <c r="B50" s="63">
        <v>0.19240739673944351</v>
      </c>
      <c r="C50" s="63">
        <v>0.18946540375662224</v>
      </c>
      <c r="D50" s="63">
        <v>0.19</v>
      </c>
      <c r="E50" s="63">
        <v>0.19399999999999998</v>
      </c>
      <c r="F50" s="63">
        <v>0.19500000000000001</v>
      </c>
      <c r="G50" s="63">
        <v>0.20100000000000001</v>
      </c>
    </row>
    <row r="51" spans="1:7" x14ac:dyDescent="0.3">
      <c r="A51" s="12" t="s">
        <v>10</v>
      </c>
      <c r="B51" s="63">
        <v>0.24536308587231201</v>
      </c>
      <c r="C51" s="63">
        <v>0.17469367341835457</v>
      </c>
      <c r="D51" s="63">
        <v>0.222</v>
      </c>
      <c r="E51" s="63">
        <v>0.23399999999999999</v>
      </c>
      <c r="F51" s="63">
        <v>0.245</v>
      </c>
      <c r="G51" s="63">
        <v>0.247</v>
      </c>
    </row>
    <row r="52" spans="1:7" x14ac:dyDescent="0.3">
      <c r="A52" s="12" t="s">
        <v>31</v>
      </c>
      <c r="B52" s="63">
        <v>0.23424905412074351</v>
      </c>
      <c r="C52" s="63">
        <v>0.23318538750426768</v>
      </c>
      <c r="D52" s="63">
        <v>0.222</v>
      </c>
      <c r="E52" s="63">
        <v>0.24</v>
      </c>
      <c r="F52" s="63">
        <v>0.245</v>
      </c>
      <c r="G52" s="63">
        <v>0.26600000000000001</v>
      </c>
    </row>
    <row r="53" spans="1:7" x14ac:dyDescent="0.3">
      <c r="A53" s="12" t="s">
        <v>26</v>
      </c>
      <c r="B53" s="63">
        <v>0.18538622129436322</v>
      </c>
      <c r="C53" s="63">
        <v>0.17543859649122806</v>
      </c>
      <c r="D53" s="63">
        <v>0.17399999999999999</v>
      </c>
      <c r="E53" s="63">
        <v>0.184</v>
      </c>
      <c r="F53" s="63">
        <v>0.18600000000000003</v>
      </c>
      <c r="G53" s="63">
        <v>0.192</v>
      </c>
    </row>
    <row r="54" spans="1:7" x14ac:dyDescent="0.3">
      <c r="A54" s="12" t="s">
        <v>58</v>
      </c>
      <c r="B54" s="63">
        <v>0.32053519488074467</v>
      </c>
      <c r="C54" s="63">
        <v>0.27636689572751716</v>
      </c>
      <c r="D54" s="63">
        <v>0.29699999999999999</v>
      </c>
      <c r="E54" s="63">
        <v>0.29399999999999998</v>
      </c>
      <c r="F54" s="63">
        <v>0.309</v>
      </c>
      <c r="G54" s="63">
        <v>0.312</v>
      </c>
    </row>
    <row r="55" spans="1:7" x14ac:dyDescent="0.3">
      <c r="A55" s="12" t="s">
        <v>83</v>
      </c>
      <c r="B55" s="63">
        <v>0.17339551860488694</v>
      </c>
      <c r="C55" s="63">
        <v>0.16894277813231226</v>
      </c>
      <c r="D55" s="63">
        <v>0.17</v>
      </c>
      <c r="E55" s="63">
        <v>0.17399999999999999</v>
      </c>
      <c r="F55" s="63">
        <v>0.17600000000000002</v>
      </c>
      <c r="G55" s="63">
        <v>0.183</v>
      </c>
    </row>
    <row r="56" spans="1:7" x14ac:dyDescent="0.3">
      <c r="A56" s="12" t="s">
        <v>1</v>
      </c>
      <c r="B56" s="63">
        <v>0.32708449916060439</v>
      </c>
      <c r="C56" s="63">
        <v>0.31432885182256093</v>
      </c>
      <c r="D56" s="63">
        <v>0.32600000000000001</v>
      </c>
      <c r="E56" s="63">
        <v>0.32400000000000001</v>
      </c>
      <c r="F56" s="63">
        <v>0.32600000000000001</v>
      </c>
      <c r="G56" s="63">
        <v>0.34200000000000003</v>
      </c>
    </row>
    <row r="57" spans="1:7" x14ac:dyDescent="0.3">
      <c r="A57" s="12" t="s">
        <v>63</v>
      </c>
      <c r="B57" s="63">
        <v>0.20735839279308008</v>
      </c>
      <c r="C57" s="63">
        <v>0.20876974231088943</v>
      </c>
      <c r="D57" s="63">
        <v>0.22399999999999998</v>
      </c>
      <c r="E57" s="63">
        <v>0.22600000000000001</v>
      </c>
      <c r="F57" s="63">
        <v>0.24100000000000002</v>
      </c>
      <c r="G57" s="63">
        <v>0.29299999999999998</v>
      </c>
    </row>
    <row r="58" spans="1:7" x14ac:dyDescent="0.3">
      <c r="A58" s="12" t="s">
        <v>81</v>
      </c>
      <c r="B58" s="63">
        <v>0.16400506970849174</v>
      </c>
      <c r="C58" s="63">
        <v>0.12897614314115308</v>
      </c>
      <c r="D58" s="63">
        <v>9.9000000000000005E-2</v>
      </c>
      <c r="E58" s="63">
        <v>0.185</v>
      </c>
      <c r="F58" s="63">
        <v>0.21600000000000003</v>
      </c>
      <c r="G58" s="63">
        <v>0.27399999999999997</v>
      </c>
    </row>
    <row r="59" spans="1:7" x14ac:dyDescent="0.3">
      <c r="A59" s="12" t="s">
        <v>27</v>
      </c>
      <c r="B59" s="63">
        <v>0.18719049191152196</v>
      </c>
      <c r="C59" s="63">
        <v>0.19449901768172889</v>
      </c>
      <c r="D59" s="63">
        <v>0.2</v>
      </c>
      <c r="E59" s="63">
        <v>0.19899999999999998</v>
      </c>
      <c r="F59" s="63">
        <v>0.21100000000000002</v>
      </c>
      <c r="G59" s="63">
        <v>0.214</v>
      </c>
    </row>
    <row r="60" spans="1:7" x14ac:dyDescent="0.3">
      <c r="A60" s="12" t="s">
        <v>71</v>
      </c>
      <c r="B60" s="63">
        <v>0.22161826370554433</v>
      </c>
      <c r="C60" s="63">
        <v>0.22082644628099174</v>
      </c>
      <c r="D60" s="63">
        <v>0.23899999999999999</v>
      </c>
      <c r="E60" s="63">
        <v>0.24199999999999999</v>
      </c>
      <c r="F60" s="63">
        <v>0.254</v>
      </c>
      <c r="G60" s="63">
        <v>0.25800000000000001</v>
      </c>
    </row>
    <row r="61" spans="1:7" x14ac:dyDescent="0.3">
      <c r="A61" s="12" t="s">
        <v>65</v>
      </c>
      <c r="B61" s="63">
        <v>0.27906737880032867</v>
      </c>
      <c r="C61" s="63">
        <v>0.28875131409882021</v>
      </c>
      <c r="D61" s="63">
        <v>0.29100000000000004</v>
      </c>
      <c r="E61" s="63">
        <v>0.29600000000000004</v>
      </c>
      <c r="F61" s="63">
        <v>0.29699999999999999</v>
      </c>
      <c r="G61" s="63">
        <v>0.312</v>
      </c>
    </row>
    <row r="62" spans="1:7" x14ac:dyDescent="0.3">
      <c r="A62" s="12" t="s">
        <v>89</v>
      </c>
      <c r="B62" s="63">
        <v>0.19415799318912177</v>
      </c>
      <c r="C62" s="63">
        <v>0.18410309379764894</v>
      </c>
      <c r="D62" s="63">
        <v>0.17800000000000002</v>
      </c>
      <c r="E62" s="63">
        <v>0.18100000000000002</v>
      </c>
      <c r="F62" s="63">
        <v>0.17800000000000002</v>
      </c>
      <c r="G62" s="63">
        <v>0.18899999999999997</v>
      </c>
    </row>
    <row r="63" spans="1:7" x14ac:dyDescent="0.3">
      <c r="A63" s="12" t="s">
        <v>42</v>
      </c>
      <c r="B63" s="63">
        <v>0.23603780532711427</v>
      </c>
      <c r="C63" s="63">
        <v>0.229978354978355</v>
      </c>
      <c r="D63" s="63">
        <v>0.23300000000000001</v>
      </c>
      <c r="E63" s="63">
        <v>0.23100000000000001</v>
      </c>
      <c r="F63" s="63">
        <v>0.24399999999999999</v>
      </c>
      <c r="G63" s="63">
        <v>0.25700000000000001</v>
      </c>
    </row>
    <row r="64" spans="1:7" x14ac:dyDescent="0.3">
      <c r="A64" s="12" t="s">
        <v>34</v>
      </c>
      <c r="B64" s="63">
        <v>0.15918367346938775</v>
      </c>
      <c r="C64" s="63">
        <v>0.22564642212868311</v>
      </c>
      <c r="D64" s="63">
        <v>0.157</v>
      </c>
      <c r="E64" s="63">
        <v>0.161</v>
      </c>
      <c r="F64" s="63">
        <v>0.17199999999999999</v>
      </c>
      <c r="G64" s="63">
        <v>0.16200000000000001</v>
      </c>
    </row>
    <row r="65" spans="1:7" x14ac:dyDescent="0.3">
      <c r="A65" s="12" t="s">
        <v>62</v>
      </c>
      <c r="B65" s="63">
        <v>0.33195198628179479</v>
      </c>
      <c r="C65" s="63">
        <v>0.3250701235691002</v>
      </c>
      <c r="D65" s="63">
        <v>0.39799999999999996</v>
      </c>
      <c r="E65" s="63">
        <v>0.33299999999999996</v>
      </c>
      <c r="F65" s="63">
        <v>0.34299999999999997</v>
      </c>
      <c r="G65" s="63">
        <v>0.34</v>
      </c>
    </row>
    <row r="66" spans="1:7" x14ac:dyDescent="0.3">
      <c r="A66" s="12" t="s">
        <v>47</v>
      </c>
      <c r="B66" s="63">
        <v>0.23861992209237617</v>
      </c>
      <c r="C66" s="63">
        <v>0.24455337690631807</v>
      </c>
      <c r="D66" s="63">
        <v>0.248</v>
      </c>
      <c r="E66" s="63">
        <v>0.27300000000000002</v>
      </c>
      <c r="F66" s="63">
        <v>0.28399999999999997</v>
      </c>
      <c r="G66" s="63">
        <v>0.32</v>
      </c>
    </row>
    <row r="67" spans="1:7" x14ac:dyDescent="0.3">
      <c r="A67" s="12" t="s">
        <v>35</v>
      </c>
      <c r="B67" s="63">
        <v>0.1601929686529463</v>
      </c>
      <c r="C67" s="63">
        <v>0.15685383533484798</v>
      </c>
      <c r="D67" s="63">
        <v>0.156</v>
      </c>
      <c r="E67" s="63">
        <v>0.155</v>
      </c>
      <c r="F67" s="63">
        <v>0.156</v>
      </c>
      <c r="G67" s="63">
        <v>0.158</v>
      </c>
    </row>
    <row r="68" spans="1:7" x14ac:dyDescent="0.3">
      <c r="A68" s="12" t="s">
        <v>14</v>
      </c>
      <c r="B68" s="63">
        <v>0.63261520901697821</v>
      </c>
      <c r="C68" s="63">
        <v>0.60394676457090413</v>
      </c>
      <c r="D68" s="63">
        <v>0.56000000000000005</v>
      </c>
      <c r="E68" s="63">
        <v>0.57700000000000007</v>
      </c>
      <c r="F68" s="63">
        <v>0.59200000000000008</v>
      </c>
      <c r="G68" s="63">
        <v>0.58399999999999996</v>
      </c>
    </row>
    <row r="69" spans="1:7" x14ac:dyDescent="0.3">
      <c r="A69" s="12" t="s">
        <v>77</v>
      </c>
      <c r="B69" s="63">
        <v>0.27208639568021598</v>
      </c>
      <c r="C69" s="63">
        <v>0.26550668599967781</v>
      </c>
      <c r="D69" s="63">
        <v>0.25800000000000001</v>
      </c>
      <c r="E69" s="63">
        <v>0.26100000000000001</v>
      </c>
      <c r="F69" s="63">
        <v>0.255</v>
      </c>
      <c r="G69" s="63">
        <v>0.27600000000000002</v>
      </c>
    </row>
    <row r="70" spans="1:7" x14ac:dyDescent="0.3">
      <c r="A70" s="12" t="s">
        <v>87</v>
      </c>
      <c r="B70" s="63">
        <v>0.2116479432434463</v>
      </c>
      <c r="C70" s="63">
        <v>0.21215150865400434</v>
      </c>
      <c r="D70" s="63">
        <v>0.20899999999999999</v>
      </c>
      <c r="E70" s="63">
        <v>0.217</v>
      </c>
      <c r="F70" s="63">
        <v>0.22</v>
      </c>
      <c r="G70" s="63">
        <v>0.22800000000000001</v>
      </c>
    </row>
    <row r="71" spans="1:7" x14ac:dyDescent="0.3">
      <c r="A71" s="12" t="s">
        <v>29</v>
      </c>
      <c r="B71" s="63">
        <v>0.20470491126702434</v>
      </c>
      <c r="C71" s="63">
        <v>0.19721329046087888</v>
      </c>
      <c r="D71" s="63">
        <v>0.19699999999999998</v>
      </c>
      <c r="E71" s="63">
        <v>0.20499999999999999</v>
      </c>
      <c r="F71" s="63">
        <v>0.20699999999999999</v>
      </c>
      <c r="G71" s="63">
        <v>0.221</v>
      </c>
    </row>
    <row r="72" spans="1:7" x14ac:dyDescent="0.3">
      <c r="A72" s="12" t="s">
        <v>59</v>
      </c>
      <c r="B72" s="63">
        <v>0.179901871706342</v>
      </c>
      <c r="C72" s="63">
        <v>0.16772121094130241</v>
      </c>
      <c r="D72" s="63">
        <v>0.17800000000000002</v>
      </c>
      <c r="E72" s="63">
        <v>0.184</v>
      </c>
      <c r="F72" s="63">
        <v>0.19</v>
      </c>
      <c r="G72" s="63">
        <v>0.20300000000000001</v>
      </c>
    </row>
    <row r="73" spans="1:7" x14ac:dyDescent="0.3">
      <c r="A73" s="12" t="s">
        <v>24</v>
      </c>
      <c r="B73" s="63">
        <v>0.17505932742953059</v>
      </c>
      <c r="C73" s="63">
        <v>0.1782115297321834</v>
      </c>
      <c r="D73" s="63">
        <v>0.17800000000000002</v>
      </c>
      <c r="E73" s="63">
        <v>0.185</v>
      </c>
      <c r="F73" s="63">
        <v>0.18600000000000003</v>
      </c>
      <c r="G73" s="63">
        <v>0.19399999999999998</v>
      </c>
    </row>
    <row r="74" spans="1:7" x14ac:dyDescent="0.3">
      <c r="A74" s="12" t="s">
        <v>68</v>
      </c>
      <c r="B74" s="63">
        <v>0.21379105238560561</v>
      </c>
      <c r="C74" s="63">
        <v>0.21094942962364144</v>
      </c>
      <c r="D74" s="63">
        <v>0.21600000000000003</v>
      </c>
      <c r="E74" s="63">
        <v>0.222</v>
      </c>
      <c r="F74" s="63">
        <v>0.22500000000000001</v>
      </c>
      <c r="G74" s="63">
        <v>0.23499999999999999</v>
      </c>
    </row>
    <row r="75" spans="1:7" x14ac:dyDescent="0.3">
      <c r="A75" s="12" t="s">
        <v>3</v>
      </c>
      <c r="B75" s="63">
        <v>0.30994797414472647</v>
      </c>
      <c r="C75" s="63">
        <v>0.31293881644934807</v>
      </c>
      <c r="D75" s="63">
        <v>0.32200000000000001</v>
      </c>
      <c r="E75" s="63">
        <v>0.32299999999999995</v>
      </c>
      <c r="F75" s="63">
        <v>0.32299999999999995</v>
      </c>
      <c r="G75" s="63">
        <v>0.32600000000000001</v>
      </c>
    </row>
    <row r="76" spans="1:7" x14ac:dyDescent="0.3">
      <c r="A76" s="12" t="s">
        <v>16</v>
      </c>
      <c r="B76" s="63">
        <v>0.23464953358558424</v>
      </c>
      <c r="C76" s="63">
        <v>0.23005133919687984</v>
      </c>
      <c r="D76" s="63">
        <v>0.222</v>
      </c>
      <c r="E76" s="63">
        <v>0.23499999999999999</v>
      </c>
      <c r="F76" s="63">
        <v>0.24</v>
      </c>
      <c r="G76" s="63">
        <v>0.24600000000000002</v>
      </c>
    </row>
    <row r="77" spans="1:7" x14ac:dyDescent="0.3">
      <c r="A77" s="12" t="s">
        <v>288</v>
      </c>
      <c r="B77" s="63">
        <v>0.19546067232153799</v>
      </c>
      <c r="C77" s="63">
        <v>0.24291988917167814</v>
      </c>
      <c r="D77" s="63">
        <v>0.20100000000000001</v>
      </c>
      <c r="E77" s="63">
        <v>0.20899999999999999</v>
      </c>
      <c r="F77" s="63">
        <v>0.21100000000000002</v>
      </c>
      <c r="G77" s="63">
        <v>0.25700000000000001</v>
      </c>
    </row>
    <row r="78" spans="1:7" x14ac:dyDescent="0.3">
      <c r="A78" s="12" t="s">
        <v>97</v>
      </c>
      <c r="B78" s="63">
        <v>0.20777087119913584</v>
      </c>
      <c r="C78" s="63">
        <v>0.20800895992084489</v>
      </c>
      <c r="D78" s="63">
        <v>0.20899999999999999</v>
      </c>
      <c r="E78" s="63">
        <v>0.217</v>
      </c>
      <c r="F78" s="63">
        <v>0.221</v>
      </c>
      <c r="G78" s="63">
        <v>0.223</v>
      </c>
    </row>
    <row r="79" spans="1:7" x14ac:dyDescent="0.3">
      <c r="A79" s="12" t="s">
        <v>102</v>
      </c>
      <c r="B79" s="63">
        <v>0.26688326313116068</v>
      </c>
      <c r="C79" s="63">
        <v>0.26280806381731531</v>
      </c>
      <c r="D79" s="63">
        <v>0.26</v>
      </c>
      <c r="E79" s="63">
        <v>0.26600000000000001</v>
      </c>
      <c r="F79" s="63">
        <v>0.27100000000000002</v>
      </c>
      <c r="G79" s="63">
        <v>0.27200000000000002</v>
      </c>
    </row>
    <row r="80" spans="1:7" x14ac:dyDescent="0.3">
      <c r="A80" s="12" t="s">
        <v>43</v>
      </c>
      <c r="B80" s="63">
        <v>0.21981566820276494</v>
      </c>
      <c r="C80" s="63">
        <v>0.22190939339646787</v>
      </c>
      <c r="D80" s="63">
        <v>0.217</v>
      </c>
      <c r="E80" s="63">
        <v>0.22600000000000001</v>
      </c>
      <c r="F80" s="63">
        <v>0.22699999999999998</v>
      </c>
      <c r="G80" s="63">
        <v>0.23499999999999999</v>
      </c>
    </row>
    <row r="81" spans="1:7" x14ac:dyDescent="0.3">
      <c r="A81" s="12" t="s">
        <v>11</v>
      </c>
      <c r="B81" s="63">
        <v>0.22131274610113788</v>
      </c>
      <c r="C81" s="63">
        <v>0.21838930551027061</v>
      </c>
      <c r="D81" s="63">
        <v>0.214</v>
      </c>
      <c r="E81" s="63">
        <v>0.22600000000000001</v>
      </c>
      <c r="F81" s="63">
        <v>0.23399999999999999</v>
      </c>
      <c r="G81" s="63">
        <v>0.24600000000000002</v>
      </c>
    </row>
    <row r="82" spans="1:7" x14ac:dyDescent="0.3">
      <c r="A82" s="12" t="s">
        <v>15</v>
      </c>
      <c r="B82" s="63">
        <v>0.169953792403922</v>
      </c>
      <c r="C82" s="63">
        <v>0.18253106526722163</v>
      </c>
      <c r="D82" s="63">
        <v>0.1</v>
      </c>
      <c r="E82" s="63">
        <v>0.184</v>
      </c>
      <c r="F82" s="63">
        <v>0.182</v>
      </c>
      <c r="G82" s="63">
        <v>0.19600000000000001</v>
      </c>
    </row>
    <row r="83" spans="1:7" x14ac:dyDescent="0.3">
      <c r="A83" s="12" t="s">
        <v>38</v>
      </c>
      <c r="B83" s="63">
        <v>0.21296223907434919</v>
      </c>
      <c r="C83" s="63">
        <v>0.21102972856527358</v>
      </c>
      <c r="D83" s="63">
        <v>0.214</v>
      </c>
      <c r="E83" s="63">
        <v>0.218</v>
      </c>
      <c r="F83" s="63">
        <v>0.217</v>
      </c>
      <c r="G83" s="63">
        <v>0.221</v>
      </c>
    </row>
    <row r="84" spans="1:7" x14ac:dyDescent="0.3">
      <c r="A84" s="12" t="s">
        <v>5</v>
      </c>
      <c r="B84" s="63">
        <v>0.25058456742010909</v>
      </c>
      <c r="C84" s="63">
        <v>0.23368689011455243</v>
      </c>
      <c r="D84" s="63">
        <v>0.247</v>
      </c>
      <c r="E84" s="63">
        <v>0.24100000000000002</v>
      </c>
      <c r="F84" s="63">
        <v>0.252</v>
      </c>
      <c r="G84" s="63">
        <v>0.254</v>
      </c>
    </row>
    <row r="85" spans="1:7" x14ac:dyDescent="0.3">
      <c r="A85" s="12" t="s">
        <v>39</v>
      </c>
      <c r="B85" s="63">
        <v>0.20275634783911317</v>
      </c>
      <c r="C85" s="63">
        <v>0.21077834591348105</v>
      </c>
      <c r="D85" s="63">
        <v>0.192</v>
      </c>
      <c r="E85" s="63">
        <v>0.21199999999999999</v>
      </c>
      <c r="F85" s="63">
        <v>0.217</v>
      </c>
      <c r="G85" s="63">
        <v>0.21199999999999999</v>
      </c>
    </row>
    <row r="86" spans="1:7" x14ac:dyDescent="0.3">
      <c r="A86" s="12" t="s">
        <v>19</v>
      </c>
      <c r="B86" s="63">
        <v>0.20119682381372508</v>
      </c>
      <c r="C86" s="63">
        <v>0.19548633814817015</v>
      </c>
      <c r="D86" s="63">
        <v>0.2</v>
      </c>
      <c r="E86" s="63">
        <v>0.20100000000000001</v>
      </c>
      <c r="F86" s="63">
        <v>0.20100000000000001</v>
      </c>
      <c r="G86" s="63">
        <v>0.20300000000000001</v>
      </c>
    </row>
    <row r="87" spans="1:7" x14ac:dyDescent="0.3">
      <c r="A87" s="12" t="s">
        <v>289</v>
      </c>
      <c r="B87" s="63">
        <v>0.22112722323900699</v>
      </c>
      <c r="C87" s="63">
        <v>0.2154269440556065</v>
      </c>
      <c r="D87" s="63">
        <v>0.22500000000000001</v>
      </c>
      <c r="E87" s="63">
        <v>0.22500000000000001</v>
      </c>
      <c r="F87" s="63">
        <v>0.221</v>
      </c>
      <c r="G87" s="63">
        <v>0.223</v>
      </c>
    </row>
    <row r="88" spans="1:7" x14ac:dyDescent="0.3">
      <c r="A88" s="12" t="s">
        <v>94</v>
      </c>
      <c r="B88" s="63">
        <v>0.21955585389047377</v>
      </c>
      <c r="C88" s="63">
        <v>0.2209705900261828</v>
      </c>
      <c r="D88" s="63">
        <v>0.23</v>
      </c>
      <c r="E88" s="63">
        <v>0.23100000000000001</v>
      </c>
      <c r="F88" s="63">
        <v>0.23</v>
      </c>
      <c r="G88" s="63">
        <v>0.24100000000000002</v>
      </c>
    </row>
    <row r="89" spans="1:7" x14ac:dyDescent="0.3">
      <c r="A89" s="12" t="s">
        <v>41</v>
      </c>
      <c r="B89" s="63">
        <v>0.1743973267563052</v>
      </c>
      <c r="C89" s="63">
        <v>0.16552644752210913</v>
      </c>
      <c r="D89" s="63">
        <v>0.159</v>
      </c>
      <c r="E89" s="63">
        <v>0.16899999999999998</v>
      </c>
      <c r="F89" s="63">
        <v>0.16399999999999998</v>
      </c>
      <c r="G89" s="63">
        <v>0.17300000000000001</v>
      </c>
    </row>
    <row r="90" spans="1:7" x14ac:dyDescent="0.3">
      <c r="A90" s="12" t="s">
        <v>101</v>
      </c>
      <c r="B90" s="63">
        <v>0.21944917001752759</v>
      </c>
      <c r="C90" s="63">
        <v>0.2153178699415873</v>
      </c>
      <c r="D90" s="63">
        <v>0.215</v>
      </c>
      <c r="E90" s="63">
        <v>0.221</v>
      </c>
      <c r="F90" s="63">
        <v>0.22399999999999998</v>
      </c>
      <c r="G90" s="63">
        <v>0.22899999999999998</v>
      </c>
    </row>
    <row r="91" spans="1:7" x14ac:dyDescent="0.3">
      <c r="A91" s="12" t="s">
        <v>75</v>
      </c>
      <c r="B91" s="63">
        <v>0.29248764621254769</v>
      </c>
      <c r="C91" s="63">
        <v>0.29489640563976965</v>
      </c>
      <c r="D91" s="63">
        <v>0.29399999999999998</v>
      </c>
      <c r="E91" s="63">
        <v>0.30599999999999999</v>
      </c>
      <c r="F91" s="63">
        <v>0.30099999999999999</v>
      </c>
      <c r="G91" s="63">
        <v>0.3</v>
      </c>
    </row>
    <row r="92" spans="1:7" x14ac:dyDescent="0.3">
      <c r="A92" s="12" t="s">
        <v>17</v>
      </c>
      <c r="B92" s="63">
        <v>0.17992188505944462</v>
      </c>
      <c r="C92" s="63">
        <v>0.17068950217410594</v>
      </c>
      <c r="D92" s="63">
        <v>0.17</v>
      </c>
      <c r="E92" s="63">
        <v>0.17300000000000001</v>
      </c>
      <c r="F92" s="63">
        <v>0.17399999999999999</v>
      </c>
      <c r="G92" s="63">
        <v>0.17499999999999999</v>
      </c>
    </row>
    <row r="93" spans="1:7" x14ac:dyDescent="0.3">
      <c r="A93" s="12" t="s">
        <v>96</v>
      </c>
      <c r="B93" s="63">
        <v>0.18714705631243211</v>
      </c>
      <c r="C93" s="63">
        <v>0.18494409772734827</v>
      </c>
      <c r="D93" s="63">
        <v>0.18100000000000002</v>
      </c>
      <c r="E93" s="63">
        <v>0.19800000000000001</v>
      </c>
      <c r="F93" s="63">
        <v>0.20100000000000001</v>
      </c>
      <c r="G93" s="63">
        <v>0.20199999999999999</v>
      </c>
    </row>
    <row r="94" spans="1:7" x14ac:dyDescent="0.3">
      <c r="A94" s="12" t="s">
        <v>82</v>
      </c>
      <c r="B94" s="63">
        <v>0.22106939364534348</v>
      </c>
      <c r="C94" s="63">
        <v>0.21917117690756663</v>
      </c>
      <c r="D94" s="63">
        <v>0.222</v>
      </c>
      <c r="E94" s="63">
        <v>0.22800000000000001</v>
      </c>
      <c r="F94" s="63">
        <v>0.23100000000000001</v>
      </c>
      <c r="G94" s="63">
        <v>0.23899999999999999</v>
      </c>
    </row>
    <row r="95" spans="1:7" x14ac:dyDescent="0.3">
      <c r="A95" s="12" t="s">
        <v>93</v>
      </c>
      <c r="B95" s="63">
        <v>0.18038590336469462</v>
      </c>
      <c r="C95" s="63">
        <v>0.41808588793161022</v>
      </c>
      <c r="D95" s="63">
        <v>0.21299999999999999</v>
      </c>
      <c r="E95" s="63">
        <v>0.19500000000000001</v>
      </c>
      <c r="F95" s="63">
        <v>0.16300000000000001</v>
      </c>
      <c r="G95" s="63">
        <v>0.247</v>
      </c>
    </row>
    <row r="96" spans="1:7" x14ac:dyDescent="0.3">
      <c r="A96" s="12" t="s">
        <v>46</v>
      </c>
      <c r="B96" s="63">
        <v>0.19516915137614677</v>
      </c>
      <c r="C96" s="63">
        <v>0.19119785686949867</v>
      </c>
      <c r="D96" s="63">
        <v>0.188</v>
      </c>
      <c r="E96" s="63">
        <v>0.20399999999999999</v>
      </c>
      <c r="F96" s="63">
        <v>0.19699999999999998</v>
      </c>
      <c r="G96" s="63">
        <v>0.20600000000000002</v>
      </c>
    </row>
    <row r="97" spans="1:7" x14ac:dyDescent="0.3">
      <c r="A97" s="12" t="s">
        <v>18</v>
      </c>
      <c r="B97" s="63">
        <v>0.40215716486902925</v>
      </c>
      <c r="C97" s="63">
        <v>0.40479999999999999</v>
      </c>
      <c r="D97" s="63">
        <v>0.42299999999999999</v>
      </c>
      <c r="E97" s="63">
        <v>0.39600000000000002</v>
      </c>
      <c r="F97" s="63">
        <v>0.41200000000000003</v>
      </c>
      <c r="G97" s="63">
        <v>0.374</v>
      </c>
    </row>
    <row r="98" spans="1:7" x14ac:dyDescent="0.3">
      <c r="A98" s="12" t="s">
        <v>125</v>
      </c>
      <c r="B98" s="63">
        <v>0.19797199951609534</v>
      </c>
      <c r="C98" s="63">
        <v>0.19262136594769619</v>
      </c>
      <c r="D98" s="63">
        <v>0.19399999999999998</v>
      </c>
      <c r="E98" s="63">
        <v>0.20199999999999999</v>
      </c>
      <c r="F98" s="63">
        <v>0.20399999999999999</v>
      </c>
      <c r="G98" s="63">
        <v>0.21299999999999999</v>
      </c>
    </row>
    <row r="99" spans="1:7" x14ac:dyDescent="0.3">
      <c r="A99" s="12" t="s">
        <v>78</v>
      </c>
      <c r="B99" s="63">
        <v>0.20722819144939514</v>
      </c>
      <c r="C99" s="63">
        <v>0.17971903762312288</v>
      </c>
      <c r="D99" s="63">
        <v>0.20699999999999999</v>
      </c>
      <c r="E99" s="63">
        <v>0.21299999999999999</v>
      </c>
      <c r="F99" s="63">
        <v>0.215</v>
      </c>
      <c r="G99" s="63">
        <v>0.221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0C1D2-591F-44FD-A685-BA4F68CB4B37}">
  <sheetPr codeName="Лист30">
    <tabColor theme="4" tint="0.59999389629810485"/>
    <pageSetUpPr fitToPage="1"/>
  </sheetPr>
  <dimension ref="A1:W99"/>
  <sheetViews>
    <sheetView showGridLines="0" workbookViewId="0">
      <selection activeCell="A2" sqref="A2"/>
    </sheetView>
  </sheetViews>
  <sheetFormatPr defaultRowHeight="16.5" x14ac:dyDescent="0.3"/>
  <cols>
    <col min="1" max="1" width="108.5703125" style="9" customWidth="1"/>
    <col min="2" max="2" width="13.140625" style="4" bestFit="1" customWidth="1"/>
    <col min="3" max="6" width="9.85546875" style="4" bestFit="1" customWidth="1"/>
    <col min="7" max="7" width="9.140625" style="4"/>
    <col min="8" max="8" width="47.7109375" style="9" customWidth="1"/>
    <col min="9" max="9" width="13.140625" style="4" bestFit="1" customWidth="1"/>
    <col min="10" max="13" width="9.85546875" style="4" bestFit="1" customWidth="1"/>
    <col min="14" max="14" width="9.140625" style="4"/>
    <col min="15" max="15" width="47.7109375" style="9" customWidth="1"/>
    <col min="16" max="20" width="9.85546875" style="4" bestFit="1" customWidth="1"/>
    <col min="21" max="252" width="9.140625" style="4"/>
    <col min="253" max="253" width="108.5703125" style="4" customWidth="1"/>
    <col min="254" max="254" width="1.5703125" style="4" customWidth="1"/>
    <col min="255" max="255" width="6" style="4" customWidth="1"/>
    <col min="256" max="508" width="9.140625" style="4"/>
    <col min="509" max="509" width="108.5703125" style="4" customWidth="1"/>
    <col min="510" max="510" width="1.5703125" style="4" customWidth="1"/>
    <col min="511" max="511" width="6" style="4" customWidth="1"/>
    <col min="512" max="764" width="9.140625" style="4"/>
    <col min="765" max="765" width="108.5703125" style="4" customWidth="1"/>
    <col min="766" max="766" width="1.5703125" style="4" customWidth="1"/>
    <col min="767" max="767" width="6" style="4" customWidth="1"/>
    <col min="768" max="1020" width="9.140625" style="4"/>
    <col min="1021" max="1021" width="108.5703125" style="4" customWidth="1"/>
    <col min="1022" max="1022" width="1.5703125" style="4" customWidth="1"/>
    <col min="1023" max="1023" width="6" style="4" customWidth="1"/>
    <col min="1024" max="1276" width="9.140625" style="4"/>
    <col min="1277" max="1277" width="108.5703125" style="4" customWidth="1"/>
    <col min="1278" max="1278" width="1.5703125" style="4" customWidth="1"/>
    <col min="1279" max="1279" width="6" style="4" customWidth="1"/>
    <col min="1280" max="1532" width="9.140625" style="4"/>
    <col min="1533" max="1533" width="108.5703125" style="4" customWidth="1"/>
    <col min="1534" max="1534" width="1.5703125" style="4" customWidth="1"/>
    <col min="1535" max="1535" width="6" style="4" customWidth="1"/>
    <col min="1536" max="1788" width="9.140625" style="4"/>
    <col min="1789" max="1789" width="108.5703125" style="4" customWidth="1"/>
    <col min="1790" max="1790" width="1.5703125" style="4" customWidth="1"/>
    <col min="1791" max="1791" width="6" style="4" customWidth="1"/>
    <col min="1792" max="2044" width="9.140625" style="4"/>
    <col min="2045" max="2045" width="108.5703125" style="4" customWidth="1"/>
    <col min="2046" max="2046" width="1.5703125" style="4" customWidth="1"/>
    <col min="2047" max="2047" width="6" style="4" customWidth="1"/>
    <col min="2048" max="2300" width="9.140625" style="4"/>
    <col min="2301" max="2301" width="108.5703125" style="4" customWidth="1"/>
    <col min="2302" max="2302" width="1.5703125" style="4" customWidth="1"/>
    <col min="2303" max="2303" width="6" style="4" customWidth="1"/>
    <col min="2304" max="2556" width="9.140625" style="4"/>
    <col min="2557" max="2557" width="108.5703125" style="4" customWidth="1"/>
    <col min="2558" max="2558" width="1.5703125" style="4" customWidth="1"/>
    <col min="2559" max="2559" width="6" style="4" customWidth="1"/>
    <col min="2560" max="2812" width="9.140625" style="4"/>
    <col min="2813" max="2813" width="108.5703125" style="4" customWidth="1"/>
    <col min="2814" max="2814" width="1.5703125" style="4" customWidth="1"/>
    <col min="2815" max="2815" width="6" style="4" customWidth="1"/>
    <col min="2816" max="3068" width="9.140625" style="4"/>
    <col min="3069" max="3069" width="108.5703125" style="4" customWidth="1"/>
    <col min="3070" max="3070" width="1.5703125" style="4" customWidth="1"/>
    <col min="3071" max="3071" width="6" style="4" customWidth="1"/>
    <col min="3072" max="3324" width="9.140625" style="4"/>
    <col min="3325" max="3325" width="108.5703125" style="4" customWidth="1"/>
    <col min="3326" max="3326" width="1.5703125" style="4" customWidth="1"/>
    <col min="3327" max="3327" width="6" style="4" customWidth="1"/>
    <col min="3328" max="3580" width="9.140625" style="4"/>
    <col min="3581" max="3581" width="108.5703125" style="4" customWidth="1"/>
    <col min="3582" max="3582" width="1.5703125" style="4" customWidth="1"/>
    <col min="3583" max="3583" width="6" style="4" customWidth="1"/>
    <col min="3584" max="3836" width="9.140625" style="4"/>
    <col min="3837" max="3837" width="108.5703125" style="4" customWidth="1"/>
    <col min="3838" max="3838" width="1.5703125" style="4" customWidth="1"/>
    <col min="3839" max="3839" width="6" style="4" customWidth="1"/>
    <col min="3840" max="4092" width="9.140625" style="4"/>
    <col min="4093" max="4093" width="108.5703125" style="4" customWidth="1"/>
    <col min="4094" max="4094" width="1.5703125" style="4" customWidth="1"/>
    <col min="4095" max="4095" width="6" style="4" customWidth="1"/>
    <col min="4096" max="4348" width="9.140625" style="4"/>
    <col min="4349" max="4349" width="108.5703125" style="4" customWidth="1"/>
    <col min="4350" max="4350" width="1.5703125" style="4" customWidth="1"/>
    <col min="4351" max="4351" width="6" style="4" customWidth="1"/>
    <col min="4352" max="4604" width="9.140625" style="4"/>
    <col min="4605" max="4605" width="108.5703125" style="4" customWidth="1"/>
    <col min="4606" max="4606" width="1.5703125" style="4" customWidth="1"/>
    <col min="4607" max="4607" width="6" style="4" customWidth="1"/>
    <col min="4608" max="4860" width="9.140625" style="4"/>
    <col min="4861" max="4861" width="108.5703125" style="4" customWidth="1"/>
    <col min="4862" max="4862" width="1.5703125" style="4" customWidth="1"/>
    <col min="4863" max="4863" width="6" style="4" customWidth="1"/>
    <col min="4864" max="5116" width="9.140625" style="4"/>
    <col min="5117" max="5117" width="108.5703125" style="4" customWidth="1"/>
    <col min="5118" max="5118" width="1.5703125" style="4" customWidth="1"/>
    <col min="5119" max="5119" width="6" style="4" customWidth="1"/>
    <col min="5120" max="5372" width="9.140625" style="4"/>
    <col min="5373" max="5373" width="108.5703125" style="4" customWidth="1"/>
    <col min="5374" max="5374" width="1.5703125" style="4" customWidth="1"/>
    <col min="5375" max="5375" width="6" style="4" customWidth="1"/>
    <col min="5376" max="5628" width="9.140625" style="4"/>
    <col min="5629" max="5629" width="108.5703125" style="4" customWidth="1"/>
    <col min="5630" max="5630" width="1.5703125" style="4" customWidth="1"/>
    <col min="5631" max="5631" width="6" style="4" customWidth="1"/>
    <col min="5632" max="5884" width="9.140625" style="4"/>
    <col min="5885" max="5885" width="108.5703125" style="4" customWidth="1"/>
    <col min="5886" max="5886" width="1.5703125" style="4" customWidth="1"/>
    <col min="5887" max="5887" width="6" style="4" customWidth="1"/>
    <col min="5888" max="6140" width="9.140625" style="4"/>
    <col min="6141" max="6141" width="108.5703125" style="4" customWidth="1"/>
    <col min="6142" max="6142" width="1.5703125" style="4" customWidth="1"/>
    <col min="6143" max="6143" width="6" style="4" customWidth="1"/>
    <col min="6144" max="6396" width="9.140625" style="4"/>
    <col min="6397" max="6397" width="108.5703125" style="4" customWidth="1"/>
    <col min="6398" max="6398" width="1.5703125" style="4" customWidth="1"/>
    <col min="6399" max="6399" width="6" style="4" customWidth="1"/>
    <col min="6400" max="6652" width="9.140625" style="4"/>
    <col min="6653" max="6653" width="108.5703125" style="4" customWidth="1"/>
    <col min="6654" max="6654" width="1.5703125" style="4" customWidth="1"/>
    <col min="6655" max="6655" width="6" style="4" customWidth="1"/>
    <col min="6656" max="6908" width="9.140625" style="4"/>
    <col min="6909" max="6909" width="108.5703125" style="4" customWidth="1"/>
    <col min="6910" max="6910" width="1.5703125" style="4" customWidth="1"/>
    <col min="6911" max="6911" width="6" style="4" customWidth="1"/>
    <col min="6912" max="7164" width="9.140625" style="4"/>
    <col min="7165" max="7165" width="108.5703125" style="4" customWidth="1"/>
    <col min="7166" max="7166" width="1.5703125" style="4" customWidth="1"/>
    <col min="7167" max="7167" width="6" style="4" customWidth="1"/>
    <col min="7168" max="7420" width="9.140625" style="4"/>
    <col min="7421" max="7421" width="108.5703125" style="4" customWidth="1"/>
    <col min="7422" max="7422" width="1.5703125" style="4" customWidth="1"/>
    <col min="7423" max="7423" width="6" style="4" customWidth="1"/>
    <col min="7424" max="7676" width="9.140625" style="4"/>
    <col min="7677" max="7677" width="108.5703125" style="4" customWidth="1"/>
    <col min="7678" max="7678" width="1.5703125" style="4" customWidth="1"/>
    <col min="7679" max="7679" width="6" style="4" customWidth="1"/>
    <col min="7680" max="7932" width="9.140625" style="4"/>
    <col min="7933" max="7933" width="108.5703125" style="4" customWidth="1"/>
    <col min="7934" max="7934" width="1.5703125" style="4" customWidth="1"/>
    <col min="7935" max="7935" width="6" style="4" customWidth="1"/>
    <col min="7936" max="8188" width="9.140625" style="4"/>
    <col min="8189" max="8189" width="108.5703125" style="4" customWidth="1"/>
    <col min="8190" max="8190" width="1.5703125" style="4" customWidth="1"/>
    <col min="8191" max="8191" width="6" style="4" customWidth="1"/>
    <col min="8192" max="8444" width="9.140625" style="4"/>
    <col min="8445" max="8445" width="108.5703125" style="4" customWidth="1"/>
    <col min="8446" max="8446" width="1.5703125" style="4" customWidth="1"/>
    <col min="8447" max="8447" width="6" style="4" customWidth="1"/>
    <col min="8448" max="8700" width="9.140625" style="4"/>
    <col min="8701" max="8701" width="108.5703125" style="4" customWidth="1"/>
    <col min="8702" max="8702" width="1.5703125" style="4" customWidth="1"/>
    <col min="8703" max="8703" width="6" style="4" customWidth="1"/>
    <col min="8704" max="8956" width="9.140625" style="4"/>
    <col min="8957" max="8957" width="108.5703125" style="4" customWidth="1"/>
    <col min="8958" max="8958" width="1.5703125" style="4" customWidth="1"/>
    <col min="8959" max="8959" width="6" style="4" customWidth="1"/>
    <col min="8960" max="9212" width="9.140625" style="4"/>
    <col min="9213" max="9213" width="108.5703125" style="4" customWidth="1"/>
    <col min="9214" max="9214" width="1.5703125" style="4" customWidth="1"/>
    <col min="9215" max="9215" width="6" style="4" customWidth="1"/>
    <col min="9216" max="9468" width="9.140625" style="4"/>
    <col min="9469" max="9469" width="108.5703125" style="4" customWidth="1"/>
    <col min="9470" max="9470" width="1.5703125" style="4" customWidth="1"/>
    <col min="9471" max="9471" width="6" style="4" customWidth="1"/>
    <col min="9472" max="9724" width="9.140625" style="4"/>
    <col min="9725" max="9725" width="108.5703125" style="4" customWidth="1"/>
    <col min="9726" max="9726" width="1.5703125" style="4" customWidth="1"/>
    <col min="9727" max="9727" width="6" style="4" customWidth="1"/>
    <col min="9728" max="9980" width="9.140625" style="4"/>
    <col min="9981" max="9981" width="108.5703125" style="4" customWidth="1"/>
    <col min="9982" max="9982" width="1.5703125" style="4" customWidth="1"/>
    <col min="9983" max="9983" width="6" style="4" customWidth="1"/>
    <col min="9984" max="10236" width="9.140625" style="4"/>
    <col min="10237" max="10237" width="108.5703125" style="4" customWidth="1"/>
    <col min="10238" max="10238" width="1.5703125" style="4" customWidth="1"/>
    <col min="10239" max="10239" width="6" style="4" customWidth="1"/>
    <col min="10240" max="10492" width="9.140625" style="4"/>
    <col min="10493" max="10493" width="108.5703125" style="4" customWidth="1"/>
    <col min="10494" max="10494" width="1.5703125" style="4" customWidth="1"/>
    <col min="10495" max="10495" width="6" style="4" customWidth="1"/>
    <col min="10496" max="10748" width="9.140625" style="4"/>
    <col min="10749" max="10749" width="108.5703125" style="4" customWidth="1"/>
    <col min="10750" max="10750" width="1.5703125" style="4" customWidth="1"/>
    <col min="10751" max="10751" width="6" style="4" customWidth="1"/>
    <col min="10752" max="11004" width="9.140625" style="4"/>
    <col min="11005" max="11005" width="108.5703125" style="4" customWidth="1"/>
    <col min="11006" max="11006" width="1.5703125" style="4" customWidth="1"/>
    <col min="11007" max="11007" width="6" style="4" customWidth="1"/>
    <col min="11008" max="11260" width="9.140625" style="4"/>
    <col min="11261" max="11261" width="108.5703125" style="4" customWidth="1"/>
    <col min="11262" max="11262" width="1.5703125" style="4" customWidth="1"/>
    <col min="11263" max="11263" width="6" style="4" customWidth="1"/>
    <col min="11264" max="11516" width="9.140625" style="4"/>
    <col min="11517" max="11517" width="108.5703125" style="4" customWidth="1"/>
    <col min="11518" max="11518" width="1.5703125" style="4" customWidth="1"/>
    <col min="11519" max="11519" width="6" style="4" customWidth="1"/>
    <col min="11520" max="11772" width="9.140625" style="4"/>
    <col min="11773" max="11773" width="108.5703125" style="4" customWidth="1"/>
    <col min="11774" max="11774" width="1.5703125" style="4" customWidth="1"/>
    <col min="11775" max="11775" width="6" style="4" customWidth="1"/>
    <col min="11776" max="12028" width="9.140625" style="4"/>
    <col min="12029" max="12029" width="108.5703125" style="4" customWidth="1"/>
    <col min="12030" max="12030" width="1.5703125" style="4" customWidth="1"/>
    <col min="12031" max="12031" width="6" style="4" customWidth="1"/>
    <col min="12032" max="12284" width="9.140625" style="4"/>
    <col min="12285" max="12285" width="108.5703125" style="4" customWidth="1"/>
    <col min="12286" max="12286" width="1.5703125" style="4" customWidth="1"/>
    <col min="12287" max="12287" width="6" style="4" customWidth="1"/>
    <col min="12288" max="12540" width="9.140625" style="4"/>
    <col min="12541" max="12541" width="108.5703125" style="4" customWidth="1"/>
    <col min="12542" max="12542" width="1.5703125" style="4" customWidth="1"/>
    <col min="12543" max="12543" width="6" style="4" customWidth="1"/>
    <col min="12544" max="12796" width="9.140625" style="4"/>
    <col min="12797" max="12797" width="108.5703125" style="4" customWidth="1"/>
    <col min="12798" max="12798" width="1.5703125" style="4" customWidth="1"/>
    <col min="12799" max="12799" width="6" style="4" customWidth="1"/>
    <col min="12800" max="13052" width="9.140625" style="4"/>
    <col min="13053" max="13053" width="108.5703125" style="4" customWidth="1"/>
    <col min="13054" max="13054" width="1.5703125" style="4" customWidth="1"/>
    <col min="13055" max="13055" width="6" style="4" customWidth="1"/>
    <col min="13056" max="13308" width="9.140625" style="4"/>
    <col min="13309" max="13309" width="108.5703125" style="4" customWidth="1"/>
    <col min="13310" max="13310" width="1.5703125" style="4" customWidth="1"/>
    <col min="13311" max="13311" width="6" style="4" customWidth="1"/>
    <col min="13312" max="13564" width="9.140625" style="4"/>
    <col min="13565" max="13565" width="108.5703125" style="4" customWidth="1"/>
    <col min="13566" max="13566" width="1.5703125" style="4" customWidth="1"/>
    <col min="13567" max="13567" width="6" style="4" customWidth="1"/>
    <col min="13568" max="13820" width="9.140625" style="4"/>
    <col min="13821" max="13821" width="108.5703125" style="4" customWidth="1"/>
    <col min="13822" max="13822" width="1.5703125" style="4" customWidth="1"/>
    <col min="13823" max="13823" width="6" style="4" customWidth="1"/>
    <col min="13824" max="14076" width="9.140625" style="4"/>
    <col min="14077" max="14077" width="108.5703125" style="4" customWidth="1"/>
    <col min="14078" max="14078" width="1.5703125" style="4" customWidth="1"/>
    <col min="14079" max="14079" width="6" style="4" customWidth="1"/>
    <col min="14080" max="14332" width="9.140625" style="4"/>
    <col min="14333" max="14333" width="108.5703125" style="4" customWidth="1"/>
    <col min="14334" max="14334" width="1.5703125" style="4" customWidth="1"/>
    <col min="14335" max="14335" width="6" style="4" customWidth="1"/>
    <col min="14336" max="14588" width="9.140625" style="4"/>
    <col min="14589" max="14589" width="108.5703125" style="4" customWidth="1"/>
    <col min="14590" max="14590" width="1.5703125" style="4" customWidth="1"/>
    <col min="14591" max="14591" width="6" style="4" customWidth="1"/>
    <col min="14592" max="14844" width="9.140625" style="4"/>
    <col min="14845" max="14845" width="108.5703125" style="4" customWidth="1"/>
    <col min="14846" max="14846" width="1.5703125" style="4" customWidth="1"/>
    <col min="14847" max="14847" width="6" style="4" customWidth="1"/>
    <col min="14848" max="15100" width="9.140625" style="4"/>
    <col min="15101" max="15101" width="108.5703125" style="4" customWidth="1"/>
    <col min="15102" max="15102" width="1.5703125" style="4" customWidth="1"/>
    <col min="15103" max="15103" width="6" style="4" customWidth="1"/>
    <col min="15104" max="15356" width="9.140625" style="4"/>
    <col min="15357" max="15357" width="108.5703125" style="4" customWidth="1"/>
    <col min="15358" max="15358" width="1.5703125" style="4" customWidth="1"/>
    <col min="15359" max="15359" width="6" style="4" customWidth="1"/>
    <col min="15360" max="15612" width="9.140625" style="4"/>
    <col min="15613" max="15613" width="108.5703125" style="4" customWidth="1"/>
    <col min="15614" max="15614" width="1.5703125" style="4" customWidth="1"/>
    <col min="15615" max="15615" width="6" style="4" customWidth="1"/>
    <col min="15616" max="15868" width="9.140625" style="4"/>
    <col min="15869" max="15869" width="108.5703125" style="4" customWidth="1"/>
    <col min="15870" max="15870" width="1.5703125" style="4" customWidth="1"/>
    <col min="15871" max="15871" width="6" style="4" customWidth="1"/>
    <col min="15872" max="16124" width="9.140625" style="4"/>
    <col min="16125" max="16125" width="108.5703125" style="4" customWidth="1"/>
    <col min="16126" max="16126" width="1.5703125" style="4" customWidth="1"/>
    <col min="16127" max="16127" width="6" style="4" customWidth="1"/>
    <col min="16128" max="16384" width="9.140625" style="4"/>
  </cols>
  <sheetData>
    <row r="1" spans="1:23" x14ac:dyDescent="0.3">
      <c r="A1" s="47" t="s">
        <v>293</v>
      </c>
      <c r="B1" s="24"/>
      <c r="C1" s="24"/>
      <c r="D1" s="24"/>
      <c r="E1" s="24"/>
      <c r="F1" s="24"/>
      <c r="G1" s="24"/>
      <c r="H1" s="47" t="s">
        <v>291</v>
      </c>
      <c r="I1" s="24"/>
      <c r="J1" s="24"/>
      <c r="K1" s="24"/>
      <c r="L1" s="24"/>
      <c r="M1" s="24"/>
      <c r="N1" s="24"/>
      <c r="O1" s="47" t="s">
        <v>292</v>
      </c>
      <c r="P1" s="24"/>
      <c r="Q1" s="24"/>
      <c r="R1" s="24"/>
      <c r="S1" s="24"/>
      <c r="T1" s="24"/>
      <c r="U1" s="24"/>
      <c r="V1" s="24"/>
      <c r="W1" s="24"/>
    </row>
    <row r="3" spans="1:23" x14ac:dyDescent="0.3">
      <c r="A3" s="48" t="s">
        <v>129</v>
      </c>
      <c r="B3" s="20">
        <v>2018</v>
      </c>
      <c r="C3" s="20">
        <v>2019</v>
      </c>
      <c r="D3" s="20">
        <v>2020</v>
      </c>
      <c r="E3" s="20">
        <v>2021</v>
      </c>
      <c r="F3" s="20">
        <v>2022</v>
      </c>
      <c r="H3" s="48" t="s">
        <v>129</v>
      </c>
      <c r="I3" s="20">
        <v>2018</v>
      </c>
      <c r="J3" s="20">
        <v>2019</v>
      </c>
      <c r="K3" s="20">
        <v>2020</v>
      </c>
      <c r="L3" s="20">
        <v>2021</v>
      </c>
      <c r="M3" s="20">
        <v>2022</v>
      </c>
      <c r="O3" s="48" t="s">
        <v>129</v>
      </c>
      <c r="P3" s="20">
        <v>2018</v>
      </c>
      <c r="Q3" s="20">
        <v>2019</v>
      </c>
      <c r="R3" s="20">
        <v>2020</v>
      </c>
      <c r="S3" s="20">
        <v>2021</v>
      </c>
      <c r="T3" s="20">
        <v>2022</v>
      </c>
    </row>
    <row r="4" spans="1:23" x14ac:dyDescent="0.3">
      <c r="A4" s="12" t="s">
        <v>87</v>
      </c>
      <c r="B4" s="63">
        <f>I4/P4</f>
        <v>0.41203445146427448</v>
      </c>
      <c r="C4" s="63">
        <f t="shared" ref="C4:F4" si="0">J4/Q4</f>
        <v>0.41973054688692124</v>
      </c>
      <c r="D4" s="63">
        <f t="shared" si="0"/>
        <v>0.38530427827365415</v>
      </c>
      <c r="E4" s="63">
        <f t="shared" si="0"/>
        <v>0.37027419215263618</v>
      </c>
      <c r="F4" s="63">
        <f t="shared" si="0"/>
        <v>0.38633081228476318</v>
      </c>
      <c r="H4" s="12" t="s">
        <v>87</v>
      </c>
      <c r="I4" s="50">
        <v>661045</v>
      </c>
      <c r="J4" s="50">
        <v>621652</v>
      </c>
      <c r="K4" s="50">
        <v>553494.99</v>
      </c>
      <c r="L4" s="50">
        <v>517737</v>
      </c>
      <c r="M4" s="50">
        <v>503808.99</v>
      </c>
      <c r="O4" s="12" t="s">
        <v>87</v>
      </c>
      <c r="P4" s="50">
        <v>1604344</v>
      </c>
      <c r="Q4" s="50">
        <v>1481074</v>
      </c>
      <c r="R4" s="50">
        <v>1436514</v>
      </c>
      <c r="S4" s="50">
        <v>1398253</v>
      </c>
      <c r="T4" s="50">
        <v>1304087</v>
      </c>
    </row>
    <row r="5" spans="1:23" x14ac:dyDescent="0.3">
      <c r="A5" s="12" t="s">
        <v>96</v>
      </c>
      <c r="B5" s="63">
        <f t="shared" ref="B5:B68" si="1">I5/P5</f>
        <v>0.32649330527779835</v>
      </c>
      <c r="C5" s="63">
        <f t="shared" ref="C5:C68" si="2">J5/Q5</f>
        <v>0.3253351533267152</v>
      </c>
      <c r="D5" s="63">
        <f t="shared" ref="D5:D68" si="3">K5/R5</f>
        <v>0.29502282599596547</v>
      </c>
      <c r="E5" s="63">
        <f t="shared" ref="E5:E68" si="4">L5/S5</f>
        <v>0.28748649288822187</v>
      </c>
      <c r="F5" s="63">
        <f t="shared" ref="F5:F68" si="5">M5/T5</f>
        <v>0.30828093198456819</v>
      </c>
      <c r="H5" s="12" t="s">
        <v>96</v>
      </c>
      <c r="I5" s="50">
        <v>127701</v>
      </c>
      <c r="J5" s="50">
        <v>119289.99</v>
      </c>
      <c r="K5" s="50">
        <v>104988</v>
      </c>
      <c r="L5" s="50">
        <v>99974</v>
      </c>
      <c r="M5" s="50">
        <v>101483</v>
      </c>
      <c r="O5" s="12" t="s">
        <v>96</v>
      </c>
      <c r="P5" s="50">
        <v>391129</v>
      </c>
      <c r="Q5" s="50">
        <v>366668</v>
      </c>
      <c r="R5" s="50">
        <v>355863.99</v>
      </c>
      <c r="S5" s="50">
        <v>347751.99</v>
      </c>
      <c r="T5" s="50">
        <v>329190</v>
      </c>
    </row>
    <row r="6" spans="1:23" x14ac:dyDescent="0.3">
      <c r="A6" s="12" t="s">
        <v>50</v>
      </c>
      <c r="B6" s="63">
        <f t="shared" si="1"/>
        <v>0.28008680595572116</v>
      </c>
      <c r="C6" s="63">
        <f t="shared" si="2"/>
        <v>0.29151179549419709</v>
      </c>
      <c r="D6" s="63">
        <f t="shared" si="3"/>
        <v>0.25215552301935906</v>
      </c>
      <c r="E6" s="63">
        <f t="shared" si="4"/>
        <v>0.22531645569620254</v>
      </c>
      <c r="F6" s="63">
        <f t="shared" si="5"/>
        <v>0.24748104602112048</v>
      </c>
      <c r="H6" s="12" t="s">
        <v>50</v>
      </c>
      <c r="I6" s="50">
        <v>4010</v>
      </c>
      <c r="J6" s="50">
        <v>3843</v>
      </c>
      <c r="K6" s="50">
        <v>3100</v>
      </c>
      <c r="L6" s="50">
        <v>2759</v>
      </c>
      <c r="M6" s="50">
        <v>2677</v>
      </c>
      <c r="O6" s="12" t="s">
        <v>50</v>
      </c>
      <c r="P6" s="50">
        <v>14316.99</v>
      </c>
      <c r="Q6" s="50">
        <v>13183</v>
      </c>
      <c r="R6" s="50">
        <v>12294</v>
      </c>
      <c r="S6" s="50">
        <v>12245</v>
      </c>
      <c r="T6" s="50">
        <v>10816.99</v>
      </c>
    </row>
    <row r="7" spans="1:23" x14ac:dyDescent="0.3">
      <c r="A7" s="12" t="s">
        <v>48</v>
      </c>
      <c r="B7" s="63">
        <f t="shared" si="1"/>
        <v>0.59043992311970805</v>
      </c>
      <c r="C7" s="63">
        <f t="shared" si="2"/>
        <v>0.58557553234230608</v>
      </c>
      <c r="D7" s="63">
        <f t="shared" si="3"/>
        <v>0.5093050152455052</v>
      </c>
      <c r="E7" s="63">
        <f t="shared" si="4"/>
        <v>0.49489850809506225</v>
      </c>
      <c r="F7" s="63">
        <f t="shared" si="5"/>
        <v>0.53927967125936671</v>
      </c>
      <c r="H7" s="12" t="s">
        <v>48</v>
      </c>
      <c r="I7" s="50">
        <v>6571</v>
      </c>
      <c r="J7" s="50">
        <v>5829.99</v>
      </c>
      <c r="K7" s="50">
        <v>4844</v>
      </c>
      <c r="L7" s="50">
        <v>4462</v>
      </c>
      <c r="M7" s="50">
        <v>4462</v>
      </c>
      <c r="O7" s="12" t="s">
        <v>48</v>
      </c>
      <c r="P7" s="50">
        <v>11128.99</v>
      </c>
      <c r="Q7" s="50">
        <v>9956</v>
      </c>
      <c r="R7" s="50">
        <v>9511</v>
      </c>
      <c r="S7" s="50">
        <v>9015.99</v>
      </c>
      <c r="T7" s="50">
        <v>8274</v>
      </c>
    </row>
    <row r="8" spans="1:23" x14ac:dyDescent="0.3">
      <c r="A8" s="12" t="s">
        <v>20</v>
      </c>
      <c r="B8" s="63">
        <f t="shared" si="1"/>
        <v>0.49696722364076551</v>
      </c>
      <c r="C8" s="63">
        <f t="shared" si="2"/>
        <v>0.53715881452121428</v>
      </c>
      <c r="D8" s="63">
        <f t="shared" si="3"/>
        <v>0.4604849687102549</v>
      </c>
      <c r="E8" s="63">
        <f t="shared" si="4"/>
        <v>0.48663594470046084</v>
      </c>
      <c r="F8" s="63">
        <f t="shared" si="5"/>
        <v>0.45134858313417547</v>
      </c>
      <c r="H8" s="12" t="s">
        <v>20</v>
      </c>
      <c r="I8" s="50">
        <v>6308</v>
      </c>
      <c r="J8" s="50">
        <v>5963</v>
      </c>
      <c r="K8" s="50">
        <v>4638</v>
      </c>
      <c r="L8" s="50">
        <v>4752</v>
      </c>
      <c r="M8" s="50">
        <v>3966</v>
      </c>
      <c r="O8" s="12" t="s">
        <v>20</v>
      </c>
      <c r="P8" s="50">
        <v>12692.99</v>
      </c>
      <c r="Q8" s="50">
        <v>11101</v>
      </c>
      <c r="R8" s="50">
        <v>10071.99</v>
      </c>
      <c r="S8" s="50">
        <v>9765</v>
      </c>
      <c r="T8" s="50">
        <v>8787</v>
      </c>
    </row>
    <row r="9" spans="1:23" x14ac:dyDescent="0.3">
      <c r="A9" s="12" t="s">
        <v>4</v>
      </c>
      <c r="B9" s="63">
        <f t="shared" si="1"/>
        <v>0.37000482999759193</v>
      </c>
      <c r="C9" s="63">
        <f t="shared" si="2"/>
        <v>0.34838577850429098</v>
      </c>
      <c r="D9" s="63">
        <f t="shared" si="3"/>
        <v>0.27704084307660043</v>
      </c>
      <c r="E9" s="63">
        <f t="shared" si="4"/>
        <v>0.2574274797779762</v>
      </c>
      <c r="F9" s="63">
        <f t="shared" si="5"/>
        <v>0.2745861167586407</v>
      </c>
      <c r="H9" s="12" t="s">
        <v>4</v>
      </c>
      <c r="I9" s="50">
        <v>7944</v>
      </c>
      <c r="J9" s="50">
        <v>6820</v>
      </c>
      <c r="K9" s="50">
        <v>5284</v>
      </c>
      <c r="L9" s="50">
        <v>4783</v>
      </c>
      <c r="M9" s="50">
        <v>4727</v>
      </c>
      <c r="O9" s="12" t="s">
        <v>4</v>
      </c>
      <c r="P9" s="50">
        <v>21469.99</v>
      </c>
      <c r="Q9" s="50">
        <v>19576</v>
      </c>
      <c r="R9" s="50">
        <v>19073</v>
      </c>
      <c r="S9" s="50">
        <v>18579.990000000002</v>
      </c>
      <c r="T9" s="50">
        <v>17215</v>
      </c>
    </row>
    <row r="10" spans="1:23" x14ac:dyDescent="0.3">
      <c r="A10" s="12" t="s">
        <v>45</v>
      </c>
      <c r="B10" s="63">
        <f t="shared" si="1"/>
        <v>0.41120982779423054</v>
      </c>
      <c r="C10" s="63">
        <f t="shared" si="2"/>
        <v>0.40753389712005184</v>
      </c>
      <c r="D10" s="63">
        <f t="shared" si="3"/>
        <v>0.34219269102990035</v>
      </c>
      <c r="E10" s="63">
        <f t="shared" si="4"/>
        <v>0.29602801196627682</v>
      </c>
      <c r="F10" s="63">
        <f t="shared" si="5"/>
        <v>0.32077940962629053</v>
      </c>
      <c r="H10" s="12" t="s">
        <v>45</v>
      </c>
      <c r="I10" s="50">
        <v>3749</v>
      </c>
      <c r="J10" s="50">
        <v>3235</v>
      </c>
      <c r="K10" s="50">
        <v>2575</v>
      </c>
      <c r="L10" s="50">
        <v>2176.9899999999998</v>
      </c>
      <c r="M10" s="50">
        <v>2206</v>
      </c>
      <c r="O10" s="12" t="s">
        <v>45</v>
      </c>
      <c r="P10" s="50">
        <v>9117</v>
      </c>
      <c r="Q10" s="50">
        <v>7937.99</v>
      </c>
      <c r="R10" s="50">
        <v>7525</v>
      </c>
      <c r="S10" s="50">
        <v>7354</v>
      </c>
      <c r="T10" s="50">
        <v>6877</v>
      </c>
    </row>
    <row r="11" spans="1:23" x14ac:dyDescent="0.3">
      <c r="A11" s="12" t="s">
        <v>40</v>
      </c>
      <c r="B11" s="63">
        <f t="shared" si="1"/>
        <v>0.38358281023660068</v>
      </c>
      <c r="C11" s="63">
        <f t="shared" si="2"/>
        <v>0.4170775437023756</v>
      </c>
      <c r="D11" s="63">
        <f t="shared" si="3"/>
        <v>0.32649420160570919</v>
      </c>
      <c r="E11" s="63">
        <f t="shared" si="4"/>
        <v>0.36289300932857305</v>
      </c>
      <c r="F11" s="63">
        <f t="shared" si="5"/>
        <v>0.35713480860492064</v>
      </c>
      <c r="H11" s="12" t="s">
        <v>40</v>
      </c>
      <c r="I11" s="50">
        <v>3972</v>
      </c>
      <c r="J11" s="50">
        <v>3722</v>
      </c>
      <c r="K11" s="50">
        <v>2928</v>
      </c>
      <c r="L11" s="50">
        <v>3151</v>
      </c>
      <c r="M11" s="50">
        <v>3011</v>
      </c>
      <c r="O11" s="12" t="s">
        <v>40</v>
      </c>
      <c r="P11" s="50">
        <v>10355</v>
      </c>
      <c r="Q11" s="50">
        <v>8924</v>
      </c>
      <c r="R11" s="50">
        <v>8968</v>
      </c>
      <c r="S11" s="50">
        <v>8683</v>
      </c>
      <c r="T11" s="50">
        <v>8430.99</v>
      </c>
    </row>
    <row r="12" spans="1:23" x14ac:dyDescent="0.3">
      <c r="A12" s="12" t="s">
        <v>37</v>
      </c>
      <c r="B12" s="63">
        <f t="shared" si="1"/>
        <v>0.53354735152487964</v>
      </c>
      <c r="C12" s="63">
        <f t="shared" si="2"/>
        <v>0.51761673320604062</v>
      </c>
      <c r="D12" s="63">
        <f t="shared" si="3"/>
        <v>0.46763392857142855</v>
      </c>
      <c r="E12" s="63">
        <f t="shared" si="4"/>
        <v>0.47271251775207951</v>
      </c>
      <c r="F12" s="63">
        <f t="shared" si="5"/>
        <v>0.50343868582542883</v>
      </c>
      <c r="H12" s="12" t="s">
        <v>37</v>
      </c>
      <c r="I12" s="50">
        <v>3324</v>
      </c>
      <c r="J12" s="50">
        <v>2981.99</v>
      </c>
      <c r="K12" s="50">
        <v>2514</v>
      </c>
      <c r="L12" s="50">
        <v>2330</v>
      </c>
      <c r="M12" s="50">
        <v>2270</v>
      </c>
      <c r="O12" s="12" t="s">
        <v>37</v>
      </c>
      <c r="P12" s="50">
        <v>6230</v>
      </c>
      <c r="Q12" s="50">
        <v>5761</v>
      </c>
      <c r="R12" s="50">
        <v>5376</v>
      </c>
      <c r="S12" s="50">
        <v>4929</v>
      </c>
      <c r="T12" s="50">
        <v>4508.99</v>
      </c>
    </row>
    <row r="13" spans="1:23" x14ac:dyDescent="0.3">
      <c r="A13" s="12" t="s">
        <v>56</v>
      </c>
      <c r="B13" s="63">
        <f t="shared" si="1"/>
        <v>0.50273010920436823</v>
      </c>
      <c r="C13" s="63">
        <f t="shared" si="2"/>
        <v>0.509085009733939</v>
      </c>
      <c r="D13" s="63">
        <f t="shared" si="3"/>
        <v>0.41703152364273205</v>
      </c>
      <c r="E13" s="63">
        <f t="shared" si="4"/>
        <v>0.38494912765008854</v>
      </c>
      <c r="F13" s="63">
        <f t="shared" si="5"/>
        <v>0.41473895213650924</v>
      </c>
      <c r="H13" s="12" t="s">
        <v>56</v>
      </c>
      <c r="I13" s="50">
        <v>5156</v>
      </c>
      <c r="J13" s="50">
        <v>4707</v>
      </c>
      <c r="K13" s="50">
        <v>3810</v>
      </c>
      <c r="L13" s="50">
        <v>3376</v>
      </c>
      <c r="M13" s="50">
        <v>3298</v>
      </c>
      <c r="O13" s="12" t="s">
        <v>56</v>
      </c>
      <c r="P13" s="50">
        <v>10256</v>
      </c>
      <c r="Q13" s="50">
        <v>9246</v>
      </c>
      <c r="R13" s="50">
        <v>9136</v>
      </c>
      <c r="S13" s="50">
        <v>8769.99</v>
      </c>
      <c r="T13" s="50">
        <v>7951.99</v>
      </c>
    </row>
    <row r="14" spans="1:23" x14ac:dyDescent="0.3">
      <c r="A14" s="12" t="s">
        <v>51</v>
      </c>
      <c r="B14" s="63">
        <f t="shared" si="1"/>
        <v>0.41188938982854634</v>
      </c>
      <c r="C14" s="63">
        <f t="shared" si="2"/>
        <v>0.40907233346955457</v>
      </c>
      <c r="D14" s="63">
        <f t="shared" si="3"/>
        <v>0.34975002648024572</v>
      </c>
      <c r="E14" s="63">
        <f t="shared" si="4"/>
        <v>0.36417033773861968</v>
      </c>
      <c r="F14" s="63">
        <f t="shared" si="5"/>
        <v>0.37694316627285163</v>
      </c>
      <c r="H14" s="12" t="s">
        <v>51</v>
      </c>
      <c r="I14" s="50">
        <v>4483</v>
      </c>
      <c r="J14" s="50">
        <v>4004</v>
      </c>
      <c r="K14" s="50">
        <v>3301.99</v>
      </c>
      <c r="L14" s="50">
        <v>3224</v>
      </c>
      <c r="M14" s="50">
        <v>3031</v>
      </c>
      <c r="O14" s="12" t="s">
        <v>51</v>
      </c>
      <c r="P14" s="50">
        <v>10883.99</v>
      </c>
      <c r="Q14" s="50">
        <v>9788</v>
      </c>
      <c r="R14" s="50">
        <v>9441</v>
      </c>
      <c r="S14" s="50">
        <v>8853</v>
      </c>
      <c r="T14" s="50">
        <v>8041</v>
      </c>
    </row>
    <row r="15" spans="1:23" x14ac:dyDescent="0.3">
      <c r="A15" s="12" t="s">
        <v>21</v>
      </c>
      <c r="B15" s="63">
        <f t="shared" si="1"/>
        <v>0.26480346139033317</v>
      </c>
      <c r="C15" s="63">
        <f t="shared" si="2"/>
        <v>0.29310297242844918</v>
      </c>
      <c r="D15" s="63">
        <f t="shared" si="3"/>
        <v>0.26306323285730548</v>
      </c>
      <c r="E15" s="63">
        <f t="shared" si="4"/>
        <v>0.26134364420661793</v>
      </c>
      <c r="F15" s="63">
        <f t="shared" si="5"/>
        <v>0.25897963631410476</v>
      </c>
      <c r="H15" s="12" t="s">
        <v>21</v>
      </c>
      <c r="I15" s="50">
        <v>22001.99</v>
      </c>
      <c r="J15" s="50">
        <v>21240</v>
      </c>
      <c r="K15" s="50">
        <v>20796.990000000002</v>
      </c>
      <c r="L15" s="50">
        <v>19144.990000000002</v>
      </c>
      <c r="M15" s="50">
        <v>19012.990000000002</v>
      </c>
      <c r="O15" s="12" t="s">
        <v>21</v>
      </c>
      <c r="P15" s="50">
        <v>83088</v>
      </c>
      <c r="Q15" s="50">
        <v>72466</v>
      </c>
      <c r="R15" s="50">
        <v>79057</v>
      </c>
      <c r="S15" s="50">
        <v>73256</v>
      </c>
      <c r="T15" s="50">
        <v>73415</v>
      </c>
    </row>
    <row r="16" spans="1:23" x14ac:dyDescent="0.3">
      <c r="A16" s="12" t="s">
        <v>70</v>
      </c>
      <c r="B16" s="63">
        <f t="shared" si="1"/>
        <v>0.50029806259314458</v>
      </c>
      <c r="C16" s="63">
        <f t="shared" si="2"/>
        <v>0.57555891746512022</v>
      </c>
      <c r="D16" s="63">
        <f t="shared" si="3"/>
        <v>0.53119026933101654</v>
      </c>
      <c r="E16" s="63">
        <f t="shared" si="4"/>
        <v>0.45357543991014604</v>
      </c>
      <c r="F16" s="63">
        <f t="shared" si="5"/>
        <v>0.50050534699484972</v>
      </c>
      <c r="H16" s="12" t="s">
        <v>70</v>
      </c>
      <c r="I16" s="50">
        <v>3357</v>
      </c>
      <c r="J16" s="50">
        <v>3424</v>
      </c>
      <c r="K16" s="50">
        <v>3057</v>
      </c>
      <c r="L16" s="50">
        <v>2423</v>
      </c>
      <c r="M16" s="50">
        <v>2481</v>
      </c>
      <c r="O16" s="12" t="s">
        <v>70</v>
      </c>
      <c r="P16" s="50">
        <v>6710</v>
      </c>
      <c r="Q16" s="50">
        <v>5949</v>
      </c>
      <c r="R16" s="50">
        <v>5755</v>
      </c>
      <c r="S16" s="50">
        <v>5342</v>
      </c>
      <c r="T16" s="50">
        <v>4956.99</v>
      </c>
    </row>
    <row r="17" spans="1:20" x14ac:dyDescent="0.3">
      <c r="A17" s="12" t="s">
        <v>59</v>
      </c>
      <c r="B17" s="63">
        <f t="shared" si="1"/>
        <v>0.39258287995997271</v>
      </c>
      <c r="C17" s="63">
        <f t="shared" si="2"/>
        <v>0.40558683412732782</v>
      </c>
      <c r="D17" s="63">
        <f t="shared" si="3"/>
        <v>0.38738934993084367</v>
      </c>
      <c r="E17" s="63">
        <f t="shared" si="4"/>
        <v>0.46334681496461072</v>
      </c>
      <c r="F17" s="63">
        <f t="shared" si="5"/>
        <v>0.49906774661654463</v>
      </c>
      <c r="H17" s="12" t="s">
        <v>59</v>
      </c>
      <c r="I17" s="50">
        <v>4033</v>
      </c>
      <c r="J17" s="50">
        <v>3746</v>
      </c>
      <c r="K17" s="50">
        <v>3360.99</v>
      </c>
      <c r="L17" s="50">
        <v>3666</v>
      </c>
      <c r="M17" s="50">
        <v>3477</v>
      </c>
      <c r="O17" s="12" t="s">
        <v>59</v>
      </c>
      <c r="P17" s="50">
        <v>10272.99</v>
      </c>
      <c r="Q17" s="50">
        <v>9236</v>
      </c>
      <c r="R17" s="50">
        <v>8676</v>
      </c>
      <c r="S17" s="50">
        <v>7912</v>
      </c>
      <c r="T17" s="50">
        <v>6966.99</v>
      </c>
    </row>
    <row r="18" spans="1:20" x14ac:dyDescent="0.3">
      <c r="A18" s="12" t="s">
        <v>43</v>
      </c>
      <c r="B18" s="63">
        <f t="shared" si="1"/>
        <v>0.52815459431789091</v>
      </c>
      <c r="C18" s="63">
        <f t="shared" si="2"/>
        <v>0.52578047746856904</v>
      </c>
      <c r="D18" s="63">
        <f t="shared" si="3"/>
        <v>0.52623527612054455</v>
      </c>
      <c r="E18" s="63">
        <f t="shared" si="4"/>
        <v>0.52482500406967281</v>
      </c>
      <c r="F18" s="63">
        <f t="shared" si="5"/>
        <v>0.55871559633027523</v>
      </c>
      <c r="H18" s="12" t="s">
        <v>43</v>
      </c>
      <c r="I18" s="50">
        <v>4127</v>
      </c>
      <c r="J18" s="50">
        <v>3722</v>
      </c>
      <c r="K18" s="50">
        <v>3440</v>
      </c>
      <c r="L18" s="50">
        <v>3224</v>
      </c>
      <c r="M18" s="50">
        <v>3045</v>
      </c>
      <c r="O18" s="12" t="s">
        <v>43</v>
      </c>
      <c r="P18" s="50">
        <v>7814</v>
      </c>
      <c r="Q18" s="50">
        <v>7079</v>
      </c>
      <c r="R18" s="50">
        <v>6537</v>
      </c>
      <c r="S18" s="50">
        <v>6143</v>
      </c>
      <c r="T18" s="50">
        <v>5450</v>
      </c>
    </row>
    <row r="19" spans="1:20" x14ac:dyDescent="0.3">
      <c r="A19" s="12" t="s">
        <v>15</v>
      </c>
      <c r="B19" s="63">
        <f t="shared" si="1"/>
        <v>0.42948485945228615</v>
      </c>
      <c r="C19" s="63">
        <f t="shared" si="2"/>
        <v>0.44976756198347106</v>
      </c>
      <c r="D19" s="63">
        <f t="shared" si="3"/>
        <v>0.39749345935228381</v>
      </c>
      <c r="E19" s="63">
        <f t="shared" si="4"/>
        <v>0.3642154826201357</v>
      </c>
      <c r="F19" s="63">
        <f t="shared" si="5"/>
        <v>0.37154570300637718</v>
      </c>
      <c r="H19" s="12" t="s">
        <v>15</v>
      </c>
      <c r="I19" s="50">
        <v>3560</v>
      </c>
      <c r="J19" s="50">
        <v>3483</v>
      </c>
      <c r="K19" s="50">
        <v>2949</v>
      </c>
      <c r="L19" s="50">
        <v>2630</v>
      </c>
      <c r="M19" s="50">
        <v>2447</v>
      </c>
      <c r="O19" s="12" t="s">
        <v>15</v>
      </c>
      <c r="P19" s="50">
        <v>8289</v>
      </c>
      <c r="Q19" s="50">
        <v>7744</v>
      </c>
      <c r="R19" s="50">
        <v>7418.99</v>
      </c>
      <c r="S19" s="50">
        <v>7221</v>
      </c>
      <c r="T19" s="50">
        <v>6586</v>
      </c>
    </row>
    <row r="20" spans="1:20" x14ac:dyDescent="0.3">
      <c r="A20" s="12" t="s">
        <v>38</v>
      </c>
      <c r="B20" s="63">
        <f t="shared" si="1"/>
        <v>0.43136579060749675</v>
      </c>
      <c r="C20" s="63">
        <f t="shared" si="2"/>
        <v>0.44269704372382374</v>
      </c>
      <c r="D20" s="63">
        <f t="shared" si="3"/>
        <v>0.37507336902637317</v>
      </c>
      <c r="E20" s="63">
        <f t="shared" si="4"/>
        <v>0.34462740130884528</v>
      </c>
      <c r="F20" s="63">
        <f t="shared" si="5"/>
        <v>0.36651583710407237</v>
      </c>
      <c r="H20" s="12" t="s">
        <v>38</v>
      </c>
      <c r="I20" s="50">
        <v>5006</v>
      </c>
      <c r="J20" s="50">
        <v>4728</v>
      </c>
      <c r="K20" s="50">
        <v>3782.99</v>
      </c>
      <c r="L20" s="50">
        <v>3265</v>
      </c>
      <c r="M20" s="50">
        <v>3240</v>
      </c>
      <c r="O20" s="12" t="s">
        <v>38</v>
      </c>
      <c r="P20" s="50">
        <v>11605</v>
      </c>
      <c r="Q20" s="50">
        <v>10679.99</v>
      </c>
      <c r="R20" s="50">
        <v>10086</v>
      </c>
      <c r="S20" s="50">
        <v>9474</v>
      </c>
      <c r="T20" s="50">
        <v>8840</v>
      </c>
    </row>
    <row r="21" spans="1:20" x14ac:dyDescent="0.3">
      <c r="A21" s="12" t="s">
        <v>39</v>
      </c>
      <c r="B21" s="63">
        <f t="shared" si="1"/>
        <v>0.37927147088018093</v>
      </c>
      <c r="C21" s="63">
        <f t="shared" si="2"/>
        <v>0.35487891737891736</v>
      </c>
      <c r="D21" s="63">
        <f t="shared" si="3"/>
        <v>0.36059651662460795</v>
      </c>
      <c r="E21" s="63">
        <f t="shared" si="4"/>
        <v>0.29555293191656828</v>
      </c>
      <c r="F21" s="63">
        <f t="shared" si="5"/>
        <v>0.39667683247449786</v>
      </c>
      <c r="H21" s="12" t="s">
        <v>39</v>
      </c>
      <c r="I21" s="50">
        <v>4673</v>
      </c>
      <c r="J21" s="50">
        <v>3986</v>
      </c>
      <c r="K21" s="50">
        <v>3871</v>
      </c>
      <c r="L21" s="50">
        <v>3004</v>
      </c>
      <c r="M21" s="50">
        <v>3772</v>
      </c>
      <c r="O21" s="12" t="s">
        <v>39</v>
      </c>
      <c r="P21" s="50">
        <v>12320.99</v>
      </c>
      <c r="Q21" s="50">
        <v>11232</v>
      </c>
      <c r="R21" s="50">
        <v>10734.99</v>
      </c>
      <c r="S21" s="50">
        <v>10164</v>
      </c>
      <c r="T21" s="50">
        <v>9509</v>
      </c>
    </row>
    <row r="22" spans="1:20" x14ac:dyDescent="0.3">
      <c r="A22" s="12" t="s">
        <v>78</v>
      </c>
      <c r="B22" s="63">
        <f t="shared" si="1"/>
        <v>0.42661103391816074</v>
      </c>
      <c r="C22" s="63">
        <f t="shared" si="2"/>
        <v>0.41246008992131217</v>
      </c>
      <c r="D22" s="63">
        <f t="shared" si="3"/>
        <v>0.36843094857572622</v>
      </c>
      <c r="E22" s="63">
        <f t="shared" si="4"/>
        <v>0.35916214343288833</v>
      </c>
      <c r="F22" s="63">
        <f t="shared" si="5"/>
        <v>0.39859989229940762</v>
      </c>
      <c r="H22" s="12" t="s">
        <v>78</v>
      </c>
      <c r="I22" s="50">
        <v>5284</v>
      </c>
      <c r="J22" s="50">
        <v>4608</v>
      </c>
      <c r="K22" s="50">
        <v>3919</v>
      </c>
      <c r="L22" s="50">
        <v>3685</v>
      </c>
      <c r="M22" s="50">
        <v>3701</v>
      </c>
      <c r="O22" s="12" t="s">
        <v>78</v>
      </c>
      <c r="P22" s="50">
        <v>12385.99</v>
      </c>
      <c r="Q22" s="50">
        <v>11171.99</v>
      </c>
      <c r="R22" s="50">
        <v>10637</v>
      </c>
      <c r="S22" s="50">
        <v>10259.99</v>
      </c>
      <c r="T22" s="50">
        <v>9285</v>
      </c>
    </row>
    <row r="23" spans="1:20" x14ac:dyDescent="0.3">
      <c r="A23" s="12" t="s">
        <v>13</v>
      </c>
      <c r="B23" s="63">
        <f t="shared" si="1"/>
        <v>0.22801674836601307</v>
      </c>
      <c r="C23" s="63">
        <f t="shared" si="2"/>
        <v>0.21562700443094435</v>
      </c>
      <c r="D23" s="63">
        <f t="shared" si="3"/>
        <v>0.21356091617157513</v>
      </c>
      <c r="E23" s="63">
        <f t="shared" si="4"/>
        <v>0.21510960434564858</v>
      </c>
      <c r="F23" s="63">
        <f t="shared" si="5"/>
        <v>0.24869800359334218</v>
      </c>
      <c r="H23" s="12" t="s">
        <v>13</v>
      </c>
      <c r="I23" s="50">
        <v>30141.99</v>
      </c>
      <c r="J23" s="50">
        <v>29247</v>
      </c>
      <c r="K23" s="50">
        <v>26815.99</v>
      </c>
      <c r="L23" s="50">
        <v>27918</v>
      </c>
      <c r="M23" s="50">
        <v>30658.99</v>
      </c>
      <c r="O23" s="12" t="s">
        <v>13</v>
      </c>
      <c r="P23" s="50">
        <v>132192</v>
      </c>
      <c r="Q23" s="50">
        <v>135637</v>
      </c>
      <c r="R23" s="50">
        <v>125566</v>
      </c>
      <c r="S23" s="50">
        <v>129785</v>
      </c>
      <c r="T23" s="50">
        <v>123277.99</v>
      </c>
    </row>
    <row r="24" spans="1:20" x14ac:dyDescent="0.3">
      <c r="A24" s="12" t="s">
        <v>97</v>
      </c>
      <c r="B24" s="63">
        <f t="shared" si="1"/>
        <v>0.44141348532768199</v>
      </c>
      <c r="C24" s="63">
        <f t="shared" si="2"/>
        <v>0.46452417930456691</v>
      </c>
      <c r="D24" s="63">
        <f t="shared" si="3"/>
        <v>0.43558936513441404</v>
      </c>
      <c r="E24" s="63">
        <f t="shared" si="4"/>
        <v>0.4075884534470825</v>
      </c>
      <c r="F24" s="63">
        <f t="shared" si="5"/>
        <v>0.4180555285379548</v>
      </c>
      <c r="H24" s="12" t="s">
        <v>97</v>
      </c>
      <c r="I24" s="50">
        <v>64241.99</v>
      </c>
      <c r="J24" s="50">
        <v>62066</v>
      </c>
      <c r="K24" s="50">
        <v>55427</v>
      </c>
      <c r="L24" s="50">
        <v>50038</v>
      </c>
      <c r="M24" s="50">
        <v>47279.99</v>
      </c>
      <c r="O24" s="12" t="s">
        <v>97</v>
      </c>
      <c r="P24" s="50">
        <v>145536.99</v>
      </c>
      <c r="Q24" s="50">
        <v>133611.99</v>
      </c>
      <c r="R24" s="50">
        <v>127245.99</v>
      </c>
      <c r="S24" s="50">
        <v>122765.99</v>
      </c>
      <c r="T24" s="50">
        <v>113095</v>
      </c>
    </row>
    <row r="25" spans="1:20" x14ac:dyDescent="0.3">
      <c r="A25" s="12" t="s">
        <v>71</v>
      </c>
      <c r="B25" s="63">
        <f t="shared" si="1"/>
        <v>0.56710743801652896</v>
      </c>
      <c r="C25" s="63">
        <f t="shared" si="2"/>
        <v>0.55763977417592425</v>
      </c>
      <c r="D25" s="63">
        <f t="shared" si="3"/>
        <v>0.48402002310358105</v>
      </c>
      <c r="E25" s="63">
        <f t="shared" si="4"/>
        <v>0.37781225756400311</v>
      </c>
      <c r="F25" s="63">
        <f t="shared" si="5"/>
        <v>0.41802338913093329</v>
      </c>
      <c r="H25" s="12" t="s">
        <v>71</v>
      </c>
      <c r="I25" s="50">
        <v>3431</v>
      </c>
      <c r="J25" s="50">
        <v>3062</v>
      </c>
      <c r="K25" s="50">
        <v>2514</v>
      </c>
      <c r="L25" s="50">
        <v>1948</v>
      </c>
      <c r="M25" s="50">
        <v>1823</v>
      </c>
      <c r="O25" s="12" t="s">
        <v>71</v>
      </c>
      <c r="P25" s="50">
        <v>6050</v>
      </c>
      <c r="Q25" s="50">
        <v>5491</v>
      </c>
      <c r="R25" s="50">
        <v>5194</v>
      </c>
      <c r="S25" s="50">
        <v>5156</v>
      </c>
      <c r="T25" s="50">
        <v>4361</v>
      </c>
    </row>
    <row r="26" spans="1:20" x14ac:dyDescent="0.3">
      <c r="A26" s="12" t="s">
        <v>65</v>
      </c>
      <c r="B26" s="63">
        <f t="shared" si="1"/>
        <v>0.60845695596308846</v>
      </c>
      <c r="C26" s="63">
        <f t="shared" si="2"/>
        <v>0.62250646944489707</v>
      </c>
      <c r="D26" s="63">
        <f t="shared" si="3"/>
        <v>0.59325161460392772</v>
      </c>
      <c r="E26" s="63">
        <f t="shared" si="4"/>
        <v>0.59986139986139986</v>
      </c>
      <c r="F26" s="63">
        <f t="shared" si="5"/>
        <v>0.61064162754303597</v>
      </c>
      <c r="H26" s="12" t="s">
        <v>65</v>
      </c>
      <c r="I26" s="50">
        <v>5209</v>
      </c>
      <c r="J26" s="50">
        <v>4929</v>
      </c>
      <c r="K26" s="50">
        <v>4501</v>
      </c>
      <c r="L26" s="50">
        <v>4328</v>
      </c>
      <c r="M26" s="50">
        <v>3902</v>
      </c>
      <c r="O26" s="12" t="s">
        <v>65</v>
      </c>
      <c r="P26" s="50">
        <v>8561</v>
      </c>
      <c r="Q26" s="50">
        <v>7917.99</v>
      </c>
      <c r="R26" s="50">
        <v>7587</v>
      </c>
      <c r="S26" s="50">
        <v>7215</v>
      </c>
      <c r="T26" s="50">
        <v>6390</v>
      </c>
    </row>
    <row r="27" spans="1:20" x14ac:dyDescent="0.3">
      <c r="A27" s="12" t="s">
        <v>53</v>
      </c>
      <c r="B27" s="63">
        <f t="shared" si="1"/>
        <v>0.58614864864864868</v>
      </c>
      <c r="C27" s="63">
        <f t="shared" si="2"/>
        <v>0.62765290667146445</v>
      </c>
      <c r="D27" s="63">
        <f t="shared" si="3"/>
        <v>0.60685187137585661</v>
      </c>
      <c r="E27" s="63">
        <f t="shared" si="4"/>
        <v>0.57267892754265459</v>
      </c>
      <c r="F27" s="63">
        <f t="shared" si="5"/>
        <v>0.56841847360039199</v>
      </c>
      <c r="H27" s="12" t="s">
        <v>53</v>
      </c>
      <c r="I27" s="50">
        <v>6593</v>
      </c>
      <c r="J27" s="50">
        <v>6419</v>
      </c>
      <c r="K27" s="50">
        <v>5755.99</v>
      </c>
      <c r="L27" s="50">
        <v>5169</v>
      </c>
      <c r="M27" s="50">
        <v>4640</v>
      </c>
      <c r="O27" s="12" t="s">
        <v>53</v>
      </c>
      <c r="P27" s="50">
        <v>11248</v>
      </c>
      <c r="Q27" s="50">
        <v>10226.99</v>
      </c>
      <c r="R27" s="50">
        <v>9485</v>
      </c>
      <c r="S27" s="50">
        <v>9026</v>
      </c>
      <c r="T27" s="50">
        <v>8163</v>
      </c>
    </row>
    <row r="28" spans="1:20" x14ac:dyDescent="0.3">
      <c r="A28" s="12" t="s">
        <v>7</v>
      </c>
      <c r="B28" s="63">
        <f t="shared" si="1"/>
        <v>0.5145631067961165</v>
      </c>
      <c r="C28" s="63">
        <f t="shared" si="2"/>
        <v>0.54188034188034184</v>
      </c>
      <c r="D28" s="63">
        <f t="shared" si="3"/>
        <v>0.48914858096828046</v>
      </c>
      <c r="E28" s="63">
        <f t="shared" si="4"/>
        <v>0.42935779816513764</v>
      </c>
      <c r="F28" s="63">
        <f t="shared" si="5"/>
        <v>0.50414937759336098</v>
      </c>
      <c r="H28" s="12" t="s">
        <v>7</v>
      </c>
      <c r="I28" s="50">
        <v>318</v>
      </c>
      <c r="J28" s="50">
        <v>317</v>
      </c>
      <c r="K28" s="50">
        <v>293</v>
      </c>
      <c r="L28" s="50">
        <v>234</v>
      </c>
      <c r="M28" s="50">
        <v>243</v>
      </c>
      <c r="O28" s="12" t="s">
        <v>7</v>
      </c>
      <c r="P28" s="50">
        <v>618</v>
      </c>
      <c r="Q28" s="50">
        <v>585</v>
      </c>
      <c r="R28" s="50">
        <v>599</v>
      </c>
      <c r="S28" s="50">
        <v>545</v>
      </c>
      <c r="T28" s="50">
        <v>482</v>
      </c>
    </row>
    <row r="29" spans="1:20" x14ac:dyDescent="0.3">
      <c r="A29" s="12" t="s">
        <v>88</v>
      </c>
      <c r="B29" s="63">
        <f t="shared" si="1"/>
        <v>0.59031044214487305</v>
      </c>
      <c r="C29" s="63">
        <f t="shared" si="2"/>
        <v>0.63285625388923461</v>
      </c>
      <c r="D29" s="63">
        <f t="shared" si="3"/>
        <v>0.61478730587440922</v>
      </c>
      <c r="E29" s="63">
        <f t="shared" si="4"/>
        <v>0.58188843519447608</v>
      </c>
      <c r="F29" s="63">
        <f t="shared" si="5"/>
        <v>0.57245150371045439</v>
      </c>
      <c r="H29" s="12" t="s">
        <v>88</v>
      </c>
      <c r="I29" s="50">
        <v>6275</v>
      </c>
      <c r="J29" s="50">
        <v>6102</v>
      </c>
      <c r="K29" s="50">
        <v>5463</v>
      </c>
      <c r="L29" s="50">
        <v>4934.99</v>
      </c>
      <c r="M29" s="50">
        <v>4397</v>
      </c>
      <c r="O29" s="12" t="s">
        <v>88</v>
      </c>
      <c r="P29" s="50">
        <v>10630</v>
      </c>
      <c r="Q29" s="50">
        <v>9642</v>
      </c>
      <c r="R29" s="50">
        <v>8886</v>
      </c>
      <c r="S29" s="50">
        <v>8480.99</v>
      </c>
      <c r="T29" s="50">
        <v>7681</v>
      </c>
    </row>
    <row r="30" spans="1:20" x14ac:dyDescent="0.3">
      <c r="A30" s="12" t="s">
        <v>80</v>
      </c>
      <c r="B30" s="63">
        <f t="shared" si="1"/>
        <v>0.6260555767183047</v>
      </c>
      <c r="C30" s="63">
        <f t="shared" si="2"/>
        <v>0.6156468095657085</v>
      </c>
      <c r="D30" s="63">
        <f t="shared" si="3"/>
        <v>0.57977540215406287</v>
      </c>
      <c r="E30" s="63">
        <f t="shared" si="4"/>
        <v>0.52842551551358641</v>
      </c>
      <c r="F30" s="63">
        <f t="shared" si="5"/>
        <v>0.52901905889953704</v>
      </c>
      <c r="H30" s="12" t="s">
        <v>80</v>
      </c>
      <c r="I30" s="50">
        <v>7707.99</v>
      </c>
      <c r="J30" s="50">
        <v>6878</v>
      </c>
      <c r="K30" s="50">
        <v>6232</v>
      </c>
      <c r="L30" s="50">
        <v>5484</v>
      </c>
      <c r="M30" s="50">
        <v>4913</v>
      </c>
      <c r="O30" s="12" t="s">
        <v>80</v>
      </c>
      <c r="P30" s="50">
        <v>12311.99</v>
      </c>
      <c r="Q30" s="50">
        <v>11171.99</v>
      </c>
      <c r="R30" s="50">
        <v>10748.99</v>
      </c>
      <c r="S30" s="50">
        <v>10378</v>
      </c>
      <c r="T30" s="50">
        <v>9287</v>
      </c>
    </row>
    <row r="31" spans="1:20" x14ac:dyDescent="0.3">
      <c r="A31" s="12" t="s">
        <v>69</v>
      </c>
      <c r="B31" s="63">
        <f t="shared" si="1"/>
        <v>0.45467751307379428</v>
      </c>
      <c r="C31" s="63">
        <f t="shared" si="2"/>
        <v>0.56569460884536749</v>
      </c>
      <c r="D31" s="63">
        <f t="shared" si="3"/>
        <v>0.47438945320942294</v>
      </c>
      <c r="E31" s="63">
        <f t="shared" si="4"/>
        <v>0.3879214110292476</v>
      </c>
      <c r="F31" s="63">
        <f t="shared" si="5"/>
        <v>0.40638253638253635</v>
      </c>
      <c r="H31" s="12" t="s">
        <v>69</v>
      </c>
      <c r="I31" s="50">
        <v>4695</v>
      </c>
      <c r="J31" s="50">
        <v>5257</v>
      </c>
      <c r="K31" s="50">
        <v>4390</v>
      </c>
      <c r="L31" s="50">
        <v>3475</v>
      </c>
      <c r="M31" s="50">
        <v>3322.99</v>
      </c>
      <c r="O31" s="12" t="s">
        <v>69</v>
      </c>
      <c r="P31" s="50">
        <v>10326</v>
      </c>
      <c r="Q31" s="50">
        <v>9293</v>
      </c>
      <c r="R31" s="50">
        <v>9254</v>
      </c>
      <c r="S31" s="50">
        <v>8958</v>
      </c>
      <c r="T31" s="50">
        <v>8177</v>
      </c>
    </row>
    <row r="32" spans="1:20" x14ac:dyDescent="0.3">
      <c r="A32" s="12" t="s">
        <v>33</v>
      </c>
      <c r="B32" s="63">
        <f t="shared" si="1"/>
        <v>0.50874588440565194</v>
      </c>
      <c r="C32" s="63">
        <f t="shared" si="2"/>
        <v>0.50140970470396207</v>
      </c>
      <c r="D32" s="63">
        <f t="shared" si="3"/>
        <v>0.42648859477495099</v>
      </c>
      <c r="E32" s="63">
        <f t="shared" si="4"/>
        <v>0.39875683048574645</v>
      </c>
      <c r="F32" s="63">
        <f t="shared" si="5"/>
        <v>0.42016898169877198</v>
      </c>
      <c r="H32" s="12" t="s">
        <v>33</v>
      </c>
      <c r="I32" s="50">
        <v>7097</v>
      </c>
      <c r="J32" s="50">
        <v>6758</v>
      </c>
      <c r="K32" s="50">
        <v>5674</v>
      </c>
      <c r="L32" s="50">
        <v>5195</v>
      </c>
      <c r="M32" s="50">
        <v>5057.99</v>
      </c>
      <c r="O32" s="12" t="s">
        <v>33</v>
      </c>
      <c r="P32" s="50">
        <v>13949.99</v>
      </c>
      <c r="Q32" s="50">
        <v>13478</v>
      </c>
      <c r="R32" s="50">
        <v>13303.99</v>
      </c>
      <c r="S32" s="50">
        <v>13027.99</v>
      </c>
      <c r="T32" s="50">
        <v>12037.99</v>
      </c>
    </row>
    <row r="33" spans="1:20" x14ac:dyDescent="0.3">
      <c r="A33" s="12" t="s">
        <v>30</v>
      </c>
      <c r="B33" s="63">
        <f t="shared" si="1"/>
        <v>0.50258011950027159</v>
      </c>
      <c r="C33" s="63">
        <f t="shared" si="2"/>
        <v>0.51296345416372569</v>
      </c>
      <c r="D33" s="63">
        <f t="shared" si="3"/>
        <v>0.59410591665016377</v>
      </c>
      <c r="E33" s="63">
        <f t="shared" si="4"/>
        <v>0.58153437396213881</v>
      </c>
      <c r="F33" s="63">
        <f t="shared" si="5"/>
        <v>0.52850389518413599</v>
      </c>
      <c r="H33" s="12" t="s">
        <v>30</v>
      </c>
      <c r="I33" s="50">
        <v>3701</v>
      </c>
      <c r="J33" s="50">
        <v>3423</v>
      </c>
      <c r="K33" s="50">
        <v>3870</v>
      </c>
      <c r="L33" s="50">
        <v>3502</v>
      </c>
      <c r="M33" s="50">
        <v>2984.99</v>
      </c>
      <c r="O33" s="12" t="s">
        <v>30</v>
      </c>
      <c r="P33" s="50">
        <v>7364</v>
      </c>
      <c r="Q33" s="50">
        <v>6672.99</v>
      </c>
      <c r="R33" s="50">
        <v>6513.99</v>
      </c>
      <c r="S33" s="50">
        <v>6022</v>
      </c>
      <c r="T33" s="50">
        <v>5648</v>
      </c>
    </row>
    <row r="34" spans="1:20" x14ac:dyDescent="0.3">
      <c r="A34" s="12" t="s">
        <v>52</v>
      </c>
      <c r="B34" s="63">
        <f t="shared" si="1"/>
        <v>0.53515825491873392</v>
      </c>
      <c r="C34" s="63">
        <f t="shared" si="2"/>
        <v>0.53054538446714206</v>
      </c>
      <c r="D34" s="63">
        <f t="shared" si="3"/>
        <v>0.48834811301299236</v>
      </c>
      <c r="E34" s="63">
        <f t="shared" si="4"/>
        <v>0.47611777535441657</v>
      </c>
      <c r="F34" s="63">
        <f t="shared" si="5"/>
        <v>0.45862659800513794</v>
      </c>
      <c r="H34" s="12" t="s">
        <v>52</v>
      </c>
      <c r="I34" s="50">
        <v>3128</v>
      </c>
      <c r="J34" s="50">
        <v>2753</v>
      </c>
      <c r="K34" s="50">
        <v>2368</v>
      </c>
      <c r="L34" s="50">
        <v>2183</v>
      </c>
      <c r="M34" s="50">
        <v>1962</v>
      </c>
      <c r="O34" s="12" t="s">
        <v>52</v>
      </c>
      <c r="P34" s="50">
        <v>5845</v>
      </c>
      <c r="Q34" s="50">
        <v>5189</v>
      </c>
      <c r="R34" s="50">
        <v>4849</v>
      </c>
      <c r="S34" s="50">
        <v>4585</v>
      </c>
      <c r="T34" s="50">
        <v>4277.99</v>
      </c>
    </row>
    <row r="35" spans="1:20" x14ac:dyDescent="0.3">
      <c r="A35" s="12" t="s">
        <v>31</v>
      </c>
      <c r="B35" s="63">
        <f t="shared" si="1"/>
        <v>0.68504726023772666</v>
      </c>
      <c r="C35" s="63">
        <f t="shared" si="2"/>
        <v>0.67798528579513295</v>
      </c>
      <c r="D35" s="63">
        <f t="shared" si="3"/>
        <v>0.7036290322580645</v>
      </c>
      <c r="E35" s="63">
        <f t="shared" si="4"/>
        <v>0.59869451335282786</v>
      </c>
      <c r="F35" s="63">
        <f t="shared" si="5"/>
        <v>0.68674698795180722</v>
      </c>
      <c r="H35" s="12" t="s">
        <v>31</v>
      </c>
      <c r="I35" s="50">
        <v>4013</v>
      </c>
      <c r="J35" s="50">
        <v>3594</v>
      </c>
      <c r="K35" s="50">
        <v>3490</v>
      </c>
      <c r="L35" s="50">
        <v>3024</v>
      </c>
      <c r="M35" s="50">
        <v>2964</v>
      </c>
      <c r="O35" s="12" t="s">
        <v>31</v>
      </c>
      <c r="P35" s="50">
        <v>5857.99</v>
      </c>
      <c r="Q35" s="50">
        <v>5301</v>
      </c>
      <c r="R35" s="50">
        <v>4960</v>
      </c>
      <c r="S35" s="50">
        <v>5050.99</v>
      </c>
      <c r="T35" s="50">
        <v>4316</v>
      </c>
    </row>
    <row r="36" spans="1:20" x14ac:dyDescent="0.3">
      <c r="A36" s="12" t="s">
        <v>32</v>
      </c>
      <c r="B36" s="63">
        <f t="shared" si="1"/>
        <v>0.29156713861692496</v>
      </c>
      <c r="C36" s="63">
        <f t="shared" si="2"/>
        <v>0.32262612536096485</v>
      </c>
      <c r="D36" s="63">
        <f t="shared" si="3"/>
        <v>0.30048780487804877</v>
      </c>
      <c r="E36" s="63">
        <f t="shared" si="4"/>
        <v>0.29486194162745799</v>
      </c>
      <c r="F36" s="63">
        <f t="shared" si="5"/>
        <v>0.3114776850328132</v>
      </c>
      <c r="H36" s="12" t="s">
        <v>32</v>
      </c>
      <c r="I36" s="50">
        <v>18667</v>
      </c>
      <c r="J36" s="50">
        <v>18993</v>
      </c>
      <c r="K36" s="50">
        <v>16632</v>
      </c>
      <c r="L36" s="50">
        <v>15730</v>
      </c>
      <c r="M36" s="50">
        <v>15710</v>
      </c>
      <c r="O36" s="12" t="s">
        <v>32</v>
      </c>
      <c r="P36" s="50">
        <v>64022.99</v>
      </c>
      <c r="Q36" s="50">
        <v>58870</v>
      </c>
      <c r="R36" s="50">
        <v>55350</v>
      </c>
      <c r="S36" s="50">
        <v>53347</v>
      </c>
      <c r="T36" s="50">
        <v>50437</v>
      </c>
    </row>
    <row r="37" spans="1:20" x14ac:dyDescent="0.3">
      <c r="A37" s="12" t="s">
        <v>98</v>
      </c>
      <c r="B37" s="63">
        <f t="shared" si="1"/>
        <v>0.3064983987081849</v>
      </c>
      <c r="C37" s="63">
        <f t="shared" si="2"/>
        <v>0.30518233915082049</v>
      </c>
      <c r="D37" s="63">
        <f t="shared" si="3"/>
        <v>0.28705388875411536</v>
      </c>
      <c r="E37" s="63">
        <f t="shared" si="4"/>
        <v>0.27563021953535238</v>
      </c>
      <c r="F37" s="63">
        <f t="shared" si="5"/>
        <v>0.30528665629322294</v>
      </c>
      <c r="H37" s="12" t="s">
        <v>98</v>
      </c>
      <c r="I37" s="50">
        <v>53102.99</v>
      </c>
      <c r="J37" s="50">
        <v>49206.99</v>
      </c>
      <c r="K37" s="50">
        <v>45000</v>
      </c>
      <c r="L37" s="50">
        <v>42675</v>
      </c>
      <c r="M37" s="50">
        <v>42981</v>
      </c>
      <c r="O37" s="12" t="s">
        <v>98</v>
      </c>
      <c r="P37" s="50">
        <v>173256.99</v>
      </c>
      <c r="Q37" s="50">
        <v>161238</v>
      </c>
      <c r="R37" s="50">
        <v>156764.99</v>
      </c>
      <c r="S37" s="50">
        <v>154827</v>
      </c>
      <c r="T37" s="50">
        <v>140788.99</v>
      </c>
    </row>
    <row r="38" spans="1:20" x14ac:dyDescent="0.3">
      <c r="A38" s="12" t="s">
        <v>26</v>
      </c>
      <c r="B38" s="63">
        <f t="shared" si="1"/>
        <v>0.3268939082698385</v>
      </c>
      <c r="C38" s="63">
        <f t="shared" si="2"/>
        <v>0.30186424474187379</v>
      </c>
      <c r="D38" s="63">
        <f t="shared" si="3"/>
        <v>0.2269744286037565</v>
      </c>
      <c r="E38" s="63">
        <f t="shared" si="4"/>
        <v>0.22499452834318232</v>
      </c>
      <c r="F38" s="63">
        <f t="shared" si="5"/>
        <v>0.23438223044886627</v>
      </c>
      <c r="H38" s="12" t="s">
        <v>26</v>
      </c>
      <c r="I38" s="50">
        <v>1472</v>
      </c>
      <c r="J38" s="50">
        <v>1263</v>
      </c>
      <c r="K38" s="50">
        <v>1003</v>
      </c>
      <c r="L38" s="50">
        <v>1028</v>
      </c>
      <c r="M38" s="50">
        <v>1013</v>
      </c>
      <c r="O38" s="12" t="s">
        <v>26</v>
      </c>
      <c r="P38" s="50">
        <v>4502.99</v>
      </c>
      <c r="Q38" s="50">
        <v>4184</v>
      </c>
      <c r="R38" s="50">
        <v>4419</v>
      </c>
      <c r="S38" s="50">
        <v>4569</v>
      </c>
      <c r="T38" s="50">
        <v>4322</v>
      </c>
    </row>
    <row r="39" spans="1:20" x14ac:dyDescent="0.3">
      <c r="A39" s="12" t="s">
        <v>27</v>
      </c>
      <c r="B39" s="63">
        <f t="shared" si="1"/>
        <v>0.23542894564505568</v>
      </c>
      <c r="C39" s="63">
        <f t="shared" si="2"/>
        <v>0.21819474058280028</v>
      </c>
      <c r="D39" s="63">
        <f t="shared" si="3"/>
        <v>0.18092820884699057</v>
      </c>
      <c r="E39" s="63">
        <f t="shared" si="4"/>
        <v>0.16741405082212257</v>
      </c>
      <c r="F39" s="63">
        <f t="shared" si="5"/>
        <v>0.17888198757763976</v>
      </c>
      <c r="H39" s="12" t="s">
        <v>27</v>
      </c>
      <c r="I39" s="50">
        <v>719</v>
      </c>
      <c r="J39" s="50">
        <v>614</v>
      </c>
      <c r="K39" s="50">
        <v>499</v>
      </c>
      <c r="L39" s="50">
        <v>448</v>
      </c>
      <c r="M39" s="50">
        <v>432</v>
      </c>
      <c r="O39" s="12" t="s">
        <v>27</v>
      </c>
      <c r="P39" s="50">
        <v>3054</v>
      </c>
      <c r="Q39" s="50">
        <v>2814</v>
      </c>
      <c r="R39" s="50">
        <v>2758</v>
      </c>
      <c r="S39" s="50">
        <v>2676</v>
      </c>
      <c r="T39" s="50">
        <v>2415</v>
      </c>
    </row>
    <row r="40" spans="1:20" x14ac:dyDescent="0.3">
      <c r="A40" s="12" t="s">
        <v>89</v>
      </c>
      <c r="B40" s="63">
        <f t="shared" si="1"/>
        <v>0.33746495499483548</v>
      </c>
      <c r="C40" s="63">
        <f t="shared" si="2"/>
        <v>0.34330822606896827</v>
      </c>
      <c r="D40" s="63">
        <f t="shared" si="3"/>
        <v>0.32822966507177032</v>
      </c>
      <c r="E40" s="63">
        <f t="shared" si="4"/>
        <v>0.29568856340509886</v>
      </c>
      <c r="F40" s="63">
        <f t="shared" si="5"/>
        <v>0.31118373275236022</v>
      </c>
      <c r="H40" s="12" t="s">
        <v>89</v>
      </c>
      <c r="I40" s="50">
        <v>6861</v>
      </c>
      <c r="J40" s="50">
        <v>6561.99</v>
      </c>
      <c r="K40" s="50">
        <v>6174</v>
      </c>
      <c r="L40" s="50">
        <v>5370</v>
      </c>
      <c r="M40" s="50">
        <v>5142</v>
      </c>
      <c r="O40" s="12" t="s">
        <v>89</v>
      </c>
      <c r="P40" s="50">
        <v>20331</v>
      </c>
      <c r="Q40" s="50">
        <v>19113.990000000002</v>
      </c>
      <c r="R40" s="50">
        <v>18810</v>
      </c>
      <c r="S40" s="50">
        <v>18161</v>
      </c>
      <c r="T40" s="50">
        <v>16524</v>
      </c>
    </row>
    <row r="41" spans="1:20" x14ac:dyDescent="0.3">
      <c r="A41" s="12" t="s">
        <v>28</v>
      </c>
      <c r="B41" s="63">
        <f t="shared" si="1"/>
        <v>0.26804507199429628</v>
      </c>
      <c r="C41" s="63">
        <f t="shared" si="2"/>
        <v>0.25892246528610569</v>
      </c>
      <c r="D41" s="63">
        <f t="shared" si="3"/>
        <v>0.2457812289901842</v>
      </c>
      <c r="E41" s="63">
        <f t="shared" si="4"/>
        <v>0.25189496480779644</v>
      </c>
      <c r="F41" s="63">
        <f t="shared" si="5"/>
        <v>0.27749139870934147</v>
      </c>
      <c r="H41" s="12" t="s">
        <v>28</v>
      </c>
      <c r="I41" s="50">
        <v>17294</v>
      </c>
      <c r="J41" s="50">
        <v>15836.99</v>
      </c>
      <c r="K41" s="50">
        <v>14623</v>
      </c>
      <c r="L41" s="50">
        <v>14888</v>
      </c>
      <c r="M41" s="50">
        <v>14920.99</v>
      </c>
      <c r="O41" s="12" t="s">
        <v>28</v>
      </c>
      <c r="P41" s="50">
        <v>64519</v>
      </c>
      <c r="Q41" s="50">
        <v>61164.99</v>
      </c>
      <c r="R41" s="50">
        <v>59496</v>
      </c>
      <c r="S41" s="50">
        <v>59104</v>
      </c>
      <c r="T41" s="50">
        <v>53771</v>
      </c>
    </row>
    <row r="42" spans="1:20" x14ac:dyDescent="0.3">
      <c r="A42" s="12" t="s">
        <v>25</v>
      </c>
      <c r="B42" s="63">
        <f t="shared" si="1"/>
        <v>0.34793311263899501</v>
      </c>
      <c r="C42" s="63">
        <f t="shared" si="2"/>
        <v>0.35169838812494308</v>
      </c>
      <c r="D42" s="63">
        <f t="shared" si="3"/>
        <v>0.32128514056224899</v>
      </c>
      <c r="E42" s="63">
        <f t="shared" si="4"/>
        <v>0.32359824019470185</v>
      </c>
      <c r="F42" s="63">
        <f t="shared" si="5"/>
        <v>0.27427033740426415</v>
      </c>
      <c r="H42" s="12" t="s">
        <v>25</v>
      </c>
      <c r="I42" s="50">
        <v>4099</v>
      </c>
      <c r="J42" s="50">
        <v>3862</v>
      </c>
      <c r="K42" s="50">
        <v>3520</v>
      </c>
      <c r="L42" s="50">
        <v>3457</v>
      </c>
      <c r="M42" s="50">
        <v>2650</v>
      </c>
      <c r="O42" s="12" t="s">
        <v>25</v>
      </c>
      <c r="P42" s="50">
        <v>11781</v>
      </c>
      <c r="Q42" s="50">
        <v>10981</v>
      </c>
      <c r="R42" s="50">
        <v>10956</v>
      </c>
      <c r="S42" s="50">
        <v>10683</v>
      </c>
      <c r="T42" s="50">
        <v>9662</v>
      </c>
    </row>
    <row r="43" spans="1:20" x14ac:dyDescent="0.3">
      <c r="A43" s="12" t="s">
        <v>22</v>
      </c>
      <c r="B43" s="63">
        <f t="shared" si="1"/>
        <v>0.39396511479862495</v>
      </c>
      <c r="C43" s="63">
        <f t="shared" si="2"/>
        <v>0.40492943644512253</v>
      </c>
      <c r="D43" s="63">
        <f t="shared" si="3"/>
        <v>0.39548086708731933</v>
      </c>
      <c r="E43" s="63">
        <f t="shared" si="4"/>
        <v>0.35177885845917584</v>
      </c>
      <c r="F43" s="63">
        <f t="shared" si="5"/>
        <v>0.44611614521000742</v>
      </c>
      <c r="H43" s="12" t="s">
        <v>22</v>
      </c>
      <c r="I43" s="50">
        <v>9283</v>
      </c>
      <c r="J43" s="50">
        <v>8492.99</v>
      </c>
      <c r="K43" s="50">
        <v>7771.99</v>
      </c>
      <c r="L43" s="50">
        <v>6872</v>
      </c>
      <c r="M43" s="50">
        <v>7828</v>
      </c>
      <c r="O43" s="12" t="s">
        <v>22</v>
      </c>
      <c r="P43" s="50">
        <v>23563</v>
      </c>
      <c r="Q43" s="50">
        <v>20974</v>
      </c>
      <c r="R43" s="50">
        <v>19652</v>
      </c>
      <c r="S43" s="50">
        <v>19535</v>
      </c>
      <c r="T43" s="50">
        <v>17547</v>
      </c>
    </row>
    <row r="44" spans="1:20" x14ac:dyDescent="0.3">
      <c r="A44" s="12" t="s">
        <v>29</v>
      </c>
      <c r="B44" s="63">
        <f t="shared" si="1"/>
        <v>0.28515029718405921</v>
      </c>
      <c r="C44" s="63">
        <f t="shared" si="2"/>
        <v>0.28823225238066591</v>
      </c>
      <c r="D44" s="63">
        <f t="shared" si="3"/>
        <v>0.27035768123886528</v>
      </c>
      <c r="E44" s="63">
        <f t="shared" si="4"/>
        <v>0.25918494132980202</v>
      </c>
      <c r="F44" s="63">
        <f t="shared" si="5"/>
        <v>0.29422019755813239</v>
      </c>
      <c r="H44" s="12" t="s">
        <v>29</v>
      </c>
      <c r="I44" s="50">
        <v>11705.99</v>
      </c>
      <c r="J44" s="50">
        <v>10875</v>
      </c>
      <c r="K44" s="50">
        <v>9864</v>
      </c>
      <c r="L44" s="50">
        <v>9291</v>
      </c>
      <c r="M44" s="50">
        <v>9590.99</v>
      </c>
      <c r="O44" s="12" t="s">
        <v>29</v>
      </c>
      <c r="P44" s="50">
        <v>41052</v>
      </c>
      <c r="Q44" s="50">
        <v>37729.99</v>
      </c>
      <c r="R44" s="50">
        <v>36485</v>
      </c>
      <c r="S44" s="50">
        <v>35846.99</v>
      </c>
      <c r="T44" s="50">
        <v>32598</v>
      </c>
    </row>
    <row r="45" spans="1:20" x14ac:dyDescent="0.3">
      <c r="A45" s="12" t="s">
        <v>90</v>
      </c>
      <c r="B45" s="63">
        <f t="shared" si="1"/>
        <v>0.37471935339021106</v>
      </c>
      <c r="C45" s="63">
        <f t="shared" si="2"/>
        <v>0.3978016838166511</v>
      </c>
      <c r="D45" s="63">
        <f t="shared" si="3"/>
        <v>0.36882398859868371</v>
      </c>
      <c r="E45" s="63">
        <f t="shared" si="4"/>
        <v>0.31067805897944256</v>
      </c>
      <c r="F45" s="63">
        <f t="shared" si="5"/>
        <v>0.35544303797468352</v>
      </c>
      <c r="H45" s="12" t="s">
        <v>90</v>
      </c>
      <c r="I45" s="50">
        <v>1669</v>
      </c>
      <c r="J45" s="50">
        <v>1701</v>
      </c>
      <c r="K45" s="50">
        <v>1545</v>
      </c>
      <c r="L45" s="50">
        <v>1321</v>
      </c>
      <c r="M45" s="50">
        <v>1404</v>
      </c>
      <c r="O45" s="12" t="s">
        <v>90</v>
      </c>
      <c r="P45" s="50">
        <v>4454</v>
      </c>
      <c r="Q45" s="50">
        <v>4276</v>
      </c>
      <c r="R45" s="50">
        <v>4188.99</v>
      </c>
      <c r="S45" s="50">
        <v>4251.99</v>
      </c>
      <c r="T45" s="50">
        <v>3950</v>
      </c>
    </row>
    <row r="46" spans="1:20" x14ac:dyDescent="0.3">
      <c r="A46" s="12" t="s">
        <v>99</v>
      </c>
      <c r="B46" s="63">
        <f t="shared" si="1"/>
        <v>0.19170762979023201</v>
      </c>
      <c r="C46" s="63">
        <f t="shared" si="2"/>
        <v>0.19899533833387462</v>
      </c>
      <c r="D46" s="63">
        <f t="shared" si="3"/>
        <v>0.17176742446068041</v>
      </c>
      <c r="E46" s="63">
        <f t="shared" si="4"/>
        <v>0.17740667680746516</v>
      </c>
      <c r="F46" s="63">
        <f t="shared" si="5"/>
        <v>0.172406265501439</v>
      </c>
      <c r="H46" s="12" t="s">
        <v>99</v>
      </c>
      <c r="I46" s="50">
        <v>27192</v>
      </c>
      <c r="J46" s="50">
        <v>26978.99</v>
      </c>
      <c r="K46" s="50">
        <v>23449</v>
      </c>
      <c r="L46" s="50">
        <v>23222</v>
      </c>
      <c r="M46" s="50">
        <v>22302.99</v>
      </c>
      <c r="O46" s="12" t="s">
        <v>99</v>
      </c>
      <c r="P46" s="50">
        <v>141840.99</v>
      </c>
      <c r="Q46" s="50">
        <v>135575.99</v>
      </c>
      <c r="R46" s="50">
        <v>136515.99</v>
      </c>
      <c r="S46" s="50">
        <v>130896.99</v>
      </c>
      <c r="T46" s="50">
        <v>129362.99</v>
      </c>
    </row>
    <row r="47" spans="1:20" x14ac:dyDescent="0.3">
      <c r="A47" s="12" t="s">
        <v>63</v>
      </c>
      <c r="B47" s="63">
        <f t="shared" si="1"/>
        <v>0.12094742310889442</v>
      </c>
      <c r="C47" s="63">
        <f t="shared" si="2"/>
        <v>0.12675903168975791</v>
      </c>
      <c r="D47" s="63">
        <f t="shared" si="3"/>
        <v>0.11062466485827398</v>
      </c>
      <c r="E47" s="63">
        <f t="shared" si="4"/>
        <v>0.11826354171444296</v>
      </c>
      <c r="F47" s="63">
        <f t="shared" si="5"/>
        <v>0.12157657762403759</v>
      </c>
      <c r="H47" s="12" t="s">
        <v>63</v>
      </c>
      <c r="I47" s="50">
        <v>5819.99</v>
      </c>
      <c r="J47" s="50">
        <v>5828</v>
      </c>
      <c r="K47" s="50">
        <v>5205</v>
      </c>
      <c r="L47" s="50">
        <v>5157</v>
      </c>
      <c r="M47" s="50">
        <v>5176</v>
      </c>
      <c r="O47" s="12" t="s">
        <v>63</v>
      </c>
      <c r="P47" s="50">
        <v>48120</v>
      </c>
      <c r="Q47" s="50">
        <v>45977</v>
      </c>
      <c r="R47" s="50">
        <v>47050.99</v>
      </c>
      <c r="S47" s="50">
        <v>43606</v>
      </c>
      <c r="T47" s="50">
        <v>42573.99</v>
      </c>
    </row>
    <row r="48" spans="1:20" x14ac:dyDescent="0.3">
      <c r="A48" s="12" t="s">
        <v>81</v>
      </c>
      <c r="B48" s="63">
        <f t="shared" si="1"/>
        <v>0.10921968190854871</v>
      </c>
      <c r="C48" s="63">
        <f t="shared" si="2"/>
        <v>0.10518662142510907</v>
      </c>
      <c r="D48" s="63">
        <f t="shared" si="3"/>
        <v>9.4970059880239516E-2</v>
      </c>
      <c r="E48" s="63">
        <f t="shared" si="4"/>
        <v>9.8894637817497646E-2</v>
      </c>
      <c r="F48" s="63">
        <f t="shared" si="5"/>
        <v>0.10566945077195647</v>
      </c>
      <c r="H48" s="12" t="s">
        <v>81</v>
      </c>
      <c r="I48" s="50">
        <v>879</v>
      </c>
      <c r="J48" s="50">
        <v>868</v>
      </c>
      <c r="K48" s="50">
        <v>793</v>
      </c>
      <c r="L48" s="50">
        <v>841</v>
      </c>
      <c r="M48" s="50">
        <v>835</v>
      </c>
      <c r="O48" s="12" t="s">
        <v>81</v>
      </c>
      <c r="P48" s="50">
        <v>8048</v>
      </c>
      <c r="Q48" s="50">
        <v>8252</v>
      </c>
      <c r="R48" s="50">
        <v>8350</v>
      </c>
      <c r="S48" s="50">
        <v>8504</v>
      </c>
      <c r="T48" s="50">
        <v>7902</v>
      </c>
    </row>
    <row r="49" spans="1:20" x14ac:dyDescent="0.3">
      <c r="A49" s="12" t="s">
        <v>91</v>
      </c>
      <c r="B49" s="63">
        <f t="shared" si="1"/>
        <v>0.17078775622759446</v>
      </c>
      <c r="C49" s="63">
        <f t="shared" si="2"/>
        <v>0.19838953195772521</v>
      </c>
      <c r="D49" s="63">
        <f t="shared" si="3"/>
        <v>0.11347461159871959</v>
      </c>
      <c r="E49" s="63">
        <f t="shared" si="4"/>
        <v>0.10198445142573119</v>
      </c>
      <c r="F49" s="63">
        <f t="shared" si="5"/>
        <v>0.1245036978789693</v>
      </c>
      <c r="H49" s="12" t="s">
        <v>91</v>
      </c>
      <c r="I49" s="50">
        <v>1858</v>
      </c>
      <c r="J49" s="50">
        <v>1971</v>
      </c>
      <c r="K49" s="50">
        <v>1195</v>
      </c>
      <c r="L49" s="50">
        <v>1069</v>
      </c>
      <c r="M49" s="50">
        <v>1254</v>
      </c>
      <c r="O49" s="12" t="s">
        <v>91</v>
      </c>
      <c r="P49" s="50">
        <v>10879</v>
      </c>
      <c r="Q49" s="50">
        <v>9935</v>
      </c>
      <c r="R49" s="50">
        <v>10530.99</v>
      </c>
      <c r="S49" s="50">
        <v>10481.99</v>
      </c>
      <c r="T49" s="50">
        <v>10071.99</v>
      </c>
    </row>
    <row r="50" spans="1:20" x14ac:dyDescent="0.3">
      <c r="A50" s="12" t="s">
        <v>92</v>
      </c>
      <c r="B50" s="63">
        <f t="shared" si="1"/>
        <v>0.26110444177671066</v>
      </c>
      <c r="C50" s="63">
        <f t="shared" si="2"/>
        <v>0.26693069306930695</v>
      </c>
      <c r="D50" s="63">
        <f t="shared" si="3"/>
        <v>0.22473222979552093</v>
      </c>
      <c r="E50" s="63">
        <f t="shared" si="4"/>
        <v>0.2552282437598381</v>
      </c>
      <c r="F50" s="63">
        <f t="shared" si="5"/>
        <v>0.21709479427142533</v>
      </c>
      <c r="H50" s="12" t="s">
        <v>92</v>
      </c>
      <c r="I50" s="50">
        <v>1305</v>
      </c>
      <c r="J50" s="50">
        <v>1348</v>
      </c>
      <c r="K50" s="50">
        <v>1154</v>
      </c>
      <c r="L50" s="50">
        <v>1135</v>
      </c>
      <c r="M50" s="50">
        <v>955</v>
      </c>
      <c r="O50" s="12" t="s">
        <v>92</v>
      </c>
      <c r="P50" s="50">
        <v>4998</v>
      </c>
      <c r="Q50" s="50">
        <v>5050</v>
      </c>
      <c r="R50" s="50">
        <v>5135</v>
      </c>
      <c r="S50" s="50">
        <v>4447</v>
      </c>
      <c r="T50" s="50">
        <v>4399</v>
      </c>
    </row>
    <row r="51" spans="1:20" x14ac:dyDescent="0.3">
      <c r="A51" s="12" t="s">
        <v>47</v>
      </c>
      <c r="B51" s="63">
        <f t="shared" si="1"/>
        <v>0.23071786492374724</v>
      </c>
      <c r="C51" s="63">
        <f t="shared" si="2"/>
        <v>0.23661807580174926</v>
      </c>
      <c r="D51" s="63">
        <f t="shared" si="3"/>
        <v>0.2121654501216545</v>
      </c>
      <c r="E51" s="63">
        <f t="shared" si="4"/>
        <v>0.2189692429545082</v>
      </c>
      <c r="F51" s="63">
        <f t="shared" si="5"/>
        <v>0.23058477526658031</v>
      </c>
      <c r="H51" s="12" t="s">
        <v>47</v>
      </c>
      <c r="I51" s="50">
        <v>2117.9899999999998</v>
      </c>
      <c r="J51" s="50">
        <v>2029</v>
      </c>
      <c r="K51" s="50">
        <v>1744</v>
      </c>
      <c r="L51" s="50">
        <v>1750</v>
      </c>
      <c r="M51" s="50">
        <v>1728</v>
      </c>
      <c r="O51" s="12" t="s">
        <v>47</v>
      </c>
      <c r="P51" s="50">
        <v>9180</v>
      </c>
      <c r="Q51" s="50">
        <v>8575</v>
      </c>
      <c r="R51" s="50">
        <v>8220</v>
      </c>
      <c r="S51" s="50">
        <v>7991.99</v>
      </c>
      <c r="T51" s="50">
        <v>7493.99</v>
      </c>
    </row>
    <row r="52" spans="1:20" x14ac:dyDescent="0.3">
      <c r="A52" s="12" t="s">
        <v>93</v>
      </c>
      <c r="B52" s="63">
        <f t="shared" si="1"/>
        <v>0.12555934014559542</v>
      </c>
      <c r="C52" s="63">
        <f t="shared" si="2"/>
        <v>0.13235841155147471</v>
      </c>
      <c r="D52" s="63">
        <f t="shared" si="3"/>
        <v>0.13663185057383029</v>
      </c>
      <c r="E52" s="63">
        <f t="shared" si="4"/>
        <v>0.13984712199459626</v>
      </c>
      <c r="F52" s="63">
        <f t="shared" si="5"/>
        <v>0.12752692235027394</v>
      </c>
      <c r="H52" s="12" t="s">
        <v>93</v>
      </c>
      <c r="I52" s="50">
        <v>3760</v>
      </c>
      <c r="J52" s="50">
        <v>3946</v>
      </c>
      <c r="K52" s="50">
        <v>4076</v>
      </c>
      <c r="L52" s="50">
        <v>4088.99</v>
      </c>
      <c r="M52" s="50">
        <v>4050</v>
      </c>
      <c r="O52" s="12" t="s">
        <v>93</v>
      </c>
      <c r="P52" s="50">
        <v>29946</v>
      </c>
      <c r="Q52" s="50">
        <v>29812.99</v>
      </c>
      <c r="R52" s="50">
        <v>29831.99</v>
      </c>
      <c r="S52" s="50">
        <v>29239</v>
      </c>
      <c r="T52" s="50">
        <v>31758</v>
      </c>
    </row>
    <row r="53" spans="1:20" x14ac:dyDescent="0.3">
      <c r="A53" s="12" t="s">
        <v>11</v>
      </c>
      <c r="B53" s="63">
        <f t="shared" si="1"/>
        <v>0.37339431802879619</v>
      </c>
      <c r="C53" s="63">
        <f t="shared" si="2"/>
        <v>0.39282905555158359</v>
      </c>
      <c r="D53" s="63">
        <f t="shared" si="3"/>
        <v>0.33879634222591604</v>
      </c>
      <c r="E53" s="63">
        <f t="shared" si="4"/>
        <v>0.34480052007380479</v>
      </c>
      <c r="F53" s="63">
        <f t="shared" si="5"/>
        <v>0.33003497059291048</v>
      </c>
      <c r="H53" s="12" t="s">
        <v>11</v>
      </c>
      <c r="I53" s="50">
        <v>11452</v>
      </c>
      <c r="J53" s="50">
        <v>10989</v>
      </c>
      <c r="K53" s="50">
        <v>9282</v>
      </c>
      <c r="L53" s="50">
        <v>9181</v>
      </c>
      <c r="M53" s="50">
        <v>8305</v>
      </c>
      <c r="O53" s="12" t="s">
        <v>11</v>
      </c>
      <c r="P53" s="50">
        <v>30669.99</v>
      </c>
      <c r="Q53" s="50">
        <v>27974</v>
      </c>
      <c r="R53" s="50">
        <v>27396.99</v>
      </c>
      <c r="S53" s="50">
        <v>26626.99</v>
      </c>
      <c r="T53" s="50">
        <v>25164</v>
      </c>
    </row>
    <row r="54" spans="1:20" x14ac:dyDescent="0.3">
      <c r="A54" s="12" t="s">
        <v>100</v>
      </c>
      <c r="B54" s="63">
        <f t="shared" si="1"/>
        <v>0.46239847366827658</v>
      </c>
      <c r="C54" s="63">
        <f t="shared" si="2"/>
        <v>0.47893152900701846</v>
      </c>
      <c r="D54" s="63">
        <f t="shared" si="3"/>
        <v>0.44456990945266611</v>
      </c>
      <c r="E54" s="63">
        <f t="shared" si="4"/>
        <v>0.42397215743662447</v>
      </c>
      <c r="F54" s="63">
        <f t="shared" si="5"/>
        <v>0.44551540129419809</v>
      </c>
      <c r="H54" s="12" t="s">
        <v>100</v>
      </c>
      <c r="I54" s="50">
        <v>144014</v>
      </c>
      <c r="J54" s="50">
        <v>134312.99</v>
      </c>
      <c r="K54" s="50">
        <v>119651.99</v>
      </c>
      <c r="L54" s="50">
        <v>111251.99</v>
      </c>
      <c r="M54" s="50">
        <v>105612.99</v>
      </c>
      <c r="O54" s="12" t="s">
        <v>100</v>
      </c>
      <c r="P54" s="50">
        <v>311449.99</v>
      </c>
      <c r="Q54" s="50">
        <v>280442.99</v>
      </c>
      <c r="R54" s="50">
        <v>269141</v>
      </c>
      <c r="S54" s="50">
        <v>262404</v>
      </c>
      <c r="T54" s="50">
        <v>237058</v>
      </c>
    </row>
    <row r="55" spans="1:20" x14ac:dyDescent="0.3">
      <c r="A55" s="12" t="s">
        <v>83</v>
      </c>
      <c r="B55" s="63">
        <f t="shared" si="1"/>
        <v>0.32254839395873219</v>
      </c>
      <c r="C55" s="63">
        <f t="shared" si="2"/>
        <v>0.35590307082219719</v>
      </c>
      <c r="D55" s="63">
        <f t="shared" si="3"/>
        <v>0.34300619910976271</v>
      </c>
      <c r="E55" s="63">
        <f t="shared" si="4"/>
        <v>0.3237651698359798</v>
      </c>
      <c r="F55" s="63">
        <f t="shared" si="5"/>
        <v>0.29586077140169331</v>
      </c>
      <c r="H55" s="12" t="s">
        <v>83</v>
      </c>
      <c r="I55" s="50">
        <v>15163</v>
      </c>
      <c r="J55" s="50">
        <v>14865</v>
      </c>
      <c r="K55" s="50">
        <v>14078</v>
      </c>
      <c r="L55" s="50">
        <v>12768</v>
      </c>
      <c r="M55" s="50">
        <v>10693</v>
      </c>
      <c r="O55" s="12" t="s">
        <v>83</v>
      </c>
      <c r="P55" s="50">
        <v>47010</v>
      </c>
      <c r="Q55" s="50">
        <v>41766.99</v>
      </c>
      <c r="R55" s="50">
        <v>41042.99</v>
      </c>
      <c r="S55" s="50">
        <v>39435.99</v>
      </c>
      <c r="T55" s="50">
        <v>36142</v>
      </c>
    </row>
    <row r="56" spans="1:20" x14ac:dyDescent="0.3">
      <c r="A56" s="12" t="s">
        <v>42</v>
      </c>
      <c r="B56" s="63">
        <f t="shared" si="1"/>
        <v>0.63379329004328999</v>
      </c>
      <c r="C56" s="63">
        <f t="shared" si="2"/>
        <v>0.6428260404399827</v>
      </c>
      <c r="D56" s="63">
        <f t="shared" si="3"/>
        <v>0.58732397971089989</v>
      </c>
      <c r="E56" s="63">
        <f t="shared" si="4"/>
        <v>0.54498513534658111</v>
      </c>
      <c r="F56" s="63">
        <f t="shared" si="5"/>
        <v>0.59257956743449969</v>
      </c>
      <c r="H56" s="12" t="s">
        <v>42</v>
      </c>
      <c r="I56" s="50">
        <v>4685</v>
      </c>
      <c r="J56" s="50">
        <v>4296</v>
      </c>
      <c r="K56" s="50">
        <v>3901</v>
      </c>
      <c r="L56" s="50">
        <v>3483</v>
      </c>
      <c r="M56" s="50">
        <v>3370</v>
      </c>
      <c r="O56" s="12" t="s">
        <v>42</v>
      </c>
      <c r="P56" s="50">
        <v>7392</v>
      </c>
      <c r="Q56" s="50">
        <v>6682.99</v>
      </c>
      <c r="R56" s="50">
        <v>6641.99</v>
      </c>
      <c r="S56" s="50">
        <v>6391</v>
      </c>
      <c r="T56" s="50">
        <v>5687</v>
      </c>
    </row>
    <row r="57" spans="1:20" x14ac:dyDescent="0.3">
      <c r="A57" s="12" t="s">
        <v>34</v>
      </c>
      <c r="B57" s="63">
        <f t="shared" si="1"/>
        <v>0.40003066751453326</v>
      </c>
      <c r="C57" s="63">
        <f t="shared" si="2"/>
        <v>0.36650975117686618</v>
      </c>
      <c r="D57" s="63">
        <f t="shared" si="3"/>
        <v>0.341971728887278</v>
      </c>
      <c r="E57" s="63">
        <f t="shared" si="4"/>
        <v>0.40626590693257358</v>
      </c>
      <c r="F57" s="63">
        <f t="shared" si="5"/>
        <v>0.42722602739726029</v>
      </c>
      <c r="H57" s="12" t="s">
        <v>34</v>
      </c>
      <c r="I57" s="50">
        <v>2661</v>
      </c>
      <c r="J57" s="50">
        <v>2180</v>
      </c>
      <c r="K57" s="50">
        <v>1887</v>
      </c>
      <c r="L57" s="50">
        <v>2138.9899999999998</v>
      </c>
      <c r="M57" s="50">
        <v>1996</v>
      </c>
      <c r="O57" s="12" t="s">
        <v>34</v>
      </c>
      <c r="P57" s="50">
        <v>6651.99</v>
      </c>
      <c r="Q57" s="50">
        <v>5948</v>
      </c>
      <c r="R57" s="50">
        <v>5518</v>
      </c>
      <c r="S57" s="50">
        <v>5265</v>
      </c>
      <c r="T57" s="50">
        <v>4672</v>
      </c>
    </row>
    <row r="58" spans="1:20" x14ac:dyDescent="0.3">
      <c r="A58" s="12" t="s">
        <v>35</v>
      </c>
      <c r="B58" s="63">
        <f t="shared" si="1"/>
        <v>0.40413285729741427</v>
      </c>
      <c r="C58" s="63">
        <f t="shared" si="2"/>
        <v>0.4077058703726143</v>
      </c>
      <c r="D58" s="63">
        <f t="shared" si="3"/>
        <v>0.38771806721672436</v>
      </c>
      <c r="E58" s="63">
        <f t="shared" si="4"/>
        <v>0.38322308010814232</v>
      </c>
      <c r="F58" s="63">
        <f t="shared" si="5"/>
        <v>0.40163062743707906</v>
      </c>
      <c r="H58" s="12" t="s">
        <v>35</v>
      </c>
      <c r="I58" s="50">
        <v>18677</v>
      </c>
      <c r="J58" s="50">
        <v>17395.990000000002</v>
      </c>
      <c r="K58" s="50">
        <v>16024</v>
      </c>
      <c r="L58" s="50">
        <v>15733.99</v>
      </c>
      <c r="M58" s="50">
        <v>14729</v>
      </c>
      <c r="O58" s="12" t="s">
        <v>35</v>
      </c>
      <c r="P58" s="50">
        <v>46215</v>
      </c>
      <c r="Q58" s="50">
        <v>42667.99</v>
      </c>
      <c r="R58" s="50">
        <v>41329</v>
      </c>
      <c r="S58" s="50">
        <v>41057</v>
      </c>
      <c r="T58" s="50">
        <v>36673</v>
      </c>
    </row>
    <row r="59" spans="1:20" x14ac:dyDescent="0.3">
      <c r="A59" s="12" t="s">
        <v>94</v>
      </c>
      <c r="B59" s="63">
        <f t="shared" si="1"/>
        <v>0.46270474334774403</v>
      </c>
      <c r="C59" s="63">
        <f t="shared" si="2"/>
        <v>0.45955756455037328</v>
      </c>
      <c r="D59" s="63">
        <f t="shared" si="3"/>
        <v>0.46485401964854017</v>
      </c>
      <c r="E59" s="63">
        <f t="shared" si="4"/>
        <v>0.44618176741588722</v>
      </c>
      <c r="F59" s="63">
        <f t="shared" si="5"/>
        <v>0.44474034620505992</v>
      </c>
      <c r="H59" s="12" t="s">
        <v>94</v>
      </c>
      <c r="I59" s="50">
        <v>7599</v>
      </c>
      <c r="J59" s="50">
        <v>6710</v>
      </c>
      <c r="K59" s="50">
        <v>6719</v>
      </c>
      <c r="L59" s="50">
        <v>6392</v>
      </c>
      <c r="M59" s="50">
        <v>5678</v>
      </c>
      <c r="O59" s="12" t="s">
        <v>94</v>
      </c>
      <c r="P59" s="50">
        <v>16423</v>
      </c>
      <c r="Q59" s="50">
        <v>14601</v>
      </c>
      <c r="R59" s="50">
        <v>14454</v>
      </c>
      <c r="S59" s="50">
        <v>14326</v>
      </c>
      <c r="T59" s="50">
        <v>12767</v>
      </c>
    </row>
    <row r="60" spans="1:20" x14ac:dyDescent="0.3">
      <c r="A60" s="12" t="s">
        <v>46</v>
      </c>
      <c r="B60" s="63">
        <f t="shared" si="1"/>
        <v>0.53203138155376961</v>
      </c>
      <c r="C60" s="63">
        <f t="shared" si="2"/>
        <v>0.54568134893324161</v>
      </c>
      <c r="D60" s="63">
        <f t="shared" si="3"/>
        <v>0.49199469261388767</v>
      </c>
      <c r="E60" s="63">
        <f t="shared" si="4"/>
        <v>0.47730801886494528</v>
      </c>
      <c r="F60" s="63">
        <f t="shared" si="5"/>
        <v>0.51527063804052009</v>
      </c>
      <c r="H60" s="12" t="s">
        <v>46</v>
      </c>
      <c r="I60" s="50">
        <v>6950.99</v>
      </c>
      <c r="J60" s="50">
        <v>6343</v>
      </c>
      <c r="K60" s="50">
        <v>5562</v>
      </c>
      <c r="L60" s="50">
        <v>5290</v>
      </c>
      <c r="M60" s="50">
        <v>5112</v>
      </c>
      <c r="O60" s="12" t="s">
        <v>46</v>
      </c>
      <c r="P60" s="50">
        <v>13065</v>
      </c>
      <c r="Q60" s="50">
        <v>11624</v>
      </c>
      <c r="R60" s="50">
        <v>11305</v>
      </c>
      <c r="S60" s="50">
        <v>11082.99</v>
      </c>
      <c r="T60" s="50">
        <v>9921</v>
      </c>
    </row>
    <row r="61" spans="1:20" x14ac:dyDescent="0.3">
      <c r="A61" s="12" t="s">
        <v>44</v>
      </c>
      <c r="B61" s="63">
        <f t="shared" si="1"/>
        <v>0.62900515782874677</v>
      </c>
      <c r="C61" s="63">
        <f t="shared" si="2"/>
        <v>0.65619741375715279</v>
      </c>
      <c r="D61" s="63">
        <f t="shared" si="3"/>
        <v>0.60743882801146853</v>
      </c>
      <c r="E61" s="63">
        <f t="shared" si="4"/>
        <v>0.5378904352571432</v>
      </c>
      <c r="F61" s="63">
        <f t="shared" si="5"/>
        <v>0.53770703377070339</v>
      </c>
      <c r="H61" s="12" t="s">
        <v>44</v>
      </c>
      <c r="I61" s="50">
        <v>18572</v>
      </c>
      <c r="J61" s="50">
        <v>17466</v>
      </c>
      <c r="K61" s="50">
        <v>15466</v>
      </c>
      <c r="L61" s="50">
        <v>13543</v>
      </c>
      <c r="M61" s="50">
        <v>12499</v>
      </c>
      <c r="O61" s="12" t="s">
        <v>44</v>
      </c>
      <c r="P61" s="50">
        <v>29525.99</v>
      </c>
      <c r="Q61" s="50">
        <v>26616.99</v>
      </c>
      <c r="R61" s="50">
        <v>25461</v>
      </c>
      <c r="S61" s="50">
        <v>25177.99</v>
      </c>
      <c r="T61" s="50">
        <v>23245</v>
      </c>
    </row>
    <row r="62" spans="1:20" x14ac:dyDescent="0.3">
      <c r="A62" s="12" t="s">
        <v>36</v>
      </c>
      <c r="B62" s="63">
        <f t="shared" si="1"/>
        <v>0.64568302544993261</v>
      </c>
      <c r="C62" s="63">
        <f t="shared" si="2"/>
        <v>0.65095939312806783</v>
      </c>
      <c r="D62" s="63">
        <f t="shared" si="3"/>
        <v>0.54181697428285169</v>
      </c>
      <c r="E62" s="63">
        <f t="shared" si="4"/>
        <v>0.51977782964921349</v>
      </c>
      <c r="F62" s="63">
        <f t="shared" si="5"/>
        <v>0.55462466487935658</v>
      </c>
      <c r="H62" s="12" t="s">
        <v>36</v>
      </c>
      <c r="I62" s="50">
        <v>8144</v>
      </c>
      <c r="J62" s="50">
        <v>7294</v>
      </c>
      <c r="K62" s="50">
        <v>5727</v>
      </c>
      <c r="L62" s="50">
        <v>5322</v>
      </c>
      <c r="M62" s="50">
        <v>4965</v>
      </c>
      <c r="O62" s="12" t="s">
        <v>36</v>
      </c>
      <c r="P62" s="50">
        <v>12613</v>
      </c>
      <c r="Q62" s="50">
        <v>11205</v>
      </c>
      <c r="R62" s="50">
        <v>10569.99</v>
      </c>
      <c r="S62" s="50">
        <v>10238.99</v>
      </c>
      <c r="T62" s="50">
        <v>8952</v>
      </c>
    </row>
    <row r="63" spans="1:20" x14ac:dyDescent="0.3">
      <c r="A63" s="12" t="s">
        <v>54</v>
      </c>
      <c r="B63" s="63">
        <f t="shared" si="1"/>
        <v>0.43246619406014802</v>
      </c>
      <c r="C63" s="63">
        <f t="shared" si="2"/>
        <v>0.45308347942485011</v>
      </c>
      <c r="D63" s="63">
        <f t="shared" si="3"/>
        <v>0.40149586383029146</v>
      </c>
      <c r="E63" s="63">
        <f t="shared" si="4"/>
        <v>0.41150743181121668</v>
      </c>
      <c r="F63" s="63">
        <f t="shared" si="5"/>
        <v>0.47078129633627097</v>
      </c>
      <c r="H63" s="12" t="s">
        <v>54</v>
      </c>
      <c r="I63" s="50">
        <v>13848</v>
      </c>
      <c r="J63" s="50">
        <v>13017.99</v>
      </c>
      <c r="K63" s="50">
        <v>11113</v>
      </c>
      <c r="L63" s="50">
        <v>10741.99</v>
      </c>
      <c r="M63" s="50">
        <v>11318.99</v>
      </c>
      <c r="O63" s="12" t="s">
        <v>54</v>
      </c>
      <c r="P63" s="50">
        <v>32021</v>
      </c>
      <c r="Q63" s="50">
        <v>28731.99</v>
      </c>
      <c r="R63" s="50">
        <v>27678.99</v>
      </c>
      <c r="S63" s="50">
        <v>26104</v>
      </c>
      <c r="T63" s="50">
        <v>24042.99</v>
      </c>
    </row>
    <row r="64" spans="1:20" x14ac:dyDescent="0.3">
      <c r="A64" s="12" t="s">
        <v>23</v>
      </c>
      <c r="B64" s="63">
        <f t="shared" si="1"/>
        <v>0.69879172161868786</v>
      </c>
      <c r="C64" s="63">
        <f t="shared" si="2"/>
        <v>0.72067209775967411</v>
      </c>
      <c r="D64" s="63">
        <f t="shared" si="3"/>
        <v>0.60270964978044339</v>
      </c>
      <c r="E64" s="63">
        <f t="shared" si="4"/>
        <v>0.54987311044907872</v>
      </c>
      <c r="F64" s="63">
        <f t="shared" si="5"/>
        <v>0.62155845650544927</v>
      </c>
      <c r="H64" s="12" t="s">
        <v>23</v>
      </c>
      <c r="I64" s="50">
        <v>15211.99</v>
      </c>
      <c r="J64" s="50">
        <v>14154</v>
      </c>
      <c r="K64" s="50">
        <v>11255</v>
      </c>
      <c r="L64" s="50">
        <v>9967</v>
      </c>
      <c r="M64" s="50">
        <v>10045</v>
      </c>
      <c r="O64" s="12" t="s">
        <v>23</v>
      </c>
      <c r="P64" s="50">
        <v>21768.99</v>
      </c>
      <c r="Q64" s="50">
        <v>19640</v>
      </c>
      <c r="R64" s="50">
        <v>18674</v>
      </c>
      <c r="S64" s="50">
        <v>18126</v>
      </c>
      <c r="T64" s="50">
        <v>16160.99</v>
      </c>
    </row>
    <row r="65" spans="1:20" x14ac:dyDescent="0.3">
      <c r="A65" s="12" t="s">
        <v>49</v>
      </c>
      <c r="B65" s="63">
        <f t="shared" si="1"/>
        <v>0.41205197523327808</v>
      </c>
      <c r="C65" s="63">
        <f t="shared" si="2"/>
        <v>0.44040697674418605</v>
      </c>
      <c r="D65" s="63">
        <f t="shared" si="3"/>
        <v>0.44163545568039952</v>
      </c>
      <c r="E65" s="63">
        <f t="shared" si="4"/>
        <v>0.41020713218022636</v>
      </c>
      <c r="F65" s="63">
        <f t="shared" si="5"/>
        <v>0.44096609767662398</v>
      </c>
      <c r="H65" s="12" t="s">
        <v>49</v>
      </c>
      <c r="I65" s="50">
        <v>4725</v>
      </c>
      <c r="J65" s="50">
        <v>4545</v>
      </c>
      <c r="K65" s="50">
        <v>4245</v>
      </c>
      <c r="L65" s="50">
        <v>3842</v>
      </c>
      <c r="M65" s="50">
        <v>3719.99</v>
      </c>
      <c r="O65" s="12" t="s">
        <v>49</v>
      </c>
      <c r="P65" s="50">
        <v>11467</v>
      </c>
      <c r="Q65" s="50">
        <v>10320</v>
      </c>
      <c r="R65" s="50">
        <v>9612</v>
      </c>
      <c r="S65" s="50">
        <v>9366</v>
      </c>
      <c r="T65" s="50">
        <v>8436</v>
      </c>
    </row>
    <row r="66" spans="1:20" x14ac:dyDescent="0.3">
      <c r="A66" s="12" t="s">
        <v>24</v>
      </c>
      <c r="B66" s="63">
        <f t="shared" si="1"/>
        <v>0.38647280571124398</v>
      </c>
      <c r="C66" s="63">
        <f t="shared" si="2"/>
        <v>0.40343825992974874</v>
      </c>
      <c r="D66" s="63">
        <f t="shared" si="3"/>
        <v>0.38073901748171357</v>
      </c>
      <c r="E66" s="63">
        <f t="shared" si="4"/>
        <v>0.35937796286500229</v>
      </c>
      <c r="F66" s="63">
        <f t="shared" si="5"/>
        <v>0.38731140598045655</v>
      </c>
      <c r="H66" s="12" t="s">
        <v>24</v>
      </c>
      <c r="I66" s="50">
        <v>12770.99</v>
      </c>
      <c r="J66" s="50">
        <v>11945</v>
      </c>
      <c r="K66" s="50">
        <v>10615</v>
      </c>
      <c r="L66" s="50">
        <v>9912</v>
      </c>
      <c r="M66" s="50">
        <v>9670</v>
      </c>
      <c r="O66" s="12" t="s">
        <v>24</v>
      </c>
      <c r="P66" s="50">
        <v>33044.99</v>
      </c>
      <c r="Q66" s="50">
        <v>29608</v>
      </c>
      <c r="R66" s="50">
        <v>27879.99</v>
      </c>
      <c r="S66" s="50">
        <v>27580.99</v>
      </c>
      <c r="T66" s="50">
        <v>24966.99</v>
      </c>
    </row>
    <row r="67" spans="1:20" x14ac:dyDescent="0.3">
      <c r="A67" s="12" t="s">
        <v>68</v>
      </c>
      <c r="B67" s="63">
        <f t="shared" si="1"/>
        <v>0.43231833288421812</v>
      </c>
      <c r="C67" s="63">
        <f t="shared" si="2"/>
        <v>0.45247453838017487</v>
      </c>
      <c r="D67" s="63">
        <f t="shared" si="3"/>
        <v>0.45671865787640026</v>
      </c>
      <c r="E67" s="63">
        <f t="shared" si="4"/>
        <v>0.45440130054297007</v>
      </c>
      <c r="F67" s="63">
        <f t="shared" si="5"/>
        <v>0.51002567551045364</v>
      </c>
      <c r="H67" s="12" t="s">
        <v>68</v>
      </c>
      <c r="I67" s="50">
        <v>9626</v>
      </c>
      <c r="J67" s="50">
        <v>9116</v>
      </c>
      <c r="K67" s="50">
        <v>8521</v>
      </c>
      <c r="L67" s="50">
        <v>8296</v>
      </c>
      <c r="M67" s="50">
        <v>8343</v>
      </c>
      <c r="O67" s="12" t="s">
        <v>68</v>
      </c>
      <c r="P67" s="50">
        <v>22266</v>
      </c>
      <c r="Q67" s="50">
        <v>20146.990000000002</v>
      </c>
      <c r="R67" s="50">
        <v>18657</v>
      </c>
      <c r="S67" s="50">
        <v>18256.990000000002</v>
      </c>
      <c r="T67" s="50">
        <v>16358</v>
      </c>
    </row>
    <row r="68" spans="1:20" x14ac:dyDescent="0.3">
      <c r="A68" s="12" t="s">
        <v>41</v>
      </c>
      <c r="B68" s="63">
        <f t="shared" si="1"/>
        <v>0.44885699983313865</v>
      </c>
      <c r="C68" s="63">
        <f t="shared" si="2"/>
        <v>0.45805426633673285</v>
      </c>
      <c r="D68" s="63">
        <f t="shared" si="3"/>
        <v>0.43995390128322309</v>
      </c>
      <c r="E68" s="63">
        <f t="shared" si="4"/>
        <v>0.38239119559779888</v>
      </c>
      <c r="F68" s="63">
        <f t="shared" si="5"/>
        <v>0.38454726588443655</v>
      </c>
      <c r="H68" s="12" t="s">
        <v>41</v>
      </c>
      <c r="I68" s="50">
        <v>5380</v>
      </c>
      <c r="J68" s="50">
        <v>4985</v>
      </c>
      <c r="K68" s="50">
        <v>4539</v>
      </c>
      <c r="L68" s="50">
        <v>3822</v>
      </c>
      <c r="M68" s="50">
        <v>3474</v>
      </c>
      <c r="O68" s="12" t="s">
        <v>41</v>
      </c>
      <c r="P68" s="50">
        <v>11986</v>
      </c>
      <c r="Q68" s="50">
        <v>10882.99</v>
      </c>
      <c r="R68" s="50">
        <v>10316.99</v>
      </c>
      <c r="S68" s="50">
        <v>9995</v>
      </c>
      <c r="T68" s="50">
        <v>9034</v>
      </c>
    </row>
    <row r="69" spans="1:20" x14ac:dyDescent="0.3">
      <c r="A69" s="12" t="s">
        <v>101</v>
      </c>
      <c r="B69" s="63">
        <f t="shared" ref="B69:B99" si="6">I69/P69</f>
        <v>0.53140615757197263</v>
      </c>
      <c r="C69" s="63">
        <f t="shared" ref="C69:C99" si="7">J69/Q69</f>
        <v>0.55359416307738007</v>
      </c>
      <c r="D69" s="63">
        <f t="shared" ref="D69:D99" si="8">K69/R69</f>
        <v>0.52042340914931862</v>
      </c>
      <c r="E69" s="63">
        <f t="shared" ref="E69:E99" si="9">L69/S69</f>
        <v>0.48495766445991939</v>
      </c>
      <c r="F69" s="63">
        <f t="shared" ref="F69:F99" si="10">M69/T69</f>
        <v>0.50449760029328228</v>
      </c>
      <c r="H69" s="12" t="s">
        <v>101</v>
      </c>
      <c r="I69" s="50">
        <v>78146.990000000005</v>
      </c>
      <c r="J69" s="50">
        <v>74546.990000000005</v>
      </c>
      <c r="K69" s="50">
        <v>68100</v>
      </c>
      <c r="L69" s="50">
        <v>62431.99</v>
      </c>
      <c r="M69" s="50">
        <v>60853</v>
      </c>
      <c r="O69" s="12" t="s">
        <v>101</v>
      </c>
      <c r="P69" s="50">
        <v>147056.99</v>
      </c>
      <c r="Q69" s="50">
        <v>134660</v>
      </c>
      <c r="R69" s="50">
        <v>130854.99</v>
      </c>
      <c r="S69" s="50">
        <v>128736.99</v>
      </c>
      <c r="T69" s="50">
        <v>120620.99</v>
      </c>
    </row>
    <row r="70" spans="1:20" x14ac:dyDescent="0.3">
      <c r="A70" s="12" t="s">
        <v>55</v>
      </c>
      <c r="B70" s="63">
        <f t="shared" si="6"/>
        <v>0.63168248090719736</v>
      </c>
      <c r="C70" s="63">
        <f t="shared" si="7"/>
        <v>0.66243490775873348</v>
      </c>
      <c r="D70" s="63">
        <f t="shared" si="8"/>
        <v>0.57454251883745966</v>
      </c>
      <c r="E70" s="63">
        <f t="shared" si="9"/>
        <v>0.50152354570637114</v>
      </c>
      <c r="F70" s="63">
        <f t="shared" si="10"/>
        <v>0.71724355934882256</v>
      </c>
      <c r="H70" s="12" t="s">
        <v>55</v>
      </c>
      <c r="I70" s="50">
        <v>5459</v>
      </c>
      <c r="J70" s="50">
        <v>5062.99</v>
      </c>
      <c r="K70" s="50">
        <v>4270</v>
      </c>
      <c r="L70" s="50">
        <v>3621</v>
      </c>
      <c r="M70" s="50">
        <v>4538</v>
      </c>
      <c r="O70" s="12" t="s">
        <v>55</v>
      </c>
      <c r="P70" s="50">
        <v>8642</v>
      </c>
      <c r="Q70" s="50">
        <v>7643</v>
      </c>
      <c r="R70" s="50">
        <v>7432</v>
      </c>
      <c r="S70" s="50">
        <v>7220</v>
      </c>
      <c r="T70" s="50">
        <v>6327</v>
      </c>
    </row>
    <row r="71" spans="1:20" x14ac:dyDescent="0.3">
      <c r="A71" s="12" t="s">
        <v>16</v>
      </c>
      <c r="B71" s="63">
        <f t="shared" si="6"/>
        <v>0.63107414335177303</v>
      </c>
      <c r="C71" s="63">
        <f t="shared" si="7"/>
        <v>0.64384543539173311</v>
      </c>
      <c r="D71" s="63">
        <f t="shared" si="8"/>
        <v>0.62203641590800196</v>
      </c>
      <c r="E71" s="63">
        <f t="shared" si="9"/>
        <v>0.5935055359136584</v>
      </c>
      <c r="F71" s="63">
        <f t="shared" si="10"/>
        <v>0.61720156654030578</v>
      </c>
      <c r="H71" s="12" t="s">
        <v>16</v>
      </c>
      <c r="I71" s="50">
        <v>31714</v>
      </c>
      <c r="J71" s="50">
        <v>29642</v>
      </c>
      <c r="K71" s="50">
        <v>27261.99</v>
      </c>
      <c r="L71" s="50">
        <v>25515.99</v>
      </c>
      <c r="M71" s="50">
        <v>24584.99</v>
      </c>
      <c r="O71" s="12" t="s">
        <v>16</v>
      </c>
      <c r="P71" s="50">
        <v>50254</v>
      </c>
      <c r="Q71" s="50">
        <v>46039</v>
      </c>
      <c r="R71" s="50">
        <v>43827</v>
      </c>
      <c r="S71" s="50">
        <v>42992</v>
      </c>
      <c r="T71" s="50">
        <v>39833</v>
      </c>
    </row>
    <row r="72" spans="1:20" x14ac:dyDescent="0.3">
      <c r="A72" s="12" t="s">
        <v>19</v>
      </c>
      <c r="B72" s="63">
        <f t="shared" si="6"/>
        <v>0.44989993857615568</v>
      </c>
      <c r="C72" s="63">
        <f t="shared" si="7"/>
        <v>0.47397704108863481</v>
      </c>
      <c r="D72" s="63">
        <f t="shared" si="8"/>
        <v>0.42822431514213222</v>
      </c>
      <c r="E72" s="63">
        <f t="shared" si="9"/>
        <v>0.40320086961937973</v>
      </c>
      <c r="F72" s="63">
        <f t="shared" si="10"/>
        <v>0.40746525783852072</v>
      </c>
      <c r="H72" s="12" t="s">
        <v>19</v>
      </c>
      <c r="I72" s="50">
        <v>22706</v>
      </c>
      <c r="J72" s="50">
        <v>22157</v>
      </c>
      <c r="K72" s="50">
        <v>19915</v>
      </c>
      <c r="L72" s="50">
        <v>18190</v>
      </c>
      <c r="M72" s="50">
        <v>17739</v>
      </c>
      <c r="O72" s="12" t="s">
        <v>19</v>
      </c>
      <c r="P72" s="50">
        <v>50469</v>
      </c>
      <c r="Q72" s="50">
        <v>46746.99</v>
      </c>
      <c r="R72" s="50">
        <v>46506</v>
      </c>
      <c r="S72" s="50">
        <v>45113.99</v>
      </c>
      <c r="T72" s="50">
        <v>43535</v>
      </c>
    </row>
    <row r="73" spans="1:20" x14ac:dyDescent="0.3">
      <c r="A73" s="12" t="s">
        <v>17</v>
      </c>
      <c r="B73" s="63">
        <f t="shared" si="6"/>
        <v>0.40305262223799804</v>
      </c>
      <c r="C73" s="63">
        <f t="shared" si="7"/>
        <v>0.39833022748695757</v>
      </c>
      <c r="D73" s="63">
        <f t="shared" si="8"/>
        <v>0.36663753762501211</v>
      </c>
      <c r="E73" s="63">
        <f t="shared" si="9"/>
        <v>0.3460346491896561</v>
      </c>
      <c r="F73" s="63">
        <f t="shared" si="10"/>
        <v>0.36074089621156469</v>
      </c>
      <c r="H73" s="12" t="s">
        <v>17</v>
      </c>
      <c r="I73" s="50">
        <v>9084</v>
      </c>
      <c r="J73" s="50">
        <v>8253</v>
      </c>
      <c r="K73" s="50">
        <v>7552</v>
      </c>
      <c r="L73" s="50">
        <v>6811</v>
      </c>
      <c r="M73" s="50">
        <v>6875</v>
      </c>
      <c r="O73" s="12" t="s">
        <v>17</v>
      </c>
      <c r="P73" s="50">
        <v>22538</v>
      </c>
      <c r="Q73" s="50">
        <v>20718.990000000002</v>
      </c>
      <c r="R73" s="50">
        <v>20598</v>
      </c>
      <c r="S73" s="50">
        <f>S72-SUM(S74:S75)</f>
        <v>19682.999999999996</v>
      </c>
      <c r="T73" s="50">
        <f>T72-SUM(T74:T75)</f>
        <v>19058</v>
      </c>
    </row>
    <row r="74" spans="1:20" x14ac:dyDescent="0.3">
      <c r="A74" s="12" t="s">
        <v>60</v>
      </c>
      <c r="B74" s="63">
        <f t="shared" si="6"/>
        <v>0.48835597449403939</v>
      </c>
      <c r="C74" s="63">
        <f t="shared" si="7"/>
        <v>0.49136922176711528</v>
      </c>
      <c r="D74" s="63">
        <f t="shared" si="8"/>
        <v>0.43186016768509305</v>
      </c>
      <c r="E74" s="63">
        <f t="shared" si="9"/>
        <v>0.41254697889563458</v>
      </c>
      <c r="F74" s="63">
        <f t="shared" si="10"/>
        <v>0.40977276102777366</v>
      </c>
      <c r="H74" s="12" t="s">
        <v>60</v>
      </c>
      <c r="I74" s="50">
        <v>3523</v>
      </c>
      <c r="J74" s="50">
        <v>3359</v>
      </c>
      <c r="K74" s="50">
        <v>3039</v>
      </c>
      <c r="L74" s="50">
        <v>2854</v>
      </c>
      <c r="M74" s="50">
        <v>2759</v>
      </c>
      <c r="O74" s="12" t="s">
        <v>60</v>
      </c>
      <c r="P74" s="50">
        <v>7214</v>
      </c>
      <c r="Q74" s="50">
        <v>6836</v>
      </c>
      <c r="R74" s="50">
        <v>7037</v>
      </c>
      <c r="S74" s="50">
        <v>6918</v>
      </c>
      <c r="T74" s="50">
        <v>6733</v>
      </c>
    </row>
    <row r="75" spans="1:20" x14ac:dyDescent="0.3">
      <c r="A75" s="12" t="s">
        <v>95</v>
      </c>
      <c r="B75" s="63">
        <f t="shared" si="6"/>
        <v>0.48747429042539475</v>
      </c>
      <c r="C75" s="63">
        <f t="shared" si="7"/>
        <v>0.54944768653605669</v>
      </c>
      <c r="D75" s="63">
        <f t="shared" si="8"/>
        <v>0.49409146309151608</v>
      </c>
      <c r="E75" s="63">
        <f t="shared" si="9"/>
        <v>0.46048747393046718</v>
      </c>
      <c r="F75" s="63">
        <f t="shared" si="10"/>
        <v>0.45677412082957619</v>
      </c>
      <c r="H75" s="12" t="s">
        <v>95</v>
      </c>
      <c r="I75" s="50">
        <v>10099</v>
      </c>
      <c r="J75" s="50">
        <v>10545</v>
      </c>
      <c r="K75" s="50">
        <v>9324</v>
      </c>
      <c r="L75" s="50">
        <v>8525</v>
      </c>
      <c r="M75" s="50">
        <v>8105</v>
      </c>
      <c r="O75" s="12" t="s">
        <v>95</v>
      </c>
      <c r="P75" s="50">
        <v>20716.990000000002</v>
      </c>
      <c r="Q75" s="50">
        <v>19192</v>
      </c>
      <c r="R75" s="50">
        <v>18871</v>
      </c>
      <c r="S75" s="50">
        <v>18512.990000000002</v>
      </c>
      <c r="T75" s="50">
        <v>17744</v>
      </c>
    </row>
    <row r="76" spans="1:20" x14ac:dyDescent="0.3">
      <c r="A76" s="12" t="s">
        <v>82</v>
      </c>
      <c r="B76" s="63">
        <f t="shared" si="6"/>
        <v>0.48466504421761764</v>
      </c>
      <c r="C76" s="63">
        <f t="shared" si="7"/>
        <v>0.51663696649236068</v>
      </c>
      <c r="D76" s="63">
        <f t="shared" si="8"/>
        <v>0.50326382592928376</v>
      </c>
      <c r="E76" s="63">
        <f t="shared" si="9"/>
        <v>0.45209661488731256</v>
      </c>
      <c r="F76" s="63">
        <f t="shared" si="10"/>
        <v>0.45240233214846148</v>
      </c>
      <c r="H76" s="12" t="s">
        <v>82</v>
      </c>
      <c r="I76" s="50">
        <v>18267.990000000002</v>
      </c>
      <c r="J76" s="50">
        <v>17685</v>
      </c>
      <c r="K76" s="50">
        <v>16653</v>
      </c>
      <c r="L76" s="50">
        <v>15105</v>
      </c>
      <c r="M76" s="50">
        <v>13990.99</v>
      </c>
      <c r="O76" s="12" t="s">
        <v>82</v>
      </c>
      <c r="P76" s="50">
        <v>37691.99</v>
      </c>
      <c r="Q76" s="50">
        <v>34231</v>
      </c>
      <c r="R76" s="50">
        <v>33090</v>
      </c>
      <c r="S76" s="50">
        <v>33411</v>
      </c>
      <c r="T76" s="50">
        <v>30925.99</v>
      </c>
    </row>
    <row r="77" spans="1:20" x14ac:dyDescent="0.3">
      <c r="A77" s="12" t="s">
        <v>102</v>
      </c>
      <c r="B77" s="63">
        <f t="shared" si="6"/>
        <v>0.56204597701149428</v>
      </c>
      <c r="C77" s="63">
        <f t="shared" si="7"/>
        <v>0.57964587612091689</v>
      </c>
      <c r="D77" s="63">
        <f t="shared" si="8"/>
        <v>0.53671276226552711</v>
      </c>
      <c r="E77" s="63">
        <f t="shared" si="9"/>
        <v>0.51727041944611063</v>
      </c>
      <c r="F77" s="63">
        <f t="shared" si="10"/>
        <v>0.53046867882290161</v>
      </c>
      <c r="H77" s="12" t="s">
        <v>102</v>
      </c>
      <c r="I77" s="50">
        <v>110264.99</v>
      </c>
      <c r="J77" s="50">
        <v>103079</v>
      </c>
      <c r="K77" s="50">
        <v>91246</v>
      </c>
      <c r="L77" s="50">
        <v>85376</v>
      </c>
      <c r="M77" s="50">
        <v>81515</v>
      </c>
      <c r="O77" s="12" t="s">
        <v>102</v>
      </c>
      <c r="P77" s="50">
        <v>196185</v>
      </c>
      <c r="Q77" s="50">
        <v>177830.99</v>
      </c>
      <c r="R77" s="50">
        <v>170009</v>
      </c>
      <c r="S77" s="50">
        <v>165051</v>
      </c>
      <c r="T77" s="50">
        <v>153666</v>
      </c>
    </row>
    <row r="78" spans="1:20" x14ac:dyDescent="0.3">
      <c r="A78" s="12" t="s">
        <v>58</v>
      </c>
      <c r="B78" s="63">
        <f t="shared" si="6"/>
        <v>0.49387658762051878</v>
      </c>
      <c r="C78" s="63">
        <f t="shared" si="7"/>
        <v>0.53317873049172426</v>
      </c>
      <c r="D78" s="63">
        <f t="shared" si="8"/>
        <v>0.48653256051824073</v>
      </c>
      <c r="E78" s="63">
        <f t="shared" si="9"/>
        <v>0.44612890233701324</v>
      </c>
      <c r="F78" s="63">
        <f t="shared" si="10"/>
        <v>0.43910372244307916</v>
      </c>
      <c r="H78" s="12" t="s">
        <v>58</v>
      </c>
      <c r="I78" s="50">
        <v>1653</v>
      </c>
      <c r="J78" s="50">
        <v>1591</v>
      </c>
      <c r="K78" s="50">
        <v>1427</v>
      </c>
      <c r="L78" s="50">
        <v>1296</v>
      </c>
      <c r="M78" s="50">
        <v>1215</v>
      </c>
      <c r="O78" s="12" t="s">
        <v>58</v>
      </c>
      <c r="P78" s="50">
        <v>3346.99</v>
      </c>
      <c r="Q78" s="50">
        <v>2983.99</v>
      </c>
      <c r="R78" s="50">
        <v>2933</v>
      </c>
      <c r="S78" s="50">
        <v>2904.99</v>
      </c>
      <c r="T78" s="50">
        <v>2767</v>
      </c>
    </row>
    <row r="79" spans="1:20" x14ac:dyDescent="0.3">
      <c r="A79" s="12" t="s">
        <v>14</v>
      </c>
      <c r="B79" s="63">
        <f t="shared" si="6"/>
        <v>0.41303350160624142</v>
      </c>
      <c r="C79" s="63">
        <f t="shared" si="7"/>
        <v>0.41729904068805818</v>
      </c>
      <c r="D79" s="63">
        <f t="shared" si="8"/>
        <v>0.35707844905320107</v>
      </c>
      <c r="E79" s="63">
        <f t="shared" si="9"/>
        <v>0.40042469285605947</v>
      </c>
      <c r="F79" s="63">
        <f t="shared" si="10"/>
        <v>0.45847287340924314</v>
      </c>
      <c r="H79" s="12" t="s">
        <v>14</v>
      </c>
      <c r="I79" s="50">
        <v>2700</v>
      </c>
      <c r="J79" s="50">
        <v>2522.9899999999998</v>
      </c>
      <c r="K79" s="50">
        <v>2376</v>
      </c>
      <c r="L79" s="50">
        <v>2640</v>
      </c>
      <c r="M79" s="50">
        <v>2738</v>
      </c>
      <c r="O79" s="12" t="s">
        <v>14</v>
      </c>
      <c r="P79" s="50">
        <v>6537</v>
      </c>
      <c r="Q79" s="50">
        <v>6046</v>
      </c>
      <c r="R79" s="50">
        <v>6654</v>
      </c>
      <c r="S79" s="50">
        <v>6593</v>
      </c>
      <c r="T79" s="50">
        <v>5972</v>
      </c>
    </row>
    <row r="80" spans="1:20" x14ac:dyDescent="0.3">
      <c r="A80" s="12" t="s">
        <v>77</v>
      </c>
      <c r="B80" s="63">
        <f t="shared" si="6"/>
        <v>0.40824714032543896</v>
      </c>
      <c r="C80" s="63">
        <f t="shared" si="7"/>
        <v>0.45168642241379309</v>
      </c>
      <c r="D80" s="63">
        <f t="shared" si="8"/>
        <v>0.4491241147968692</v>
      </c>
      <c r="E80" s="63">
        <f t="shared" si="9"/>
        <v>0.41463878326996195</v>
      </c>
      <c r="F80" s="63">
        <f t="shared" si="10"/>
        <v>0.40091798044302535</v>
      </c>
      <c r="H80" s="12" t="s">
        <v>77</v>
      </c>
      <c r="I80" s="50">
        <v>2533.9899999999998</v>
      </c>
      <c r="J80" s="50">
        <v>2514.9899999999998</v>
      </c>
      <c r="K80" s="50">
        <v>2410</v>
      </c>
      <c r="L80" s="50">
        <v>2181</v>
      </c>
      <c r="M80" s="50">
        <v>2009</v>
      </c>
      <c r="O80" s="12" t="s">
        <v>77</v>
      </c>
      <c r="P80" s="50">
        <v>6207</v>
      </c>
      <c r="Q80" s="50">
        <v>5568</v>
      </c>
      <c r="R80" s="50">
        <v>5366</v>
      </c>
      <c r="S80" s="50">
        <v>5260</v>
      </c>
      <c r="T80" s="50">
        <v>5011</v>
      </c>
    </row>
    <row r="81" spans="1:20" x14ac:dyDescent="0.3">
      <c r="A81" s="12" t="s">
        <v>12</v>
      </c>
      <c r="B81" s="63">
        <f t="shared" si="6"/>
        <v>0.45266532809295967</v>
      </c>
      <c r="C81" s="63">
        <f t="shared" si="7"/>
        <v>0.48797746643465323</v>
      </c>
      <c r="D81" s="63">
        <f t="shared" si="8"/>
        <v>0.42782258064516127</v>
      </c>
      <c r="E81" s="63">
        <f t="shared" si="9"/>
        <v>0.3980945362669755</v>
      </c>
      <c r="F81" s="63">
        <f t="shared" si="10"/>
        <v>0.45523321956769058</v>
      </c>
      <c r="H81" s="12" t="s">
        <v>12</v>
      </c>
      <c r="I81" s="50">
        <v>10595.99</v>
      </c>
      <c r="J81" s="50">
        <v>10289</v>
      </c>
      <c r="K81" s="50">
        <v>8488</v>
      </c>
      <c r="L81" s="50">
        <v>7563</v>
      </c>
      <c r="M81" s="50">
        <v>8003</v>
      </c>
      <c r="O81" s="12" t="s">
        <v>12</v>
      </c>
      <c r="P81" s="50">
        <v>23408</v>
      </c>
      <c r="Q81" s="50">
        <v>21084.99</v>
      </c>
      <c r="R81" s="50">
        <v>19840</v>
      </c>
      <c r="S81" s="50">
        <v>18998</v>
      </c>
      <c r="T81" s="50">
        <v>17580</v>
      </c>
    </row>
    <row r="82" spans="1:20" x14ac:dyDescent="0.3">
      <c r="A82" s="12" t="s">
        <v>61</v>
      </c>
      <c r="B82" s="63">
        <f t="shared" si="6"/>
        <v>0.65520346443268551</v>
      </c>
      <c r="C82" s="63">
        <f t="shared" si="7"/>
        <v>0.67325769606797459</v>
      </c>
      <c r="D82" s="63">
        <f t="shared" si="8"/>
        <v>0.62821561080612831</v>
      </c>
      <c r="E82" s="63">
        <f t="shared" si="9"/>
        <v>0.62673378863620366</v>
      </c>
      <c r="F82" s="63">
        <f t="shared" si="10"/>
        <v>0.60165701744428046</v>
      </c>
      <c r="H82" s="12" t="s">
        <v>61</v>
      </c>
      <c r="I82" s="50">
        <v>21967</v>
      </c>
      <c r="J82" s="50">
        <v>20294</v>
      </c>
      <c r="K82" s="50">
        <v>18216.990000000002</v>
      </c>
      <c r="L82" s="50">
        <v>17803</v>
      </c>
      <c r="M82" s="50">
        <v>15899.99</v>
      </c>
      <c r="O82" s="12" t="s">
        <v>61</v>
      </c>
      <c r="P82" s="50">
        <v>33526.99</v>
      </c>
      <c r="Q82" s="50">
        <v>30142.99</v>
      </c>
      <c r="R82" s="50">
        <v>28997.99</v>
      </c>
      <c r="S82" s="50">
        <v>28406</v>
      </c>
      <c r="T82" s="50">
        <v>26427</v>
      </c>
    </row>
    <row r="83" spans="1:20" x14ac:dyDescent="0.3">
      <c r="A83" s="12" t="s">
        <v>72</v>
      </c>
      <c r="B83" s="63">
        <f t="shared" si="6"/>
        <v>0.56323161514300091</v>
      </c>
      <c r="C83" s="63">
        <f t="shared" si="7"/>
        <v>0.60602307311203907</v>
      </c>
      <c r="D83" s="63">
        <f t="shared" si="8"/>
        <v>0.56308466791029677</v>
      </c>
      <c r="E83" s="63">
        <f t="shared" si="9"/>
        <v>0.52528629690080086</v>
      </c>
      <c r="F83" s="63">
        <f t="shared" si="10"/>
        <v>0.54752239707152617</v>
      </c>
      <c r="H83" s="12" t="s">
        <v>72</v>
      </c>
      <c r="I83" s="50">
        <v>17374</v>
      </c>
      <c r="J83" s="50">
        <v>17125</v>
      </c>
      <c r="K83" s="50">
        <v>15174</v>
      </c>
      <c r="L83" s="50">
        <v>13751.99</v>
      </c>
      <c r="M83" s="50">
        <v>13457</v>
      </c>
      <c r="O83" s="12" t="s">
        <v>72</v>
      </c>
      <c r="P83" s="50">
        <v>30846.99</v>
      </c>
      <c r="Q83" s="50">
        <v>28258</v>
      </c>
      <c r="R83" s="50">
        <v>26947.99</v>
      </c>
      <c r="S83" s="50">
        <v>26179.99</v>
      </c>
      <c r="T83" s="50">
        <v>24577.99</v>
      </c>
    </row>
    <row r="84" spans="1:20" x14ac:dyDescent="0.3">
      <c r="A84" s="12" t="s">
        <v>76</v>
      </c>
      <c r="B84" s="63">
        <f t="shared" si="6"/>
        <v>0.66021125102157152</v>
      </c>
      <c r="C84" s="63">
        <f t="shared" si="7"/>
        <v>0.67034890991704532</v>
      </c>
      <c r="D84" s="63">
        <f t="shared" si="8"/>
        <v>0.62749463629690549</v>
      </c>
      <c r="E84" s="63">
        <f t="shared" si="9"/>
        <v>0.62970974909730582</v>
      </c>
      <c r="F84" s="63">
        <f t="shared" si="10"/>
        <v>0.64872248924867193</v>
      </c>
      <c r="H84" s="12" t="s">
        <v>76</v>
      </c>
      <c r="I84" s="50">
        <v>17522</v>
      </c>
      <c r="J84" s="50">
        <v>16081</v>
      </c>
      <c r="K84" s="50">
        <v>14182</v>
      </c>
      <c r="L84" s="50">
        <v>13602.99</v>
      </c>
      <c r="M84" s="50">
        <v>12822</v>
      </c>
      <c r="O84" s="12" t="s">
        <v>76</v>
      </c>
      <c r="P84" s="50">
        <v>26539.99</v>
      </c>
      <c r="Q84" s="50">
        <v>23989</v>
      </c>
      <c r="R84" s="50">
        <v>22600.99</v>
      </c>
      <c r="S84" s="50">
        <v>21602</v>
      </c>
      <c r="T84" s="50">
        <v>19765</v>
      </c>
    </row>
    <row r="85" spans="1:20" x14ac:dyDescent="0.3">
      <c r="A85" s="12" t="s">
        <v>6</v>
      </c>
      <c r="B85" s="63">
        <f t="shared" si="6"/>
        <v>0.63226486701557871</v>
      </c>
      <c r="C85" s="63">
        <f t="shared" si="7"/>
        <v>0.64410639979562323</v>
      </c>
      <c r="D85" s="63">
        <f t="shared" si="8"/>
        <v>0.58612564537925782</v>
      </c>
      <c r="E85" s="63">
        <f t="shared" si="9"/>
        <v>0.54529020620379864</v>
      </c>
      <c r="F85" s="63">
        <f t="shared" si="10"/>
        <v>0.55427122765979486</v>
      </c>
      <c r="H85" s="12" t="s">
        <v>6</v>
      </c>
      <c r="I85" s="50">
        <v>20657.990000000002</v>
      </c>
      <c r="J85" s="50">
        <v>19338</v>
      </c>
      <c r="K85" s="50">
        <v>16915</v>
      </c>
      <c r="L85" s="50">
        <v>15416.99</v>
      </c>
      <c r="M85" s="50">
        <v>14818.99</v>
      </c>
      <c r="O85" s="12" t="s">
        <v>6</v>
      </c>
      <c r="P85" s="50">
        <v>32673</v>
      </c>
      <c r="Q85" s="50">
        <v>30022.99</v>
      </c>
      <c r="R85" s="50">
        <v>28859</v>
      </c>
      <c r="S85" s="50">
        <v>28273</v>
      </c>
      <c r="T85" s="50">
        <v>26735.99</v>
      </c>
    </row>
    <row r="86" spans="1:20" x14ac:dyDescent="0.3">
      <c r="A86" s="12" t="s">
        <v>64</v>
      </c>
      <c r="B86" s="63">
        <f t="shared" si="6"/>
        <v>0.37102344516442015</v>
      </c>
      <c r="C86" s="63">
        <f t="shared" si="7"/>
        <v>0.3512684567284956</v>
      </c>
      <c r="D86" s="63">
        <f t="shared" si="8"/>
        <v>0.35163851918129962</v>
      </c>
      <c r="E86" s="63">
        <f t="shared" si="9"/>
        <v>0.32877581631475711</v>
      </c>
      <c r="F86" s="63">
        <f t="shared" si="10"/>
        <v>0.33767846058348849</v>
      </c>
      <c r="H86" s="12" t="s">
        <v>64</v>
      </c>
      <c r="I86" s="50">
        <v>7907.99</v>
      </c>
      <c r="J86" s="50">
        <v>6684.99</v>
      </c>
      <c r="K86" s="50">
        <v>6288</v>
      </c>
      <c r="L86" s="50">
        <v>5699</v>
      </c>
      <c r="M86" s="50">
        <v>5440</v>
      </c>
      <c r="O86" s="12" t="s">
        <v>64</v>
      </c>
      <c r="P86" s="50">
        <v>21313.99</v>
      </c>
      <c r="Q86" s="50">
        <v>19031</v>
      </c>
      <c r="R86" s="50">
        <v>17882</v>
      </c>
      <c r="S86" s="50">
        <v>17334</v>
      </c>
      <c r="T86" s="50">
        <v>16110</v>
      </c>
    </row>
    <row r="87" spans="1:20" x14ac:dyDescent="0.3">
      <c r="A87" s="12" t="s">
        <v>5</v>
      </c>
      <c r="B87" s="63">
        <f t="shared" si="6"/>
        <v>0.62392872295290625</v>
      </c>
      <c r="C87" s="63">
        <f t="shared" si="7"/>
        <v>0.62014200298953659</v>
      </c>
      <c r="D87" s="63">
        <f t="shared" si="8"/>
        <v>0.58108380338436749</v>
      </c>
      <c r="E87" s="63">
        <f t="shared" si="9"/>
        <v>0.57073684210526321</v>
      </c>
      <c r="F87" s="63">
        <f t="shared" si="10"/>
        <v>0.58623853211009169</v>
      </c>
      <c r="H87" s="12" t="s">
        <v>5</v>
      </c>
      <c r="I87" s="50">
        <v>7353</v>
      </c>
      <c r="J87" s="50">
        <v>6638</v>
      </c>
      <c r="K87" s="50">
        <v>5769</v>
      </c>
      <c r="L87" s="50">
        <v>5422</v>
      </c>
      <c r="M87" s="50">
        <v>5112</v>
      </c>
      <c r="O87" s="12" t="s">
        <v>5</v>
      </c>
      <c r="P87" s="50">
        <v>11785</v>
      </c>
      <c r="Q87" s="50">
        <v>10704</v>
      </c>
      <c r="R87" s="50">
        <v>9928</v>
      </c>
      <c r="S87" s="50">
        <v>9500</v>
      </c>
      <c r="T87" s="50">
        <v>8720</v>
      </c>
    </row>
    <row r="88" spans="1:20" x14ac:dyDescent="0.3">
      <c r="A88" s="12" t="s">
        <v>103</v>
      </c>
      <c r="B88" s="63">
        <f t="shared" si="6"/>
        <v>0.57597458319712325</v>
      </c>
      <c r="C88" s="63">
        <f t="shared" si="7"/>
        <v>0.57301809777673895</v>
      </c>
      <c r="D88" s="63">
        <f t="shared" si="8"/>
        <v>0.50636942675159236</v>
      </c>
      <c r="E88" s="63">
        <f t="shared" si="9"/>
        <v>0.49835106444959737</v>
      </c>
      <c r="F88" s="63">
        <f t="shared" si="10"/>
        <v>0.5202790013422578</v>
      </c>
      <c r="H88" s="12" t="s">
        <v>103</v>
      </c>
      <c r="I88" s="50">
        <v>56381</v>
      </c>
      <c r="J88" s="50">
        <v>52171</v>
      </c>
      <c r="K88" s="50">
        <v>45633</v>
      </c>
      <c r="L88" s="50">
        <v>42767.99</v>
      </c>
      <c r="M88" s="50">
        <v>41781</v>
      </c>
      <c r="O88" s="12" t="s">
        <v>103</v>
      </c>
      <c r="P88" s="50">
        <v>97888</v>
      </c>
      <c r="Q88" s="50">
        <v>91045.99</v>
      </c>
      <c r="R88" s="50">
        <v>90118</v>
      </c>
      <c r="S88" s="50">
        <v>85819</v>
      </c>
      <c r="T88" s="50">
        <v>80304.990000000005</v>
      </c>
    </row>
    <row r="89" spans="1:20" x14ac:dyDescent="0.3">
      <c r="A89" s="12" t="s">
        <v>1</v>
      </c>
      <c r="B89" s="63">
        <f t="shared" si="6"/>
        <v>0.54231112395652026</v>
      </c>
      <c r="C89" s="63">
        <f t="shared" si="7"/>
        <v>0.50380924048531839</v>
      </c>
      <c r="D89" s="63">
        <f t="shared" si="8"/>
        <v>0.42485445896109364</v>
      </c>
      <c r="E89" s="63">
        <f t="shared" si="9"/>
        <v>0.43820318359863319</v>
      </c>
      <c r="F89" s="63">
        <f t="shared" si="10"/>
        <v>0.40810711665443872</v>
      </c>
      <c r="H89" s="12" t="s">
        <v>1</v>
      </c>
      <c r="I89" s="50">
        <v>7543</v>
      </c>
      <c r="J89" s="50">
        <v>6283</v>
      </c>
      <c r="K89" s="50">
        <v>5388</v>
      </c>
      <c r="L89" s="50">
        <v>5258</v>
      </c>
      <c r="M89" s="50">
        <v>4450</v>
      </c>
      <c r="O89" s="12" t="s">
        <v>1</v>
      </c>
      <c r="P89" s="50">
        <v>13908.99</v>
      </c>
      <c r="Q89" s="50">
        <v>12470.99</v>
      </c>
      <c r="R89" s="50">
        <v>12681.99</v>
      </c>
      <c r="S89" s="50">
        <v>11999</v>
      </c>
      <c r="T89" s="50">
        <v>10904</v>
      </c>
    </row>
    <row r="90" spans="1:20" x14ac:dyDescent="0.3">
      <c r="A90" s="12" t="s">
        <v>57</v>
      </c>
      <c r="B90" s="63">
        <f t="shared" si="6"/>
        <v>0.54658127860623062</v>
      </c>
      <c r="C90" s="63">
        <f t="shared" si="7"/>
        <v>0.54730214393879018</v>
      </c>
      <c r="D90" s="63">
        <f t="shared" si="8"/>
        <v>0.46972175311620423</v>
      </c>
      <c r="E90" s="63">
        <f t="shared" si="9"/>
        <v>0.4811202800700175</v>
      </c>
      <c r="F90" s="63">
        <f t="shared" si="10"/>
        <v>0.51096925013486783</v>
      </c>
      <c r="H90" s="12" t="s">
        <v>57</v>
      </c>
      <c r="I90" s="50">
        <v>7403.99</v>
      </c>
      <c r="J90" s="50">
        <v>6867</v>
      </c>
      <c r="K90" s="50">
        <v>5840.99</v>
      </c>
      <c r="L90" s="50">
        <v>5772</v>
      </c>
      <c r="M90" s="50">
        <v>5683</v>
      </c>
      <c r="O90" s="12" t="s">
        <v>57</v>
      </c>
      <c r="P90" s="50">
        <v>13546</v>
      </c>
      <c r="Q90" s="50">
        <v>12547</v>
      </c>
      <c r="R90" s="50">
        <v>12435</v>
      </c>
      <c r="S90" s="50">
        <v>11997</v>
      </c>
      <c r="T90" s="50">
        <v>11122</v>
      </c>
    </row>
    <row r="91" spans="1:20" x14ac:dyDescent="0.3">
      <c r="A91" s="12" t="s">
        <v>62</v>
      </c>
      <c r="B91" s="63">
        <f t="shared" si="6"/>
        <v>0.67015389280570081</v>
      </c>
      <c r="C91" s="63">
        <f t="shared" si="7"/>
        <v>0.66965748615120546</v>
      </c>
      <c r="D91" s="63">
        <f t="shared" si="8"/>
        <v>0.55463083148812709</v>
      </c>
      <c r="E91" s="63">
        <f t="shared" si="9"/>
        <v>0.57805699269113908</v>
      </c>
      <c r="F91" s="63">
        <f t="shared" si="10"/>
        <v>0.60006792901418016</v>
      </c>
      <c r="H91" s="12" t="s">
        <v>62</v>
      </c>
      <c r="I91" s="50">
        <v>8840</v>
      </c>
      <c r="J91" s="50">
        <v>8583</v>
      </c>
      <c r="K91" s="50">
        <v>7264</v>
      </c>
      <c r="L91" s="50">
        <v>7039</v>
      </c>
      <c r="M91" s="50">
        <v>7067</v>
      </c>
      <c r="O91" s="12" t="s">
        <v>62</v>
      </c>
      <c r="P91" s="50">
        <v>13191</v>
      </c>
      <c r="Q91" s="50">
        <v>12817</v>
      </c>
      <c r="R91" s="50">
        <v>13097</v>
      </c>
      <c r="S91" s="50">
        <v>12177</v>
      </c>
      <c r="T91" s="50">
        <v>11777</v>
      </c>
    </row>
    <row r="92" spans="1:20" x14ac:dyDescent="0.3">
      <c r="A92" s="12" t="s">
        <v>9</v>
      </c>
      <c r="B92" s="63">
        <f t="shared" si="6"/>
        <v>0.5993561603745976</v>
      </c>
      <c r="C92" s="63">
        <f t="shared" si="7"/>
        <v>0.57376058041112454</v>
      </c>
      <c r="D92" s="63">
        <f t="shared" si="8"/>
        <v>0.53848522167487689</v>
      </c>
      <c r="E92" s="63">
        <f t="shared" si="9"/>
        <v>0.47872685936992532</v>
      </c>
      <c r="F92" s="63">
        <f t="shared" si="10"/>
        <v>0.47302924150115144</v>
      </c>
      <c r="H92" s="12" t="s">
        <v>9</v>
      </c>
      <c r="I92" s="50">
        <v>2048</v>
      </c>
      <c r="J92" s="50">
        <v>1898</v>
      </c>
      <c r="K92" s="50">
        <v>1749</v>
      </c>
      <c r="L92" s="50">
        <v>1474</v>
      </c>
      <c r="M92" s="50">
        <v>1403</v>
      </c>
      <c r="O92" s="12" t="s">
        <v>9</v>
      </c>
      <c r="P92" s="50">
        <v>3417</v>
      </c>
      <c r="Q92" s="50">
        <v>3308</v>
      </c>
      <c r="R92" s="50">
        <v>3248</v>
      </c>
      <c r="S92" s="50">
        <v>3079</v>
      </c>
      <c r="T92" s="50">
        <v>2965.99</v>
      </c>
    </row>
    <row r="93" spans="1:20" x14ac:dyDescent="0.3">
      <c r="A93" s="12" t="s">
        <v>10</v>
      </c>
      <c r="B93" s="63">
        <f t="shared" si="6"/>
        <v>0.47971942985746435</v>
      </c>
      <c r="C93" s="63">
        <f t="shared" si="7"/>
        <v>0.46728843832653594</v>
      </c>
      <c r="D93" s="63">
        <f t="shared" si="8"/>
        <v>0.42798354825232165</v>
      </c>
      <c r="E93" s="63">
        <f t="shared" si="9"/>
        <v>0.41194478137815516</v>
      </c>
      <c r="F93" s="63">
        <f t="shared" si="10"/>
        <v>0.43855985556234101</v>
      </c>
      <c r="H93" s="12" t="s">
        <v>10</v>
      </c>
      <c r="I93" s="50">
        <v>9591.99</v>
      </c>
      <c r="J93" s="50">
        <v>8521</v>
      </c>
      <c r="K93" s="50">
        <v>7693</v>
      </c>
      <c r="L93" s="50">
        <v>7132</v>
      </c>
      <c r="M93" s="50">
        <v>7088</v>
      </c>
      <c r="O93" s="12" t="s">
        <v>10</v>
      </c>
      <c r="P93" s="50">
        <v>19995</v>
      </c>
      <c r="Q93" s="50">
        <v>18234.990000000002</v>
      </c>
      <c r="R93" s="50">
        <v>17974.990000000002</v>
      </c>
      <c r="S93" s="50">
        <v>17313</v>
      </c>
      <c r="T93" s="50">
        <v>16161.99</v>
      </c>
    </row>
    <row r="94" spans="1:20" x14ac:dyDescent="0.3">
      <c r="A94" s="12" t="s">
        <v>75</v>
      </c>
      <c r="B94" s="63">
        <f t="shared" si="6"/>
        <v>0.61024730935811833</v>
      </c>
      <c r="C94" s="63">
        <f t="shared" si="7"/>
        <v>0.60954822616407978</v>
      </c>
      <c r="D94" s="63">
        <f t="shared" si="8"/>
        <v>0.56538740043446778</v>
      </c>
      <c r="E94" s="63">
        <f t="shared" si="9"/>
        <v>0.53991676125614829</v>
      </c>
      <c r="F94" s="63">
        <f t="shared" si="10"/>
        <v>0.58346166798164256</v>
      </c>
      <c r="H94" s="12" t="s">
        <v>75</v>
      </c>
      <c r="I94" s="50">
        <v>9219</v>
      </c>
      <c r="J94" s="50">
        <v>8797</v>
      </c>
      <c r="K94" s="50">
        <v>7808</v>
      </c>
      <c r="L94" s="50">
        <v>7135</v>
      </c>
      <c r="M94" s="50">
        <v>7225</v>
      </c>
      <c r="O94" s="12" t="s">
        <v>75</v>
      </c>
      <c r="P94" s="50">
        <v>15106.99</v>
      </c>
      <c r="Q94" s="50">
        <v>14432</v>
      </c>
      <c r="R94" s="50">
        <v>13810</v>
      </c>
      <c r="S94" s="50">
        <v>13215</v>
      </c>
      <c r="T94" s="50">
        <v>12382.99</v>
      </c>
    </row>
    <row r="95" spans="1:20" x14ac:dyDescent="0.3">
      <c r="A95" s="12" t="s">
        <v>73</v>
      </c>
      <c r="B95" s="63">
        <f t="shared" si="6"/>
        <v>0.58443032228778935</v>
      </c>
      <c r="C95" s="63">
        <f t="shared" si="7"/>
        <v>0.62473318817930767</v>
      </c>
      <c r="D95" s="63">
        <f t="shared" si="8"/>
        <v>0.54820512820512823</v>
      </c>
      <c r="E95" s="63">
        <f t="shared" si="9"/>
        <v>0.52610948882339459</v>
      </c>
      <c r="F95" s="63">
        <f t="shared" si="10"/>
        <v>0.57548256986459234</v>
      </c>
      <c r="H95" s="12" t="s">
        <v>73</v>
      </c>
      <c r="I95" s="50">
        <v>5150</v>
      </c>
      <c r="J95" s="50">
        <v>4961</v>
      </c>
      <c r="K95" s="50">
        <v>4276</v>
      </c>
      <c r="L95" s="50">
        <v>3879</v>
      </c>
      <c r="M95" s="50">
        <v>3995</v>
      </c>
      <c r="O95" s="12" t="s">
        <v>73</v>
      </c>
      <c r="P95" s="50">
        <v>8812</v>
      </c>
      <c r="Q95" s="50">
        <v>7940.99</v>
      </c>
      <c r="R95" s="50">
        <v>7800</v>
      </c>
      <c r="S95" s="50">
        <v>7372.99</v>
      </c>
      <c r="T95" s="50">
        <v>6942</v>
      </c>
    </row>
    <row r="96" spans="1:20" x14ac:dyDescent="0.3">
      <c r="A96" s="12" t="s">
        <v>8</v>
      </c>
      <c r="B96" s="63">
        <f t="shared" si="6"/>
        <v>0.78906797477224944</v>
      </c>
      <c r="C96" s="63">
        <f t="shared" si="7"/>
        <v>0.79066147859922176</v>
      </c>
      <c r="D96" s="63">
        <f t="shared" si="8"/>
        <v>0.73053435114503817</v>
      </c>
      <c r="E96" s="63">
        <f t="shared" si="9"/>
        <v>0.69423558897243109</v>
      </c>
      <c r="F96" s="63">
        <f t="shared" si="10"/>
        <v>0.69309462915601028</v>
      </c>
      <c r="H96" s="12" t="s">
        <v>8</v>
      </c>
      <c r="I96" s="50">
        <v>1126</v>
      </c>
      <c r="J96" s="50">
        <v>1016</v>
      </c>
      <c r="K96" s="50">
        <v>957</v>
      </c>
      <c r="L96" s="50">
        <v>831</v>
      </c>
      <c r="M96" s="50">
        <v>813</v>
      </c>
      <c r="O96" s="12" t="s">
        <v>8</v>
      </c>
      <c r="P96" s="50">
        <v>1427</v>
      </c>
      <c r="Q96" s="50">
        <v>1285</v>
      </c>
      <c r="R96" s="50">
        <v>1310</v>
      </c>
      <c r="S96" s="50">
        <v>1197</v>
      </c>
      <c r="T96" s="50">
        <v>1173</v>
      </c>
    </row>
    <row r="97" spans="1:20" x14ac:dyDescent="0.3">
      <c r="A97" s="12" t="s">
        <v>3</v>
      </c>
      <c r="B97" s="63">
        <f t="shared" si="6"/>
        <v>0.62219993313273148</v>
      </c>
      <c r="C97" s="63">
        <f t="shared" si="7"/>
        <v>0.61668390210272317</v>
      </c>
      <c r="D97" s="63">
        <f t="shared" si="8"/>
        <v>0.5761316872427984</v>
      </c>
      <c r="E97" s="63">
        <f t="shared" si="9"/>
        <v>0.55057006252298635</v>
      </c>
      <c r="F97" s="63">
        <f t="shared" si="10"/>
        <v>0.58787676767676766</v>
      </c>
      <c r="H97" s="12" t="s">
        <v>3</v>
      </c>
      <c r="I97" s="50">
        <v>3722</v>
      </c>
      <c r="J97" s="50">
        <v>3578</v>
      </c>
      <c r="K97" s="50">
        <v>3220</v>
      </c>
      <c r="L97" s="50">
        <v>2994</v>
      </c>
      <c r="M97" s="50">
        <v>2909.99</v>
      </c>
      <c r="O97" s="12" t="s">
        <v>3</v>
      </c>
      <c r="P97" s="50">
        <v>5982</v>
      </c>
      <c r="Q97" s="50">
        <v>5802</v>
      </c>
      <c r="R97" s="50">
        <v>5589</v>
      </c>
      <c r="S97" s="50">
        <v>5438</v>
      </c>
      <c r="T97" s="50">
        <v>4950</v>
      </c>
    </row>
    <row r="98" spans="1:20" x14ac:dyDescent="0.3">
      <c r="A98" s="12" t="s">
        <v>74</v>
      </c>
      <c r="B98" s="63">
        <f t="shared" si="6"/>
        <v>0.75759190197123072</v>
      </c>
      <c r="C98" s="63">
        <f t="shared" si="7"/>
        <v>0.81580510992275701</v>
      </c>
      <c r="D98" s="63">
        <f t="shared" si="8"/>
        <v>0.70664206642066418</v>
      </c>
      <c r="E98" s="63">
        <f t="shared" si="9"/>
        <v>0.63243950294310003</v>
      </c>
      <c r="F98" s="63">
        <f t="shared" si="10"/>
        <v>0.60084626234132577</v>
      </c>
      <c r="H98" s="12" t="s">
        <v>74</v>
      </c>
      <c r="I98" s="50">
        <v>1422</v>
      </c>
      <c r="J98" s="50">
        <v>1373</v>
      </c>
      <c r="K98" s="50">
        <v>1149</v>
      </c>
      <c r="L98" s="50">
        <v>967</v>
      </c>
      <c r="M98" s="50">
        <v>852</v>
      </c>
      <c r="O98" s="12" t="s">
        <v>74</v>
      </c>
      <c r="P98" s="50">
        <v>1877</v>
      </c>
      <c r="Q98" s="50">
        <v>1683</v>
      </c>
      <c r="R98" s="50">
        <v>1626</v>
      </c>
      <c r="S98" s="50">
        <v>1529</v>
      </c>
      <c r="T98" s="50">
        <v>1418</v>
      </c>
    </row>
    <row r="99" spans="1:20" x14ac:dyDescent="0.3">
      <c r="A99" s="12" t="s">
        <v>18</v>
      </c>
      <c r="B99" s="63">
        <f t="shared" si="6"/>
        <v>0.504</v>
      </c>
      <c r="C99" s="63">
        <f t="shared" si="7"/>
        <v>0.56000000000000005</v>
      </c>
      <c r="D99" s="63">
        <f t="shared" si="8"/>
        <v>0.52747252747252749</v>
      </c>
      <c r="E99" s="63">
        <f t="shared" si="9"/>
        <v>0.57171314741035861</v>
      </c>
      <c r="F99" s="63">
        <f t="shared" si="10"/>
        <v>0.5807086614173228</v>
      </c>
      <c r="H99" s="12" t="s">
        <v>18</v>
      </c>
      <c r="I99" s="50">
        <v>315</v>
      </c>
      <c r="J99" s="50">
        <v>294</v>
      </c>
      <c r="K99" s="50">
        <v>288</v>
      </c>
      <c r="L99" s="50">
        <v>287</v>
      </c>
      <c r="M99" s="50">
        <v>295</v>
      </c>
      <c r="O99" s="12" t="s">
        <v>18</v>
      </c>
      <c r="P99" s="50">
        <v>625</v>
      </c>
      <c r="Q99" s="50">
        <v>525</v>
      </c>
      <c r="R99" s="50">
        <v>546</v>
      </c>
      <c r="S99" s="50">
        <v>502</v>
      </c>
      <c r="T99" s="50">
        <v>508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ED76A-C1BA-4106-8B3A-A492DE10C41D}">
  <sheetPr codeName="Лист31">
    <tabColor theme="4" tint="0.59999389629810485"/>
    <pageSetUpPr fitToPage="1"/>
  </sheetPr>
  <dimension ref="A1:K97"/>
  <sheetViews>
    <sheetView showGridLines="0" workbookViewId="0"/>
  </sheetViews>
  <sheetFormatPr defaultRowHeight="16.5" x14ac:dyDescent="0.3"/>
  <cols>
    <col min="1" max="1" width="108.5703125" style="9" customWidth="1"/>
    <col min="2" max="2" width="13.140625" style="4" bestFit="1" customWidth="1"/>
    <col min="3" max="7" width="9.85546875" style="4" bestFit="1" customWidth="1"/>
    <col min="8" max="240" width="9.140625" style="4"/>
    <col min="241" max="241" width="108.5703125" style="4" customWidth="1"/>
    <col min="242" max="242" width="1.5703125" style="4" customWidth="1"/>
    <col min="243" max="243" width="6" style="4" customWidth="1"/>
    <col min="244" max="496" width="9.140625" style="4"/>
    <col min="497" max="497" width="108.5703125" style="4" customWidth="1"/>
    <col min="498" max="498" width="1.5703125" style="4" customWidth="1"/>
    <col min="499" max="499" width="6" style="4" customWidth="1"/>
    <col min="500" max="752" width="9.140625" style="4"/>
    <col min="753" max="753" width="108.5703125" style="4" customWidth="1"/>
    <col min="754" max="754" width="1.5703125" style="4" customWidth="1"/>
    <col min="755" max="755" width="6" style="4" customWidth="1"/>
    <col min="756" max="1008" width="9.140625" style="4"/>
    <col min="1009" max="1009" width="108.5703125" style="4" customWidth="1"/>
    <col min="1010" max="1010" width="1.5703125" style="4" customWidth="1"/>
    <col min="1011" max="1011" width="6" style="4" customWidth="1"/>
    <col min="1012" max="1264" width="9.140625" style="4"/>
    <col min="1265" max="1265" width="108.5703125" style="4" customWidth="1"/>
    <col min="1266" max="1266" width="1.5703125" style="4" customWidth="1"/>
    <col min="1267" max="1267" width="6" style="4" customWidth="1"/>
    <col min="1268" max="1520" width="9.140625" style="4"/>
    <col min="1521" max="1521" width="108.5703125" style="4" customWidth="1"/>
    <col min="1522" max="1522" width="1.5703125" style="4" customWidth="1"/>
    <col min="1523" max="1523" width="6" style="4" customWidth="1"/>
    <col min="1524" max="1776" width="9.140625" style="4"/>
    <col min="1777" max="1777" width="108.5703125" style="4" customWidth="1"/>
    <col min="1778" max="1778" width="1.5703125" style="4" customWidth="1"/>
    <col min="1779" max="1779" width="6" style="4" customWidth="1"/>
    <col min="1780" max="2032" width="9.140625" style="4"/>
    <col min="2033" max="2033" width="108.5703125" style="4" customWidth="1"/>
    <col min="2034" max="2034" width="1.5703125" style="4" customWidth="1"/>
    <col min="2035" max="2035" width="6" style="4" customWidth="1"/>
    <col min="2036" max="2288" width="9.140625" style="4"/>
    <col min="2289" max="2289" width="108.5703125" style="4" customWidth="1"/>
    <col min="2290" max="2290" width="1.5703125" style="4" customWidth="1"/>
    <col min="2291" max="2291" width="6" style="4" customWidth="1"/>
    <col min="2292" max="2544" width="9.140625" style="4"/>
    <col min="2545" max="2545" width="108.5703125" style="4" customWidth="1"/>
    <col min="2546" max="2546" width="1.5703125" style="4" customWidth="1"/>
    <col min="2547" max="2547" width="6" style="4" customWidth="1"/>
    <col min="2548" max="2800" width="9.140625" style="4"/>
    <col min="2801" max="2801" width="108.5703125" style="4" customWidth="1"/>
    <col min="2802" max="2802" width="1.5703125" style="4" customWidth="1"/>
    <col min="2803" max="2803" width="6" style="4" customWidth="1"/>
    <col min="2804" max="3056" width="9.140625" style="4"/>
    <col min="3057" max="3057" width="108.5703125" style="4" customWidth="1"/>
    <col min="3058" max="3058" width="1.5703125" style="4" customWidth="1"/>
    <col min="3059" max="3059" width="6" style="4" customWidth="1"/>
    <col min="3060" max="3312" width="9.140625" style="4"/>
    <col min="3313" max="3313" width="108.5703125" style="4" customWidth="1"/>
    <col min="3314" max="3314" width="1.5703125" style="4" customWidth="1"/>
    <col min="3315" max="3315" width="6" style="4" customWidth="1"/>
    <col min="3316" max="3568" width="9.140625" style="4"/>
    <col min="3569" max="3569" width="108.5703125" style="4" customWidth="1"/>
    <col min="3570" max="3570" width="1.5703125" style="4" customWidth="1"/>
    <col min="3571" max="3571" width="6" style="4" customWidth="1"/>
    <col min="3572" max="3824" width="9.140625" style="4"/>
    <col min="3825" max="3825" width="108.5703125" style="4" customWidth="1"/>
    <col min="3826" max="3826" width="1.5703125" style="4" customWidth="1"/>
    <col min="3827" max="3827" width="6" style="4" customWidth="1"/>
    <col min="3828" max="4080" width="9.140625" style="4"/>
    <col min="4081" max="4081" width="108.5703125" style="4" customWidth="1"/>
    <col min="4082" max="4082" width="1.5703125" style="4" customWidth="1"/>
    <col min="4083" max="4083" width="6" style="4" customWidth="1"/>
    <col min="4084" max="4336" width="9.140625" style="4"/>
    <col min="4337" max="4337" width="108.5703125" style="4" customWidth="1"/>
    <col min="4338" max="4338" width="1.5703125" style="4" customWidth="1"/>
    <col min="4339" max="4339" width="6" style="4" customWidth="1"/>
    <col min="4340" max="4592" width="9.140625" style="4"/>
    <col min="4593" max="4593" width="108.5703125" style="4" customWidth="1"/>
    <col min="4594" max="4594" width="1.5703125" style="4" customWidth="1"/>
    <col min="4595" max="4595" width="6" style="4" customWidth="1"/>
    <col min="4596" max="4848" width="9.140625" style="4"/>
    <col min="4849" max="4849" width="108.5703125" style="4" customWidth="1"/>
    <col min="4850" max="4850" width="1.5703125" style="4" customWidth="1"/>
    <col min="4851" max="4851" width="6" style="4" customWidth="1"/>
    <col min="4852" max="5104" width="9.140625" style="4"/>
    <col min="5105" max="5105" width="108.5703125" style="4" customWidth="1"/>
    <col min="5106" max="5106" width="1.5703125" style="4" customWidth="1"/>
    <col min="5107" max="5107" width="6" style="4" customWidth="1"/>
    <col min="5108" max="5360" width="9.140625" style="4"/>
    <col min="5361" max="5361" width="108.5703125" style="4" customWidth="1"/>
    <col min="5362" max="5362" width="1.5703125" style="4" customWidth="1"/>
    <col min="5363" max="5363" width="6" style="4" customWidth="1"/>
    <col min="5364" max="5616" width="9.140625" style="4"/>
    <col min="5617" max="5617" width="108.5703125" style="4" customWidth="1"/>
    <col min="5618" max="5618" width="1.5703125" style="4" customWidth="1"/>
    <col min="5619" max="5619" width="6" style="4" customWidth="1"/>
    <col min="5620" max="5872" width="9.140625" style="4"/>
    <col min="5873" max="5873" width="108.5703125" style="4" customWidth="1"/>
    <col min="5874" max="5874" width="1.5703125" style="4" customWidth="1"/>
    <col min="5875" max="5875" width="6" style="4" customWidth="1"/>
    <col min="5876" max="6128" width="9.140625" style="4"/>
    <col min="6129" max="6129" width="108.5703125" style="4" customWidth="1"/>
    <col min="6130" max="6130" width="1.5703125" style="4" customWidth="1"/>
    <col min="6131" max="6131" width="6" style="4" customWidth="1"/>
    <col min="6132" max="6384" width="9.140625" style="4"/>
    <col min="6385" max="6385" width="108.5703125" style="4" customWidth="1"/>
    <col min="6386" max="6386" width="1.5703125" style="4" customWidth="1"/>
    <col min="6387" max="6387" width="6" style="4" customWidth="1"/>
    <col min="6388" max="6640" width="9.140625" style="4"/>
    <col min="6641" max="6641" width="108.5703125" style="4" customWidth="1"/>
    <col min="6642" max="6642" width="1.5703125" style="4" customWidth="1"/>
    <col min="6643" max="6643" width="6" style="4" customWidth="1"/>
    <col min="6644" max="6896" width="9.140625" style="4"/>
    <col min="6897" max="6897" width="108.5703125" style="4" customWidth="1"/>
    <col min="6898" max="6898" width="1.5703125" style="4" customWidth="1"/>
    <col min="6899" max="6899" width="6" style="4" customWidth="1"/>
    <col min="6900" max="7152" width="9.140625" style="4"/>
    <col min="7153" max="7153" width="108.5703125" style="4" customWidth="1"/>
    <col min="7154" max="7154" width="1.5703125" style="4" customWidth="1"/>
    <col min="7155" max="7155" width="6" style="4" customWidth="1"/>
    <col min="7156" max="7408" width="9.140625" style="4"/>
    <col min="7409" max="7409" width="108.5703125" style="4" customWidth="1"/>
    <col min="7410" max="7410" width="1.5703125" style="4" customWidth="1"/>
    <col min="7411" max="7411" width="6" style="4" customWidth="1"/>
    <col min="7412" max="7664" width="9.140625" style="4"/>
    <col min="7665" max="7665" width="108.5703125" style="4" customWidth="1"/>
    <col min="7666" max="7666" width="1.5703125" style="4" customWidth="1"/>
    <col min="7667" max="7667" width="6" style="4" customWidth="1"/>
    <col min="7668" max="7920" width="9.140625" style="4"/>
    <col min="7921" max="7921" width="108.5703125" style="4" customWidth="1"/>
    <col min="7922" max="7922" width="1.5703125" style="4" customWidth="1"/>
    <col min="7923" max="7923" width="6" style="4" customWidth="1"/>
    <col min="7924" max="8176" width="9.140625" style="4"/>
    <col min="8177" max="8177" width="108.5703125" style="4" customWidth="1"/>
    <col min="8178" max="8178" width="1.5703125" style="4" customWidth="1"/>
    <col min="8179" max="8179" width="6" style="4" customWidth="1"/>
    <col min="8180" max="8432" width="9.140625" style="4"/>
    <col min="8433" max="8433" width="108.5703125" style="4" customWidth="1"/>
    <col min="8434" max="8434" width="1.5703125" style="4" customWidth="1"/>
    <col min="8435" max="8435" width="6" style="4" customWidth="1"/>
    <col min="8436" max="8688" width="9.140625" style="4"/>
    <col min="8689" max="8689" width="108.5703125" style="4" customWidth="1"/>
    <col min="8690" max="8690" width="1.5703125" style="4" customWidth="1"/>
    <col min="8691" max="8691" width="6" style="4" customWidth="1"/>
    <col min="8692" max="8944" width="9.140625" style="4"/>
    <col min="8945" max="8945" width="108.5703125" style="4" customWidth="1"/>
    <col min="8946" max="8946" width="1.5703125" style="4" customWidth="1"/>
    <col min="8947" max="8947" width="6" style="4" customWidth="1"/>
    <col min="8948" max="9200" width="9.140625" style="4"/>
    <col min="9201" max="9201" width="108.5703125" style="4" customWidth="1"/>
    <col min="9202" max="9202" width="1.5703125" style="4" customWidth="1"/>
    <col min="9203" max="9203" width="6" style="4" customWidth="1"/>
    <col min="9204" max="9456" width="9.140625" style="4"/>
    <col min="9457" max="9457" width="108.5703125" style="4" customWidth="1"/>
    <col min="9458" max="9458" width="1.5703125" style="4" customWidth="1"/>
    <col min="9459" max="9459" width="6" style="4" customWidth="1"/>
    <col min="9460" max="9712" width="9.140625" style="4"/>
    <col min="9713" max="9713" width="108.5703125" style="4" customWidth="1"/>
    <col min="9714" max="9714" width="1.5703125" style="4" customWidth="1"/>
    <col min="9715" max="9715" width="6" style="4" customWidth="1"/>
    <col min="9716" max="9968" width="9.140625" style="4"/>
    <col min="9969" max="9969" width="108.5703125" style="4" customWidth="1"/>
    <col min="9970" max="9970" width="1.5703125" style="4" customWidth="1"/>
    <col min="9971" max="9971" width="6" style="4" customWidth="1"/>
    <col min="9972" max="10224" width="9.140625" style="4"/>
    <col min="10225" max="10225" width="108.5703125" style="4" customWidth="1"/>
    <col min="10226" max="10226" width="1.5703125" style="4" customWidth="1"/>
    <col min="10227" max="10227" width="6" style="4" customWidth="1"/>
    <col min="10228" max="10480" width="9.140625" style="4"/>
    <col min="10481" max="10481" width="108.5703125" style="4" customWidth="1"/>
    <col min="10482" max="10482" width="1.5703125" style="4" customWidth="1"/>
    <col min="10483" max="10483" width="6" style="4" customWidth="1"/>
    <col min="10484" max="10736" width="9.140625" style="4"/>
    <col min="10737" max="10737" width="108.5703125" style="4" customWidth="1"/>
    <col min="10738" max="10738" width="1.5703125" style="4" customWidth="1"/>
    <col min="10739" max="10739" width="6" style="4" customWidth="1"/>
    <col min="10740" max="10992" width="9.140625" style="4"/>
    <col min="10993" max="10993" width="108.5703125" style="4" customWidth="1"/>
    <col min="10994" max="10994" width="1.5703125" style="4" customWidth="1"/>
    <col min="10995" max="10995" width="6" style="4" customWidth="1"/>
    <col min="10996" max="11248" width="9.140625" style="4"/>
    <col min="11249" max="11249" width="108.5703125" style="4" customWidth="1"/>
    <col min="11250" max="11250" width="1.5703125" style="4" customWidth="1"/>
    <col min="11251" max="11251" width="6" style="4" customWidth="1"/>
    <col min="11252" max="11504" width="9.140625" style="4"/>
    <col min="11505" max="11505" width="108.5703125" style="4" customWidth="1"/>
    <col min="11506" max="11506" width="1.5703125" style="4" customWidth="1"/>
    <col min="11507" max="11507" width="6" style="4" customWidth="1"/>
    <col min="11508" max="11760" width="9.140625" style="4"/>
    <col min="11761" max="11761" width="108.5703125" style="4" customWidth="1"/>
    <col min="11762" max="11762" width="1.5703125" style="4" customWidth="1"/>
    <col min="11763" max="11763" width="6" style="4" customWidth="1"/>
    <col min="11764" max="12016" width="9.140625" style="4"/>
    <col min="12017" max="12017" width="108.5703125" style="4" customWidth="1"/>
    <col min="12018" max="12018" width="1.5703125" style="4" customWidth="1"/>
    <col min="12019" max="12019" width="6" style="4" customWidth="1"/>
    <col min="12020" max="12272" width="9.140625" style="4"/>
    <col min="12273" max="12273" width="108.5703125" style="4" customWidth="1"/>
    <col min="12274" max="12274" width="1.5703125" style="4" customWidth="1"/>
    <col min="12275" max="12275" width="6" style="4" customWidth="1"/>
    <col min="12276" max="12528" width="9.140625" style="4"/>
    <col min="12529" max="12529" width="108.5703125" style="4" customWidth="1"/>
    <col min="12530" max="12530" width="1.5703125" style="4" customWidth="1"/>
    <col min="12531" max="12531" width="6" style="4" customWidth="1"/>
    <col min="12532" max="12784" width="9.140625" style="4"/>
    <col min="12785" max="12785" width="108.5703125" style="4" customWidth="1"/>
    <col min="12786" max="12786" width="1.5703125" style="4" customWidth="1"/>
    <col min="12787" max="12787" width="6" style="4" customWidth="1"/>
    <col min="12788" max="13040" width="9.140625" style="4"/>
    <col min="13041" max="13041" width="108.5703125" style="4" customWidth="1"/>
    <col min="13042" max="13042" width="1.5703125" style="4" customWidth="1"/>
    <col min="13043" max="13043" width="6" style="4" customWidth="1"/>
    <col min="13044" max="13296" width="9.140625" style="4"/>
    <col min="13297" max="13297" width="108.5703125" style="4" customWidth="1"/>
    <col min="13298" max="13298" width="1.5703125" style="4" customWidth="1"/>
    <col min="13299" max="13299" width="6" style="4" customWidth="1"/>
    <col min="13300" max="13552" width="9.140625" style="4"/>
    <col min="13553" max="13553" width="108.5703125" style="4" customWidth="1"/>
    <col min="13554" max="13554" width="1.5703125" style="4" customWidth="1"/>
    <col min="13555" max="13555" width="6" style="4" customWidth="1"/>
    <col min="13556" max="13808" width="9.140625" style="4"/>
    <col min="13809" max="13809" width="108.5703125" style="4" customWidth="1"/>
    <col min="13810" max="13810" width="1.5703125" style="4" customWidth="1"/>
    <col min="13811" max="13811" width="6" style="4" customWidth="1"/>
    <col min="13812" max="14064" width="9.140625" style="4"/>
    <col min="14065" max="14065" width="108.5703125" style="4" customWidth="1"/>
    <col min="14066" max="14066" width="1.5703125" style="4" customWidth="1"/>
    <col min="14067" max="14067" width="6" style="4" customWidth="1"/>
    <col min="14068" max="14320" width="9.140625" style="4"/>
    <col min="14321" max="14321" width="108.5703125" style="4" customWidth="1"/>
    <col min="14322" max="14322" width="1.5703125" style="4" customWidth="1"/>
    <col min="14323" max="14323" width="6" style="4" customWidth="1"/>
    <col min="14324" max="14576" width="9.140625" style="4"/>
    <col min="14577" max="14577" width="108.5703125" style="4" customWidth="1"/>
    <col min="14578" max="14578" width="1.5703125" style="4" customWidth="1"/>
    <col min="14579" max="14579" width="6" style="4" customWidth="1"/>
    <col min="14580" max="14832" width="9.140625" style="4"/>
    <col min="14833" max="14833" width="108.5703125" style="4" customWidth="1"/>
    <col min="14834" max="14834" width="1.5703125" style="4" customWidth="1"/>
    <col min="14835" max="14835" width="6" style="4" customWidth="1"/>
    <col min="14836" max="15088" width="9.140625" style="4"/>
    <col min="15089" max="15089" width="108.5703125" style="4" customWidth="1"/>
    <col min="15090" max="15090" width="1.5703125" style="4" customWidth="1"/>
    <col min="15091" max="15091" width="6" style="4" customWidth="1"/>
    <col min="15092" max="15344" width="9.140625" style="4"/>
    <col min="15345" max="15345" width="108.5703125" style="4" customWidth="1"/>
    <col min="15346" max="15346" width="1.5703125" style="4" customWidth="1"/>
    <col min="15347" max="15347" width="6" style="4" customWidth="1"/>
    <col min="15348" max="15600" width="9.140625" style="4"/>
    <col min="15601" max="15601" width="108.5703125" style="4" customWidth="1"/>
    <col min="15602" max="15602" width="1.5703125" style="4" customWidth="1"/>
    <col min="15603" max="15603" width="6" style="4" customWidth="1"/>
    <col min="15604" max="15856" width="9.140625" style="4"/>
    <col min="15857" max="15857" width="108.5703125" style="4" customWidth="1"/>
    <col min="15858" max="15858" width="1.5703125" style="4" customWidth="1"/>
    <col min="15859" max="15859" width="6" style="4" customWidth="1"/>
    <col min="15860" max="16112" width="9.140625" style="4"/>
    <col min="16113" max="16113" width="108.5703125" style="4" customWidth="1"/>
    <col min="16114" max="16114" width="1.5703125" style="4" customWidth="1"/>
    <col min="16115" max="16115" width="6" style="4" customWidth="1"/>
    <col min="16116" max="16384" width="9.140625" style="4"/>
  </cols>
  <sheetData>
    <row r="1" spans="1:11" x14ac:dyDescent="0.3">
      <c r="A1" s="8" t="s">
        <v>294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3" spans="1:11" x14ac:dyDescent="0.3">
      <c r="A3" s="48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11" x14ac:dyDescent="0.3">
      <c r="A4" s="12" t="s">
        <v>87</v>
      </c>
      <c r="B4" s="50">
        <v>3538</v>
      </c>
      <c r="C4" s="50">
        <v>3374</v>
      </c>
      <c r="D4" s="50">
        <v>3177</v>
      </c>
      <c r="E4" s="50">
        <v>3535</v>
      </c>
      <c r="F4" s="50">
        <v>3457</v>
      </c>
      <c r="G4" s="50">
        <v>3311</v>
      </c>
    </row>
    <row r="5" spans="1:11" x14ac:dyDescent="0.3">
      <c r="A5" s="12" t="s">
        <v>96</v>
      </c>
      <c r="B5" s="50">
        <v>559</v>
      </c>
      <c r="C5" s="50">
        <v>545</v>
      </c>
      <c r="D5" s="50">
        <v>522</v>
      </c>
      <c r="E5" s="50">
        <v>519</v>
      </c>
      <c r="F5" s="50">
        <v>584</v>
      </c>
      <c r="G5" s="50">
        <v>654</v>
      </c>
    </row>
    <row r="6" spans="1:11" x14ac:dyDescent="0.3">
      <c r="A6" s="12" t="s">
        <v>50</v>
      </c>
      <c r="B6" s="50">
        <v>9</v>
      </c>
      <c r="C6" s="50">
        <v>14</v>
      </c>
      <c r="D6" s="50">
        <v>5</v>
      </c>
      <c r="E6" s="50">
        <v>5</v>
      </c>
      <c r="F6" s="50">
        <v>26</v>
      </c>
      <c r="G6" s="50">
        <v>49</v>
      </c>
    </row>
    <row r="7" spans="1:11" x14ac:dyDescent="0.3">
      <c r="A7" s="12" t="s">
        <v>48</v>
      </c>
      <c r="B7" s="50">
        <v>17</v>
      </c>
      <c r="C7" s="50">
        <v>13</v>
      </c>
      <c r="D7" s="50">
        <v>17</v>
      </c>
      <c r="E7" s="50">
        <v>9</v>
      </c>
      <c r="F7" s="50">
        <v>8</v>
      </c>
      <c r="G7" s="50">
        <v>10</v>
      </c>
    </row>
    <row r="8" spans="1:11" x14ac:dyDescent="0.3">
      <c r="A8" s="12" t="s">
        <v>20</v>
      </c>
      <c r="B8" s="50">
        <v>19</v>
      </c>
      <c r="C8" s="50">
        <v>27</v>
      </c>
      <c r="D8" s="50">
        <v>18</v>
      </c>
      <c r="E8" s="50">
        <v>12</v>
      </c>
      <c r="F8" s="50">
        <v>18</v>
      </c>
      <c r="G8" s="50">
        <v>18</v>
      </c>
    </row>
    <row r="9" spans="1:11" x14ac:dyDescent="0.3">
      <c r="A9" s="12" t="s">
        <v>4</v>
      </c>
      <c r="B9" s="50">
        <v>37</v>
      </c>
      <c r="C9" s="50">
        <v>31</v>
      </c>
      <c r="D9" s="50">
        <v>38</v>
      </c>
      <c r="E9" s="50">
        <v>36</v>
      </c>
      <c r="F9" s="50">
        <v>33</v>
      </c>
      <c r="G9" s="50">
        <v>29</v>
      </c>
    </row>
    <row r="10" spans="1:11" x14ac:dyDescent="0.3">
      <c r="A10" s="12" t="s">
        <v>45</v>
      </c>
      <c r="B10" s="50">
        <v>27</v>
      </c>
      <c r="C10" s="50">
        <v>16</v>
      </c>
      <c r="D10" s="50">
        <v>12</v>
      </c>
      <c r="E10" s="50">
        <v>19</v>
      </c>
      <c r="F10" s="50">
        <v>26</v>
      </c>
      <c r="G10" s="50">
        <v>14</v>
      </c>
    </row>
    <row r="11" spans="1:11" x14ac:dyDescent="0.3">
      <c r="A11" s="12" t="s">
        <v>40</v>
      </c>
      <c r="B11" s="50">
        <v>37</v>
      </c>
      <c r="C11" s="50">
        <v>30</v>
      </c>
      <c r="D11" s="50">
        <v>33</v>
      </c>
      <c r="E11" s="50">
        <v>20</v>
      </c>
      <c r="F11" s="50">
        <v>27</v>
      </c>
      <c r="G11" s="50">
        <v>28</v>
      </c>
    </row>
    <row r="12" spans="1:11" x14ac:dyDescent="0.3">
      <c r="A12" s="12" t="s">
        <v>37</v>
      </c>
      <c r="B12" s="50">
        <v>12</v>
      </c>
      <c r="C12" s="50">
        <v>8</v>
      </c>
      <c r="D12" s="50">
        <v>21</v>
      </c>
      <c r="E12" s="50">
        <v>12</v>
      </c>
      <c r="F12" s="50">
        <v>13</v>
      </c>
      <c r="G12" s="50">
        <v>19</v>
      </c>
    </row>
    <row r="13" spans="1:11" x14ac:dyDescent="0.3">
      <c r="A13" s="12" t="s">
        <v>56</v>
      </c>
      <c r="B13" s="50">
        <v>26</v>
      </c>
      <c r="C13" s="50">
        <v>38</v>
      </c>
      <c r="D13" s="50">
        <v>18</v>
      </c>
      <c r="E13" s="50">
        <v>51</v>
      </c>
      <c r="F13" s="50">
        <v>60</v>
      </c>
      <c r="G13" s="50">
        <v>34</v>
      </c>
    </row>
    <row r="14" spans="1:11" x14ac:dyDescent="0.3">
      <c r="A14" s="12" t="s">
        <v>51</v>
      </c>
      <c r="B14" s="50">
        <v>13</v>
      </c>
      <c r="C14" s="50">
        <v>20</v>
      </c>
      <c r="D14" s="50">
        <v>5</v>
      </c>
      <c r="E14" s="50">
        <v>8</v>
      </c>
      <c r="F14" s="50">
        <v>19</v>
      </c>
      <c r="G14" s="50">
        <v>12</v>
      </c>
    </row>
    <row r="15" spans="1:11" x14ac:dyDescent="0.3">
      <c r="A15" s="12" t="s">
        <v>21</v>
      </c>
      <c r="B15" s="50">
        <v>131</v>
      </c>
      <c r="C15" s="50">
        <v>110</v>
      </c>
      <c r="D15" s="50">
        <v>120</v>
      </c>
      <c r="E15" s="50">
        <v>121</v>
      </c>
      <c r="F15" s="50">
        <v>129</v>
      </c>
      <c r="G15" s="50">
        <v>159</v>
      </c>
    </row>
    <row r="16" spans="1:11" x14ac:dyDescent="0.3">
      <c r="A16" s="12" t="s">
        <v>70</v>
      </c>
      <c r="B16" s="50">
        <v>6</v>
      </c>
      <c r="C16" s="50">
        <v>7</v>
      </c>
      <c r="D16" s="50">
        <v>6</v>
      </c>
      <c r="E16" s="50">
        <v>11</v>
      </c>
      <c r="F16" s="50">
        <v>7</v>
      </c>
      <c r="G16" s="50">
        <v>12</v>
      </c>
    </row>
    <row r="17" spans="1:7" x14ac:dyDescent="0.3">
      <c r="A17" s="12" t="s">
        <v>59</v>
      </c>
      <c r="B17" s="50">
        <v>7</v>
      </c>
      <c r="C17" s="50">
        <v>10</v>
      </c>
      <c r="D17" s="50">
        <v>10</v>
      </c>
      <c r="E17" s="50">
        <v>17</v>
      </c>
      <c r="F17" s="50">
        <v>14</v>
      </c>
      <c r="G17" s="50">
        <v>17</v>
      </c>
    </row>
    <row r="18" spans="1:7" x14ac:dyDescent="0.3">
      <c r="A18" s="12" t="s">
        <v>43</v>
      </c>
      <c r="B18" s="50">
        <v>11</v>
      </c>
      <c r="C18" s="50">
        <v>18</v>
      </c>
      <c r="D18" s="50">
        <v>17</v>
      </c>
      <c r="E18" s="50">
        <v>14</v>
      </c>
      <c r="F18" s="50">
        <v>12</v>
      </c>
      <c r="G18" s="50">
        <v>17</v>
      </c>
    </row>
    <row r="19" spans="1:7" x14ac:dyDescent="0.3">
      <c r="A19" s="12" t="s">
        <v>15</v>
      </c>
      <c r="B19" s="50">
        <v>16</v>
      </c>
      <c r="C19" s="50">
        <v>8</v>
      </c>
      <c r="D19" s="50">
        <v>8</v>
      </c>
      <c r="E19" s="50">
        <v>10</v>
      </c>
      <c r="F19" s="50">
        <v>10</v>
      </c>
      <c r="G19" s="50">
        <v>8</v>
      </c>
    </row>
    <row r="20" spans="1:7" x14ac:dyDescent="0.3">
      <c r="A20" s="12" t="s">
        <v>38</v>
      </c>
      <c r="B20" s="50">
        <v>32</v>
      </c>
      <c r="C20" s="50">
        <v>30</v>
      </c>
      <c r="D20" s="50">
        <v>27</v>
      </c>
      <c r="E20" s="50">
        <v>26</v>
      </c>
      <c r="F20" s="50">
        <v>16</v>
      </c>
      <c r="G20" s="50">
        <v>39</v>
      </c>
    </row>
    <row r="21" spans="1:7" x14ac:dyDescent="0.3">
      <c r="A21" s="12" t="s">
        <v>39</v>
      </c>
      <c r="B21" s="50">
        <v>18</v>
      </c>
      <c r="C21" s="50">
        <v>19</v>
      </c>
      <c r="D21" s="50">
        <v>8</v>
      </c>
      <c r="E21" s="50">
        <v>14</v>
      </c>
      <c r="F21" s="50">
        <v>20</v>
      </c>
      <c r="G21" s="50">
        <v>14</v>
      </c>
    </row>
    <row r="22" spans="1:7" x14ac:dyDescent="0.3">
      <c r="A22" s="12" t="s">
        <v>78</v>
      </c>
      <c r="B22" s="50">
        <v>17</v>
      </c>
      <c r="C22" s="50">
        <v>15</v>
      </c>
      <c r="D22" s="50">
        <v>26</v>
      </c>
      <c r="E22" s="50">
        <v>22</v>
      </c>
      <c r="F22" s="50">
        <v>15</v>
      </c>
      <c r="G22" s="50">
        <v>24</v>
      </c>
    </row>
    <row r="23" spans="1:7" x14ac:dyDescent="0.3">
      <c r="A23" s="12" t="s">
        <v>13</v>
      </c>
      <c r="B23" s="50">
        <v>124</v>
      </c>
      <c r="C23" s="50">
        <v>131</v>
      </c>
      <c r="D23" s="50">
        <v>133</v>
      </c>
      <c r="E23" s="50">
        <v>112</v>
      </c>
      <c r="F23" s="50">
        <v>131</v>
      </c>
      <c r="G23" s="50">
        <v>151</v>
      </c>
    </row>
    <row r="24" spans="1:7" x14ac:dyDescent="0.3">
      <c r="A24" s="12" t="s">
        <v>97</v>
      </c>
      <c r="B24" s="50">
        <v>215</v>
      </c>
      <c r="C24" s="50">
        <v>200</v>
      </c>
      <c r="D24" s="50">
        <v>231</v>
      </c>
      <c r="E24" s="50">
        <v>201</v>
      </c>
      <c r="F24" s="50">
        <v>263</v>
      </c>
      <c r="G24" s="50">
        <v>215</v>
      </c>
    </row>
    <row r="25" spans="1:7" x14ac:dyDescent="0.3">
      <c r="A25" s="12" t="s">
        <v>71</v>
      </c>
      <c r="B25" s="50">
        <v>15</v>
      </c>
      <c r="C25" s="50">
        <v>10</v>
      </c>
      <c r="D25" s="50">
        <v>11</v>
      </c>
      <c r="E25" s="50">
        <v>19</v>
      </c>
      <c r="F25" s="50">
        <v>21</v>
      </c>
      <c r="G25" s="50">
        <v>22</v>
      </c>
    </row>
    <row r="26" spans="1:7" x14ac:dyDescent="0.3">
      <c r="A26" s="12" t="s">
        <v>65</v>
      </c>
      <c r="B26" s="50">
        <v>21</v>
      </c>
      <c r="C26" s="50">
        <v>23</v>
      </c>
      <c r="D26" s="50">
        <v>24</v>
      </c>
      <c r="E26" s="50">
        <v>21</v>
      </c>
      <c r="F26" s="50">
        <v>36</v>
      </c>
      <c r="G26" s="50">
        <v>28</v>
      </c>
    </row>
    <row r="27" spans="1:7" x14ac:dyDescent="0.3">
      <c r="A27" s="12" t="s">
        <v>53</v>
      </c>
      <c r="B27" s="50">
        <v>36</v>
      </c>
      <c r="C27" s="50">
        <v>21</v>
      </c>
      <c r="D27" s="50">
        <v>26</v>
      </c>
      <c r="E27" s="50">
        <v>30</v>
      </c>
      <c r="F27" s="50">
        <v>33</v>
      </c>
      <c r="G27" s="50">
        <v>17</v>
      </c>
    </row>
    <row r="28" spans="1:7" x14ac:dyDescent="0.3">
      <c r="A28" s="12" t="s">
        <v>132</v>
      </c>
      <c r="B28" s="50">
        <v>36</v>
      </c>
      <c r="C28" s="50">
        <v>20</v>
      </c>
      <c r="D28" s="50">
        <v>26</v>
      </c>
      <c r="E28" s="50">
        <v>28</v>
      </c>
      <c r="F28" s="50">
        <v>31</v>
      </c>
      <c r="G28" s="50">
        <v>16</v>
      </c>
    </row>
    <row r="29" spans="1:7" x14ac:dyDescent="0.3">
      <c r="A29" s="12" t="s">
        <v>7</v>
      </c>
      <c r="B29" s="50">
        <v>0.1</v>
      </c>
      <c r="C29" s="50">
        <v>1</v>
      </c>
      <c r="D29" s="50">
        <v>0.1</v>
      </c>
      <c r="E29" s="50">
        <v>2</v>
      </c>
      <c r="F29" s="50">
        <v>2</v>
      </c>
      <c r="G29" s="50">
        <v>1</v>
      </c>
    </row>
    <row r="30" spans="1:7" x14ac:dyDescent="0.3">
      <c r="A30" s="12" t="s">
        <v>80</v>
      </c>
      <c r="B30" s="50">
        <v>18</v>
      </c>
      <c r="C30" s="50">
        <v>9</v>
      </c>
      <c r="D30" s="50">
        <v>15</v>
      </c>
      <c r="E30" s="50">
        <v>11</v>
      </c>
      <c r="F30" s="50">
        <v>20</v>
      </c>
      <c r="G30" s="50">
        <v>19</v>
      </c>
    </row>
    <row r="31" spans="1:7" x14ac:dyDescent="0.3">
      <c r="A31" s="12" t="s">
        <v>69</v>
      </c>
      <c r="B31" s="50">
        <v>8</v>
      </c>
      <c r="C31" s="50">
        <v>13</v>
      </c>
      <c r="D31" s="50">
        <v>8</v>
      </c>
      <c r="E31" s="50">
        <v>16</v>
      </c>
      <c r="F31" s="50">
        <v>17</v>
      </c>
      <c r="G31" s="50">
        <v>20</v>
      </c>
    </row>
    <row r="32" spans="1:7" x14ac:dyDescent="0.3">
      <c r="A32" s="12" t="s">
        <v>117</v>
      </c>
      <c r="B32" s="50">
        <v>92</v>
      </c>
      <c r="C32" s="50">
        <v>103</v>
      </c>
      <c r="D32" s="50">
        <v>122</v>
      </c>
      <c r="E32" s="50">
        <v>77</v>
      </c>
      <c r="F32" s="50">
        <v>110</v>
      </c>
      <c r="G32" s="50">
        <v>76</v>
      </c>
    </row>
    <row r="33" spans="1:7" x14ac:dyDescent="0.3">
      <c r="A33" s="12" t="s">
        <v>33</v>
      </c>
      <c r="B33" s="50">
        <v>41</v>
      </c>
      <c r="C33" s="50">
        <v>35</v>
      </c>
      <c r="D33" s="50">
        <v>62</v>
      </c>
      <c r="E33" s="50">
        <v>35</v>
      </c>
      <c r="F33" s="50">
        <v>42</v>
      </c>
      <c r="G33" s="50">
        <v>20</v>
      </c>
    </row>
    <row r="34" spans="1:7" x14ac:dyDescent="0.3">
      <c r="A34" s="12" t="s">
        <v>30</v>
      </c>
      <c r="B34" s="50">
        <v>3</v>
      </c>
      <c r="C34" s="50">
        <v>3</v>
      </c>
      <c r="D34" s="50">
        <v>3</v>
      </c>
      <c r="E34" s="50">
        <v>1</v>
      </c>
      <c r="F34" s="50">
        <v>11</v>
      </c>
      <c r="G34" s="50">
        <v>11</v>
      </c>
    </row>
    <row r="35" spans="1:7" x14ac:dyDescent="0.3">
      <c r="A35" s="12" t="s">
        <v>52</v>
      </c>
      <c r="B35" s="50">
        <v>11</v>
      </c>
      <c r="C35" s="50">
        <v>14</v>
      </c>
      <c r="D35" s="50">
        <v>10</v>
      </c>
      <c r="E35" s="50">
        <v>20</v>
      </c>
      <c r="F35" s="50">
        <v>7</v>
      </c>
      <c r="G35" s="50">
        <v>8</v>
      </c>
    </row>
    <row r="36" spans="1:7" x14ac:dyDescent="0.3">
      <c r="A36" s="12" t="s">
        <v>31</v>
      </c>
      <c r="B36" s="50">
        <v>11</v>
      </c>
      <c r="C36" s="50">
        <v>4</v>
      </c>
      <c r="D36" s="50">
        <v>12</v>
      </c>
      <c r="E36" s="50">
        <v>6</v>
      </c>
      <c r="F36" s="50">
        <v>8</v>
      </c>
      <c r="G36" s="50">
        <v>14</v>
      </c>
    </row>
    <row r="37" spans="1:7" x14ac:dyDescent="0.3">
      <c r="A37" s="12" t="s">
        <v>32</v>
      </c>
      <c r="B37" s="50">
        <v>51</v>
      </c>
      <c r="C37" s="50">
        <v>68</v>
      </c>
      <c r="D37" s="50">
        <v>60</v>
      </c>
      <c r="E37" s="50">
        <v>42</v>
      </c>
      <c r="F37" s="50">
        <v>68</v>
      </c>
      <c r="G37" s="50">
        <v>56</v>
      </c>
    </row>
    <row r="38" spans="1:7" x14ac:dyDescent="0.3">
      <c r="A38" s="12" t="s">
        <v>99</v>
      </c>
      <c r="B38" s="50">
        <v>159</v>
      </c>
      <c r="C38" s="50">
        <v>136</v>
      </c>
      <c r="D38" s="50">
        <v>149</v>
      </c>
      <c r="E38" s="50">
        <v>171</v>
      </c>
      <c r="F38" s="50">
        <v>146</v>
      </c>
      <c r="G38" s="50">
        <v>160</v>
      </c>
    </row>
    <row r="39" spans="1:7" x14ac:dyDescent="0.3">
      <c r="A39" s="12" t="s">
        <v>63</v>
      </c>
      <c r="B39" s="50">
        <v>25</v>
      </c>
      <c r="C39" s="50">
        <v>18</v>
      </c>
      <c r="D39" s="50">
        <v>17</v>
      </c>
      <c r="E39" s="50">
        <v>56</v>
      </c>
      <c r="F39" s="50">
        <v>39</v>
      </c>
      <c r="G39" s="50">
        <v>36</v>
      </c>
    </row>
    <row r="40" spans="1:7" x14ac:dyDescent="0.3">
      <c r="A40" s="12" t="s">
        <v>81</v>
      </c>
      <c r="B40" s="50">
        <v>2</v>
      </c>
      <c r="C40" s="50">
        <v>1</v>
      </c>
      <c r="D40" s="50">
        <v>1</v>
      </c>
      <c r="E40" s="50">
        <v>3</v>
      </c>
      <c r="F40" s="50">
        <v>4</v>
      </c>
      <c r="G40" s="50">
        <v>1</v>
      </c>
    </row>
    <row r="41" spans="1:7" x14ac:dyDescent="0.3">
      <c r="A41" s="12" t="s">
        <v>91</v>
      </c>
      <c r="B41" s="50">
        <v>12</v>
      </c>
      <c r="C41" s="50">
        <v>14</v>
      </c>
      <c r="D41" s="50">
        <v>57</v>
      </c>
      <c r="E41" s="50">
        <v>15</v>
      </c>
      <c r="F41" s="50">
        <v>25</v>
      </c>
      <c r="G41" s="50">
        <v>10</v>
      </c>
    </row>
    <row r="42" spans="1:7" x14ac:dyDescent="0.3">
      <c r="A42" s="12" t="s">
        <v>92</v>
      </c>
      <c r="B42" s="50">
        <v>31</v>
      </c>
      <c r="C42" s="50">
        <v>25</v>
      </c>
      <c r="D42" s="50">
        <v>13</v>
      </c>
      <c r="E42" s="50">
        <v>25</v>
      </c>
      <c r="F42" s="50">
        <v>8</v>
      </c>
      <c r="G42" s="50">
        <v>50</v>
      </c>
    </row>
    <row r="43" spans="1:7" x14ac:dyDescent="0.3">
      <c r="A43" s="12" t="s">
        <v>47</v>
      </c>
      <c r="B43" s="50">
        <v>16</v>
      </c>
      <c r="C43" s="50">
        <v>10</v>
      </c>
      <c r="D43" s="50">
        <v>3</v>
      </c>
      <c r="E43" s="50">
        <v>5</v>
      </c>
      <c r="F43" s="50">
        <v>6</v>
      </c>
      <c r="G43" s="50">
        <v>4</v>
      </c>
    </row>
    <row r="44" spans="1:7" x14ac:dyDescent="0.3">
      <c r="A44" s="12" t="s">
        <v>93</v>
      </c>
      <c r="B44" s="50">
        <v>3</v>
      </c>
      <c r="C44" s="50">
        <v>2</v>
      </c>
      <c r="D44" s="50">
        <v>1</v>
      </c>
      <c r="E44" s="50">
        <v>0.1</v>
      </c>
      <c r="F44" s="50">
        <v>2</v>
      </c>
      <c r="G44" s="50">
        <v>0.1</v>
      </c>
    </row>
    <row r="45" spans="1:7" x14ac:dyDescent="0.3">
      <c r="A45" s="12" t="s">
        <v>11</v>
      </c>
      <c r="B45" s="50">
        <v>70</v>
      </c>
      <c r="C45" s="50">
        <v>66</v>
      </c>
      <c r="D45" s="50">
        <v>57</v>
      </c>
      <c r="E45" s="50">
        <v>67</v>
      </c>
      <c r="F45" s="50">
        <v>62</v>
      </c>
      <c r="G45" s="50">
        <v>59</v>
      </c>
    </row>
    <row r="46" spans="1:7" x14ac:dyDescent="0.3">
      <c r="A46" s="12" t="s">
        <v>26</v>
      </c>
      <c r="B46" s="50">
        <v>10</v>
      </c>
      <c r="C46" s="50">
        <v>6</v>
      </c>
      <c r="D46" s="50">
        <v>7</v>
      </c>
      <c r="E46" s="50">
        <v>3</v>
      </c>
      <c r="F46" s="50">
        <v>10</v>
      </c>
      <c r="G46" s="50">
        <v>8</v>
      </c>
    </row>
    <row r="47" spans="1:7" x14ac:dyDescent="0.3">
      <c r="A47" s="12" t="s">
        <v>27</v>
      </c>
      <c r="B47" s="50">
        <v>8</v>
      </c>
      <c r="C47" s="50">
        <v>9</v>
      </c>
      <c r="D47" s="50">
        <v>12</v>
      </c>
      <c r="E47" s="50">
        <v>3</v>
      </c>
      <c r="F47" s="50">
        <v>3</v>
      </c>
      <c r="G47" s="50">
        <v>6</v>
      </c>
    </row>
    <row r="48" spans="1:7" x14ac:dyDescent="0.3">
      <c r="A48" s="12" t="s">
        <v>28</v>
      </c>
      <c r="B48" s="50">
        <v>113</v>
      </c>
      <c r="C48" s="50">
        <v>91</v>
      </c>
      <c r="D48" s="50">
        <v>101</v>
      </c>
      <c r="E48" s="50">
        <v>71</v>
      </c>
      <c r="F48" s="50">
        <v>85</v>
      </c>
      <c r="G48" s="50">
        <v>71</v>
      </c>
    </row>
    <row r="49" spans="1:7" x14ac:dyDescent="0.3">
      <c r="A49" s="12" t="s">
        <v>25</v>
      </c>
      <c r="B49" s="50">
        <v>32</v>
      </c>
      <c r="C49" s="50">
        <v>39</v>
      </c>
      <c r="D49" s="50">
        <v>117</v>
      </c>
      <c r="E49" s="50">
        <v>110</v>
      </c>
      <c r="F49" s="50">
        <v>57</v>
      </c>
      <c r="G49" s="50">
        <v>175</v>
      </c>
    </row>
    <row r="50" spans="1:7" x14ac:dyDescent="0.3">
      <c r="A50" s="12" t="s">
        <v>22</v>
      </c>
      <c r="B50" s="50">
        <v>52</v>
      </c>
      <c r="C50" s="50">
        <v>32</v>
      </c>
      <c r="D50" s="50">
        <v>48</v>
      </c>
      <c r="E50" s="50">
        <v>43</v>
      </c>
      <c r="F50" s="50">
        <v>56</v>
      </c>
      <c r="G50" s="50">
        <v>66</v>
      </c>
    </row>
    <row r="51" spans="1:7" x14ac:dyDescent="0.3">
      <c r="A51" s="12" t="s">
        <v>29</v>
      </c>
      <c r="B51" s="50">
        <v>72</v>
      </c>
      <c r="C51" s="50">
        <v>85</v>
      </c>
      <c r="D51" s="50">
        <v>59</v>
      </c>
      <c r="E51" s="50">
        <v>64</v>
      </c>
      <c r="F51" s="50">
        <v>51</v>
      </c>
      <c r="G51" s="50">
        <v>55</v>
      </c>
    </row>
    <row r="52" spans="1:7" x14ac:dyDescent="0.3">
      <c r="A52" s="12" t="s">
        <v>100</v>
      </c>
      <c r="B52" s="50">
        <v>937</v>
      </c>
      <c r="C52" s="50">
        <v>893</v>
      </c>
      <c r="D52" s="50">
        <v>650</v>
      </c>
      <c r="E52" s="50">
        <v>945</v>
      </c>
      <c r="F52" s="50">
        <v>675</v>
      </c>
      <c r="G52" s="50">
        <v>654</v>
      </c>
    </row>
    <row r="53" spans="1:7" x14ac:dyDescent="0.3">
      <c r="A53" s="12" t="s">
        <v>83</v>
      </c>
      <c r="B53" s="50">
        <v>134</v>
      </c>
      <c r="C53" s="50">
        <v>110</v>
      </c>
      <c r="D53" s="50">
        <v>110</v>
      </c>
      <c r="E53" s="50">
        <v>317</v>
      </c>
      <c r="F53" s="50">
        <v>68</v>
      </c>
      <c r="G53" s="50">
        <v>75</v>
      </c>
    </row>
    <row r="54" spans="1:7" x14ac:dyDescent="0.3">
      <c r="A54" s="12" t="s">
        <v>42</v>
      </c>
      <c r="B54" s="50">
        <v>12</v>
      </c>
      <c r="C54" s="50">
        <v>1</v>
      </c>
      <c r="D54" s="50">
        <v>12</v>
      </c>
      <c r="E54" s="50">
        <v>8</v>
      </c>
      <c r="F54" s="50">
        <v>9</v>
      </c>
      <c r="G54" s="50">
        <v>8</v>
      </c>
    </row>
    <row r="55" spans="1:7" x14ac:dyDescent="0.3">
      <c r="A55" s="12" t="s">
        <v>34</v>
      </c>
      <c r="B55" s="50">
        <v>14</v>
      </c>
      <c r="C55" s="50">
        <v>11</v>
      </c>
      <c r="D55" s="50">
        <v>9</v>
      </c>
      <c r="E55" s="50">
        <v>3</v>
      </c>
      <c r="F55" s="50">
        <v>10</v>
      </c>
      <c r="G55" s="50">
        <v>8</v>
      </c>
    </row>
    <row r="56" spans="1:7" x14ac:dyDescent="0.3">
      <c r="A56" s="12" t="s">
        <v>35</v>
      </c>
      <c r="B56" s="50">
        <v>268</v>
      </c>
      <c r="C56" s="50">
        <v>230</v>
      </c>
      <c r="D56" s="50">
        <v>66</v>
      </c>
      <c r="E56" s="50">
        <v>227</v>
      </c>
      <c r="F56" s="50">
        <v>162</v>
      </c>
      <c r="G56" s="50">
        <v>68</v>
      </c>
    </row>
    <row r="57" spans="1:7" x14ac:dyDescent="0.3">
      <c r="A57" s="12" t="s">
        <v>94</v>
      </c>
      <c r="B57" s="50">
        <v>45</v>
      </c>
      <c r="C57" s="50">
        <v>37</v>
      </c>
      <c r="D57" s="50">
        <v>56</v>
      </c>
      <c r="E57" s="50">
        <v>48</v>
      </c>
      <c r="F57" s="50">
        <v>75</v>
      </c>
      <c r="G57" s="50">
        <v>39</v>
      </c>
    </row>
    <row r="58" spans="1:7" x14ac:dyDescent="0.3">
      <c r="A58" s="12" t="s">
        <v>46</v>
      </c>
      <c r="B58" s="50">
        <v>45</v>
      </c>
      <c r="C58" s="50">
        <v>41</v>
      </c>
      <c r="D58" s="50">
        <v>23</v>
      </c>
      <c r="E58" s="50">
        <v>24</v>
      </c>
      <c r="F58" s="50">
        <v>32</v>
      </c>
      <c r="G58" s="50">
        <v>30</v>
      </c>
    </row>
    <row r="59" spans="1:7" x14ac:dyDescent="0.3">
      <c r="A59" s="12" t="s">
        <v>44</v>
      </c>
      <c r="B59" s="50">
        <v>128</v>
      </c>
      <c r="C59" s="50">
        <v>118</v>
      </c>
      <c r="D59" s="50">
        <v>125</v>
      </c>
      <c r="E59" s="50">
        <v>91</v>
      </c>
      <c r="F59" s="50">
        <v>49</v>
      </c>
      <c r="G59" s="50">
        <v>115</v>
      </c>
    </row>
    <row r="60" spans="1:7" x14ac:dyDescent="0.3">
      <c r="A60" s="12" t="s">
        <v>36</v>
      </c>
      <c r="B60" s="50">
        <v>39</v>
      </c>
      <c r="C60" s="50">
        <v>22</v>
      </c>
      <c r="D60" s="50">
        <v>19</v>
      </c>
      <c r="E60" s="50">
        <v>32</v>
      </c>
      <c r="F60" s="50">
        <v>28</v>
      </c>
      <c r="G60" s="50">
        <v>38</v>
      </c>
    </row>
    <row r="61" spans="1:7" x14ac:dyDescent="0.3">
      <c r="A61" s="12" t="s">
        <v>54</v>
      </c>
      <c r="B61" s="50">
        <v>49</v>
      </c>
      <c r="C61" s="50">
        <v>96</v>
      </c>
      <c r="D61" s="50">
        <v>67</v>
      </c>
      <c r="E61" s="50">
        <v>45</v>
      </c>
      <c r="F61" s="50">
        <v>75</v>
      </c>
      <c r="G61" s="50">
        <v>61</v>
      </c>
    </row>
    <row r="62" spans="1:7" x14ac:dyDescent="0.3">
      <c r="A62" s="12" t="s">
        <v>23</v>
      </c>
      <c r="B62" s="50">
        <v>53</v>
      </c>
      <c r="C62" s="50">
        <v>59</v>
      </c>
      <c r="D62" s="50">
        <v>65</v>
      </c>
      <c r="E62" s="50">
        <v>44</v>
      </c>
      <c r="F62" s="50">
        <v>49</v>
      </c>
      <c r="G62" s="50">
        <v>72</v>
      </c>
    </row>
    <row r="63" spans="1:7" x14ac:dyDescent="0.3">
      <c r="A63" s="12" t="s">
        <v>49</v>
      </c>
      <c r="B63" s="50">
        <v>16</v>
      </c>
      <c r="C63" s="50">
        <v>30</v>
      </c>
      <c r="D63" s="50">
        <v>12</v>
      </c>
      <c r="E63" s="50">
        <v>17</v>
      </c>
      <c r="F63" s="50">
        <v>32</v>
      </c>
      <c r="G63" s="50">
        <v>39</v>
      </c>
    </row>
    <row r="64" spans="1:7" x14ac:dyDescent="0.3">
      <c r="A64" s="12" t="s">
        <v>24</v>
      </c>
      <c r="B64" s="50">
        <v>36</v>
      </c>
      <c r="C64" s="50">
        <v>40</v>
      </c>
      <c r="D64" s="50">
        <v>24</v>
      </c>
      <c r="E64" s="50">
        <v>33</v>
      </c>
      <c r="F64" s="50">
        <v>26</v>
      </c>
      <c r="G64" s="50">
        <v>27</v>
      </c>
    </row>
    <row r="65" spans="1:7" x14ac:dyDescent="0.3">
      <c r="A65" s="12" t="s">
        <v>68</v>
      </c>
      <c r="B65" s="50">
        <v>70</v>
      </c>
      <c r="C65" s="50">
        <v>85</v>
      </c>
      <c r="D65" s="50">
        <v>46</v>
      </c>
      <c r="E65" s="50">
        <v>32</v>
      </c>
      <c r="F65" s="50">
        <v>49</v>
      </c>
      <c r="G65" s="50">
        <v>53</v>
      </c>
    </row>
    <row r="66" spans="1:7" x14ac:dyDescent="0.3">
      <c r="A66" s="12" t="s">
        <v>41</v>
      </c>
      <c r="B66" s="50">
        <v>28</v>
      </c>
      <c r="C66" s="50">
        <v>13</v>
      </c>
      <c r="D66" s="50">
        <v>16</v>
      </c>
      <c r="E66" s="50">
        <v>24</v>
      </c>
      <c r="F66" s="50">
        <v>11</v>
      </c>
      <c r="G66" s="50">
        <v>21</v>
      </c>
    </row>
    <row r="67" spans="1:7" x14ac:dyDescent="0.3">
      <c r="A67" s="12" t="s">
        <v>101</v>
      </c>
      <c r="B67" s="50">
        <v>359</v>
      </c>
      <c r="C67" s="50">
        <v>443</v>
      </c>
      <c r="D67" s="50">
        <v>404</v>
      </c>
      <c r="E67" s="50">
        <v>583</v>
      </c>
      <c r="F67" s="50">
        <v>467</v>
      </c>
      <c r="G67" s="50">
        <v>357</v>
      </c>
    </row>
    <row r="68" spans="1:7" x14ac:dyDescent="0.3">
      <c r="A68" s="12" t="s">
        <v>55</v>
      </c>
      <c r="B68" s="50">
        <v>18</v>
      </c>
      <c r="C68" s="50">
        <v>29</v>
      </c>
      <c r="D68" s="50">
        <v>26</v>
      </c>
      <c r="E68" s="50">
        <v>81</v>
      </c>
      <c r="F68" s="50">
        <v>116</v>
      </c>
      <c r="G68" s="50">
        <v>29</v>
      </c>
    </row>
    <row r="69" spans="1:7" x14ac:dyDescent="0.3">
      <c r="A69" s="12" t="s">
        <v>16</v>
      </c>
      <c r="B69" s="50">
        <v>145</v>
      </c>
      <c r="C69" s="50">
        <v>245</v>
      </c>
      <c r="D69" s="50">
        <v>170</v>
      </c>
      <c r="E69" s="50">
        <v>300</v>
      </c>
      <c r="F69" s="50">
        <v>192</v>
      </c>
      <c r="G69" s="50">
        <v>141</v>
      </c>
    </row>
    <row r="70" spans="1:7" x14ac:dyDescent="0.3">
      <c r="A70" s="12" t="s">
        <v>19</v>
      </c>
      <c r="B70" s="50">
        <v>87</v>
      </c>
      <c r="C70" s="50">
        <v>99</v>
      </c>
      <c r="D70" s="50">
        <v>124</v>
      </c>
      <c r="E70" s="50">
        <v>95</v>
      </c>
      <c r="F70" s="50">
        <v>96</v>
      </c>
      <c r="G70" s="50">
        <v>109</v>
      </c>
    </row>
    <row r="71" spans="1:7" x14ac:dyDescent="0.3">
      <c r="A71" s="12" t="s">
        <v>133</v>
      </c>
      <c r="B71" s="50">
        <v>53</v>
      </c>
      <c r="C71" s="50">
        <v>56</v>
      </c>
      <c r="D71" s="50">
        <v>61</v>
      </c>
      <c r="E71" s="50">
        <v>50</v>
      </c>
      <c r="F71" s="50">
        <v>53</v>
      </c>
      <c r="G71" s="50">
        <v>50</v>
      </c>
    </row>
    <row r="72" spans="1:7" x14ac:dyDescent="0.3">
      <c r="A72" s="12" t="s">
        <v>17</v>
      </c>
      <c r="B72" s="50">
        <v>29</v>
      </c>
      <c r="C72" s="50">
        <v>27</v>
      </c>
      <c r="D72" s="50">
        <v>19</v>
      </c>
      <c r="E72" s="50">
        <v>18</v>
      </c>
      <c r="F72" s="50">
        <v>24</v>
      </c>
      <c r="G72" s="50">
        <v>44</v>
      </c>
    </row>
    <row r="73" spans="1:7" x14ac:dyDescent="0.3">
      <c r="A73" s="12" t="s">
        <v>60</v>
      </c>
      <c r="B73" s="50">
        <v>5</v>
      </c>
      <c r="C73" s="50">
        <v>16</v>
      </c>
      <c r="D73" s="50">
        <v>44</v>
      </c>
      <c r="E73" s="50">
        <v>27</v>
      </c>
      <c r="F73" s="50">
        <v>19</v>
      </c>
      <c r="G73" s="50">
        <v>15</v>
      </c>
    </row>
    <row r="74" spans="1:7" x14ac:dyDescent="0.3">
      <c r="A74" s="12" t="s">
        <v>82</v>
      </c>
      <c r="B74" s="50">
        <v>109</v>
      </c>
      <c r="C74" s="50">
        <v>70</v>
      </c>
      <c r="D74" s="50">
        <v>84</v>
      </c>
      <c r="E74" s="50">
        <v>107</v>
      </c>
      <c r="F74" s="50">
        <v>63</v>
      </c>
      <c r="G74" s="50">
        <v>78</v>
      </c>
    </row>
    <row r="75" spans="1:7" x14ac:dyDescent="0.3">
      <c r="A75" s="12" t="s">
        <v>134</v>
      </c>
      <c r="B75" s="50">
        <v>736</v>
      </c>
      <c r="C75" s="50" t="s">
        <v>86</v>
      </c>
      <c r="D75" s="50" t="s">
        <v>86</v>
      </c>
      <c r="E75" s="50" t="s">
        <v>86</v>
      </c>
      <c r="F75" s="50" t="s">
        <v>86</v>
      </c>
      <c r="G75" s="50" t="s">
        <v>86</v>
      </c>
    </row>
    <row r="76" spans="1:7" x14ac:dyDescent="0.3">
      <c r="A76" s="12" t="s">
        <v>58</v>
      </c>
      <c r="B76" s="50">
        <v>20</v>
      </c>
      <c r="C76" s="50">
        <v>8</v>
      </c>
      <c r="D76" s="50">
        <v>12</v>
      </c>
      <c r="E76" s="50">
        <v>3</v>
      </c>
      <c r="F76" s="50">
        <v>18</v>
      </c>
      <c r="G76" s="50">
        <v>6</v>
      </c>
    </row>
    <row r="77" spans="1:7" x14ac:dyDescent="0.3">
      <c r="A77" s="12" t="s">
        <v>1</v>
      </c>
      <c r="B77" s="50">
        <v>67</v>
      </c>
      <c r="C77" s="50">
        <f>_xlfn.CEILING.MATH(B77*C$4/B$4)</f>
        <v>64</v>
      </c>
      <c r="D77" s="50">
        <f t="shared" ref="D77:G77" si="0">_xlfn.CEILING.MATH(C77*D$4/C$4)</f>
        <v>61</v>
      </c>
      <c r="E77" s="50">
        <f t="shared" si="0"/>
        <v>68</v>
      </c>
      <c r="F77" s="50">
        <f t="shared" si="0"/>
        <v>67</v>
      </c>
      <c r="G77" s="50">
        <f t="shared" si="0"/>
        <v>65</v>
      </c>
    </row>
    <row r="78" spans="1:7" x14ac:dyDescent="0.3">
      <c r="A78" s="12" t="s">
        <v>14</v>
      </c>
      <c r="B78" s="50">
        <v>85</v>
      </c>
      <c r="C78" s="50">
        <v>53</v>
      </c>
      <c r="D78" s="50">
        <v>29</v>
      </c>
      <c r="E78" s="50">
        <v>33</v>
      </c>
      <c r="F78" s="50">
        <v>45</v>
      </c>
      <c r="G78" s="50">
        <v>33</v>
      </c>
    </row>
    <row r="79" spans="1:7" x14ac:dyDescent="0.3">
      <c r="A79" s="12" t="s">
        <v>77</v>
      </c>
      <c r="B79" s="50">
        <v>48</v>
      </c>
      <c r="C79" s="50">
        <v>42</v>
      </c>
      <c r="D79" s="50">
        <v>12</v>
      </c>
      <c r="E79" s="50">
        <v>45</v>
      </c>
      <c r="F79" s="50">
        <v>22</v>
      </c>
      <c r="G79" s="50">
        <v>19</v>
      </c>
    </row>
    <row r="80" spans="1:7" x14ac:dyDescent="0.3">
      <c r="A80" s="12" t="s">
        <v>12</v>
      </c>
      <c r="B80" s="50">
        <v>61</v>
      </c>
      <c r="C80" s="50">
        <v>46</v>
      </c>
      <c r="D80" s="50">
        <v>60</v>
      </c>
      <c r="E80" s="50">
        <v>54</v>
      </c>
      <c r="F80" s="50">
        <v>55</v>
      </c>
      <c r="G80" s="50">
        <v>66</v>
      </c>
    </row>
    <row r="81" spans="1:7" x14ac:dyDescent="0.3">
      <c r="A81" s="12" t="s">
        <v>57</v>
      </c>
      <c r="B81" s="50">
        <v>45</v>
      </c>
      <c r="C81" s="50">
        <f>_xlfn.CEILING.MATH(B81*C$4/B$4)</f>
        <v>43</v>
      </c>
      <c r="D81" s="50">
        <f t="shared" ref="D81:G81" si="1">_xlfn.CEILING.MATH(C81*D$4/C$4)</f>
        <v>41</v>
      </c>
      <c r="E81" s="50">
        <f t="shared" si="1"/>
        <v>46</v>
      </c>
      <c r="F81" s="50">
        <f t="shared" si="1"/>
        <v>45</v>
      </c>
      <c r="G81" s="50">
        <f t="shared" si="1"/>
        <v>44</v>
      </c>
    </row>
    <row r="82" spans="1:7" x14ac:dyDescent="0.3">
      <c r="A82" s="12" t="s">
        <v>61</v>
      </c>
      <c r="B82" s="50">
        <v>109</v>
      </c>
      <c r="C82" s="50">
        <v>112</v>
      </c>
      <c r="D82" s="50">
        <v>60</v>
      </c>
      <c r="E82" s="50">
        <v>83</v>
      </c>
      <c r="F82" s="50">
        <v>164</v>
      </c>
      <c r="G82" s="50">
        <v>81</v>
      </c>
    </row>
    <row r="83" spans="1:7" x14ac:dyDescent="0.3">
      <c r="A83" s="12" t="s">
        <v>72</v>
      </c>
      <c r="B83" s="50">
        <v>76</v>
      </c>
      <c r="C83" s="50">
        <v>48</v>
      </c>
      <c r="D83" s="50">
        <v>110</v>
      </c>
      <c r="E83" s="50">
        <v>51</v>
      </c>
      <c r="F83" s="50">
        <v>104</v>
      </c>
      <c r="G83" s="50">
        <v>77</v>
      </c>
    </row>
    <row r="84" spans="1:7" x14ac:dyDescent="0.3">
      <c r="A84" s="12" t="s">
        <v>76</v>
      </c>
      <c r="B84" s="50">
        <v>84</v>
      </c>
      <c r="C84" s="50">
        <v>87</v>
      </c>
      <c r="D84" s="50">
        <v>64</v>
      </c>
      <c r="E84" s="50">
        <v>58</v>
      </c>
      <c r="F84" s="50">
        <v>96</v>
      </c>
      <c r="G84" s="50">
        <v>60</v>
      </c>
    </row>
    <row r="85" spans="1:7" x14ac:dyDescent="0.3">
      <c r="A85" s="12" t="s">
        <v>6</v>
      </c>
      <c r="B85" s="50">
        <v>76</v>
      </c>
      <c r="C85" s="50">
        <v>74</v>
      </c>
      <c r="D85" s="50">
        <v>154</v>
      </c>
      <c r="E85" s="50">
        <v>75</v>
      </c>
      <c r="F85" s="50">
        <v>81</v>
      </c>
      <c r="G85" s="50">
        <v>94</v>
      </c>
    </row>
    <row r="86" spans="1:7" x14ac:dyDescent="0.3">
      <c r="A86" s="12" t="s">
        <v>64</v>
      </c>
      <c r="B86" s="50">
        <v>43</v>
      </c>
      <c r="C86" s="50">
        <v>45</v>
      </c>
      <c r="D86" s="50">
        <v>29</v>
      </c>
      <c r="E86" s="50">
        <v>24</v>
      </c>
      <c r="F86" s="50">
        <v>34</v>
      </c>
      <c r="G86" s="50">
        <v>29</v>
      </c>
    </row>
    <row r="87" spans="1:7" x14ac:dyDescent="0.3">
      <c r="A87" s="12" t="s">
        <v>5</v>
      </c>
      <c r="B87" s="50">
        <v>22</v>
      </c>
      <c r="C87" s="50">
        <v>20</v>
      </c>
      <c r="D87" s="50">
        <v>31</v>
      </c>
      <c r="E87" s="50">
        <v>22</v>
      </c>
      <c r="F87" s="50">
        <v>19</v>
      </c>
      <c r="G87" s="50">
        <v>20</v>
      </c>
    </row>
    <row r="88" spans="1:7" x14ac:dyDescent="0.3">
      <c r="A88" s="12" t="s">
        <v>135</v>
      </c>
      <c r="B88" s="50">
        <v>205</v>
      </c>
      <c r="C88" s="50" t="s">
        <v>86</v>
      </c>
      <c r="D88" s="50" t="s">
        <v>86</v>
      </c>
      <c r="E88" s="50" t="s">
        <v>86</v>
      </c>
      <c r="F88" s="50" t="s">
        <v>86</v>
      </c>
      <c r="G88" s="50" t="s">
        <v>86</v>
      </c>
    </row>
    <row r="89" spans="1:7" x14ac:dyDescent="0.3">
      <c r="A89" s="12" t="s">
        <v>62</v>
      </c>
      <c r="B89" s="50">
        <v>25</v>
      </c>
      <c r="C89" s="50">
        <v>48</v>
      </c>
      <c r="D89" s="50">
        <v>53</v>
      </c>
      <c r="E89" s="50">
        <v>56</v>
      </c>
      <c r="F89" s="50">
        <v>76</v>
      </c>
      <c r="G89" s="50">
        <v>45</v>
      </c>
    </row>
    <row r="90" spans="1:7" x14ac:dyDescent="0.3">
      <c r="A90" s="12" t="s">
        <v>9</v>
      </c>
      <c r="B90" s="50">
        <v>12</v>
      </c>
      <c r="C90" s="50">
        <v>9</v>
      </c>
      <c r="D90" s="50">
        <v>7</v>
      </c>
      <c r="E90" s="50">
        <v>9</v>
      </c>
      <c r="F90" s="50">
        <v>15</v>
      </c>
      <c r="G90" s="50">
        <v>21</v>
      </c>
    </row>
    <row r="91" spans="1:7" x14ac:dyDescent="0.3">
      <c r="A91" s="12" t="s">
        <v>10</v>
      </c>
      <c r="B91" s="50">
        <v>43</v>
      </c>
      <c r="C91" s="50">
        <v>52</v>
      </c>
      <c r="D91" s="50">
        <v>33</v>
      </c>
      <c r="E91" s="50">
        <v>35</v>
      </c>
      <c r="F91" s="50">
        <v>57</v>
      </c>
      <c r="G91" s="50">
        <v>53</v>
      </c>
    </row>
    <row r="92" spans="1:7" x14ac:dyDescent="0.3">
      <c r="A92" s="12" t="s">
        <v>75</v>
      </c>
      <c r="B92" s="50">
        <v>55</v>
      </c>
      <c r="C92" s="50">
        <v>52</v>
      </c>
      <c r="D92" s="50">
        <v>30</v>
      </c>
      <c r="E92" s="50">
        <v>40</v>
      </c>
      <c r="F92" s="50">
        <v>54</v>
      </c>
      <c r="G92" s="50">
        <v>37</v>
      </c>
    </row>
    <row r="93" spans="1:7" x14ac:dyDescent="0.3">
      <c r="A93" s="12" t="s">
        <v>73</v>
      </c>
      <c r="B93" s="50">
        <v>30</v>
      </c>
      <c r="C93" s="50">
        <v>15</v>
      </c>
      <c r="D93" s="50">
        <v>33</v>
      </c>
      <c r="E93" s="50">
        <v>22</v>
      </c>
      <c r="F93" s="50">
        <v>28</v>
      </c>
      <c r="G93" s="50">
        <v>27</v>
      </c>
    </row>
    <row r="94" spans="1:7" x14ac:dyDescent="0.3">
      <c r="A94" s="12" t="s">
        <v>8</v>
      </c>
      <c r="B94" s="50">
        <v>6</v>
      </c>
      <c r="C94" s="50">
        <v>3</v>
      </c>
      <c r="D94" s="50">
        <v>5</v>
      </c>
      <c r="E94" s="50">
        <v>7</v>
      </c>
      <c r="F94" s="50">
        <v>4</v>
      </c>
      <c r="G94" s="50">
        <v>7</v>
      </c>
    </row>
    <row r="95" spans="1:7" x14ac:dyDescent="0.3">
      <c r="A95" s="12" t="s">
        <v>3</v>
      </c>
      <c r="B95" s="50">
        <v>26</v>
      </c>
      <c r="C95" s="50">
        <v>11</v>
      </c>
      <c r="D95" s="50">
        <v>3</v>
      </c>
      <c r="E95" s="50">
        <v>8</v>
      </c>
      <c r="F95" s="50">
        <v>12</v>
      </c>
      <c r="G95" s="50">
        <v>13</v>
      </c>
    </row>
    <row r="96" spans="1:7" x14ac:dyDescent="0.3">
      <c r="A96" s="12" t="s">
        <v>74</v>
      </c>
      <c r="B96" s="50">
        <v>6</v>
      </c>
      <c r="C96" s="50">
        <v>5</v>
      </c>
      <c r="D96" s="50">
        <v>6</v>
      </c>
      <c r="E96" s="50">
        <v>9</v>
      </c>
      <c r="F96" s="50">
        <v>8</v>
      </c>
      <c r="G96" s="50">
        <v>11</v>
      </c>
    </row>
    <row r="97" spans="1:7" x14ac:dyDescent="0.3">
      <c r="A97" s="12" t="s">
        <v>18</v>
      </c>
      <c r="B97" s="50">
        <v>2</v>
      </c>
      <c r="C97" s="50">
        <v>2</v>
      </c>
      <c r="D97" s="50">
        <v>3</v>
      </c>
      <c r="E97" s="50">
        <v>0.1</v>
      </c>
      <c r="F97" s="50">
        <v>1</v>
      </c>
      <c r="G97" s="50">
        <v>4</v>
      </c>
    </row>
  </sheetData>
  <conditionalFormatting sqref="B4:G97">
    <cfRule type="cellIs" dxfId="2" priority="1" operator="equal">
      <formula>0</formula>
    </cfRule>
  </conditionalFormatting>
  <pageMargins left="0.75" right="0.75" top="1" bottom="1" header="0.5" footer="0.5"/>
  <pageSetup orientation="portrait" horizontalDpi="300" verticalDpi="300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D1B13-9F95-41A8-8C59-7AFE7D3CF898}">
  <sheetPr codeName="Лист32">
    <tabColor theme="4" tint="0.59999389629810485"/>
    <pageSetUpPr fitToPage="1"/>
  </sheetPr>
  <dimension ref="A1:K101"/>
  <sheetViews>
    <sheetView showGridLines="0" workbookViewId="0"/>
  </sheetViews>
  <sheetFormatPr defaultRowHeight="16.5" x14ac:dyDescent="0.3"/>
  <cols>
    <col min="1" max="1" width="108.5703125" style="9" customWidth="1"/>
    <col min="2" max="2" width="13.140625" style="4" bestFit="1" customWidth="1"/>
    <col min="3" max="7" width="9.85546875" style="4" bestFit="1" customWidth="1"/>
    <col min="8" max="240" width="9.140625" style="4"/>
    <col min="241" max="241" width="108.5703125" style="4" customWidth="1"/>
    <col min="242" max="242" width="1.5703125" style="4" customWidth="1"/>
    <col min="243" max="243" width="6" style="4" customWidth="1"/>
    <col min="244" max="496" width="9.140625" style="4"/>
    <col min="497" max="497" width="108.5703125" style="4" customWidth="1"/>
    <col min="498" max="498" width="1.5703125" style="4" customWidth="1"/>
    <col min="499" max="499" width="6" style="4" customWidth="1"/>
    <col min="500" max="752" width="9.140625" style="4"/>
    <col min="753" max="753" width="108.5703125" style="4" customWidth="1"/>
    <col min="754" max="754" width="1.5703125" style="4" customWidth="1"/>
    <col min="755" max="755" width="6" style="4" customWidth="1"/>
    <col min="756" max="1008" width="9.140625" style="4"/>
    <col min="1009" max="1009" width="108.5703125" style="4" customWidth="1"/>
    <col min="1010" max="1010" width="1.5703125" style="4" customWidth="1"/>
    <col min="1011" max="1011" width="6" style="4" customWidth="1"/>
    <col min="1012" max="1264" width="9.140625" style="4"/>
    <col min="1265" max="1265" width="108.5703125" style="4" customWidth="1"/>
    <col min="1266" max="1266" width="1.5703125" style="4" customWidth="1"/>
    <col min="1267" max="1267" width="6" style="4" customWidth="1"/>
    <col min="1268" max="1520" width="9.140625" style="4"/>
    <col min="1521" max="1521" width="108.5703125" style="4" customWidth="1"/>
    <col min="1522" max="1522" width="1.5703125" style="4" customWidth="1"/>
    <col min="1523" max="1523" width="6" style="4" customWidth="1"/>
    <col min="1524" max="1776" width="9.140625" style="4"/>
    <col min="1777" max="1777" width="108.5703125" style="4" customWidth="1"/>
    <col min="1778" max="1778" width="1.5703125" style="4" customWidth="1"/>
    <col min="1779" max="1779" width="6" style="4" customWidth="1"/>
    <col min="1780" max="2032" width="9.140625" style="4"/>
    <col min="2033" max="2033" width="108.5703125" style="4" customWidth="1"/>
    <col min="2034" max="2034" width="1.5703125" style="4" customWidth="1"/>
    <col min="2035" max="2035" width="6" style="4" customWidth="1"/>
    <col min="2036" max="2288" width="9.140625" style="4"/>
    <col min="2289" max="2289" width="108.5703125" style="4" customWidth="1"/>
    <col min="2290" max="2290" width="1.5703125" style="4" customWidth="1"/>
    <col min="2291" max="2291" width="6" style="4" customWidth="1"/>
    <col min="2292" max="2544" width="9.140625" style="4"/>
    <col min="2545" max="2545" width="108.5703125" style="4" customWidth="1"/>
    <col min="2546" max="2546" width="1.5703125" style="4" customWidth="1"/>
    <col min="2547" max="2547" width="6" style="4" customWidth="1"/>
    <col min="2548" max="2800" width="9.140625" style="4"/>
    <col min="2801" max="2801" width="108.5703125" style="4" customWidth="1"/>
    <col min="2802" max="2802" width="1.5703125" style="4" customWidth="1"/>
    <col min="2803" max="2803" width="6" style="4" customWidth="1"/>
    <col min="2804" max="3056" width="9.140625" style="4"/>
    <col min="3057" max="3057" width="108.5703125" style="4" customWidth="1"/>
    <col min="3058" max="3058" width="1.5703125" style="4" customWidth="1"/>
    <col min="3059" max="3059" width="6" style="4" customWidth="1"/>
    <col min="3060" max="3312" width="9.140625" style="4"/>
    <col min="3313" max="3313" width="108.5703125" style="4" customWidth="1"/>
    <col min="3314" max="3314" width="1.5703125" style="4" customWidth="1"/>
    <col min="3315" max="3315" width="6" style="4" customWidth="1"/>
    <col min="3316" max="3568" width="9.140625" style="4"/>
    <col min="3569" max="3569" width="108.5703125" style="4" customWidth="1"/>
    <col min="3570" max="3570" width="1.5703125" style="4" customWidth="1"/>
    <col min="3571" max="3571" width="6" style="4" customWidth="1"/>
    <col min="3572" max="3824" width="9.140625" style="4"/>
    <col min="3825" max="3825" width="108.5703125" style="4" customWidth="1"/>
    <col min="3826" max="3826" width="1.5703125" style="4" customWidth="1"/>
    <col min="3827" max="3827" width="6" style="4" customWidth="1"/>
    <col min="3828" max="4080" width="9.140625" style="4"/>
    <col min="4081" max="4081" width="108.5703125" style="4" customWidth="1"/>
    <col min="4082" max="4082" width="1.5703125" style="4" customWidth="1"/>
    <col min="4083" max="4083" width="6" style="4" customWidth="1"/>
    <col min="4084" max="4336" width="9.140625" style="4"/>
    <col min="4337" max="4337" width="108.5703125" style="4" customWidth="1"/>
    <col min="4338" max="4338" width="1.5703125" style="4" customWidth="1"/>
    <col min="4339" max="4339" width="6" style="4" customWidth="1"/>
    <col min="4340" max="4592" width="9.140625" style="4"/>
    <col min="4593" max="4593" width="108.5703125" style="4" customWidth="1"/>
    <col min="4594" max="4594" width="1.5703125" style="4" customWidth="1"/>
    <col min="4595" max="4595" width="6" style="4" customWidth="1"/>
    <col min="4596" max="4848" width="9.140625" style="4"/>
    <col min="4849" max="4849" width="108.5703125" style="4" customWidth="1"/>
    <col min="4850" max="4850" width="1.5703125" style="4" customWidth="1"/>
    <col min="4851" max="4851" width="6" style="4" customWidth="1"/>
    <col min="4852" max="5104" width="9.140625" style="4"/>
    <col min="5105" max="5105" width="108.5703125" style="4" customWidth="1"/>
    <col min="5106" max="5106" width="1.5703125" style="4" customWidth="1"/>
    <col min="5107" max="5107" width="6" style="4" customWidth="1"/>
    <col min="5108" max="5360" width="9.140625" style="4"/>
    <col min="5361" max="5361" width="108.5703125" style="4" customWidth="1"/>
    <col min="5362" max="5362" width="1.5703125" style="4" customWidth="1"/>
    <col min="5363" max="5363" width="6" style="4" customWidth="1"/>
    <col min="5364" max="5616" width="9.140625" style="4"/>
    <col min="5617" max="5617" width="108.5703125" style="4" customWidth="1"/>
    <col min="5618" max="5618" width="1.5703125" style="4" customWidth="1"/>
    <col min="5619" max="5619" width="6" style="4" customWidth="1"/>
    <col min="5620" max="5872" width="9.140625" style="4"/>
    <col min="5873" max="5873" width="108.5703125" style="4" customWidth="1"/>
    <col min="5874" max="5874" width="1.5703125" style="4" customWidth="1"/>
    <col min="5875" max="5875" width="6" style="4" customWidth="1"/>
    <col min="5876" max="6128" width="9.140625" style="4"/>
    <col min="6129" max="6129" width="108.5703125" style="4" customWidth="1"/>
    <col min="6130" max="6130" width="1.5703125" style="4" customWidth="1"/>
    <col min="6131" max="6131" width="6" style="4" customWidth="1"/>
    <col min="6132" max="6384" width="9.140625" style="4"/>
    <col min="6385" max="6385" width="108.5703125" style="4" customWidth="1"/>
    <col min="6386" max="6386" width="1.5703125" style="4" customWidth="1"/>
    <col min="6387" max="6387" width="6" style="4" customWidth="1"/>
    <col min="6388" max="6640" width="9.140625" style="4"/>
    <col min="6641" max="6641" width="108.5703125" style="4" customWidth="1"/>
    <col min="6642" max="6642" width="1.5703125" style="4" customWidth="1"/>
    <col min="6643" max="6643" width="6" style="4" customWidth="1"/>
    <col min="6644" max="6896" width="9.140625" style="4"/>
    <col min="6897" max="6897" width="108.5703125" style="4" customWidth="1"/>
    <col min="6898" max="6898" width="1.5703125" style="4" customWidth="1"/>
    <col min="6899" max="6899" width="6" style="4" customWidth="1"/>
    <col min="6900" max="7152" width="9.140625" style="4"/>
    <col min="7153" max="7153" width="108.5703125" style="4" customWidth="1"/>
    <col min="7154" max="7154" width="1.5703125" style="4" customWidth="1"/>
    <col min="7155" max="7155" width="6" style="4" customWidth="1"/>
    <col min="7156" max="7408" width="9.140625" style="4"/>
    <col min="7409" max="7409" width="108.5703125" style="4" customWidth="1"/>
    <col min="7410" max="7410" width="1.5703125" style="4" customWidth="1"/>
    <col min="7411" max="7411" width="6" style="4" customWidth="1"/>
    <col min="7412" max="7664" width="9.140625" style="4"/>
    <col min="7665" max="7665" width="108.5703125" style="4" customWidth="1"/>
    <col min="7666" max="7666" width="1.5703125" style="4" customWidth="1"/>
    <col min="7667" max="7667" width="6" style="4" customWidth="1"/>
    <col min="7668" max="7920" width="9.140625" style="4"/>
    <col min="7921" max="7921" width="108.5703125" style="4" customWidth="1"/>
    <col min="7922" max="7922" width="1.5703125" style="4" customWidth="1"/>
    <col min="7923" max="7923" width="6" style="4" customWidth="1"/>
    <col min="7924" max="8176" width="9.140625" style="4"/>
    <col min="8177" max="8177" width="108.5703125" style="4" customWidth="1"/>
    <col min="8178" max="8178" width="1.5703125" style="4" customWidth="1"/>
    <col min="8179" max="8179" width="6" style="4" customWidth="1"/>
    <col min="8180" max="8432" width="9.140625" style="4"/>
    <col min="8433" max="8433" width="108.5703125" style="4" customWidth="1"/>
    <col min="8434" max="8434" width="1.5703125" style="4" customWidth="1"/>
    <col min="8435" max="8435" width="6" style="4" customWidth="1"/>
    <col min="8436" max="8688" width="9.140625" style="4"/>
    <col min="8689" max="8689" width="108.5703125" style="4" customWidth="1"/>
    <col min="8690" max="8690" width="1.5703125" style="4" customWidth="1"/>
    <col min="8691" max="8691" width="6" style="4" customWidth="1"/>
    <col min="8692" max="8944" width="9.140625" style="4"/>
    <col min="8945" max="8945" width="108.5703125" style="4" customWidth="1"/>
    <col min="8946" max="8946" width="1.5703125" style="4" customWidth="1"/>
    <col min="8947" max="8947" width="6" style="4" customWidth="1"/>
    <col min="8948" max="9200" width="9.140625" style="4"/>
    <col min="9201" max="9201" width="108.5703125" style="4" customWidth="1"/>
    <col min="9202" max="9202" width="1.5703125" style="4" customWidth="1"/>
    <col min="9203" max="9203" width="6" style="4" customWidth="1"/>
    <col min="9204" max="9456" width="9.140625" style="4"/>
    <col min="9457" max="9457" width="108.5703125" style="4" customWidth="1"/>
    <col min="9458" max="9458" width="1.5703125" style="4" customWidth="1"/>
    <col min="9459" max="9459" width="6" style="4" customWidth="1"/>
    <col min="9460" max="9712" width="9.140625" style="4"/>
    <col min="9713" max="9713" width="108.5703125" style="4" customWidth="1"/>
    <col min="9714" max="9714" width="1.5703125" style="4" customWidth="1"/>
    <col min="9715" max="9715" width="6" style="4" customWidth="1"/>
    <col min="9716" max="9968" width="9.140625" style="4"/>
    <col min="9969" max="9969" width="108.5703125" style="4" customWidth="1"/>
    <col min="9970" max="9970" width="1.5703125" style="4" customWidth="1"/>
    <col min="9971" max="9971" width="6" style="4" customWidth="1"/>
    <col min="9972" max="10224" width="9.140625" style="4"/>
    <col min="10225" max="10225" width="108.5703125" style="4" customWidth="1"/>
    <col min="10226" max="10226" width="1.5703125" style="4" customWidth="1"/>
    <col min="10227" max="10227" width="6" style="4" customWidth="1"/>
    <col min="10228" max="10480" width="9.140625" style="4"/>
    <col min="10481" max="10481" width="108.5703125" style="4" customWidth="1"/>
    <col min="10482" max="10482" width="1.5703125" style="4" customWidth="1"/>
    <col min="10483" max="10483" width="6" style="4" customWidth="1"/>
    <col min="10484" max="10736" width="9.140625" style="4"/>
    <col min="10737" max="10737" width="108.5703125" style="4" customWidth="1"/>
    <col min="10738" max="10738" width="1.5703125" style="4" customWidth="1"/>
    <col min="10739" max="10739" width="6" style="4" customWidth="1"/>
    <col min="10740" max="10992" width="9.140625" style="4"/>
    <col min="10993" max="10993" width="108.5703125" style="4" customWidth="1"/>
    <col min="10994" max="10994" width="1.5703125" style="4" customWidth="1"/>
    <col min="10995" max="10995" width="6" style="4" customWidth="1"/>
    <col min="10996" max="11248" width="9.140625" style="4"/>
    <col min="11249" max="11249" width="108.5703125" style="4" customWidth="1"/>
    <col min="11250" max="11250" width="1.5703125" style="4" customWidth="1"/>
    <col min="11251" max="11251" width="6" style="4" customWidth="1"/>
    <col min="11252" max="11504" width="9.140625" style="4"/>
    <col min="11505" max="11505" width="108.5703125" style="4" customWidth="1"/>
    <col min="11506" max="11506" width="1.5703125" style="4" customWidth="1"/>
    <col min="11507" max="11507" width="6" style="4" customWidth="1"/>
    <col min="11508" max="11760" width="9.140625" style="4"/>
    <col min="11761" max="11761" width="108.5703125" style="4" customWidth="1"/>
    <col min="11762" max="11762" width="1.5703125" style="4" customWidth="1"/>
    <col min="11763" max="11763" width="6" style="4" customWidth="1"/>
    <col min="11764" max="12016" width="9.140625" style="4"/>
    <col min="12017" max="12017" width="108.5703125" style="4" customWidth="1"/>
    <col min="12018" max="12018" width="1.5703125" style="4" customWidth="1"/>
    <col min="12019" max="12019" width="6" style="4" customWidth="1"/>
    <col min="12020" max="12272" width="9.140625" style="4"/>
    <col min="12273" max="12273" width="108.5703125" style="4" customWidth="1"/>
    <col min="12274" max="12274" width="1.5703125" style="4" customWidth="1"/>
    <col min="12275" max="12275" width="6" style="4" customWidth="1"/>
    <col min="12276" max="12528" width="9.140625" style="4"/>
    <col min="12529" max="12529" width="108.5703125" style="4" customWidth="1"/>
    <col min="12530" max="12530" width="1.5703125" style="4" customWidth="1"/>
    <col min="12531" max="12531" width="6" style="4" customWidth="1"/>
    <col min="12532" max="12784" width="9.140625" style="4"/>
    <col min="12785" max="12785" width="108.5703125" style="4" customWidth="1"/>
    <col min="12786" max="12786" width="1.5703125" style="4" customWidth="1"/>
    <col min="12787" max="12787" width="6" style="4" customWidth="1"/>
    <col min="12788" max="13040" width="9.140625" style="4"/>
    <col min="13041" max="13041" width="108.5703125" style="4" customWidth="1"/>
    <col min="13042" max="13042" width="1.5703125" style="4" customWidth="1"/>
    <col min="13043" max="13043" width="6" style="4" customWidth="1"/>
    <col min="13044" max="13296" width="9.140625" style="4"/>
    <col min="13297" max="13297" width="108.5703125" style="4" customWidth="1"/>
    <col min="13298" max="13298" width="1.5703125" style="4" customWidth="1"/>
    <col min="13299" max="13299" width="6" style="4" customWidth="1"/>
    <col min="13300" max="13552" width="9.140625" style="4"/>
    <col min="13553" max="13553" width="108.5703125" style="4" customWidth="1"/>
    <col min="13554" max="13554" width="1.5703125" style="4" customWidth="1"/>
    <col min="13555" max="13555" width="6" style="4" customWidth="1"/>
    <col min="13556" max="13808" width="9.140625" style="4"/>
    <col min="13809" max="13809" width="108.5703125" style="4" customWidth="1"/>
    <col min="13810" max="13810" width="1.5703125" style="4" customWidth="1"/>
    <col min="13811" max="13811" width="6" style="4" customWidth="1"/>
    <col min="13812" max="14064" width="9.140625" style="4"/>
    <col min="14065" max="14065" width="108.5703125" style="4" customWidth="1"/>
    <col min="14066" max="14066" width="1.5703125" style="4" customWidth="1"/>
    <col min="14067" max="14067" width="6" style="4" customWidth="1"/>
    <col min="14068" max="14320" width="9.140625" style="4"/>
    <col min="14321" max="14321" width="108.5703125" style="4" customWidth="1"/>
    <col min="14322" max="14322" width="1.5703125" style="4" customWidth="1"/>
    <col min="14323" max="14323" width="6" style="4" customWidth="1"/>
    <col min="14324" max="14576" width="9.140625" style="4"/>
    <col min="14577" max="14577" width="108.5703125" style="4" customWidth="1"/>
    <col min="14578" max="14578" width="1.5703125" style="4" customWidth="1"/>
    <col min="14579" max="14579" width="6" style="4" customWidth="1"/>
    <col min="14580" max="14832" width="9.140625" style="4"/>
    <col min="14833" max="14833" width="108.5703125" style="4" customWidth="1"/>
    <col min="14834" max="14834" width="1.5703125" style="4" customWidth="1"/>
    <col min="14835" max="14835" width="6" style="4" customWidth="1"/>
    <col min="14836" max="15088" width="9.140625" style="4"/>
    <col min="15089" max="15089" width="108.5703125" style="4" customWidth="1"/>
    <col min="15090" max="15090" width="1.5703125" style="4" customWidth="1"/>
    <col min="15091" max="15091" width="6" style="4" customWidth="1"/>
    <col min="15092" max="15344" width="9.140625" style="4"/>
    <col min="15345" max="15345" width="108.5703125" style="4" customWidth="1"/>
    <col min="15346" max="15346" width="1.5703125" style="4" customWidth="1"/>
    <col min="15347" max="15347" width="6" style="4" customWidth="1"/>
    <col min="15348" max="15600" width="9.140625" style="4"/>
    <col min="15601" max="15601" width="108.5703125" style="4" customWidth="1"/>
    <col min="15602" max="15602" width="1.5703125" style="4" customWidth="1"/>
    <col min="15603" max="15603" width="6" style="4" customWidth="1"/>
    <col min="15604" max="15856" width="9.140625" style="4"/>
    <col min="15857" max="15857" width="108.5703125" style="4" customWidth="1"/>
    <col min="15858" max="15858" width="1.5703125" style="4" customWidth="1"/>
    <col min="15859" max="15859" width="6" style="4" customWidth="1"/>
    <col min="15860" max="16112" width="9.140625" style="4"/>
    <col min="16113" max="16113" width="108.5703125" style="4" customWidth="1"/>
    <col min="16114" max="16114" width="1.5703125" style="4" customWidth="1"/>
    <col min="16115" max="16115" width="6" style="4" customWidth="1"/>
    <col min="16116" max="16384" width="9.140625" style="4"/>
  </cols>
  <sheetData>
    <row r="1" spans="1:11" x14ac:dyDescent="0.3">
      <c r="A1" s="8" t="s">
        <v>295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3" spans="1:11" x14ac:dyDescent="0.3">
      <c r="A3" s="48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11" x14ac:dyDescent="0.3">
      <c r="A4" s="12" t="s">
        <v>87</v>
      </c>
      <c r="B4" s="50">
        <v>58.4</v>
      </c>
      <c r="C4" s="50">
        <v>58.6</v>
      </c>
      <c r="D4" s="50">
        <v>54.6</v>
      </c>
      <c r="E4" s="50">
        <v>41.2</v>
      </c>
      <c r="F4" s="50">
        <v>40.200000000000003</v>
      </c>
      <c r="G4" s="50">
        <v>38.1</v>
      </c>
    </row>
    <row r="5" spans="1:11" x14ac:dyDescent="0.3">
      <c r="A5" s="12" t="s">
        <v>96</v>
      </c>
      <c r="B5" s="50">
        <v>33</v>
      </c>
      <c r="C5" s="50">
        <v>31.5</v>
      </c>
      <c r="D5" s="50">
        <v>31.4</v>
      </c>
      <c r="E5" s="50">
        <v>23.9</v>
      </c>
      <c r="F5" s="50">
        <v>22.8</v>
      </c>
      <c r="G5" s="50"/>
    </row>
    <row r="6" spans="1:11" x14ac:dyDescent="0.3">
      <c r="A6" s="12" t="s">
        <v>50</v>
      </c>
      <c r="B6" s="50">
        <v>27.2</v>
      </c>
      <c r="C6" s="50">
        <v>22.9</v>
      </c>
      <c r="D6" s="50">
        <v>19.5</v>
      </c>
      <c r="E6" s="50">
        <v>14.5</v>
      </c>
      <c r="F6" s="50">
        <v>12.1</v>
      </c>
      <c r="G6" s="50">
        <v>15.8</v>
      </c>
    </row>
    <row r="7" spans="1:11" x14ac:dyDescent="0.3">
      <c r="A7" s="12" t="s">
        <v>48</v>
      </c>
      <c r="B7" s="50">
        <v>26.5</v>
      </c>
      <c r="C7" s="50">
        <v>32.5</v>
      </c>
      <c r="D7" s="50">
        <v>24.2</v>
      </c>
      <c r="E7" s="50">
        <v>22</v>
      </c>
      <c r="F7" s="50">
        <v>20.399999999999999</v>
      </c>
      <c r="G7" s="50">
        <v>20.3</v>
      </c>
    </row>
    <row r="8" spans="1:11" x14ac:dyDescent="0.3">
      <c r="A8" s="12" t="s">
        <v>20</v>
      </c>
      <c r="B8" s="50">
        <v>47.6</v>
      </c>
      <c r="C8" s="50">
        <v>43.3</v>
      </c>
      <c r="D8" s="50">
        <v>47.7</v>
      </c>
      <c r="E8" s="50">
        <v>28.9</v>
      </c>
      <c r="F8" s="50">
        <v>34.1</v>
      </c>
      <c r="G8" s="50">
        <v>31.2</v>
      </c>
    </row>
    <row r="9" spans="1:11" x14ac:dyDescent="0.3">
      <c r="A9" s="12" t="s">
        <v>4</v>
      </c>
      <c r="B9" s="50">
        <v>41.4</v>
      </c>
      <c r="C9" s="50">
        <v>35.299999999999997</v>
      </c>
      <c r="D9" s="50">
        <v>33</v>
      </c>
      <c r="E9" s="50">
        <v>22.3</v>
      </c>
      <c r="F9" s="50">
        <v>19.7</v>
      </c>
      <c r="G9" s="50">
        <v>25.3</v>
      </c>
    </row>
    <row r="10" spans="1:11" x14ac:dyDescent="0.3">
      <c r="A10" s="12" t="s">
        <v>45</v>
      </c>
      <c r="B10" s="50">
        <v>62.3</v>
      </c>
      <c r="C10" s="50">
        <v>69.400000000000006</v>
      </c>
      <c r="D10" s="50">
        <v>72.8</v>
      </c>
      <c r="E10" s="50">
        <v>59.3</v>
      </c>
      <c r="F10" s="50">
        <v>54.9</v>
      </c>
      <c r="G10" s="50">
        <v>63.3</v>
      </c>
    </row>
    <row r="11" spans="1:11" x14ac:dyDescent="0.3">
      <c r="A11" s="12" t="s">
        <v>40</v>
      </c>
      <c r="B11" s="50">
        <v>31.9</v>
      </c>
      <c r="C11" s="50">
        <v>29.9</v>
      </c>
      <c r="D11" s="50">
        <v>37.4</v>
      </c>
      <c r="E11" s="50">
        <v>24.8</v>
      </c>
      <c r="F11" s="50">
        <v>21.2</v>
      </c>
      <c r="G11" s="50">
        <v>24.6</v>
      </c>
    </row>
    <row r="12" spans="1:11" x14ac:dyDescent="0.3">
      <c r="A12" s="12" t="s">
        <v>37</v>
      </c>
      <c r="B12" s="50">
        <v>37.6</v>
      </c>
      <c r="C12" s="50">
        <v>31.9</v>
      </c>
      <c r="D12" s="50">
        <v>40.200000000000003</v>
      </c>
      <c r="E12" s="50">
        <v>33.200000000000003</v>
      </c>
      <c r="F12" s="50">
        <v>28.2</v>
      </c>
      <c r="G12" s="50">
        <v>32.200000000000003</v>
      </c>
    </row>
    <row r="13" spans="1:11" x14ac:dyDescent="0.3">
      <c r="A13" s="12" t="s">
        <v>56</v>
      </c>
      <c r="B13" s="50">
        <v>23.6</v>
      </c>
      <c r="C13" s="50">
        <v>29.8</v>
      </c>
      <c r="D13" s="50">
        <v>27.9</v>
      </c>
      <c r="E13" s="50">
        <v>15.5</v>
      </c>
      <c r="F13" s="50">
        <v>16</v>
      </c>
      <c r="G13" s="50">
        <v>18.8</v>
      </c>
    </row>
    <row r="14" spans="1:11" x14ac:dyDescent="0.3">
      <c r="A14" s="12" t="s">
        <v>51</v>
      </c>
      <c r="B14" s="50">
        <v>31.6</v>
      </c>
      <c r="C14" s="50">
        <v>31.5</v>
      </c>
      <c r="D14" s="50">
        <v>30.4</v>
      </c>
      <c r="E14" s="50">
        <v>22.5</v>
      </c>
      <c r="F14" s="50">
        <v>24.6</v>
      </c>
      <c r="G14" s="50">
        <v>23</v>
      </c>
    </row>
    <row r="15" spans="1:11" x14ac:dyDescent="0.3">
      <c r="A15" s="12" t="s">
        <v>21</v>
      </c>
      <c r="B15" s="50">
        <v>40</v>
      </c>
      <c r="C15" s="50">
        <v>35.4</v>
      </c>
      <c r="D15" s="50">
        <v>32.5</v>
      </c>
      <c r="E15" s="50">
        <v>30.2</v>
      </c>
      <c r="F15" s="50">
        <v>28.6</v>
      </c>
      <c r="G15" s="50">
        <v>25.2</v>
      </c>
    </row>
    <row r="16" spans="1:11" x14ac:dyDescent="0.3">
      <c r="A16" s="12" t="s">
        <v>70</v>
      </c>
      <c r="B16" s="50">
        <v>40.299999999999997</v>
      </c>
      <c r="C16" s="50">
        <v>41.3</v>
      </c>
      <c r="D16" s="50">
        <v>36.5</v>
      </c>
      <c r="E16" s="50">
        <v>24</v>
      </c>
      <c r="F16" s="50">
        <v>29.4</v>
      </c>
      <c r="G16" s="50">
        <v>24.5</v>
      </c>
    </row>
    <row r="17" spans="1:7" x14ac:dyDescent="0.3">
      <c r="A17" s="12" t="s">
        <v>59</v>
      </c>
      <c r="B17" s="50">
        <v>30.3</v>
      </c>
      <c r="C17" s="50">
        <v>30.8</v>
      </c>
      <c r="D17" s="50">
        <v>35.700000000000003</v>
      </c>
      <c r="E17" s="50">
        <v>19.399999999999999</v>
      </c>
      <c r="F17" s="50">
        <v>22.8</v>
      </c>
      <c r="G17" s="50">
        <v>19.600000000000001</v>
      </c>
    </row>
    <row r="18" spans="1:7" x14ac:dyDescent="0.3">
      <c r="A18" s="12" t="s">
        <v>43</v>
      </c>
      <c r="B18" s="50">
        <v>22.1</v>
      </c>
      <c r="C18" s="50">
        <v>27.1</v>
      </c>
      <c r="D18" s="50">
        <v>27.8</v>
      </c>
      <c r="E18" s="50">
        <v>13.2</v>
      </c>
      <c r="F18" s="50">
        <v>18.100000000000001</v>
      </c>
      <c r="G18" s="50">
        <v>25.3</v>
      </c>
    </row>
    <row r="19" spans="1:7" x14ac:dyDescent="0.3">
      <c r="A19" s="12" t="s">
        <v>15</v>
      </c>
      <c r="B19" s="50">
        <v>20.100000000000001</v>
      </c>
      <c r="C19" s="50">
        <v>24.8</v>
      </c>
      <c r="D19" s="50">
        <v>23.6</v>
      </c>
      <c r="E19" s="50">
        <v>13.6</v>
      </c>
      <c r="F19" s="50">
        <v>14.8</v>
      </c>
      <c r="G19" s="50">
        <v>18.600000000000001</v>
      </c>
    </row>
    <row r="20" spans="1:7" x14ac:dyDescent="0.3">
      <c r="A20" s="12" t="s">
        <v>38</v>
      </c>
      <c r="B20" s="50">
        <v>43.3</v>
      </c>
      <c r="C20" s="50">
        <v>43.2</v>
      </c>
      <c r="D20" s="50">
        <v>51.5</v>
      </c>
      <c r="E20" s="50">
        <v>48.4</v>
      </c>
      <c r="F20" s="50">
        <v>36.799999999999997</v>
      </c>
      <c r="G20" s="50">
        <v>41.4</v>
      </c>
    </row>
    <row r="21" spans="1:7" x14ac:dyDescent="0.3">
      <c r="A21" s="12" t="s">
        <v>39</v>
      </c>
      <c r="B21" s="50">
        <v>49.8</v>
      </c>
      <c r="C21" s="50">
        <v>53.7</v>
      </c>
      <c r="D21" s="50">
        <v>56.1</v>
      </c>
      <c r="E21" s="50">
        <v>40.200000000000003</v>
      </c>
      <c r="F21" s="50">
        <v>42.6</v>
      </c>
      <c r="G21" s="50">
        <v>43.1</v>
      </c>
    </row>
    <row r="22" spans="1:7" x14ac:dyDescent="0.3">
      <c r="A22" s="12" t="s">
        <v>78</v>
      </c>
      <c r="B22" s="50">
        <v>38.200000000000003</v>
      </c>
      <c r="C22" s="50">
        <v>50.8</v>
      </c>
      <c r="D22" s="50">
        <v>57.8</v>
      </c>
      <c r="E22" s="50">
        <v>44.9</v>
      </c>
      <c r="F22" s="50">
        <v>37.4</v>
      </c>
      <c r="G22" s="50">
        <v>39.299999999999997</v>
      </c>
    </row>
    <row r="23" spans="1:7" x14ac:dyDescent="0.3">
      <c r="A23" s="12" t="s">
        <v>13</v>
      </c>
      <c r="B23" s="50">
        <v>23.4</v>
      </c>
      <c r="C23" s="50">
        <v>20</v>
      </c>
      <c r="D23" s="50">
        <v>19.8</v>
      </c>
      <c r="E23" s="50">
        <v>14.3</v>
      </c>
      <c r="F23" s="50">
        <v>13.5</v>
      </c>
      <c r="G23" s="50">
        <v>13.1</v>
      </c>
    </row>
    <row r="24" spans="1:7" x14ac:dyDescent="0.3">
      <c r="A24" s="12" t="s">
        <v>97</v>
      </c>
      <c r="B24" s="50">
        <v>40.4</v>
      </c>
      <c r="C24" s="50">
        <v>46.8</v>
      </c>
      <c r="D24" s="50">
        <v>43.8</v>
      </c>
      <c r="E24" s="50">
        <v>37.299999999999997</v>
      </c>
      <c r="F24" s="50">
        <v>38</v>
      </c>
      <c r="G24" s="50"/>
    </row>
    <row r="25" spans="1:7" x14ac:dyDescent="0.3">
      <c r="A25" s="12" t="s">
        <v>71</v>
      </c>
      <c r="B25" s="50">
        <v>37.299999999999997</v>
      </c>
      <c r="C25" s="50">
        <v>53</v>
      </c>
      <c r="D25" s="50">
        <v>55.5</v>
      </c>
      <c r="E25" s="50">
        <v>49.2</v>
      </c>
      <c r="F25" s="50">
        <v>30.9</v>
      </c>
      <c r="G25" s="50">
        <v>33.6</v>
      </c>
    </row>
    <row r="26" spans="1:7" x14ac:dyDescent="0.3">
      <c r="A26" s="12" t="s">
        <v>65</v>
      </c>
      <c r="B26" s="50">
        <v>47.9</v>
      </c>
      <c r="C26" s="50">
        <v>55.2</v>
      </c>
      <c r="D26" s="50">
        <v>41.1</v>
      </c>
      <c r="E26" s="50">
        <v>39.200000000000003</v>
      </c>
      <c r="F26" s="50">
        <v>33.700000000000003</v>
      </c>
      <c r="G26" s="50">
        <v>41.3</v>
      </c>
    </row>
    <row r="27" spans="1:7" x14ac:dyDescent="0.3">
      <c r="A27" s="12" t="s">
        <v>53</v>
      </c>
      <c r="B27" s="50">
        <v>27.8</v>
      </c>
      <c r="C27" s="50">
        <v>32.299999999999997</v>
      </c>
      <c r="D27" s="50">
        <v>35.9</v>
      </c>
      <c r="E27" s="50">
        <v>20.9</v>
      </c>
      <c r="F27" s="50">
        <v>21.9</v>
      </c>
      <c r="G27" s="50">
        <v>15.7</v>
      </c>
    </row>
    <row r="28" spans="1:7" x14ac:dyDescent="0.3">
      <c r="A28" s="12" t="s">
        <v>7</v>
      </c>
      <c r="B28" s="50">
        <v>11.4</v>
      </c>
      <c r="C28" s="50">
        <v>13.7</v>
      </c>
      <c r="D28" s="50">
        <v>16</v>
      </c>
      <c r="E28" s="50">
        <v>20.399999999999999</v>
      </c>
      <c r="F28" s="50">
        <v>29.3</v>
      </c>
      <c r="G28" s="50">
        <v>38.6</v>
      </c>
    </row>
    <row r="29" spans="1:7" x14ac:dyDescent="0.3">
      <c r="A29" s="12" t="s">
        <v>80</v>
      </c>
      <c r="B29" s="50">
        <v>33.6</v>
      </c>
      <c r="C29" s="50">
        <v>39.200000000000003</v>
      </c>
      <c r="D29" s="50">
        <v>30.4</v>
      </c>
      <c r="E29" s="50">
        <v>25.9</v>
      </c>
      <c r="F29" s="50">
        <v>26.7</v>
      </c>
      <c r="G29" s="50">
        <v>27.3</v>
      </c>
    </row>
    <row r="30" spans="1:7" x14ac:dyDescent="0.3">
      <c r="A30" s="12" t="s">
        <v>69</v>
      </c>
      <c r="B30" s="50">
        <v>38.200000000000003</v>
      </c>
      <c r="C30" s="50">
        <v>41.9</v>
      </c>
      <c r="D30" s="50">
        <v>40.4</v>
      </c>
      <c r="E30" s="50">
        <v>36.1</v>
      </c>
      <c r="F30" s="50">
        <v>40.299999999999997</v>
      </c>
      <c r="G30" s="50">
        <v>36.200000000000003</v>
      </c>
    </row>
    <row r="31" spans="1:7" x14ac:dyDescent="0.3">
      <c r="A31" s="12" t="s">
        <v>33</v>
      </c>
      <c r="B31" s="50">
        <v>43.4</v>
      </c>
      <c r="C31" s="50">
        <v>45.1</v>
      </c>
      <c r="D31" s="50">
        <v>44.9</v>
      </c>
      <c r="E31" s="50">
        <v>57.2</v>
      </c>
      <c r="F31" s="50">
        <v>49</v>
      </c>
      <c r="G31" s="50">
        <v>25.1</v>
      </c>
    </row>
    <row r="32" spans="1:7" x14ac:dyDescent="0.3">
      <c r="A32" s="12" t="s">
        <v>30</v>
      </c>
      <c r="B32" s="50">
        <v>49.4</v>
      </c>
      <c r="C32" s="50">
        <v>50.1</v>
      </c>
      <c r="D32" s="50">
        <v>50</v>
      </c>
      <c r="E32" s="50">
        <v>46.4</v>
      </c>
      <c r="F32" s="50">
        <v>45.6</v>
      </c>
      <c r="G32" s="50">
        <v>46.8</v>
      </c>
    </row>
    <row r="33" spans="1:7" x14ac:dyDescent="0.3">
      <c r="A33" s="12" t="s">
        <v>52</v>
      </c>
      <c r="B33" s="50">
        <v>51.1</v>
      </c>
      <c r="C33" s="50">
        <v>55.9</v>
      </c>
      <c r="D33" s="50">
        <v>59.5</v>
      </c>
      <c r="E33" s="50">
        <v>47.8</v>
      </c>
      <c r="F33" s="50">
        <v>50.3</v>
      </c>
      <c r="G33" s="50">
        <v>47.3</v>
      </c>
    </row>
    <row r="34" spans="1:7" x14ac:dyDescent="0.3">
      <c r="A34" s="12" t="s">
        <v>31</v>
      </c>
      <c r="B34" s="50">
        <v>16.8</v>
      </c>
      <c r="C34" s="50">
        <v>20.2</v>
      </c>
      <c r="D34" s="50">
        <v>21.6</v>
      </c>
      <c r="E34" s="50">
        <v>20.9</v>
      </c>
      <c r="F34" s="50">
        <v>19.2</v>
      </c>
      <c r="G34" s="50">
        <v>21.6</v>
      </c>
    </row>
    <row r="35" spans="1:7" x14ac:dyDescent="0.3">
      <c r="A35" s="12" t="s">
        <v>32</v>
      </c>
      <c r="B35" s="50">
        <v>43.8</v>
      </c>
      <c r="C35" s="50">
        <v>52.9</v>
      </c>
      <c r="D35" s="50">
        <v>47.9</v>
      </c>
      <c r="E35" s="50">
        <v>34.5</v>
      </c>
      <c r="F35" s="50">
        <v>40.799999999999997</v>
      </c>
      <c r="G35" s="50">
        <v>34.6</v>
      </c>
    </row>
    <row r="36" spans="1:7" x14ac:dyDescent="0.3">
      <c r="A36" s="12" t="s">
        <v>296</v>
      </c>
      <c r="B36" s="50">
        <v>41.2</v>
      </c>
      <c r="C36" s="50"/>
      <c r="D36" s="50"/>
      <c r="E36" s="50"/>
      <c r="F36" s="50">
        <v>33.700000000000003</v>
      </c>
      <c r="G36" s="50"/>
    </row>
    <row r="37" spans="1:7" x14ac:dyDescent="0.3">
      <c r="A37" s="12" t="s">
        <v>127</v>
      </c>
      <c r="B37" s="50"/>
      <c r="C37" s="50">
        <v>41.7</v>
      </c>
      <c r="D37" s="50">
        <v>41.8</v>
      </c>
      <c r="E37" s="50">
        <v>30.4</v>
      </c>
      <c r="F37" s="50"/>
      <c r="G37" s="50"/>
    </row>
    <row r="38" spans="1:7" x14ac:dyDescent="0.3">
      <c r="A38" s="12" t="s">
        <v>26</v>
      </c>
      <c r="B38" s="50">
        <v>17</v>
      </c>
      <c r="C38" s="50">
        <v>21.4</v>
      </c>
      <c r="D38" s="50">
        <v>25.1</v>
      </c>
      <c r="E38" s="50">
        <v>13.2</v>
      </c>
      <c r="F38" s="50">
        <v>11.7</v>
      </c>
      <c r="G38" s="50">
        <v>15.3</v>
      </c>
    </row>
    <row r="39" spans="1:7" x14ac:dyDescent="0.3">
      <c r="A39" s="12" t="s">
        <v>27</v>
      </c>
      <c r="B39" s="50">
        <v>5.4</v>
      </c>
      <c r="C39" s="50">
        <v>8.4</v>
      </c>
      <c r="D39" s="50">
        <v>8.4</v>
      </c>
      <c r="E39" s="50">
        <v>2.6</v>
      </c>
      <c r="F39" s="50">
        <v>5.6</v>
      </c>
      <c r="G39" s="50">
        <v>4.5</v>
      </c>
    </row>
    <row r="40" spans="1:7" x14ac:dyDescent="0.3">
      <c r="A40" s="12" t="s">
        <v>89</v>
      </c>
      <c r="B40" s="50">
        <v>55.2</v>
      </c>
      <c r="C40" s="50">
        <v>51.5</v>
      </c>
      <c r="D40" s="50">
        <v>58.2</v>
      </c>
      <c r="E40" s="50">
        <v>44.6</v>
      </c>
      <c r="F40" s="50">
        <v>37.700000000000003</v>
      </c>
      <c r="G40" s="50">
        <v>34.1</v>
      </c>
    </row>
    <row r="41" spans="1:7" x14ac:dyDescent="0.3">
      <c r="A41" s="12" t="s">
        <v>28</v>
      </c>
      <c r="B41" s="50">
        <v>32.299999999999997</v>
      </c>
      <c r="C41" s="50">
        <v>41.8</v>
      </c>
      <c r="D41" s="50">
        <v>38.799999999999997</v>
      </c>
      <c r="E41" s="50">
        <v>30.7</v>
      </c>
      <c r="F41" s="50">
        <v>43.1</v>
      </c>
      <c r="G41" s="50">
        <v>31</v>
      </c>
    </row>
    <row r="42" spans="1:7" x14ac:dyDescent="0.3">
      <c r="A42" s="12" t="s">
        <v>25</v>
      </c>
      <c r="B42" s="50">
        <v>24.9</v>
      </c>
      <c r="C42" s="50">
        <v>23</v>
      </c>
      <c r="D42" s="50">
        <v>19.600000000000001</v>
      </c>
      <c r="E42" s="50">
        <v>16.600000000000001</v>
      </c>
      <c r="F42" s="50">
        <v>16.3</v>
      </c>
      <c r="G42" s="50">
        <v>23.7</v>
      </c>
    </row>
    <row r="43" spans="1:7" x14ac:dyDescent="0.3">
      <c r="A43" s="12" t="s">
        <v>22</v>
      </c>
      <c r="B43" s="50">
        <v>47.6</v>
      </c>
      <c r="C43" s="50">
        <v>49.3</v>
      </c>
      <c r="D43" s="50">
        <v>44.1</v>
      </c>
      <c r="E43" s="50">
        <v>31.3</v>
      </c>
      <c r="F43" s="50">
        <v>40.5</v>
      </c>
      <c r="G43" s="50">
        <v>30.1</v>
      </c>
    </row>
    <row r="44" spans="1:7" x14ac:dyDescent="0.3">
      <c r="A44" s="12" t="s">
        <v>29</v>
      </c>
      <c r="B44" s="50">
        <v>49.5</v>
      </c>
      <c r="C44" s="50">
        <v>39.9</v>
      </c>
      <c r="D44" s="50">
        <v>45</v>
      </c>
      <c r="E44" s="50">
        <v>28</v>
      </c>
      <c r="F44" s="50">
        <v>22.2</v>
      </c>
      <c r="G44" s="50">
        <v>29</v>
      </c>
    </row>
    <row r="45" spans="1:7" x14ac:dyDescent="0.3">
      <c r="A45" s="12" t="s">
        <v>123</v>
      </c>
      <c r="B45" s="50">
        <v>61.8</v>
      </c>
      <c r="C45" s="50">
        <v>58</v>
      </c>
      <c r="D45" s="50">
        <v>55.5</v>
      </c>
      <c r="E45" s="50">
        <v>47.4</v>
      </c>
      <c r="F45" s="50">
        <v>43.7</v>
      </c>
      <c r="G45" s="50">
        <v>37.6</v>
      </c>
    </row>
    <row r="46" spans="1:7" x14ac:dyDescent="0.3">
      <c r="A46" s="12" t="s">
        <v>128</v>
      </c>
      <c r="B46" s="50">
        <v>16</v>
      </c>
      <c r="C46" s="50">
        <v>17.8</v>
      </c>
      <c r="D46" s="50">
        <v>16.8</v>
      </c>
      <c r="E46" s="50">
        <v>11.8</v>
      </c>
      <c r="F46" s="50">
        <v>12.8</v>
      </c>
      <c r="G46" s="50"/>
    </row>
    <row r="47" spans="1:7" x14ac:dyDescent="0.3">
      <c r="A47" s="12" t="s">
        <v>63</v>
      </c>
      <c r="B47" s="50">
        <v>7.2</v>
      </c>
      <c r="C47" s="50">
        <v>8</v>
      </c>
      <c r="D47" s="50">
        <v>8.6999999999999993</v>
      </c>
      <c r="E47" s="50">
        <v>7.1</v>
      </c>
      <c r="F47" s="50">
        <v>11.1</v>
      </c>
      <c r="G47" s="50">
        <v>10.199999999999999</v>
      </c>
    </row>
    <row r="48" spans="1:7" x14ac:dyDescent="0.3">
      <c r="A48" s="12" t="s">
        <v>81</v>
      </c>
      <c r="B48" s="50">
        <v>13.3</v>
      </c>
      <c r="C48" s="50">
        <v>8.1</v>
      </c>
      <c r="D48" s="50">
        <v>9.9</v>
      </c>
      <c r="E48" s="50">
        <v>7.1</v>
      </c>
      <c r="F48" s="50">
        <v>6.8</v>
      </c>
      <c r="G48" s="50">
        <v>6.8</v>
      </c>
    </row>
    <row r="49" spans="1:7" x14ac:dyDescent="0.3">
      <c r="A49" s="12" t="s">
        <v>91</v>
      </c>
      <c r="B49" s="50">
        <v>20.9</v>
      </c>
      <c r="C49" s="50">
        <v>27.9</v>
      </c>
      <c r="D49" s="50">
        <v>31.1</v>
      </c>
      <c r="E49" s="50">
        <v>20.5</v>
      </c>
      <c r="F49" s="50">
        <v>23.7</v>
      </c>
      <c r="G49" s="50">
        <v>20.9</v>
      </c>
    </row>
    <row r="50" spans="1:7" x14ac:dyDescent="0.3">
      <c r="A50" s="12" t="s">
        <v>92</v>
      </c>
      <c r="B50" s="50">
        <v>24.9</v>
      </c>
      <c r="C50" s="50">
        <v>27.3</v>
      </c>
      <c r="D50" s="50">
        <v>22.3</v>
      </c>
      <c r="E50" s="50">
        <v>11.8</v>
      </c>
      <c r="F50" s="50">
        <v>8.4</v>
      </c>
      <c r="G50" s="50">
        <v>12.4</v>
      </c>
    </row>
    <row r="51" spans="1:7" x14ac:dyDescent="0.3">
      <c r="A51" s="12" t="s">
        <v>47</v>
      </c>
      <c r="B51" s="50">
        <v>25.5</v>
      </c>
      <c r="C51" s="50">
        <v>23.3</v>
      </c>
      <c r="D51" s="50">
        <v>23.3</v>
      </c>
      <c r="E51" s="50">
        <v>19.899999999999999</v>
      </c>
      <c r="F51" s="50">
        <v>18.2</v>
      </c>
      <c r="G51" s="50">
        <v>21.6</v>
      </c>
    </row>
    <row r="52" spans="1:7" x14ac:dyDescent="0.3">
      <c r="A52" s="12" t="s">
        <v>93</v>
      </c>
      <c r="B52" s="50">
        <v>6.9</v>
      </c>
      <c r="C52" s="50">
        <v>9.6999999999999993</v>
      </c>
      <c r="D52" s="50">
        <v>9.3000000000000007</v>
      </c>
      <c r="E52" s="50">
        <v>4.5</v>
      </c>
      <c r="F52" s="50">
        <v>6.7</v>
      </c>
      <c r="G52" s="50">
        <v>5.2</v>
      </c>
    </row>
    <row r="53" spans="1:7" x14ac:dyDescent="0.3">
      <c r="A53" s="12" t="s">
        <v>11</v>
      </c>
      <c r="B53" s="50">
        <v>25.4</v>
      </c>
      <c r="C53" s="50">
        <v>28.4</v>
      </c>
      <c r="D53" s="50">
        <v>23.9</v>
      </c>
      <c r="E53" s="50">
        <v>17</v>
      </c>
      <c r="F53" s="50">
        <v>15.1</v>
      </c>
      <c r="G53" s="50">
        <v>18.399999999999999</v>
      </c>
    </row>
    <row r="54" spans="1:7" x14ac:dyDescent="0.3">
      <c r="A54" s="12" t="s">
        <v>100</v>
      </c>
      <c r="B54" s="50">
        <v>67.900000000000006</v>
      </c>
      <c r="C54" s="50">
        <v>68.2</v>
      </c>
      <c r="D54" s="50">
        <v>63.7</v>
      </c>
      <c r="E54" s="50">
        <v>50.2</v>
      </c>
      <c r="F54" s="50">
        <v>46.5</v>
      </c>
      <c r="G54" s="50"/>
    </row>
    <row r="55" spans="1:7" x14ac:dyDescent="0.3">
      <c r="A55" s="12" t="s">
        <v>83</v>
      </c>
      <c r="B55" s="50">
        <v>67.3</v>
      </c>
      <c r="C55" s="50">
        <v>68.599999999999994</v>
      </c>
      <c r="D55" s="50">
        <v>53.4</v>
      </c>
      <c r="E55" s="50">
        <v>44.8</v>
      </c>
      <c r="F55" s="50">
        <v>43.8</v>
      </c>
      <c r="G55" s="50">
        <v>36.700000000000003</v>
      </c>
    </row>
    <row r="56" spans="1:7" x14ac:dyDescent="0.3">
      <c r="A56" s="12" t="s">
        <v>42</v>
      </c>
      <c r="B56" s="50">
        <v>42.2</v>
      </c>
      <c r="C56" s="50">
        <v>42</v>
      </c>
      <c r="D56" s="50">
        <v>38.799999999999997</v>
      </c>
      <c r="E56" s="50">
        <v>32.4</v>
      </c>
      <c r="F56" s="50">
        <v>34.9</v>
      </c>
      <c r="G56" s="50">
        <v>31.3</v>
      </c>
    </row>
    <row r="57" spans="1:7" x14ac:dyDescent="0.3">
      <c r="A57" s="12" t="s">
        <v>34</v>
      </c>
      <c r="B57" s="50">
        <v>32</v>
      </c>
      <c r="C57" s="50">
        <v>24.4</v>
      </c>
      <c r="D57" s="50">
        <v>21.6</v>
      </c>
      <c r="E57" s="50">
        <v>14.6</v>
      </c>
      <c r="F57" s="50">
        <v>15.3</v>
      </c>
      <c r="G57" s="50">
        <v>19.2</v>
      </c>
    </row>
    <row r="58" spans="1:7" x14ac:dyDescent="0.3">
      <c r="A58" s="12" t="s">
        <v>35</v>
      </c>
      <c r="B58" s="50">
        <v>32.700000000000003</v>
      </c>
      <c r="C58" s="50">
        <v>30</v>
      </c>
      <c r="D58" s="50">
        <v>27.8</v>
      </c>
      <c r="E58" s="50">
        <v>24.6</v>
      </c>
      <c r="F58" s="50">
        <v>22.1</v>
      </c>
      <c r="G58" s="50">
        <v>22.4</v>
      </c>
    </row>
    <row r="59" spans="1:7" x14ac:dyDescent="0.3">
      <c r="A59" s="12" t="s">
        <v>94</v>
      </c>
      <c r="B59" s="50">
        <v>85</v>
      </c>
      <c r="C59" s="50">
        <v>70.099999999999994</v>
      </c>
      <c r="D59" s="50">
        <v>64.7</v>
      </c>
      <c r="E59" s="50">
        <v>44.2</v>
      </c>
      <c r="F59" s="50">
        <v>44.2</v>
      </c>
      <c r="G59" s="50">
        <v>52.4</v>
      </c>
    </row>
    <row r="60" spans="1:7" x14ac:dyDescent="0.3">
      <c r="A60" s="12" t="s">
        <v>46</v>
      </c>
      <c r="B60" s="50">
        <v>30.9</v>
      </c>
      <c r="C60" s="50">
        <v>31.1</v>
      </c>
      <c r="D60" s="50">
        <v>30.2</v>
      </c>
      <c r="E60" s="50">
        <v>23</v>
      </c>
      <c r="F60" s="50">
        <v>25.8</v>
      </c>
      <c r="G60" s="50">
        <v>27.2</v>
      </c>
    </row>
    <row r="61" spans="1:7" x14ac:dyDescent="0.3">
      <c r="A61" s="12" t="s">
        <v>44</v>
      </c>
      <c r="B61" s="50">
        <v>140.80000000000001</v>
      </c>
      <c r="C61" s="50">
        <v>152.5</v>
      </c>
      <c r="D61" s="50">
        <v>132.80000000000001</v>
      </c>
      <c r="E61" s="50">
        <v>117.2</v>
      </c>
      <c r="F61" s="50">
        <v>90.1</v>
      </c>
      <c r="G61" s="50">
        <v>63.5</v>
      </c>
    </row>
    <row r="62" spans="1:7" x14ac:dyDescent="0.3">
      <c r="A62" s="12" t="s">
        <v>36</v>
      </c>
      <c r="B62" s="50">
        <v>21.2</v>
      </c>
      <c r="C62" s="50">
        <v>18.5</v>
      </c>
      <c r="D62" s="50">
        <v>18.2</v>
      </c>
      <c r="E62" s="50">
        <v>15.4</v>
      </c>
      <c r="F62" s="50">
        <v>12.7</v>
      </c>
      <c r="G62" s="50">
        <v>15.1</v>
      </c>
    </row>
    <row r="63" spans="1:7" x14ac:dyDescent="0.3">
      <c r="A63" s="12" t="s">
        <v>54</v>
      </c>
      <c r="B63" s="50">
        <v>55.1</v>
      </c>
      <c r="C63" s="50">
        <v>64.599999999999994</v>
      </c>
      <c r="D63" s="50">
        <v>68.3</v>
      </c>
      <c r="E63" s="50">
        <v>55</v>
      </c>
      <c r="F63" s="50">
        <v>55.8</v>
      </c>
      <c r="G63" s="50">
        <v>54.6</v>
      </c>
    </row>
    <row r="64" spans="1:7" x14ac:dyDescent="0.3">
      <c r="A64" s="12" t="s">
        <v>23</v>
      </c>
      <c r="B64" s="50">
        <v>80.400000000000006</v>
      </c>
      <c r="C64" s="50">
        <v>90.8</v>
      </c>
      <c r="D64" s="50">
        <v>91.7</v>
      </c>
      <c r="E64" s="50">
        <v>72.7</v>
      </c>
      <c r="F64" s="50">
        <v>67.599999999999994</v>
      </c>
      <c r="G64" s="50">
        <v>81</v>
      </c>
    </row>
    <row r="65" spans="1:7" x14ac:dyDescent="0.3">
      <c r="A65" s="12" t="s">
        <v>49</v>
      </c>
      <c r="B65" s="50">
        <v>39.1</v>
      </c>
      <c r="C65" s="50">
        <v>37.1</v>
      </c>
      <c r="D65" s="50">
        <v>36.200000000000003</v>
      </c>
      <c r="E65" s="50">
        <v>25.2</v>
      </c>
      <c r="F65" s="50">
        <v>26.6</v>
      </c>
      <c r="G65" s="50">
        <v>24.4</v>
      </c>
    </row>
    <row r="66" spans="1:7" x14ac:dyDescent="0.3">
      <c r="A66" s="12" t="s">
        <v>24</v>
      </c>
      <c r="B66" s="50">
        <v>104.1</v>
      </c>
      <c r="C66" s="50">
        <v>99.3</v>
      </c>
      <c r="D66" s="50">
        <v>96.7</v>
      </c>
      <c r="E66" s="50">
        <v>76.3</v>
      </c>
      <c r="F66" s="50">
        <v>73.599999999999994</v>
      </c>
      <c r="G66" s="50">
        <v>69.7</v>
      </c>
    </row>
    <row r="67" spans="1:7" x14ac:dyDescent="0.3">
      <c r="A67" s="12" t="s">
        <v>68</v>
      </c>
      <c r="B67" s="50">
        <v>48.4</v>
      </c>
      <c r="C67" s="50">
        <v>46.9</v>
      </c>
      <c r="D67" s="50">
        <v>47.9</v>
      </c>
      <c r="E67" s="50">
        <v>37.200000000000003</v>
      </c>
      <c r="F67" s="50">
        <v>35.1</v>
      </c>
      <c r="G67" s="50">
        <v>42.5</v>
      </c>
    </row>
    <row r="68" spans="1:7" x14ac:dyDescent="0.3">
      <c r="A68" s="12" t="s">
        <v>41</v>
      </c>
      <c r="B68" s="50">
        <v>117.1</v>
      </c>
      <c r="C68" s="50">
        <v>106.6</v>
      </c>
      <c r="D68" s="50">
        <v>103</v>
      </c>
      <c r="E68" s="50">
        <v>47.6</v>
      </c>
      <c r="F68" s="50">
        <v>41.5</v>
      </c>
      <c r="G68" s="50">
        <v>52.8</v>
      </c>
    </row>
    <row r="69" spans="1:7" x14ac:dyDescent="0.3">
      <c r="A69" s="12" t="s">
        <v>101</v>
      </c>
      <c r="B69" s="50">
        <v>117.5</v>
      </c>
      <c r="C69" s="50">
        <v>108.2</v>
      </c>
      <c r="D69" s="50">
        <v>101.3</v>
      </c>
      <c r="E69" s="50">
        <v>72.7</v>
      </c>
      <c r="F69" s="50">
        <v>76</v>
      </c>
      <c r="G69" s="50"/>
    </row>
    <row r="70" spans="1:7" x14ac:dyDescent="0.3">
      <c r="A70" s="12" t="s">
        <v>55</v>
      </c>
      <c r="B70" s="50">
        <v>89.6</v>
      </c>
      <c r="C70" s="50">
        <v>81.900000000000006</v>
      </c>
      <c r="D70" s="50">
        <v>83.7</v>
      </c>
      <c r="E70" s="50">
        <v>56.6</v>
      </c>
      <c r="F70" s="50">
        <v>64.3</v>
      </c>
      <c r="G70" s="50">
        <v>58.7</v>
      </c>
    </row>
    <row r="71" spans="1:7" x14ac:dyDescent="0.3">
      <c r="A71" s="12" t="s">
        <v>16</v>
      </c>
      <c r="B71" s="50">
        <v>143.6</v>
      </c>
      <c r="C71" s="50">
        <v>132</v>
      </c>
      <c r="D71" s="50">
        <v>121.3</v>
      </c>
      <c r="E71" s="50">
        <v>84.4</v>
      </c>
      <c r="F71" s="50">
        <v>90.1</v>
      </c>
      <c r="G71" s="50">
        <v>67.7</v>
      </c>
    </row>
    <row r="72" spans="1:7" x14ac:dyDescent="0.3">
      <c r="A72" s="12" t="s">
        <v>19</v>
      </c>
      <c r="B72" s="50">
        <v>139.19999999999999</v>
      </c>
      <c r="C72" s="50"/>
      <c r="D72" s="50"/>
      <c r="E72" s="50"/>
      <c r="F72" s="50">
        <v>109.6</v>
      </c>
      <c r="G72" s="50"/>
    </row>
    <row r="73" spans="1:7" x14ac:dyDescent="0.3">
      <c r="A73" s="12" t="s">
        <v>17</v>
      </c>
      <c r="B73" s="50">
        <v>83.7</v>
      </c>
      <c r="C73" s="50">
        <v>82.1</v>
      </c>
      <c r="D73" s="50">
        <v>71.7</v>
      </c>
      <c r="E73" s="50">
        <v>47.6</v>
      </c>
      <c r="F73" s="50">
        <v>41.6</v>
      </c>
      <c r="G73" s="50">
        <v>38.299999999999997</v>
      </c>
    </row>
    <row r="74" spans="1:7" x14ac:dyDescent="0.3">
      <c r="A74" s="12" t="s">
        <v>60</v>
      </c>
      <c r="B74" s="50">
        <v>52.4</v>
      </c>
      <c r="C74" s="50">
        <v>43.1</v>
      </c>
      <c r="D74" s="50">
        <v>36.4</v>
      </c>
      <c r="E74" s="50">
        <v>20.399999999999999</v>
      </c>
      <c r="F74" s="50">
        <v>31.8</v>
      </c>
      <c r="G74" s="50">
        <v>37.9</v>
      </c>
    </row>
    <row r="75" spans="1:7" x14ac:dyDescent="0.3">
      <c r="A75" s="12" t="s">
        <v>95</v>
      </c>
      <c r="B75" s="50"/>
      <c r="C75" s="50">
        <v>119</v>
      </c>
      <c r="D75" s="50">
        <v>111.3</v>
      </c>
      <c r="E75" s="50">
        <v>101.4</v>
      </c>
      <c r="F75" s="50"/>
      <c r="G75" s="50">
        <v>76.7</v>
      </c>
    </row>
    <row r="76" spans="1:7" x14ac:dyDescent="0.3">
      <c r="A76" s="12" t="s">
        <v>82</v>
      </c>
      <c r="B76" s="50">
        <v>108.7</v>
      </c>
      <c r="C76" s="50">
        <v>102.9</v>
      </c>
      <c r="D76" s="50">
        <v>100.7</v>
      </c>
      <c r="E76" s="50">
        <v>69.599999999999994</v>
      </c>
      <c r="F76" s="50">
        <v>70.099999999999994</v>
      </c>
      <c r="G76" s="50">
        <v>71.599999999999994</v>
      </c>
    </row>
    <row r="77" spans="1:7" x14ac:dyDescent="0.3">
      <c r="A77" s="12" t="s">
        <v>102</v>
      </c>
      <c r="B77" s="50">
        <v>115.1</v>
      </c>
      <c r="C77" s="50"/>
      <c r="D77" s="50"/>
      <c r="E77" s="50"/>
      <c r="F77" s="50">
        <v>71</v>
      </c>
      <c r="G77" s="50"/>
    </row>
    <row r="78" spans="1:7" x14ac:dyDescent="0.3">
      <c r="A78" s="12" t="s">
        <v>297</v>
      </c>
      <c r="B78" s="50"/>
      <c r="C78" s="50">
        <v>124.9</v>
      </c>
      <c r="D78" s="50">
        <v>107.8</v>
      </c>
      <c r="E78" s="50">
        <v>78</v>
      </c>
      <c r="F78" s="50"/>
      <c r="G78" s="50"/>
    </row>
    <row r="79" spans="1:7" x14ac:dyDescent="0.3">
      <c r="A79" s="12" t="s">
        <v>58</v>
      </c>
      <c r="B79" s="50">
        <v>55.8</v>
      </c>
      <c r="C79" s="50">
        <v>47.1</v>
      </c>
      <c r="D79" s="50">
        <v>40.700000000000003</v>
      </c>
      <c r="E79" s="50">
        <v>22.7</v>
      </c>
      <c r="F79" s="50">
        <v>24.9</v>
      </c>
      <c r="G79" s="50">
        <v>36.5</v>
      </c>
    </row>
    <row r="80" spans="1:7" x14ac:dyDescent="0.3">
      <c r="A80" s="12" t="s">
        <v>14</v>
      </c>
      <c r="B80" s="50">
        <v>6.6</v>
      </c>
      <c r="C80" s="50">
        <v>11.1</v>
      </c>
      <c r="D80" s="50">
        <v>10.199999999999999</v>
      </c>
      <c r="E80" s="50">
        <v>11.6</v>
      </c>
      <c r="F80" s="50">
        <v>10.6</v>
      </c>
      <c r="G80" s="50">
        <v>8.9</v>
      </c>
    </row>
    <row r="81" spans="1:7" x14ac:dyDescent="0.3">
      <c r="A81" s="12" t="s">
        <v>77</v>
      </c>
      <c r="B81" s="50">
        <v>58.2</v>
      </c>
      <c r="C81" s="50">
        <v>55</v>
      </c>
      <c r="D81" s="50">
        <v>56.3</v>
      </c>
      <c r="E81" s="50">
        <v>39.5</v>
      </c>
      <c r="F81" s="50">
        <v>49.6</v>
      </c>
      <c r="G81" s="50">
        <v>49.7</v>
      </c>
    </row>
    <row r="82" spans="1:7" x14ac:dyDescent="0.3">
      <c r="A82" s="12" t="s">
        <v>12</v>
      </c>
      <c r="B82" s="50">
        <v>73.3</v>
      </c>
      <c r="C82" s="50">
        <v>85.1</v>
      </c>
      <c r="D82" s="50">
        <v>74.5</v>
      </c>
      <c r="E82" s="50">
        <v>81.7</v>
      </c>
      <c r="F82" s="50">
        <v>77</v>
      </c>
      <c r="G82" s="50">
        <v>77.3</v>
      </c>
    </row>
    <row r="83" spans="1:7" x14ac:dyDescent="0.3">
      <c r="A83" s="12" t="s">
        <v>61</v>
      </c>
      <c r="B83" s="50">
        <v>108.5</v>
      </c>
      <c r="C83" s="50">
        <v>106.1</v>
      </c>
      <c r="D83" s="50">
        <v>94.5</v>
      </c>
      <c r="E83" s="50">
        <v>74.8</v>
      </c>
      <c r="F83" s="50">
        <v>74.3</v>
      </c>
      <c r="G83" s="50">
        <v>76</v>
      </c>
    </row>
    <row r="84" spans="1:7" x14ac:dyDescent="0.3">
      <c r="A84" s="12" t="s">
        <v>72</v>
      </c>
      <c r="B84" s="50">
        <v>172.3</v>
      </c>
      <c r="C84" s="50">
        <v>200.9</v>
      </c>
      <c r="D84" s="50">
        <v>130.1</v>
      </c>
      <c r="E84" s="50">
        <v>79.2</v>
      </c>
      <c r="F84" s="50">
        <v>82.9</v>
      </c>
      <c r="G84" s="50">
        <v>80.2</v>
      </c>
    </row>
    <row r="85" spans="1:7" x14ac:dyDescent="0.3">
      <c r="A85" s="12" t="s">
        <v>76</v>
      </c>
      <c r="B85" s="50">
        <v>170.2</v>
      </c>
      <c r="C85" s="50">
        <v>165.7</v>
      </c>
      <c r="D85" s="50">
        <v>164.3</v>
      </c>
      <c r="E85" s="50">
        <v>125.1</v>
      </c>
      <c r="F85" s="50">
        <v>84.6</v>
      </c>
      <c r="G85" s="50">
        <v>86.7</v>
      </c>
    </row>
    <row r="86" spans="1:7" x14ac:dyDescent="0.3">
      <c r="A86" s="12" t="s">
        <v>6</v>
      </c>
      <c r="B86" s="50">
        <v>144.30000000000001</v>
      </c>
      <c r="C86" s="50">
        <v>135.1</v>
      </c>
      <c r="D86" s="50">
        <v>124.9</v>
      </c>
      <c r="E86" s="50">
        <v>68.7</v>
      </c>
      <c r="F86" s="50">
        <v>65.8</v>
      </c>
      <c r="G86" s="50">
        <v>52.2</v>
      </c>
    </row>
    <row r="87" spans="1:7" x14ac:dyDescent="0.3">
      <c r="A87" s="12" t="s">
        <v>64</v>
      </c>
      <c r="B87" s="50">
        <v>94.6</v>
      </c>
      <c r="C87" s="50">
        <v>99.1</v>
      </c>
      <c r="D87" s="50">
        <v>88</v>
      </c>
      <c r="E87" s="50">
        <v>50.7</v>
      </c>
      <c r="F87" s="50">
        <v>49.3</v>
      </c>
      <c r="G87" s="50">
        <v>57.7</v>
      </c>
    </row>
    <row r="88" spans="1:7" x14ac:dyDescent="0.3">
      <c r="A88" s="12" t="s">
        <v>5</v>
      </c>
      <c r="B88" s="50">
        <v>115.5</v>
      </c>
      <c r="C88" s="50">
        <v>96.2</v>
      </c>
      <c r="D88" s="50">
        <v>85.9</v>
      </c>
      <c r="E88" s="50">
        <v>83.8</v>
      </c>
      <c r="F88" s="50">
        <v>80.900000000000006</v>
      </c>
      <c r="G88" s="50">
        <v>85.9</v>
      </c>
    </row>
    <row r="89" spans="1:7" x14ac:dyDescent="0.3">
      <c r="A89" s="12" t="s">
        <v>103</v>
      </c>
      <c r="B89" s="50">
        <v>33</v>
      </c>
      <c r="C89" s="50"/>
      <c r="D89" s="50"/>
      <c r="E89" s="50"/>
      <c r="F89" s="50">
        <v>33.6</v>
      </c>
      <c r="G89" s="50"/>
    </row>
    <row r="90" spans="1:7" x14ac:dyDescent="0.3">
      <c r="A90" s="12" t="s">
        <v>298</v>
      </c>
      <c r="B90" s="50"/>
      <c r="C90" s="50">
        <v>42.4</v>
      </c>
      <c r="D90" s="50">
        <v>40.700000000000003</v>
      </c>
      <c r="E90" s="50">
        <v>31</v>
      </c>
      <c r="F90" s="50"/>
      <c r="G90" s="50"/>
    </row>
    <row r="91" spans="1:7" x14ac:dyDescent="0.3">
      <c r="A91" s="12" t="s">
        <v>1</v>
      </c>
      <c r="B91" s="50">
        <v>64.900000000000006</v>
      </c>
      <c r="C91" s="50">
        <v>64.5</v>
      </c>
      <c r="D91" s="50">
        <v>61.5</v>
      </c>
      <c r="E91" s="50">
        <v>42.7</v>
      </c>
      <c r="F91" s="50">
        <v>50.9</v>
      </c>
      <c r="G91" s="50">
        <v>56.3</v>
      </c>
    </row>
    <row r="92" spans="1:7" x14ac:dyDescent="0.3">
      <c r="A92" s="12" t="s">
        <v>62</v>
      </c>
      <c r="B92" s="50">
        <v>12.3</v>
      </c>
      <c r="C92" s="50">
        <v>9.8000000000000007</v>
      </c>
      <c r="D92" s="50">
        <v>11.7</v>
      </c>
      <c r="E92" s="50">
        <v>9.4</v>
      </c>
      <c r="F92" s="50">
        <v>10.1</v>
      </c>
      <c r="G92" s="50">
        <v>13.2</v>
      </c>
    </row>
    <row r="93" spans="1:7" x14ac:dyDescent="0.3">
      <c r="A93" s="12" t="s">
        <v>57</v>
      </c>
      <c r="B93" s="50">
        <v>38.700000000000003</v>
      </c>
      <c r="C93" s="50">
        <v>46.4</v>
      </c>
      <c r="D93" s="50">
        <v>43.4</v>
      </c>
      <c r="E93" s="50">
        <v>37.700000000000003</v>
      </c>
      <c r="F93" s="50">
        <v>35.9</v>
      </c>
      <c r="G93" s="50">
        <v>42</v>
      </c>
    </row>
    <row r="94" spans="1:7" x14ac:dyDescent="0.3">
      <c r="A94" s="12" t="s">
        <v>9</v>
      </c>
      <c r="B94" s="50">
        <v>45.8</v>
      </c>
      <c r="C94" s="50">
        <v>56.8</v>
      </c>
      <c r="D94" s="50">
        <v>58.8</v>
      </c>
      <c r="E94" s="50">
        <v>29.1</v>
      </c>
      <c r="F94" s="50">
        <v>29.2</v>
      </c>
      <c r="G94" s="50">
        <v>28.4</v>
      </c>
    </row>
    <row r="95" spans="1:7" x14ac:dyDescent="0.3">
      <c r="A95" s="12" t="s">
        <v>10</v>
      </c>
      <c r="B95" s="50">
        <v>45.1</v>
      </c>
      <c r="C95" s="50">
        <v>59.2</v>
      </c>
      <c r="D95" s="50">
        <v>57.3</v>
      </c>
      <c r="E95" s="50">
        <v>42</v>
      </c>
      <c r="F95" s="50">
        <v>47.9</v>
      </c>
      <c r="G95" s="50">
        <v>46.4</v>
      </c>
    </row>
    <row r="96" spans="1:7" x14ac:dyDescent="0.3">
      <c r="A96" s="12" t="s">
        <v>75</v>
      </c>
      <c r="B96" s="50">
        <v>28.4</v>
      </c>
      <c r="C96" s="50">
        <v>35.700000000000003</v>
      </c>
      <c r="D96" s="50">
        <v>28.4</v>
      </c>
      <c r="E96" s="50">
        <v>23.3</v>
      </c>
      <c r="F96" s="50">
        <v>23.7</v>
      </c>
      <c r="G96" s="50">
        <v>20</v>
      </c>
    </row>
    <row r="97" spans="1:7" x14ac:dyDescent="0.3">
      <c r="A97" s="12" t="s">
        <v>73</v>
      </c>
      <c r="B97" s="50">
        <v>11.8</v>
      </c>
      <c r="C97" s="50">
        <v>15.1</v>
      </c>
      <c r="D97" s="50">
        <v>21.1</v>
      </c>
      <c r="E97" s="50">
        <v>18.100000000000001</v>
      </c>
      <c r="F97" s="50">
        <v>20.5</v>
      </c>
      <c r="G97" s="50">
        <v>28</v>
      </c>
    </row>
    <row r="98" spans="1:7" x14ac:dyDescent="0.3">
      <c r="A98" s="12" t="s">
        <v>8</v>
      </c>
      <c r="B98" s="50">
        <v>52.2</v>
      </c>
      <c r="C98" s="50">
        <v>40.700000000000003</v>
      </c>
      <c r="D98" s="50">
        <v>25.5</v>
      </c>
      <c r="E98" s="50">
        <v>35</v>
      </c>
      <c r="F98" s="50">
        <v>36</v>
      </c>
      <c r="G98" s="50">
        <v>30.9</v>
      </c>
    </row>
    <row r="99" spans="1:7" x14ac:dyDescent="0.3">
      <c r="A99" s="12" t="s">
        <v>3</v>
      </c>
      <c r="B99" s="50">
        <v>51.7</v>
      </c>
      <c r="C99" s="50">
        <v>46.9</v>
      </c>
      <c r="D99" s="50">
        <v>45.7</v>
      </c>
      <c r="E99" s="50">
        <v>38.5</v>
      </c>
      <c r="F99" s="50">
        <v>36.9</v>
      </c>
      <c r="G99" s="50">
        <v>35.6</v>
      </c>
    </row>
    <row r="100" spans="1:7" x14ac:dyDescent="0.3">
      <c r="A100" s="12" t="s">
        <v>74</v>
      </c>
      <c r="B100" s="50">
        <v>22.5</v>
      </c>
      <c r="C100" s="50">
        <v>18.600000000000001</v>
      </c>
      <c r="D100" s="50">
        <v>26.3</v>
      </c>
      <c r="E100" s="50">
        <v>15.2</v>
      </c>
      <c r="F100" s="50">
        <v>22.4</v>
      </c>
      <c r="G100" s="50">
        <v>26.7</v>
      </c>
    </row>
    <row r="101" spans="1:7" x14ac:dyDescent="0.3">
      <c r="A101" s="12" t="s">
        <v>18</v>
      </c>
      <c r="B101" s="50">
        <v>146.5</v>
      </c>
      <c r="C101" s="50">
        <v>62.6</v>
      </c>
      <c r="D101" s="50">
        <v>58.4</v>
      </c>
      <c r="E101" s="50">
        <v>51.7</v>
      </c>
      <c r="F101" s="50">
        <v>50.5</v>
      </c>
      <c r="G101" s="50">
        <v>58.4</v>
      </c>
    </row>
  </sheetData>
  <conditionalFormatting sqref="B4:G97">
    <cfRule type="cellIs" dxfId="1" priority="2" operator="equal">
      <formula>0</formula>
    </cfRule>
  </conditionalFormatting>
  <conditionalFormatting sqref="B98:G101">
    <cfRule type="cellIs" dxfId="0" priority="1" operator="equal">
      <formula>0</formula>
    </cfRule>
  </conditionalFormatting>
  <pageMargins left="0.75" right="0.75" top="1" bottom="1" header="0.5" footer="0.5"/>
  <pageSetup orientation="portrait" horizontalDpi="300" verticalDpi="300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CEFFF-B90A-4280-B881-EB6A17C38A39}">
  <sheetPr codeName="Лист5">
    <tabColor theme="3" tint="0.79998168889431442"/>
    <pageSetUpPr fitToPage="1"/>
  </sheetPr>
  <dimension ref="A1:K101"/>
  <sheetViews>
    <sheetView showGridLines="0" workbookViewId="0">
      <selection sqref="A1:J1048576"/>
    </sheetView>
  </sheetViews>
  <sheetFormatPr defaultRowHeight="16.5" x14ac:dyDescent="0.3"/>
  <cols>
    <col min="1" max="1" width="108.5703125" style="9" customWidth="1"/>
    <col min="2" max="7" width="13" style="4" customWidth="1"/>
    <col min="8" max="240" width="9.140625" style="4"/>
    <col min="241" max="241" width="108.5703125" style="4" customWidth="1"/>
    <col min="242" max="242" width="1.5703125" style="4" customWidth="1"/>
    <col min="243" max="243" width="6" style="4" customWidth="1"/>
    <col min="244" max="496" width="9.140625" style="4"/>
    <col min="497" max="497" width="108.5703125" style="4" customWidth="1"/>
    <col min="498" max="498" width="1.5703125" style="4" customWidth="1"/>
    <col min="499" max="499" width="6" style="4" customWidth="1"/>
    <col min="500" max="752" width="9.140625" style="4"/>
    <col min="753" max="753" width="108.5703125" style="4" customWidth="1"/>
    <col min="754" max="754" width="1.5703125" style="4" customWidth="1"/>
    <col min="755" max="755" width="6" style="4" customWidth="1"/>
    <col min="756" max="1008" width="9.140625" style="4"/>
    <col min="1009" max="1009" width="108.5703125" style="4" customWidth="1"/>
    <col min="1010" max="1010" width="1.5703125" style="4" customWidth="1"/>
    <col min="1011" max="1011" width="6" style="4" customWidth="1"/>
    <col min="1012" max="1264" width="9.140625" style="4"/>
    <col min="1265" max="1265" width="108.5703125" style="4" customWidth="1"/>
    <col min="1266" max="1266" width="1.5703125" style="4" customWidth="1"/>
    <col min="1267" max="1267" width="6" style="4" customWidth="1"/>
    <col min="1268" max="1520" width="9.140625" style="4"/>
    <col min="1521" max="1521" width="108.5703125" style="4" customWidth="1"/>
    <col min="1522" max="1522" width="1.5703125" style="4" customWidth="1"/>
    <col min="1523" max="1523" width="6" style="4" customWidth="1"/>
    <col min="1524" max="1776" width="9.140625" style="4"/>
    <col min="1777" max="1777" width="108.5703125" style="4" customWidth="1"/>
    <col min="1778" max="1778" width="1.5703125" style="4" customWidth="1"/>
    <col min="1779" max="1779" width="6" style="4" customWidth="1"/>
    <col min="1780" max="2032" width="9.140625" style="4"/>
    <col min="2033" max="2033" width="108.5703125" style="4" customWidth="1"/>
    <col min="2034" max="2034" width="1.5703125" style="4" customWidth="1"/>
    <col min="2035" max="2035" width="6" style="4" customWidth="1"/>
    <col min="2036" max="2288" width="9.140625" style="4"/>
    <col min="2289" max="2289" width="108.5703125" style="4" customWidth="1"/>
    <col min="2290" max="2290" width="1.5703125" style="4" customWidth="1"/>
    <col min="2291" max="2291" width="6" style="4" customWidth="1"/>
    <col min="2292" max="2544" width="9.140625" style="4"/>
    <col min="2545" max="2545" width="108.5703125" style="4" customWidth="1"/>
    <col min="2546" max="2546" width="1.5703125" style="4" customWidth="1"/>
    <col min="2547" max="2547" width="6" style="4" customWidth="1"/>
    <col min="2548" max="2800" width="9.140625" style="4"/>
    <col min="2801" max="2801" width="108.5703125" style="4" customWidth="1"/>
    <col min="2802" max="2802" width="1.5703125" style="4" customWidth="1"/>
    <col min="2803" max="2803" width="6" style="4" customWidth="1"/>
    <col min="2804" max="3056" width="9.140625" style="4"/>
    <col min="3057" max="3057" width="108.5703125" style="4" customWidth="1"/>
    <col min="3058" max="3058" width="1.5703125" style="4" customWidth="1"/>
    <col min="3059" max="3059" width="6" style="4" customWidth="1"/>
    <col min="3060" max="3312" width="9.140625" style="4"/>
    <col min="3313" max="3313" width="108.5703125" style="4" customWidth="1"/>
    <col min="3314" max="3314" width="1.5703125" style="4" customWidth="1"/>
    <col min="3315" max="3315" width="6" style="4" customWidth="1"/>
    <col min="3316" max="3568" width="9.140625" style="4"/>
    <col min="3569" max="3569" width="108.5703125" style="4" customWidth="1"/>
    <col min="3570" max="3570" width="1.5703125" style="4" customWidth="1"/>
    <col min="3571" max="3571" width="6" style="4" customWidth="1"/>
    <col min="3572" max="3824" width="9.140625" style="4"/>
    <col min="3825" max="3825" width="108.5703125" style="4" customWidth="1"/>
    <col min="3826" max="3826" width="1.5703125" style="4" customWidth="1"/>
    <col min="3827" max="3827" width="6" style="4" customWidth="1"/>
    <col min="3828" max="4080" width="9.140625" style="4"/>
    <col min="4081" max="4081" width="108.5703125" style="4" customWidth="1"/>
    <col min="4082" max="4082" width="1.5703125" style="4" customWidth="1"/>
    <col min="4083" max="4083" width="6" style="4" customWidth="1"/>
    <col min="4084" max="4336" width="9.140625" style="4"/>
    <col min="4337" max="4337" width="108.5703125" style="4" customWidth="1"/>
    <col min="4338" max="4338" width="1.5703125" style="4" customWidth="1"/>
    <col min="4339" max="4339" width="6" style="4" customWidth="1"/>
    <col min="4340" max="4592" width="9.140625" style="4"/>
    <col min="4593" max="4593" width="108.5703125" style="4" customWidth="1"/>
    <col min="4594" max="4594" width="1.5703125" style="4" customWidth="1"/>
    <col min="4595" max="4595" width="6" style="4" customWidth="1"/>
    <col min="4596" max="4848" width="9.140625" style="4"/>
    <col min="4849" max="4849" width="108.5703125" style="4" customWidth="1"/>
    <col min="4850" max="4850" width="1.5703125" style="4" customWidth="1"/>
    <col min="4851" max="4851" width="6" style="4" customWidth="1"/>
    <col min="4852" max="5104" width="9.140625" style="4"/>
    <col min="5105" max="5105" width="108.5703125" style="4" customWidth="1"/>
    <col min="5106" max="5106" width="1.5703125" style="4" customWidth="1"/>
    <col min="5107" max="5107" width="6" style="4" customWidth="1"/>
    <col min="5108" max="5360" width="9.140625" style="4"/>
    <col min="5361" max="5361" width="108.5703125" style="4" customWidth="1"/>
    <col min="5362" max="5362" width="1.5703125" style="4" customWidth="1"/>
    <col min="5363" max="5363" width="6" style="4" customWidth="1"/>
    <col min="5364" max="5616" width="9.140625" style="4"/>
    <col min="5617" max="5617" width="108.5703125" style="4" customWidth="1"/>
    <col min="5618" max="5618" width="1.5703125" style="4" customWidth="1"/>
    <col min="5619" max="5619" width="6" style="4" customWidth="1"/>
    <col min="5620" max="5872" width="9.140625" style="4"/>
    <col min="5873" max="5873" width="108.5703125" style="4" customWidth="1"/>
    <col min="5874" max="5874" width="1.5703125" style="4" customWidth="1"/>
    <col min="5875" max="5875" width="6" style="4" customWidth="1"/>
    <col min="5876" max="6128" width="9.140625" style="4"/>
    <col min="6129" max="6129" width="108.5703125" style="4" customWidth="1"/>
    <col min="6130" max="6130" width="1.5703125" style="4" customWidth="1"/>
    <col min="6131" max="6131" width="6" style="4" customWidth="1"/>
    <col min="6132" max="6384" width="9.140625" style="4"/>
    <col min="6385" max="6385" width="108.5703125" style="4" customWidth="1"/>
    <col min="6386" max="6386" width="1.5703125" style="4" customWidth="1"/>
    <col min="6387" max="6387" width="6" style="4" customWidth="1"/>
    <col min="6388" max="6640" width="9.140625" style="4"/>
    <col min="6641" max="6641" width="108.5703125" style="4" customWidth="1"/>
    <col min="6642" max="6642" width="1.5703125" style="4" customWidth="1"/>
    <col min="6643" max="6643" width="6" style="4" customWidth="1"/>
    <col min="6644" max="6896" width="9.140625" style="4"/>
    <col min="6897" max="6897" width="108.5703125" style="4" customWidth="1"/>
    <col min="6898" max="6898" width="1.5703125" style="4" customWidth="1"/>
    <col min="6899" max="6899" width="6" style="4" customWidth="1"/>
    <col min="6900" max="7152" width="9.140625" style="4"/>
    <col min="7153" max="7153" width="108.5703125" style="4" customWidth="1"/>
    <col min="7154" max="7154" width="1.5703125" style="4" customWidth="1"/>
    <col min="7155" max="7155" width="6" style="4" customWidth="1"/>
    <col min="7156" max="7408" width="9.140625" style="4"/>
    <col min="7409" max="7409" width="108.5703125" style="4" customWidth="1"/>
    <col min="7410" max="7410" width="1.5703125" style="4" customWidth="1"/>
    <col min="7411" max="7411" width="6" style="4" customWidth="1"/>
    <col min="7412" max="7664" width="9.140625" style="4"/>
    <col min="7665" max="7665" width="108.5703125" style="4" customWidth="1"/>
    <col min="7666" max="7666" width="1.5703125" style="4" customWidth="1"/>
    <col min="7667" max="7667" width="6" style="4" customWidth="1"/>
    <col min="7668" max="7920" width="9.140625" style="4"/>
    <col min="7921" max="7921" width="108.5703125" style="4" customWidth="1"/>
    <col min="7922" max="7922" width="1.5703125" style="4" customWidth="1"/>
    <col min="7923" max="7923" width="6" style="4" customWidth="1"/>
    <col min="7924" max="8176" width="9.140625" style="4"/>
    <col min="8177" max="8177" width="108.5703125" style="4" customWidth="1"/>
    <col min="8178" max="8178" width="1.5703125" style="4" customWidth="1"/>
    <col min="8179" max="8179" width="6" style="4" customWidth="1"/>
    <col min="8180" max="8432" width="9.140625" style="4"/>
    <col min="8433" max="8433" width="108.5703125" style="4" customWidth="1"/>
    <col min="8434" max="8434" width="1.5703125" style="4" customWidth="1"/>
    <col min="8435" max="8435" width="6" style="4" customWidth="1"/>
    <col min="8436" max="8688" width="9.140625" style="4"/>
    <col min="8689" max="8689" width="108.5703125" style="4" customWidth="1"/>
    <col min="8690" max="8690" width="1.5703125" style="4" customWidth="1"/>
    <col min="8691" max="8691" width="6" style="4" customWidth="1"/>
    <col min="8692" max="8944" width="9.140625" style="4"/>
    <col min="8945" max="8945" width="108.5703125" style="4" customWidth="1"/>
    <col min="8946" max="8946" width="1.5703125" style="4" customWidth="1"/>
    <col min="8947" max="8947" width="6" style="4" customWidth="1"/>
    <col min="8948" max="9200" width="9.140625" style="4"/>
    <col min="9201" max="9201" width="108.5703125" style="4" customWidth="1"/>
    <col min="9202" max="9202" width="1.5703125" style="4" customWidth="1"/>
    <col min="9203" max="9203" width="6" style="4" customWidth="1"/>
    <col min="9204" max="9456" width="9.140625" style="4"/>
    <col min="9457" max="9457" width="108.5703125" style="4" customWidth="1"/>
    <col min="9458" max="9458" width="1.5703125" style="4" customWidth="1"/>
    <col min="9459" max="9459" width="6" style="4" customWidth="1"/>
    <col min="9460" max="9712" width="9.140625" style="4"/>
    <col min="9713" max="9713" width="108.5703125" style="4" customWidth="1"/>
    <col min="9714" max="9714" width="1.5703125" style="4" customWidth="1"/>
    <col min="9715" max="9715" width="6" style="4" customWidth="1"/>
    <col min="9716" max="9968" width="9.140625" style="4"/>
    <col min="9969" max="9969" width="108.5703125" style="4" customWidth="1"/>
    <col min="9970" max="9970" width="1.5703125" style="4" customWidth="1"/>
    <col min="9971" max="9971" width="6" style="4" customWidth="1"/>
    <col min="9972" max="10224" width="9.140625" style="4"/>
    <col min="10225" max="10225" width="108.5703125" style="4" customWidth="1"/>
    <col min="10226" max="10226" width="1.5703125" style="4" customWidth="1"/>
    <col min="10227" max="10227" width="6" style="4" customWidth="1"/>
    <col min="10228" max="10480" width="9.140625" style="4"/>
    <col min="10481" max="10481" width="108.5703125" style="4" customWidth="1"/>
    <col min="10482" max="10482" width="1.5703125" style="4" customWidth="1"/>
    <col min="10483" max="10483" width="6" style="4" customWidth="1"/>
    <col min="10484" max="10736" width="9.140625" style="4"/>
    <col min="10737" max="10737" width="108.5703125" style="4" customWidth="1"/>
    <col min="10738" max="10738" width="1.5703125" style="4" customWidth="1"/>
    <col min="10739" max="10739" width="6" style="4" customWidth="1"/>
    <col min="10740" max="10992" width="9.140625" style="4"/>
    <col min="10993" max="10993" width="108.5703125" style="4" customWidth="1"/>
    <col min="10994" max="10994" width="1.5703125" style="4" customWidth="1"/>
    <col min="10995" max="10995" width="6" style="4" customWidth="1"/>
    <col min="10996" max="11248" width="9.140625" style="4"/>
    <col min="11249" max="11249" width="108.5703125" style="4" customWidth="1"/>
    <col min="11250" max="11250" width="1.5703125" style="4" customWidth="1"/>
    <col min="11251" max="11251" width="6" style="4" customWidth="1"/>
    <col min="11252" max="11504" width="9.140625" style="4"/>
    <col min="11505" max="11505" width="108.5703125" style="4" customWidth="1"/>
    <col min="11506" max="11506" width="1.5703125" style="4" customWidth="1"/>
    <col min="11507" max="11507" width="6" style="4" customWidth="1"/>
    <col min="11508" max="11760" width="9.140625" style="4"/>
    <col min="11761" max="11761" width="108.5703125" style="4" customWidth="1"/>
    <col min="11762" max="11762" width="1.5703125" style="4" customWidth="1"/>
    <col min="11763" max="11763" width="6" style="4" customWidth="1"/>
    <col min="11764" max="12016" width="9.140625" style="4"/>
    <col min="12017" max="12017" width="108.5703125" style="4" customWidth="1"/>
    <col min="12018" max="12018" width="1.5703125" style="4" customWidth="1"/>
    <col min="12019" max="12019" width="6" style="4" customWidth="1"/>
    <col min="12020" max="12272" width="9.140625" style="4"/>
    <col min="12273" max="12273" width="108.5703125" style="4" customWidth="1"/>
    <col min="12274" max="12274" width="1.5703125" style="4" customWidth="1"/>
    <col min="12275" max="12275" width="6" style="4" customWidth="1"/>
    <col min="12276" max="12528" width="9.140625" style="4"/>
    <col min="12529" max="12529" width="108.5703125" style="4" customWidth="1"/>
    <col min="12530" max="12530" width="1.5703125" style="4" customWidth="1"/>
    <col min="12531" max="12531" width="6" style="4" customWidth="1"/>
    <col min="12532" max="12784" width="9.140625" style="4"/>
    <col min="12785" max="12785" width="108.5703125" style="4" customWidth="1"/>
    <col min="12786" max="12786" width="1.5703125" style="4" customWidth="1"/>
    <col min="12787" max="12787" width="6" style="4" customWidth="1"/>
    <col min="12788" max="13040" width="9.140625" style="4"/>
    <col min="13041" max="13041" width="108.5703125" style="4" customWidth="1"/>
    <col min="13042" max="13042" width="1.5703125" style="4" customWidth="1"/>
    <col min="13043" max="13043" width="6" style="4" customWidth="1"/>
    <col min="13044" max="13296" width="9.140625" style="4"/>
    <col min="13297" max="13297" width="108.5703125" style="4" customWidth="1"/>
    <col min="13298" max="13298" width="1.5703125" style="4" customWidth="1"/>
    <col min="13299" max="13299" width="6" style="4" customWidth="1"/>
    <col min="13300" max="13552" width="9.140625" style="4"/>
    <col min="13553" max="13553" width="108.5703125" style="4" customWidth="1"/>
    <col min="13554" max="13554" width="1.5703125" style="4" customWidth="1"/>
    <col min="13555" max="13555" width="6" style="4" customWidth="1"/>
    <col min="13556" max="13808" width="9.140625" style="4"/>
    <col min="13809" max="13809" width="108.5703125" style="4" customWidth="1"/>
    <col min="13810" max="13810" width="1.5703125" style="4" customWidth="1"/>
    <col min="13811" max="13811" width="6" style="4" customWidth="1"/>
    <col min="13812" max="14064" width="9.140625" style="4"/>
    <col min="14065" max="14065" width="108.5703125" style="4" customWidth="1"/>
    <col min="14066" max="14066" width="1.5703125" style="4" customWidth="1"/>
    <col min="14067" max="14067" width="6" style="4" customWidth="1"/>
    <col min="14068" max="14320" width="9.140625" style="4"/>
    <col min="14321" max="14321" width="108.5703125" style="4" customWidth="1"/>
    <col min="14322" max="14322" width="1.5703125" style="4" customWidth="1"/>
    <col min="14323" max="14323" width="6" style="4" customWidth="1"/>
    <col min="14324" max="14576" width="9.140625" style="4"/>
    <col min="14577" max="14577" width="108.5703125" style="4" customWidth="1"/>
    <col min="14578" max="14578" width="1.5703125" style="4" customWidth="1"/>
    <col min="14579" max="14579" width="6" style="4" customWidth="1"/>
    <col min="14580" max="14832" width="9.140625" style="4"/>
    <col min="14833" max="14833" width="108.5703125" style="4" customWidth="1"/>
    <col min="14834" max="14834" width="1.5703125" style="4" customWidth="1"/>
    <col min="14835" max="14835" width="6" style="4" customWidth="1"/>
    <col min="14836" max="15088" width="9.140625" style="4"/>
    <col min="15089" max="15089" width="108.5703125" style="4" customWidth="1"/>
    <col min="15090" max="15090" width="1.5703125" style="4" customWidth="1"/>
    <col min="15091" max="15091" width="6" style="4" customWidth="1"/>
    <col min="15092" max="15344" width="9.140625" style="4"/>
    <col min="15345" max="15345" width="108.5703125" style="4" customWidth="1"/>
    <col min="15346" max="15346" width="1.5703125" style="4" customWidth="1"/>
    <col min="15347" max="15347" width="6" style="4" customWidth="1"/>
    <col min="15348" max="15600" width="9.140625" style="4"/>
    <col min="15601" max="15601" width="108.5703125" style="4" customWidth="1"/>
    <col min="15602" max="15602" width="1.5703125" style="4" customWidth="1"/>
    <col min="15603" max="15603" width="6" style="4" customWidth="1"/>
    <col min="15604" max="15856" width="9.140625" style="4"/>
    <col min="15857" max="15857" width="108.5703125" style="4" customWidth="1"/>
    <col min="15858" max="15858" width="1.5703125" style="4" customWidth="1"/>
    <col min="15859" max="15859" width="6" style="4" customWidth="1"/>
    <col min="15860" max="16112" width="9.140625" style="4"/>
    <col min="16113" max="16113" width="108.5703125" style="4" customWidth="1"/>
    <col min="16114" max="16114" width="1.5703125" style="4" customWidth="1"/>
    <col min="16115" max="16115" width="6" style="4" customWidth="1"/>
    <col min="16116" max="16384" width="9.140625" style="4"/>
  </cols>
  <sheetData>
    <row r="1" spans="1:11" x14ac:dyDescent="0.3">
      <c r="A1" s="8" t="s">
        <v>299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3" spans="1:11" x14ac:dyDescent="0.3">
      <c r="A3" s="48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11" x14ac:dyDescent="0.3">
      <c r="A4" s="64" t="s">
        <v>87</v>
      </c>
      <c r="B4" s="67">
        <v>72.7</v>
      </c>
      <c r="C4" s="67">
        <v>72.91</v>
      </c>
      <c r="D4" s="67">
        <v>73.34</v>
      </c>
      <c r="E4" s="67">
        <v>71.540000000000006</v>
      </c>
      <c r="F4" s="67">
        <v>70.06</v>
      </c>
      <c r="G4" s="67">
        <v>72.73</v>
      </c>
    </row>
    <row r="5" spans="1:11" x14ac:dyDescent="0.3">
      <c r="A5" s="64" t="s">
        <v>96</v>
      </c>
      <c r="B5" s="67">
        <v>73.89</v>
      </c>
      <c r="C5" s="67">
        <v>74.010000000000005</v>
      </c>
      <c r="D5" s="67">
        <v>74.540000000000006</v>
      </c>
      <c r="E5" s="67">
        <v>72.569999999999993</v>
      </c>
      <c r="F5" s="67">
        <v>70.849999999999994</v>
      </c>
      <c r="G5" s="67">
        <v>73.930000000000007</v>
      </c>
    </row>
    <row r="6" spans="1:11" x14ac:dyDescent="0.3">
      <c r="A6" s="64" t="s">
        <v>50</v>
      </c>
      <c r="B6" s="67">
        <v>73.67</v>
      </c>
      <c r="C6" s="67">
        <v>73.67</v>
      </c>
      <c r="D6" s="67">
        <v>74.209999999999994</v>
      </c>
      <c r="E6" s="67">
        <v>72.37</v>
      </c>
      <c r="F6" s="67">
        <v>70.67</v>
      </c>
      <c r="G6" s="67">
        <v>73.03</v>
      </c>
    </row>
    <row r="7" spans="1:11" x14ac:dyDescent="0.3">
      <c r="A7" s="64" t="s">
        <v>48</v>
      </c>
      <c r="B7" s="67">
        <v>71.27</v>
      </c>
      <c r="C7" s="67">
        <v>71.709999999999994</v>
      </c>
      <c r="D7" s="67">
        <v>72.31</v>
      </c>
      <c r="E7" s="67">
        <v>70.63</v>
      </c>
      <c r="F7" s="67">
        <v>68.67</v>
      </c>
      <c r="G7" s="67">
        <v>71.22</v>
      </c>
    </row>
    <row r="8" spans="1:11" x14ac:dyDescent="0.3">
      <c r="A8" s="64" t="s">
        <v>20</v>
      </c>
      <c r="B8" s="67">
        <v>71.150000000000006</v>
      </c>
      <c r="C8" s="67">
        <v>71.23</v>
      </c>
      <c r="D8" s="67">
        <v>71.87</v>
      </c>
      <c r="E8" s="67">
        <v>70.03</v>
      </c>
      <c r="F8" s="67">
        <v>68.11</v>
      </c>
      <c r="G8" s="67">
        <v>70.8</v>
      </c>
    </row>
    <row r="9" spans="1:11" x14ac:dyDescent="0.3">
      <c r="A9" s="64" t="s">
        <v>4</v>
      </c>
      <c r="B9" s="67">
        <v>73.03</v>
      </c>
      <c r="C9" s="67">
        <v>73.150000000000006</v>
      </c>
      <c r="D9" s="67">
        <v>73.63</v>
      </c>
      <c r="E9" s="67">
        <v>71.91</v>
      </c>
      <c r="F9" s="67">
        <v>69.489999999999995</v>
      </c>
      <c r="G9" s="67">
        <v>72.45</v>
      </c>
    </row>
    <row r="10" spans="1:11" x14ac:dyDescent="0.3">
      <c r="A10" s="64" t="s">
        <v>45</v>
      </c>
      <c r="B10" s="67">
        <v>71.47</v>
      </c>
      <c r="C10" s="67">
        <v>71.290000000000006</v>
      </c>
      <c r="D10" s="67">
        <v>71.84</v>
      </c>
      <c r="E10" s="67">
        <v>70.66</v>
      </c>
      <c r="F10" s="67">
        <v>69.02</v>
      </c>
      <c r="G10" s="67">
        <v>70.569999999999993</v>
      </c>
    </row>
    <row r="11" spans="1:11" x14ac:dyDescent="0.3">
      <c r="A11" s="64" t="s">
        <v>40</v>
      </c>
      <c r="B11" s="67">
        <v>71.87</v>
      </c>
      <c r="C11" s="67">
        <v>71.89</v>
      </c>
      <c r="D11" s="67">
        <v>72.349999999999994</v>
      </c>
      <c r="E11" s="67">
        <v>70.38</v>
      </c>
      <c r="F11" s="67">
        <v>69.16</v>
      </c>
      <c r="G11" s="67">
        <v>72.48</v>
      </c>
    </row>
    <row r="12" spans="1:11" x14ac:dyDescent="0.3">
      <c r="A12" s="64" t="s">
        <v>37</v>
      </c>
      <c r="B12" s="67">
        <v>71.81</v>
      </c>
      <c r="C12" s="67">
        <v>71.87</v>
      </c>
      <c r="D12" s="67">
        <v>72.349999999999994</v>
      </c>
      <c r="E12" s="67">
        <v>70.92</v>
      </c>
      <c r="F12" s="67">
        <v>68.78</v>
      </c>
      <c r="G12" s="67">
        <v>69.900000000000006</v>
      </c>
    </row>
    <row r="13" spans="1:11" x14ac:dyDescent="0.3">
      <c r="A13" s="64" t="s">
        <v>56</v>
      </c>
      <c r="B13" s="67">
        <v>71.739999999999995</v>
      </c>
      <c r="C13" s="67">
        <v>71.91</v>
      </c>
      <c r="D13" s="67">
        <v>72.27</v>
      </c>
      <c r="E13" s="67">
        <v>70.52</v>
      </c>
      <c r="F13" s="67">
        <v>68.56</v>
      </c>
      <c r="G13" s="67">
        <v>71.540000000000006</v>
      </c>
    </row>
    <row r="14" spans="1:11" x14ac:dyDescent="0.3">
      <c r="A14" s="64" t="s">
        <v>51</v>
      </c>
      <c r="B14" s="67">
        <v>72.459999999999994</v>
      </c>
      <c r="C14" s="67">
        <v>72.62</v>
      </c>
      <c r="D14" s="67">
        <v>73.34</v>
      </c>
      <c r="E14" s="67">
        <v>70.59</v>
      </c>
      <c r="F14" s="67">
        <v>68.58</v>
      </c>
      <c r="G14" s="67">
        <v>72.12</v>
      </c>
    </row>
    <row r="15" spans="1:11" x14ac:dyDescent="0.3">
      <c r="A15" s="64" t="s">
        <v>21</v>
      </c>
      <c r="B15" s="67">
        <v>73.34</v>
      </c>
      <c r="C15" s="67">
        <v>73.52</v>
      </c>
      <c r="D15" s="67">
        <v>73.86</v>
      </c>
      <c r="E15" s="67">
        <v>71.67</v>
      </c>
      <c r="F15" s="67">
        <v>70.349999999999994</v>
      </c>
      <c r="G15" s="67">
        <v>73.78</v>
      </c>
    </row>
    <row r="16" spans="1:11" x14ac:dyDescent="0.3">
      <c r="A16" s="64" t="s">
        <v>70</v>
      </c>
      <c r="B16" s="67">
        <v>71.63</v>
      </c>
      <c r="C16" s="67">
        <v>71.56</v>
      </c>
      <c r="D16" s="67">
        <v>72.56</v>
      </c>
      <c r="E16" s="67">
        <v>70.099999999999994</v>
      </c>
      <c r="F16" s="67">
        <v>68.97</v>
      </c>
      <c r="G16" s="67">
        <v>70.73</v>
      </c>
    </row>
    <row r="17" spans="1:7" x14ac:dyDescent="0.3">
      <c r="A17" s="64" t="s">
        <v>59</v>
      </c>
      <c r="B17" s="67">
        <v>72.7</v>
      </c>
      <c r="C17" s="67">
        <v>72.84</v>
      </c>
      <c r="D17" s="67">
        <v>73.2</v>
      </c>
      <c r="E17" s="67">
        <v>70.95</v>
      </c>
      <c r="F17" s="67">
        <v>68.61</v>
      </c>
      <c r="G17" s="67">
        <v>72.14</v>
      </c>
    </row>
    <row r="18" spans="1:7" x14ac:dyDescent="0.3">
      <c r="A18" s="64" t="s">
        <v>43</v>
      </c>
      <c r="B18" s="67">
        <v>71.14</v>
      </c>
      <c r="C18" s="67">
        <v>71.16</v>
      </c>
      <c r="D18" s="67">
        <v>71.89</v>
      </c>
      <c r="E18" s="67">
        <v>70.099999999999994</v>
      </c>
      <c r="F18" s="67">
        <v>68</v>
      </c>
      <c r="G18" s="67">
        <v>70.349999999999994</v>
      </c>
    </row>
    <row r="19" spans="1:7" x14ac:dyDescent="0.3">
      <c r="A19" s="64" t="s">
        <v>15</v>
      </c>
      <c r="B19" s="67">
        <v>73.209999999999994</v>
      </c>
      <c r="C19" s="67">
        <v>72.95</v>
      </c>
      <c r="D19" s="67">
        <v>73.56</v>
      </c>
      <c r="E19" s="67">
        <v>71.78</v>
      </c>
      <c r="F19" s="67">
        <v>69.88</v>
      </c>
      <c r="G19" s="67">
        <v>72.010000000000005</v>
      </c>
    </row>
    <row r="20" spans="1:7" x14ac:dyDescent="0.3">
      <c r="A20" s="64" t="s">
        <v>38</v>
      </c>
      <c r="B20" s="67">
        <v>70.45</v>
      </c>
      <c r="C20" s="67">
        <v>70.47</v>
      </c>
      <c r="D20" s="67">
        <v>71.239999999999995</v>
      </c>
      <c r="E20" s="67">
        <v>69.760000000000005</v>
      </c>
      <c r="F20" s="67">
        <v>67.87</v>
      </c>
      <c r="G20" s="67">
        <v>69.94</v>
      </c>
    </row>
    <row r="21" spans="1:7" x14ac:dyDescent="0.3">
      <c r="A21" s="64" t="s">
        <v>39</v>
      </c>
      <c r="B21" s="67">
        <v>71.180000000000007</v>
      </c>
      <c r="C21" s="67">
        <v>71.77</v>
      </c>
      <c r="D21" s="67">
        <v>72.209999999999994</v>
      </c>
      <c r="E21" s="67">
        <v>70.2</v>
      </c>
      <c r="F21" s="67">
        <v>68.97</v>
      </c>
      <c r="G21" s="67">
        <v>71.86</v>
      </c>
    </row>
    <row r="22" spans="1:7" x14ac:dyDescent="0.3">
      <c r="A22" s="64" t="s">
        <v>78</v>
      </c>
      <c r="B22" s="67">
        <v>71.849999999999994</v>
      </c>
      <c r="C22" s="67">
        <v>72.25</v>
      </c>
      <c r="D22" s="67">
        <v>72.92</v>
      </c>
      <c r="E22" s="67">
        <v>70.94</v>
      </c>
      <c r="F22" s="67">
        <v>69.069999999999993</v>
      </c>
      <c r="G22" s="67">
        <v>71.55</v>
      </c>
    </row>
    <row r="23" spans="1:7" x14ac:dyDescent="0.3">
      <c r="A23" s="64" t="s">
        <v>13</v>
      </c>
      <c r="B23" s="67">
        <v>77.87</v>
      </c>
      <c r="C23" s="67">
        <v>77.84</v>
      </c>
      <c r="D23" s="67">
        <v>78.36</v>
      </c>
      <c r="E23" s="67">
        <v>76.2</v>
      </c>
      <c r="F23" s="67">
        <v>74.55</v>
      </c>
      <c r="G23" s="67">
        <v>78.17</v>
      </c>
    </row>
    <row r="24" spans="1:7" x14ac:dyDescent="0.3">
      <c r="A24" s="64" t="s">
        <v>97</v>
      </c>
      <c r="B24" s="67">
        <v>72.97</v>
      </c>
      <c r="C24" s="67">
        <v>73.3</v>
      </c>
      <c r="D24" s="67">
        <v>73.72</v>
      </c>
      <c r="E24" s="67">
        <v>72.02</v>
      </c>
      <c r="F24" s="67">
        <v>70.37</v>
      </c>
      <c r="G24" s="67">
        <v>73.05</v>
      </c>
    </row>
    <row r="25" spans="1:7" x14ac:dyDescent="0.3">
      <c r="A25" s="64" t="s">
        <v>71</v>
      </c>
      <c r="B25" s="67">
        <v>70.650000000000006</v>
      </c>
      <c r="C25" s="67">
        <v>70.56</v>
      </c>
      <c r="D25" s="67">
        <v>71.459999999999994</v>
      </c>
      <c r="E25" s="67">
        <v>69.63</v>
      </c>
      <c r="F25" s="67">
        <v>67.31</v>
      </c>
      <c r="G25" s="67">
        <v>69.03</v>
      </c>
    </row>
    <row r="26" spans="1:7" x14ac:dyDescent="0.3">
      <c r="A26" s="64" t="s">
        <v>65</v>
      </c>
      <c r="B26" s="67">
        <v>71.05</v>
      </c>
      <c r="C26" s="67">
        <v>71.06</v>
      </c>
      <c r="D26" s="67">
        <v>71.3</v>
      </c>
      <c r="E26" s="67">
        <v>70.3</v>
      </c>
      <c r="F26" s="67">
        <v>68.319999999999993</v>
      </c>
      <c r="G26" s="67">
        <v>69.94</v>
      </c>
    </row>
    <row r="27" spans="1:7" x14ac:dyDescent="0.3">
      <c r="A27" s="64" t="s">
        <v>53</v>
      </c>
      <c r="B27" s="67">
        <v>71.94</v>
      </c>
      <c r="C27" s="67">
        <v>72.099999999999994</v>
      </c>
      <c r="D27" s="67">
        <v>72.34</v>
      </c>
      <c r="E27" s="67">
        <v>71.349999999999994</v>
      </c>
      <c r="F27" s="67">
        <v>69.599999999999994</v>
      </c>
      <c r="G27" s="67">
        <v>70.930000000000007</v>
      </c>
    </row>
    <row r="28" spans="1:7" x14ac:dyDescent="0.3">
      <c r="A28" s="64" t="s">
        <v>7</v>
      </c>
      <c r="B28" s="67">
        <v>71.52</v>
      </c>
      <c r="C28" s="67">
        <v>71.849999999999994</v>
      </c>
      <c r="D28" s="67">
        <v>73.19</v>
      </c>
      <c r="E28" s="67">
        <v>70.400000000000006</v>
      </c>
      <c r="F28" s="67">
        <v>69.39</v>
      </c>
      <c r="G28" s="67">
        <v>70.739999999999995</v>
      </c>
    </row>
    <row r="29" spans="1:7" x14ac:dyDescent="0.3">
      <c r="A29" s="64" t="s">
        <v>88</v>
      </c>
      <c r="B29" s="67">
        <v>71.959999999999994</v>
      </c>
      <c r="C29" s="67">
        <v>72.09</v>
      </c>
      <c r="D29" s="67">
        <v>72.3</v>
      </c>
      <c r="E29" s="67">
        <v>71.39</v>
      </c>
      <c r="F29" s="67">
        <v>69.599999999999994</v>
      </c>
      <c r="G29" s="67">
        <v>70.930000000000007</v>
      </c>
    </row>
    <row r="30" spans="1:7" x14ac:dyDescent="0.3">
      <c r="A30" s="64" t="s">
        <v>80</v>
      </c>
      <c r="B30" s="67">
        <v>71.260000000000005</v>
      </c>
      <c r="C30" s="67">
        <v>71.430000000000007</v>
      </c>
      <c r="D30" s="67">
        <v>71.819999999999993</v>
      </c>
      <c r="E30" s="67">
        <v>70.709999999999994</v>
      </c>
      <c r="F30" s="67">
        <v>69.08</v>
      </c>
      <c r="G30" s="67">
        <v>71.56</v>
      </c>
    </row>
    <row r="31" spans="1:7" x14ac:dyDescent="0.3">
      <c r="A31" s="64" t="s">
        <v>69</v>
      </c>
      <c r="B31" s="67">
        <v>72.62</v>
      </c>
      <c r="C31" s="67">
        <v>72.92</v>
      </c>
      <c r="D31" s="67">
        <v>73.56</v>
      </c>
      <c r="E31" s="67">
        <v>72.930000000000007</v>
      </c>
      <c r="F31" s="67">
        <v>70.989999999999995</v>
      </c>
      <c r="G31" s="67">
        <v>73.069999999999993</v>
      </c>
    </row>
    <row r="32" spans="1:7" x14ac:dyDescent="0.3">
      <c r="A32" s="64" t="s">
        <v>33</v>
      </c>
      <c r="B32" s="67">
        <v>72.540000000000006</v>
      </c>
      <c r="C32" s="67">
        <v>73.069999999999993</v>
      </c>
      <c r="D32" s="67">
        <v>73.64</v>
      </c>
      <c r="E32" s="67">
        <v>71.53</v>
      </c>
      <c r="F32" s="67">
        <v>70.17</v>
      </c>
      <c r="G32" s="67">
        <v>73.33</v>
      </c>
    </row>
    <row r="33" spans="1:7" x14ac:dyDescent="0.3">
      <c r="A33" s="64" t="s">
        <v>30</v>
      </c>
      <c r="B33" s="67">
        <v>71.67</v>
      </c>
      <c r="C33" s="67">
        <v>71.680000000000007</v>
      </c>
      <c r="D33" s="67">
        <v>71.75</v>
      </c>
      <c r="E33" s="67">
        <v>69.81</v>
      </c>
      <c r="F33" s="67">
        <v>68.290000000000006</v>
      </c>
      <c r="G33" s="67">
        <v>70.16</v>
      </c>
    </row>
    <row r="34" spans="1:7" x14ac:dyDescent="0.3">
      <c r="A34" s="64" t="s">
        <v>52</v>
      </c>
      <c r="B34" s="67">
        <v>69.680000000000007</v>
      </c>
      <c r="C34" s="67">
        <v>70.260000000000005</v>
      </c>
      <c r="D34" s="67">
        <v>70.52</v>
      </c>
      <c r="E34" s="67">
        <v>69.59</v>
      </c>
      <c r="F34" s="67">
        <v>67.64</v>
      </c>
      <c r="G34" s="67">
        <v>70.45</v>
      </c>
    </row>
    <row r="35" spans="1:7" x14ac:dyDescent="0.3">
      <c r="A35" s="64" t="s">
        <v>31</v>
      </c>
      <c r="B35" s="67">
        <v>69.95</v>
      </c>
      <c r="C35" s="67">
        <v>70.16</v>
      </c>
      <c r="D35" s="67">
        <v>70.650000000000006</v>
      </c>
      <c r="E35" s="67">
        <v>69.13</v>
      </c>
      <c r="F35" s="67">
        <v>67.69</v>
      </c>
      <c r="G35" s="67">
        <v>68.95</v>
      </c>
    </row>
    <row r="36" spans="1:7" x14ac:dyDescent="0.3">
      <c r="A36" s="64" t="s">
        <v>32</v>
      </c>
      <c r="B36" s="67">
        <v>75.45</v>
      </c>
      <c r="C36" s="67">
        <v>75.930000000000007</v>
      </c>
      <c r="D36" s="67">
        <v>76.31</v>
      </c>
      <c r="E36" s="67">
        <v>73.989999999999995</v>
      </c>
      <c r="F36" s="67">
        <v>72.510000000000005</v>
      </c>
      <c r="G36" s="67">
        <v>75.77</v>
      </c>
    </row>
    <row r="37" spans="1:7" x14ac:dyDescent="0.3">
      <c r="A37" s="64" t="s">
        <v>98</v>
      </c>
      <c r="B37" s="67">
        <v>73.16</v>
      </c>
      <c r="C37" s="67">
        <v>73.540000000000006</v>
      </c>
      <c r="D37" s="67">
        <v>73.73</v>
      </c>
      <c r="E37" s="67">
        <v>72.09</v>
      </c>
      <c r="F37" s="67">
        <v>70.209999999999994</v>
      </c>
      <c r="G37" s="67">
        <v>72.650000000000006</v>
      </c>
    </row>
    <row r="38" spans="1:7" x14ac:dyDescent="0.3">
      <c r="A38" s="64" t="s">
        <v>26</v>
      </c>
      <c r="B38" s="67">
        <v>73.25</v>
      </c>
      <c r="C38" s="67">
        <v>73.56</v>
      </c>
      <c r="D38" s="67">
        <v>73.849999999999994</v>
      </c>
      <c r="E38" s="67">
        <v>73.27</v>
      </c>
      <c r="F38" s="67">
        <v>71.22</v>
      </c>
      <c r="G38" s="67">
        <v>73.599999999999994</v>
      </c>
    </row>
    <row r="39" spans="1:7" x14ac:dyDescent="0.3">
      <c r="A39" s="64" t="s">
        <v>27</v>
      </c>
      <c r="B39" s="67">
        <v>73.540000000000006</v>
      </c>
      <c r="C39" s="67">
        <v>73.84</v>
      </c>
      <c r="D39" s="67">
        <v>74.84</v>
      </c>
      <c r="E39" s="67">
        <v>72.930000000000007</v>
      </c>
      <c r="F39" s="67">
        <v>71.400000000000006</v>
      </c>
      <c r="G39" s="67">
        <v>73.489999999999995</v>
      </c>
    </row>
    <row r="40" spans="1:7" x14ac:dyDescent="0.3">
      <c r="A40" s="64" t="s">
        <v>89</v>
      </c>
      <c r="B40" s="67">
        <v>72</v>
      </c>
      <c r="C40" s="67">
        <v>72.22</v>
      </c>
      <c r="D40" s="67">
        <v>72.709999999999994</v>
      </c>
      <c r="E40" s="67">
        <v>71.2</v>
      </c>
      <c r="F40" s="67">
        <v>69.7</v>
      </c>
      <c r="G40" s="67">
        <v>71.97</v>
      </c>
    </row>
    <row r="41" spans="1:7" x14ac:dyDescent="0.3">
      <c r="A41" s="64" t="s">
        <v>28</v>
      </c>
      <c r="B41" s="67">
        <v>73.42</v>
      </c>
      <c r="C41" s="67">
        <v>74.3</v>
      </c>
      <c r="D41" s="67">
        <v>73.91</v>
      </c>
      <c r="E41" s="67">
        <v>72.239999999999995</v>
      </c>
      <c r="F41" s="67">
        <v>70.53</v>
      </c>
      <c r="G41" s="67">
        <v>72.92</v>
      </c>
    </row>
    <row r="42" spans="1:7" x14ac:dyDescent="0.3">
      <c r="A42" s="64" t="s">
        <v>25</v>
      </c>
      <c r="B42" s="67">
        <v>73.349999999999994</v>
      </c>
      <c r="C42" s="67">
        <v>73.48</v>
      </c>
      <c r="D42" s="67">
        <v>73.86</v>
      </c>
      <c r="E42" s="67">
        <v>72.010000000000005</v>
      </c>
      <c r="F42" s="67">
        <v>69.900000000000006</v>
      </c>
      <c r="G42" s="67">
        <v>71.8</v>
      </c>
    </row>
    <row r="43" spans="1:7" x14ac:dyDescent="0.3">
      <c r="A43" s="64" t="s">
        <v>22</v>
      </c>
      <c r="B43" s="67">
        <v>73.540000000000006</v>
      </c>
      <c r="C43" s="67">
        <v>73.47</v>
      </c>
      <c r="D43" s="67">
        <v>74.069999999999993</v>
      </c>
      <c r="E43" s="67">
        <v>71.98</v>
      </c>
      <c r="F43" s="67">
        <v>69.959999999999994</v>
      </c>
      <c r="G43" s="67">
        <v>73.239999999999995</v>
      </c>
    </row>
    <row r="44" spans="1:7" x14ac:dyDescent="0.3">
      <c r="A44" s="64" t="s">
        <v>29</v>
      </c>
      <c r="B44" s="67">
        <v>73.03</v>
      </c>
      <c r="C44" s="67">
        <v>73.209999999999994</v>
      </c>
      <c r="D44" s="67">
        <v>73.69</v>
      </c>
      <c r="E44" s="67">
        <v>72.040000000000006</v>
      </c>
      <c r="F44" s="67">
        <v>69.790000000000006</v>
      </c>
      <c r="G44" s="67">
        <v>72</v>
      </c>
    </row>
    <row r="45" spans="1:7" x14ac:dyDescent="0.3">
      <c r="A45" s="64" t="s">
        <v>90</v>
      </c>
      <c r="B45" s="67">
        <v>73.37</v>
      </c>
      <c r="C45" s="67">
        <v>73.63</v>
      </c>
      <c r="D45" s="67">
        <v>73.53</v>
      </c>
      <c r="E45" s="67">
        <v>73.58</v>
      </c>
      <c r="F45" s="67">
        <v>72.25</v>
      </c>
      <c r="G45" s="67">
        <v>74.569999999999993</v>
      </c>
    </row>
    <row r="46" spans="1:7" x14ac:dyDescent="0.3">
      <c r="A46" s="64" t="s">
        <v>99</v>
      </c>
      <c r="B46" s="67">
        <v>75.86</v>
      </c>
      <c r="C46" s="67">
        <v>76.25</v>
      </c>
      <c r="D46" s="67">
        <v>76.64</v>
      </c>
      <c r="E46" s="67">
        <v>74.58</v>
      </c>
      <c r="F46" s="67">
        <v>73.790000000000006</v>
      </c>
      <c r="G46" s="67">
        <v>75.78</v>
      </c>
    </row>
    <row r="47" spans="1:7" x14ac:dyDescent="0.3">
      <c r="A47" s="64" t="s">
        <v>63</v>
      </c>
      <c r="B47" s="67">
        <v>77.790000000000006</v>
      </c>
      <c r="C47" s="67">
        <v>78.69</v>
      </c>
      <c r="D47" s="67">
        <v>79.099999999999994</v>
      </c>
      <c r="E47" s="67">
        <v>76.430000000000007</v>
      </c>
      <c r="F47" s="67">
        <v>76.59</v>
      </c>
      <c r="G47" s="67">
        <v>78.22</v>
      </c>
    </row>
    <row r="48" spans="1:7" x14ac:dyDescent="0.3">
      <c r="A48" s="64" t="s">
        <v>81</v>
      </c>
      <c r="B48" s="67">
        <v>81.59</v>
      </c>
      <c r="C48" s="67">
        <v>82.41</v>
      </c>
      <c r="D48" s="67">
        <v>83.4</v>
      </c>
      <c r="E48" s="67">
        <v>81.48</v>
      </c>
      <c r="F48" s="67">
        <v>80.52</v>
      </c>
      <c r="G48" s="67">
        <v>78.34</v>
      </c>
    </row>
    <row r="49" spans="1:7" x14ac:dyDescent="0.3">
      <c r="A49" s="64" t="s">
        <v>91</v>
      </c>
      <c r="B49" s="67">
        <v>75.81</v>
      </c>
      <c r="C49" s="67">
        <v>76.28</v>
      </c>
      <c r="D49" s="67">
        <v>76.459999999999994</v>
      </c>
      <c r="E49" s="67">
        <v>74.37</v>
      </c>
      <c r="F49" s="67">
        <v>73.77</v>
      </c>
      <c r="G49" s="67">
        <v>75.510000000000005</v>
      </c>
    </row>
    <row r="50" spans="1:7" x14ac:dyDescent="0.3">
      <c r="A50" s="64" t="s">
        <v>92</v>
      </c>
      <c r="B50" s="67">
        <v>75.94</v>
      </c>
      <c r="C50" s="67">
        <v>76.09</v>
      </c>
      <c r="D50" s="67">
        <v>76.209999999999994</v>
      </c>
      <c r="E50" s="67">
        <v>74.819999999999993</v>
      </c>
      <c r="F50" s="67">
        <v>73.47</v>
      </c>
      <c r="G50" s="67">
        <v>75.319999999999993</v>
      </c>
    </row>
    <row r="51" spans="1:7" x14ac:dyDescent="0.3">
      <c r="A51" s="64" t="s">
        <v>47</v>
      </c>
      <c r="B51" s="67">
        <v>75.510000000000005</v>
      </c>
      <c r="C51" s="67">
        <v>75.680000000000007</v>
      </c>
      <c r="D51" s="67">
        <v>75.75</v>
      </c>
      <c r="E51" s="67">
        <v>74.08</v>
      </c>
      <c r="F51" s="67">
        <v>72.47</v>
      </c>
      <c r="G51" s="67">
        <v>74.7</v>
      </c>
    </row>
    <row r="52" spans="1:7" x14ac:dyDescent="0.3">
      <c r="A52" s="64" t="s">
        <v>93</v>
      </c>
      <c r="B52" s="67">
        <v>74.84</v>
      </c>
      <c r="C52" s="67">
        <v>75.430000000000007</v>
      </c>
      <c r="D52" s="67">
        <v>75.88</v>
      </c>
      <c r="E52" s="67">
        <v>72.11</v>
      </c>
      <c r="F52" s="67">
        <v>73</v>
      </c>
      <c r="G52" s="67">
        <v>74.61</v>
      </c>
    </row>
    <row r="53" spans="1:7" x14ac:dyDescent="0.3">
      <c r="A53" s="64" t="s">
        <v>11</v>
      </c>
      <c r="B53" s="67">
        <v>74.19</v>
      </c>
      <c r="C53" s="67">
        <v>74.180000000000007</v>
      </c>
      <c r="D53" s="67">
        <v>74.66</v>
      </c>
      <c r="E53" s="67">
        <v>73.2</v>
      </c>
      <c r="F53" s="67">
        <v>71.66</v>
      </c>
      <c r="G53" s="67">
        <v>74.290000000000006</v>
      </c>
    </row>
    <row r="54" spans="1:7" x14ac:dyDescent="0.3">
      <c r="A54" s="64" t="s">
        <v>100</v>
      </c>
      <c r="B54" s="67">
        <v>72.260000000000005</v>
      </c>
      <c r="C54" s="67">
        <v>72.41</v>
      </c>
      <c r="D54" s="67">
        <v>72.94</v>
      </c>
      <c r="E54" s="67">
        <v>70.83</v>
      </c>
      <c r="F54" s="67">
        <v>69.5</v>
      </c>
      <c r="G54" s="67">
        <v>72.39</v>
      </c>
    </row>
    <row r="55" spans="1:7" x14ac:dyDescent="0.3">
      <c r="A55" s="64" t="s">
        <v>83</v>
      </c>
      <c r="B55" s="67">
        <v>71.73</v>
      </c>
      <c r="C55" s="67">
        <v>72.06</v>
      </c>
      <c r="D55" s="67">
        <v>72.64</v>
      </c>
      <c r="E55" s="67">
        <v>70.36</v>
      </c>
      <c r="F55" s="67">
        <v>69.489999999999995</v>
      </c>
      <c r="G55" s="67">
        <v>72.98</v>
      </c>
    </row>
    <row r="56" spans="1:7" x14ac:dyDescent="0.3">
      <c r="A56" s="64" t="s">
        <v>42</v>
      </c>
      <c r="B56" s="67">
        <v>72.239999999999995</v>
      </c>
      <c r="C56" s="67">
        <v>71.989999999999995</v>
      </c>
      <c r="D56" s="67">
        <v>72.900000000000006</v>
      </c>
      <c r="E56" s="67">
        <v>71.05</v>
      </c>
      <c r="F56" s="67">
        <v>69.459999999999994</v>
      </c>
      <c r="G56" s="67">
        <v>71.900000000000006</v>
      </c>
    </row>
    <row r="57" spans="1:7" x14ac:dyDescent="0.3">
      <c r="A57" s="64" t="s">
        <v>34</v>
      </c>
      <c r="B57" s="67">
        <v>73.400000000000006</v>
      </c>
      <c r="C57" s="67">
        <v>73.66</v>
      </c>
      <c r="D57" s="67">
        <v>73.95</v>
      </c>
      <c r="E57" s="67">
        <v>71.599999999999994</v>
      </c>
      <c r="F57" s="67">
        <v>70.239999999999995</v>
      </c>
      <c r="G57" s="67">
        <v>73.16</v>
      </c>
    </row>
    <row r="58" spans="1:7" x14ac:dyDescent="0.3">
      <c r="A58" s="64" t="s">
        <v>35</v>
      </c>
      <c r="B58" s="67">
        <v>74.2</v>
      </c>
      <c r="C58" s="67">
        <v>74.349999999999994</v>
      </c>
      <c r="D58" s="67">
        <v>75.03</v>
      </c>
      <c r="E58" s="67">
        <v>72.61</v>
      </c>
      <c r="F58" s="67">
        <v>71.28</v>
      </c>
      <c r="G58" s="67">
        <v>74.92</v>
      </c>
    </row>
    <row r="59" spans="1:7" x14ac:dyDescent="0.3">
      <c r="A59" s="64" t="s">
        <v>94</v>
      </c>
      <c r="B59" s="67">
        <v>72.06</v>
      </c>
      <c r="C59" s="67">
        <v>72.45</v>
      </c>
      <c r="D59" s="67">
        <v>72.8</v>
      </c>
      <c r="E59" s="67">
        <v>71.03</v>
      </c>
      <c r="F59" s="67">
        <v>69.989999999999995</v>
      </c>
      <c r="G59" s="67">
        <v>72.13</v>
      </c>
    </row>
    <row r="60" spans="1:7" x14ac:dyDescent="0.3">
      <c r="A60" s="64" t="s">
        <v>46</v>
      </c>
      <c r="B60" s="67">
        <v>72.73</v>
      </c>
      <c r="C60" s="67">
        <v>72.95</v>
      </c>
      <c r="D60" s="67">
        <v>73.44</v>
      </c>
      <c r="E60" s="67">
        <v>71.03</v>
      </c>
      <c r="F60" s="67">
        <v>69.989999999999995</v>
      </c>
      <c r="G60" s="67">
        <v>72.489999999999995</v>
      </c>
    </row>
    <row r="61" spans="1:7" x14ac:dyDescent="0.3">
      <c r="A61" s="64" t="s">
        <v>44</v>
      </c>
      <c r="B61" s="67">
        <v>70.790000000000006</v>
      </c>
      <c r="C61" s="67">
        <v>70.72</v>
      </c>
      <c r="D61" s="67">
        <v>71.319999999999993</v>
      </c>
      <c r="E61" s="67">
        <v>69.59</v>
      </c>
      <c r="F61" s="67">
        <v>68.52</v>
      </c>
      <c r="G61" s="67">
        <v>70.900000000000006</v>
      </c>
    </row>
    <row r="62" spans="1:7" x14ac:dyDescent="0.3">
      <c r="A62" s="64" t="s">
        <v>36</v>
      </c>
      <c r="B62" s="67">
        <v>72.72</v>
      </c>
      <c r="C62" s="67">
        <v>72.47</v>
      </c>
      <c r="D62" s="67">
        <v>72.959999999999994</v>
      </c>
      <c r="E62" s="67">
        <v>71.42</v>
      </c>
      <c r="F62" s="67">
        <v>69.73</v>
      </c>
      <c r="G62" s="67">
        <v>71.31</v>
      </c>
    </row>
    <row r="63" spans="1:7" x14ac:dyDescent="0.3">
      <c r="A63" s="64" t="s">
        <v>54</v>
      </c>
      <c r="B63" s="67">
        <v>71.88</v>
      </c>
      <c r="C63" s="67">
        <v>71.69</v>
      </c>
      <c r="D63" s="67">
        <v>72.319999999999993</v>
      </c>
      <c r="E63" s="67">
        <v>70.33</v>
      </c>
      <c r="F63" s="67">
        <v>68.930000000000007</v>
      </c>
      <c r="G63" s="67">
        <v>71.489999999999995</v>
      </c>
    </row>
    <row r="64" spans="1:7" x14ac:dyDescent="0.3">
      <c r="A64" s="64" t="s">
        <v>23</v>
      </c>
      <c r="B64" s="67">
        <v>70.94</v>
      </c>
      <c r="C64" s="67">
        <v>71.45</v>
      </c>
      <c r="D64" s="67">
        <v>72.040000000000006</v>
      </c>
      <c r="E64" s="67">
        <v>69.73</v>
      </c>
      <c r="F64" s="67">
        <v>68.209999999999994</v>
      </c>
      <c r="G64" s="67">
        <v>71.239999999999995</v>
      </c>
    </row>
    <row r="65" spans="1:7" x14ac:dyDescent="0.3">
      <c r="A65" s="64" t="s">
        <v>49</v>
      </c>
      <c r="B65" s="67">
        <v>73.34</v>
      </c>
      <c r="C65" s="67">
        <v>73.209999999999994</v>
      </c>
      <c r="D65" s="67">
        <v>73.61</v>
      </c>
      <c r="E65" s="67">
        <v>71.34</v>
      </c>
      <c r="F65" s="67">
        <v>69.97</v>
      </c>
      <c r="G65" s="67">
        <v>72.069999999999993</v>
      </c>
    </row>
    <row r="66" spans="1:7" x14ac:dyDescent="0.3">
      <c r="A66" s="64" t="s">
        <v>24</v>
      </c>
      <c r="B66" s="67">
        <v>71.73</v>
      </c>
      <c r="C66" s="67">
        <v>72.31</v>
      </c>
      <c r="D66" s="67">
        <v>72.77</v>
      </c>
      <c r="E66" s="67">
        <v>70.45</v>
      </c>
      <c r="F66" s="67">
        <v>69.33</v>
      </c>
      <c r="G66" s="67">
        <v>72.14</v>
      </c>
    </row>
    <row r="67" spans="1:7" x14ac:dyDescent="0.3">
      <c r="A67" s="64" t="s">
        <v>68</v>
      </c>
      <c r="B67" s="67">
        <v>72.88</v>
      </c>
      <c r="C67" s="67">
        <v>72.95</v>
      </c>
      <c r="D67" s="67">
        <v>73.069999999999993</v>
      </c>
      <c r="E67" s="67">
        <v>71.14</v>
      </c>
      <c r="F67" s="67">
        <v>69.08</v>
      </c>
      <c r="G67" s="67">
        <v>72.849999999999994</v>
      </c>
    </row>
    <row r="68" spans="1:7" x14ac:dyDescent="0.3">
      <c r="A68" s="64" t="s">
        <v>41</v>
      </c>
      <c r="B68" s="67">
        <v>72.34</v>
      </c>
      <c r="C68" s="67">
        <v>72.17</v>
      </c>
      <c r="D68" s="67">
        <v>72.959999999999994</v>
      </c>
      <c r="E68" s="67">
        <v>70.98</v>
      </c>
      <c r="F68" s="67">
        <v>69.05</v>
      </c>
      <c r="G68" s="67">
        <v>71.34</v>
      </c>
    </row>
    <row r="69" spans="1:7" x14ac:dyDescent="0.3">
      <c r="A69" s="64" t="s">
        <v>101</v>
      </c>
      <c r="B69" s="67">
        <v>71.849999999999994</v>
      </c>
      <c r="C69" s="67">
        <v>72.010000000000005</v>
      </c>
      <c r="D69" s="67">
        <v>72.52</v>
      </c>
      <c r="E69" s="67">
        <v>70.81</v>
      </c>
      <c r="F69" s="67">
        <v>69.61</v>
      </c>
      <c r="G69" s="67">
        <v>72.41</v>
      </c>
    </row>
    <row r="70" spans="1:7" x14ac:dyDescent="0.3">
      <c r="A70" s="64" t="s">
        <v>55</v>
      </c>
      <c r="B70" s="67">
        <v>70.8</v>
      </c>
      <c r="C70" s="67">
        <v>70.78</v>
      </c>
      <c r="D70" s="67">
        <v>71.14</v>
      </c>
      <c r="E70" s="67">
        <v>69.94</v>
      </c>
      <c r="F70" s="67">
        <v>68.290000000000006</v>
      </c>
      <c r="G70" s="67">
        <v>69.88</v>
      </c>
    </row>
    <row r="71" spans="1:7" x14ac:dyDescent="0.3">
      <c r="A71" s="64" t="s">
        <v>16</v>
      </c>
      <c r="B71" s="67">
        <v>71.23</v>
      </c>
      <c r="C71" s="67">
        <v>71.290000000000006</v>
      </c>
      <c r="D71" s="67">
        <v>71.81</v>
      </c>
      <c r="E71" s="67">
        <v>70.150000000000006</v>
      </c>
      <c r="F71" s="67">
        <v>68.790000000000006</v>
      </c>
      <c r="G71" s="67">
        <v>71.31</v>
      </c>
    </row>
    <row r="72" spans="1:7" x14ac:dyDescent="0.3">
      <c r="A72" s="64" t="s">
        <v>19</v>
      </c>
      <c r="B72" s="67">
        <v>73.099999999999994</v>
      </c>
      <c r="C72" s="67">
        <v>73.400000000000006</v>
      </c>
      <c r="D72" s="67">
        <v>74.040000000000006</v>
      </c>
      <c r="E72" s="67">
        <v>72.239999999999995</v>
      </c>
      <c r="F72" s="67">
        <v>71.260000000000005</v>
      </c>
      <c r="G72" s="67">
        <v>74.59</v>
      </c>
    </row>
    <row r="73" spans="1:7" x14ac:dyDescent="0.3">
      <c r="A73" s="64" t="s">
        <v>17</v>
      </c>
      <c r="B73" s="67">
        <v>73.87</v>
      </c>
      <c r="C73" s="67">
        <v>74.28</v>
      </c>
      <c r="D73" s="67">
        <v>75.040000000000006</v>
      </c>
      <c r="E73" s="67">
        <v>72.87</v>
      </c>
      <c r="F73" s="67">
        <v>72.010000000000005</v>
      </c>
      <c r="G73" s="67">
        <v>75.41</v>
      </c>
    </row>
    <row r="74" spans="1:7" x14ac:dyDescent="0.3">
      <c r="A74" s="64" t="s">
        <v>60</v>
      </c>
      <c r="B74" s="67">
        <v>73.53</v>
      </c>
      <c r="C74" s="67">
        <v>74.069999999999993</v>
      </c>
      <c r="D74" s="67">
        <v>74.180000000000007</v>
      </c>
      <c r="E74" s="67">
        <v>71.91</v>
      </c>
      <c r="F74" s="67">
        <v>71.7</v>
      </c>
      <c r="G74" s="67">
        <v>74.819999999999993</v>
      </c>
    </row>
    <row r="75" spans="1:7" x14ac:dyDescent="0.3">
      <c r="A75" s="64" t="s">
        <v>95</v>
      </c>
      <c r="B75" s="67">
        <v>72.06</v>
      </c>
      <c r="C75" s="67">
        <v>72.08</v>
      </c>
      <c r="D75" s="67">
        <v>72.75</v>
      </c>
      <c r="E75" s="67">
        <v>71.34</v>
      </c>
      <c r="F75" s="67">
        <v>70.14</v>
      </c>
      <c r="G75" s="67">
        <v>73.59</v>
      </c>
    </row>
    <row r="76" spans="1:7" x14ac:dyDescent="0.3">
      <c r="A76" s="64" t="s">
        <v>82</v>
      </c>
      <c r="B76" s="67">
        <v>71.53</v>
      </c>
      <c r="C76" s="67">
        <v>71.64</v>
      </c>
      <c r="D76" s="67">
        <v>72.08</v>
      </c>
      <c r="E76" s="67">
        <v>70.290000000000006</v>
      </c>
      <c r="F76" s="67">
        <v>69.16</v>
      </c>
      <c r="G76" s="67">
        <v>72.16</v>
      </c>
    </row>
    <row r="77" spans="1:7" x14ac:dyDescent="0.3">
      <c r="A77" s="64" t="s">
        <v>102</v>
      </c>
      <c r="B77" s="67">
        <v>70.5</v>
      </c>
      <c r="C77" s="67"/>
      <c r="D77" s="67"/>
      <c r="E77" s="67"/>
      <c r="F77" s="67"/>
      <c r="G77" s="67"/>
    </row>
    <row r="78" spans="1:7" x14ac:dyDescent="0.3">
      <c r="A78" s="64" t="s">
        <v>102</v>
      </c>
      <c r="B78" s="67"/>
      <c r="C78" s="67">
        <v>70.73</v>
      </c>
      <c r="D78" s="67">
        <v>71.12</v>
      </c>
      <c r="E78" s="67">
        <v>69.599999999999994</v>
      </c>
      <c r="F78" s="67">
        <v>68.3</v>
      </c>
      <c r="G78" s="67">
        <v>70.44</v>
      </c>
    </row>
    <row r="79" spans="1:7" x14ac:dyDescent="0.3">
      <c r="A79" s="64" t="s">
        <v>58</v>
      </c>
      <c r="B79" s="67">
        <v>71.150000000000006</v>
      </c>
      <c r="C79" s="67">
        <v>70.59</v>
      </c>
      <c r="D79" s="67">
        <v>70.290000000000006</v>
      </c>
      <c r="E79" s="67">
        <v>69.150000000000006</v>
      </c>
      <c r="F79" s="67">
        <v>67.86</v>
      </c>
      <c r="G79" s="67">
        <v>68.47</v>
      </c>
    </row>
    <row r="80" spans="1:7" x14ac:dyDescent="0.3">
      <c r="A80" s="64" t="s">
        <v>14</v>
      </c>
      <c r="B80" s="67">
        <v>66.290000000000006</v>
      </c>
      <c r="C80" s="67">
        <v>66.47</v>
      </c>
      <c r="D80" s="67">
        <v>67.569999999999993</v>
      </c>
      <c r="E80" s="67">
        <v>66.25</v>
      </c>
      <c r="F80" s="67">
        <v>66.87</v>
      </c>
      <c r="G80" s="67">
        <v>67.11</v>
      </c>
    </row>
    <row r="81" spans="1:7" x14ac:dyDescent="0.3">
      <c r="A81" s="64" t="s">
        <v>77</v>
      </c>
      <c r="B81" s="67">
        <v>70.209999999999994</v>
      </c>
      <c r="C81" s="67">
        <v>71.150000000000006</v>
      </c>
      <c r="D81" s="67">
        <v>71.05</v>
      </c>
      <c r="E81" s="67">
        <v>70.06</v>
      </c>
      <c r="F81" s="67">
        <v>68.489999999999995</v>
      </c>
      <c r="G81" s="67">
        <v>70.569999999999993</v>
      </c>
    </row>
    <row r="82" spans="1:7" x14ac:dyDescent="0.3">
      <c r="A82" s="64" t="s">
        <v>12</v>
      </c>
      <c r="B82" s="67">
        <v>71.099999999999994</v>
      </c>
      <c r="C82" s="67">
        <v>71.11</v>
      </c>
      <c r="D82" s="67">
        <v>71.61</v>
      </c>
      <c r="E82" s="67">
        <v>70.19</v>
      </c>
      <c r="F82" s="67">
        <v>68.599999999999994</v>
      </c>
      <c r="G82" s="67">
        <v>69.959999999999994</v>
      </c>
    </row>
    <row r="83" spans="1:7" x14ac:dyDescent="0.3">
      <c r="A83" s="64" t="s">
        <v>61</v>
      </c>
      <c r="B83" s="67">
        <v>70.61</v>
      </c>
      <c r="C83" s="67">
        <v>70.709999999999994</v>
      </c>
      <c r="D83" s="67">
        <v>71.16</v>
      </c>
      <c r="E83" s="67">
        <v>69.819999999999993</v>
      </c>
      <c r="F83" s="67">
        <v>68.34</v>
      </c>
      <c r="G83" s="67">
        <v>70.58</v>
      </c>
    </row>
    <row r="84" spans="1:7" x14ac:dyDescent="0.3">
      <c r="A84" s="64" t="s">
        <v>72</v>
      </c>
      <c r="B84" s="67">
        <v>69.19</v>
      </c>
      <c r="C84" s="67">
        <v>69.31</v>
      </c>
      <c r="D84" s="67">
        <v>69.55</v>
      </c>
      <c r="E84" s="67">
        <v>68.25</v>
      </c>
      <c r="F84" s="67">
        <v>66.8</v>
      </c>
      <c r="G84" s="67">
        <v>69.31</v>
      </c>
    </row>
    <row r="85" spans="1:7" x14ac:dyDescent="0.3">
      <c r="A85" s="64" t="s">
        <v>76</v>
      </c>
      <c r="B85" s="67">
        <v>69.349999999999994</v>
      </c>
      <c r="C85" s="67">
        <v>69.319999999999993</v>
      </c>
      <c r="D85" s="67">
        <v>69.78</v>
      </c>
      <c r="E85" s="67">
        <v>68.510000000000005</v>
      </c>
      <c r="F85" s="67">
        <v>67.61</v>
      </c>
      <c r="G85" s="67">
        <v>69.64</v>
      </c>
    </row>
    <row r="86" spans="1:7" x14ac:dyDescent="0.3">
      <c r="A86" s="64" t="s">
        <v>6</v>
      </c>
      <c r="B86" s="67">
        <v>71.569999999999993</v>
      </c>
      <c r="C86" s="67">
        <v>71.83</v>
      </c>
      <c r="D86" s="67">
        <v>72.25</v>
      </c>
      <c r="E86" s="67">
        <v>70.319999999999993</v>
      </c>
      <c r="F86" s="67">
        <v>69.19</v>
      </c>
      <c r="G86" s="67">
        <v>71.489999999999995</v>
      </c>
    </row>
    <row r="87" spans="1:7" x14ac:dyDescent="0.3">
      <c r="A87" s="64" t="s">
        <v>64</v>
      </c>
      <c r="B87" s="67">
        <v>71.489999999999995</v>
      </c>
      <c r="C87" s="67">
        <v>71.959999999999994</v>
      </c>
      <c r="D87" s="67">
        <v>72.319999999999993</v>
      </c>
      <c r="E87" s="67">
        <v>70.319999999999993</v>
      </c>
      <c r="F87" s="67">
        <v>69.02</v>
      </c>
      <c r="G87" s="67">
        <v>71.45</v>
      </c>
    </row>
    <row r="88" spans="1:7" x14ac:dyDescent="0.3">
      <c r="A88" s="64" t="s">
        <v>5</v>
      </c>
      <c r="B88" s="67">
        <v>72.02</v>
      </c>
      <c r="C88" s="67">
        <v>72.84</v>
      </c>
      <c r="D88" s="67">
        <v>72.849999999999994</v>
      </c>
      <c r="E88" s="67">
        <v>71.17</v>
      </c>
      <c r="F88" s="67">
        <v>69.7</v>
      </c>
      <c r="G88" s="67">
        <v>72.33</v>
      </c>
    </row>
    <row r="89" spans="1:7" x14ac:dyDescent="0.3">
      <c r="A89" s="64" t="s">
        <v>103</v>
      </c>
      <c r="B89" s="67">
        <v>70.09</v>
      </c>
      <c r="C89" s="67"/>
      <c r="D89" s="67"/>
      <c r="E89" s="67"/>
      <c r="F89" s="67"/>
      <c r="G89" s="67"/>
    </row>
    <row r="90" spans="1:7" x14ac:dyDescent="0.3">
      <c r="A90" s="64" t="s">
        <v>103</v>
      </c>
      <c r="B90" s="67"/>
      <c r="C90" s="67">
        <v>70.2</v>
      </c>
      <c r="D90" s="67">
        <v>70.22</v>
      </c>
      <c r="E90" s="67">
        <v>69.150000000000006</v>
      </c>
      <c r="F90" s="67">
        <v>68.06</v>
      </c>
      <c r="G90" s="67">
        <v>69.540000000000006</v>
      </c>
    </row>
    <row r="91" spans="1:7" x14ac:dyDescent="0.3">
      <c r="A91" s="64" t="s">
        <v>1</v>
      </c>
      <c r="B91" s="67">
        <v>70.69</v>
      </c>
      <c r="C91" s="67">
        <v>70.84</v>
      </c>
      <c r="D91" s="67">
        <v>70.77</v>
      </c>
      <c r="E91" s="67">
        <v>70.290000000000006</v>
      </c>
      <c r="F91" s="67">
        <v>68.91</v>
      </c>
      <c r="G91" s="67">
        <v>69.349999999999994</v>
      </c>
    </row>
    <row r="92" spans="1:7" x14ac:dyDescent="0.3">
      <c r="A92" s="64" t="s">
        <v>57</v>
      </c>
      <c r="B92" s="67">
        <v>69.64</v>
      </c>
      <c r="C92" s="67">
        <v>68.989999999999995</v>
      </c>
      <c r="D92" s="67">
        <v>68.88</v>
      </c>
      <c r="E92" s="67">
        <v>68.23</v>
      </c>
      <c r="F92" s="67">
        <v>66.819999999999993</v>
      </c>
      <c r="G92" s="67">
        <v>67.75</v>
      </c>
    </row>
    <row r="93" spans="1:7" x14ac:dyDescent="0.3">
      <c r="A93" s="64" t="s">
        <v>62</v>
      </c>
      <c r="B93" s="67">
        <v>71.680000000000007</v>
      </c>
      <c r="C93" s="67">
        <v>72.72</v>
      </c>
      <c r="D93" s="67">
        <v>73</v>
      </c>
      <c r="E93" s="67">
        <v>71.099999999999994</v>
      </c>
      <c r="F93" s="67">
        <v>69.98</v>
      </c>
      <c r="G93" s="67">
        <v>72.67</v>
      </c>
    </row>
    <row r="94" spans="1:7" x14ac:dyDescent="0.3">
      <c r="A94" s="64" t="s">
        <v>9</v>
      </c>
      <c r="B94" s="67">
        <v>70.06</v>
      </c>
      <c r="C94" s="67">
        <v>70.09</v>
      </c>
      <c r="D94" s="67">
        <v>70.569999999999993</v>
      </c>
      <c r="E94" s="67">
        <v>69.27</v>
      </c>
      <c r="F94" s="67">
        <v>68.09</v>
      </c>
      <c r="G94" s="67">
        <v>68.77</v>
      </c>
    </row>
    <row r="95" spans="1:7" x14ac:dyDescent="0.3">
      <c r="A95" s="64" t="s">
        <v>10</v>
      </c>
      <c r="B95" s="67">
        <v>70.36</v>
      </c>
      <c r="C95" s="67">
        <v>70.48</v>
      </c>
      <c r="D95" s="67">
        <v>70.540000000000006</v>
      </c>
      <c r="E95" s="67">
        <v>69.55</v>
      </c>
      <c r="F95" s="67">
        <v>68.61</v>
      </c>
      <c r="G95" s="67">
        <v>69.709999999999994</v>
      </c>
    </row>
    <row r="96" spans="1:7" x14ac:dyDescent="0.3">
      <c r="A96" s="64" t="s">
        <v>75</v>
      </c>
      <c r="B96" s="67">
        <v>69.739999999999995</v>
      </c>
      <c r="C96" s="67">
        <v>70.19</v>
      </c>
      <c r="D96" s="67">
        <v>70.05</v>
      </c>
      <c r="E96" s="67">
        <v>68.61</v>
      </c>
      <c r="F96" s="67">
        <v>67.849999999999994</v>
      </c>
      <c r="G96" s="67">
        <v>69.959999999999994</v>
      </c>
    </row>
    <row r="97" spans="1:7" x14ac:dyDescent="0.3">
      <c r="A97" s="64" t="s">
        <v>73</v>
      </c>
      <c r="B97" s="67">
        <v>69.06</v>
      </c>
      <c r="C97" s="67">
        <v>69.11</v>
      </c>
      <c r="D97" s="67">
        <v>68.66</v>
      </c>
      <c r="E97" s="67">
        <v>67.38</v>
      </c>
      <c r="F97" s="67">
        <v>66.3</v>
      </c>
      <c r="G97" s="67">
        <v>68.17</v>
      </c>
    </row>
    <row r="98" spans="1:7" x14ac:dyDescent="0.3">
      <c r="A98" s="64" t="s">
        <v>8</v>
      </c>
      <c r="B98" s="67">
        <v>69.37</v>
      </c>
      <c r="C98" s="67">
        <v>69.62</v>
      </c>
      <c r="D98" s="67">
        <v>69.66</v>
      </c>
      <c r="E98" s="67">
        <v>69.040000000000006</v>
      </c>
      <c r="F98" s="67">
        <v>67.41</v>
      </c>
      <c r="G98" s="67">
        <v>68.45</v>
      </c>
    </row>
    <row r="99" spans="1:7" x14ac:dyDescent="0.3">
      <c r="A99" s="64" t="s">
        <v>3</v>
      </c>
      <c r="B99" s="67">
        <v>70.19</v>
      </c>
      <c r="C99" s="67">
        <v>69.92</v>
      </c>
      <c r="D99" s="67">
        <v>70.28</v>
      </c>
      <c r="E99" s="67">
        <v>69.73</v>
      </c>
      <c r="F99" s="67">
        <v>68.42</v>
      </c>
      <c r="G99" s="67">
        <v>70.37</v>
      </c>
    </row>
    <row r="100" spans="1:7" x14ac:dyDescent="0.3">
      <c r="A100" s="68" t="s">
        <v>74</v>
      </c>
      <c r="B100" s="69">
        <v>68.83</v>
      </c>
      <c r="C100" s="69">
        <v>68.599999999999994</v>
      </c>
      <c r="D100" s="69">
        <v>68.08</v>
      </c>
      <c r="E100" s="69">
        <v>67.5</v>
      </c>
      <c r="F100" s="69">
        <v>66.12</v>
      </c>
      <c r="G100" s="69">
        <v>67.7</v>
      </c>
    </row>
    <row r="101" spans="1:7" x14ac:dyDescent="0.3">
      <c r="A101" s="68" t="s">
        <v>18</v>
      </c>
      <c r="B101" s="69">
        <v>66.099999999999994</v>
      </c>
      <c r="C101" s="69">
        <v>63.58</v>
      </c>
      <c r="D101" s="69">
        <v>68.09</v>
      </c>
      <c r="E101" s="69">
        <v>65.819999999999993</v>
      </c>
      <c r="F101" s="69">
        <v>64.87</v>
      </c>
      <c r="G101" s="69">
        <v>66.2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FDDFE-9F0D-4D48-9EE2-0DB6C6E79EE1}">
  <sheetPr codeName="Лист6">
    <tabColor theme="3" tint="0.79998168889431442"/>
    <pageSetUpPr fitToPage="1"/>
  </sheetPr>
  <dimension ref="A1:H97"/>
  <sheetViews>
    <sheetView showGridLines="0" topLeftCell="A4" workbookViewId="0">
      <selection sqref="A1:J1048576"/>
    </sheetView>
  </sheetViews>
  <sheetFormatPr defaultRowHeight="16.5" x14ac:dyDescent="0.3"/>
  <cols>
    <col min="1" max="1" width="108.5703125" style="9" customWidth="1"/>
    <col min="2" max="4" width="9.85546875" style="4" bestFit="1" customWidth="1"/>
    <col min="5" max="237" width="9.140625" style="4"/>
    <col min="238" max="238" width="108.5703125" style="4" customWidth="1"/>
    <col min="239" max="239" width="1.5703125" style="4" customWidth="1"/>
    <col min="240" max="240" width="6" style="4" customWidth="1"/>
    <col min="241" max="493" width="9.140625" style="4"/>
    <col min="494" max="494" width="108.5703125" style="4" customWidth="1"/>
    <col min="495" max="495" width="1.5703125" style="4" customWidth="1"/>
    <col min="496" max="496" width="6" style="4" customWidth="1"/>
    <col min="497" max="749" width="9.140625" style="4"/>
    <col min="750" max="750" width="108.5703125" style="4" customWidth="1"/>
    <col min="751" max="751" width="1.5703125" style="4" customWidth="1"/>
    <col min="752" max="752" width="6" style="4" customWidth="1"/>
    <col min="753" max="1005" width="9.140625" style="4"/>
    <col min="1006" max="1006" width="108.5703125" style="4" customWidth="1"/>
    <col min="1007" max="1007" width="1.5703125" style="4" customWidth="1"/>
    <col min="1008" max="1008" width="6" style="4" customWidth="1"/>
    <col min="1009" max="1261" width="9.140625" style="4"/>
    <col min="1262" max="1262" width="108.5703125" style="4" customWidth="1"/>
    <col min="1263" max="1263" width="1.5703125" style="4" customWidth="1"/>
    <col min="1264" max="1264" width="6" style="4" customWidth="1"/>
    <col min="1265" max="1517" width="9.140625" style="4"/>
    <col min="1518" max="1518" width="108.5703125" style="4" customWidth="1"/>
    <col min="1519" max="1519" width="1.5703125" style="4" customWidth="1"/>
    <col min="1520" max="1520" width="6" style="4" customWidth="1"/>
    <col min="1521" max="1773" width="9.140625" style="4"/>
    <col min="1774" max="1774" width="108.5703125" style="4" customWidth="1"/>
    <col min="1775" max="1775" width="1.5703125" style="4" customWidth="1"/>
    <col min="1776" max="1776" width="6" style="4" customWidth="1"/>
    <col min="1777" max="2029" width="9.140625" style="4"/>
    <col min="2030" max="2030" width="108.5703125" style="4" customWidth="1"/>
    <col min="2031" max="2031" width="1.5703125" style="4" customWidth="1"/>
    <col min="2032" max="2032" width="6" style="4" customWidth="1"/>
    <col min="2033" max="2285" width="9.140625" style="4"/>
    <col min="2286" max="2286" width="108.5703125" style="4" customWidth="1"/>
    <col min="2287" max="2287" width="1.5703125" style="4" customWidth="1"/>
    <col min="2288" max="2288" width="6" style="4" customWidth="1"/>
    <col min="2289" max="2541" width="9.140625" style="4"/>
    <col min="2542" max="2542" width="108.5703125" style="4" customWidth="1"/>
    <col min="2543" max="2543" width="1.5703125" style="4" customWidth="1"/>
    <col min="2544" max="2544" width="6" style="4" customWidth="1"/>
    <col min="2545" max="2797" width="9.140625" style="4"/>
    <col min="2798" max="2798" width="108.5703125" style="4" customWidth="1"/>
    <col min="2799" max="2799" width="1.5703125" style="4" customWidth="1"/>
    <col min="2800" max="2800" width="6" style="4" customWidth="1"/>
    <col min="2801" max="3053" width="9.140625" style="4"/>
    <col min="3054" max="3054" width="108.5703125" style="4" customWidth="1"/>
    <col min="3055" max="3055" width="1.5703125" style="4" customWidth="1"/>
    <col min="3056" max="3056" width="6" style="4" customWidth="1"/>
    <col min="3057" max="3309" width="9.140625" style="4"/>
    <col min="3310" max="3310" width="108.5703125" style="4" customWidth="1"/>
    <col min="3311" max="3311" width="1.5703125" style="4" customWidth="1"/>
    <col min="3312" max="3312" width="6" style="4" customWidth="1"/>
    <col min="3313" max="3565" width="9.140625" style="4"/>
    <col min="3566" max="3566" width="108.5703125" style="4" customWidth="1"/>
    <col min="3567" max="3567" width="1.5703125" style="4" customWidth="1"/>
    <col min="3568" max="3568" width="6" style="4" customWidth="1"/>
    <col min="3569" max="3821" width="9.140625" style="4"/>
    <col min="3822" max="3822" width="108.5703125" style="4" customWidth="1"/>
    <col min="3823" max="3823" width="1.5703125" style="4" customWidth="1"/>
    <col min="3824" max="3824" width="6" style="4" customWidth="1"/>
    <col min="3825" max="4077" width="9.140625" style="4"/>
    <col min="4078" max="4078" width="108.5703125" style="4" customWidth="1"/>
    <col min="4079" max="4079" width="1.5703125" style="4" customWidth="1"/>
    <col min="4080" max="4080" width="6" style="4" customWidth="1"/>
    <col min="4081" max="4333" width="9.140625" style="4"/>
    <col min="4334" max="4334" width="108.5703125" style="4" customWidth="1"/>
    <col min="4335" max="4335" width="1.5703125" style="4" customWidth="1"/>
    <col min="4336" max="4336" width="6" style="4" customWidth="1"/>
    <col min="4337" max="4589" width="9.140625" style="4"/>
    <col min="4590" max="4590" width="108.5703125" style="4" customWidth="1"/>
    <col min="4591" max="4591" width="1.5703125" style="4" customWidth="1"/>
    <col min="4592" max="4592" width="6" style="4" customWidth="1"/>
    <col min="4593" max="4845" width="9.140625" style="4"/>
    <col min="4846" max="4846" width="108.5703125" style="4" customWidth="1"/>
    <col min="4847" max="4847" width="1.5703125" style="4" customWidth="1"/>
    <col min="4848" max="4848" width="6" style="4" customWidth="1"/>
    <col min="4849" max="5101" width="9.140625" style="4"/>
    <col min="5102" max="5102" width="108.5703125" style="4" customWidth="1"/>
    <col min="5103" max="5103" width="1.5703125" style="4" customWidth="1"/>
    <col min="5104" max="5104" width="6" style="4" customWidth="1"/>
    <col min="5105" max="5357" width="9.140625" style="4"/>
    <col min="5358" max="5358" width="108.5703125" style="4" customWidth="1"/>
    <col min="5359" max="5359" width="1.5703125" style="4" customWidth="1"/>
    <col min="5360" max="5360" width="6" style="4" customWidth="1"/>
    <col min="5361" max="5613" width="9.140625" style="4"/>
    <col min="5614" max="5614" width="108.5703125" style="4" customWidth="1"/>
    <col min="5615" max="5615" width="1.5703125" style="4" customWidth="1"/>
    <col min="5616" max="5616" width="6" style="4" customWidth="1"/>
    <col min="5617" max="5869" width="9.140625" style="4"/>
    <col min="5870" max="5870" width="108.5703125" style="4" customWidth="1"/>
    <col min="5871" max="5871" width="1.5703125" style="4" customWidth="1"/>
    <col min="5872" max="5872" width="6" style="4" customWidth="1"/>
    <col min="5873" max="6125" width="9.140625" style="4"/>
    <col min="6126" max="6126" width="108.5703125" style="4" customWidth="1"/>
    <col min="6127" max="6127" width="1.5703125" style="4" customWidth="1"/>
    <col min="6128" max="6128" width="6" style="4" customWidth="1"/>
    <col min="6129" max="6381" width="9.140625" style="4"/>
    <col min="6382" max="6382" width="108.5703125" style="4" customWidth="1"/>
    <col min="6383" max="6383" width="1.5703125" style="4" customWidth="1"/>
    <col min="6384" max="6384" width="6" style="4" customWidth="1"/>
    <col min="6385" max="6637" width="9.140625" style="4"/>
    <col min="6638" max="6638" width="108.5703125" style="4" customWidth="1"/>
    <col min="6639" max="6639" width="1.5703125" style="4" customWidth="1"/>
    <col min="6640" max="6640" width="6" style="4" customWidth="1"/>
    <col min="6641" max="6893" width="9.140625" style="4"/>
    <col min="6894" max="6894" width="108.5703125" style="4" customWidth="1"/>
    <col min="6895" max="6895" width="1.5703125" style="4" customWidth="1"/>
    <col min="6896" max="6896" width="6" style="4" customWidth="1"/>
    <col min="6897" max="7149" width="9.140625" style="4"/>
    <col min="7150" max="7150" width="108.5703125" style="4" customWidth="1"/>
    <col min="7151" max="7151" width="1.5703125" style="4" customWidth="1"/>
    <col min="7152" max="7152" width="6" style="4" customWidth="1"/>
    <col min="7153" max="7405" width="9.140625" style="4"/>
    <col min="7406" max="7406" width="108.5703125" style="4" customWidth="1"/>
    <col min="7407" max="7407" width="1.5703125" style="4" customWidth="1"/>
    <col min="7408" max="7408" width="6" style="4" customWidth="1"/>
    <col min="7409" max="7661" width="9.140625" style="4"/>
    <col min="7662" max="7662" width="108.5703125" style="4" customWidth="1"/>
    <col min="7663" max="7663" width="1.5703125" style="4" customWidth="1"/>
    <col min="7664" max="7664" width="6" style="4" customWidth="1"/>
    <col min="7665" max="7917" width="9.140625" style="4"/>
    <col min="7918" max="7918" width="108.5703125" style="4" customWidth="1"/>
    <col min="7919" max="7919" width="1.5703125" style="4" customWidth="1"/>
    <col min="7920" max="7920" width="6" style="4" customWidth="1"/>
    <col min="7921" max="8173" width="9.140625" style="4"/>
    <col min="8174" max="8174" width="108.5703125" style="4" customWidth="1"/>
    <col min="8175" max="8175" width="1.5703125" style="4" customWidth="1"/>
    <col min="8176" max="8176" width="6" style="4" customWidth="1"/>
    <col min="8177" max="8429" width="9.140625" style="4"/>
    <col min="8430" max="8430" width="108.5703125" style="4" customWidth="1"/>
    <col min="8431" max="8431" width="1.5703125" style="4" customWidth="1"/>
    <col min="8432" max="8432" width="6" style="4" customWidth="1"/>
    <col min="8433" max="8685" width="9.140625" style="4"/>
    <col min="8686" max="8686" width="108.5703125" style="4" customWidth="1"/>
    <col min="8687" max="8687" width="1.5703125" style="4" customWidth="1"/>
    <col min="8688" max="8688" width="6" style="4" customWidth="1"/>
    <col min="8689" max="8941" width="9.140625" style="4"/>
    <col min="8942" max="8942" width="108.5703125" style="4" customWidth="1"/>
    <col min="8943" max="8943" width="1.5703125" style="4" customWidth="1"/>
    <col min="8944" max="8944" width="6" style="4" customWidth="1"/>
    <col min="8945" max="9197" width="9.140625" style="4"/>
    <col min="9198" max="9198" width="108.5703125" style="4" customWidth="1"/>
    <col min="9199" max="9199" width="1.5703125" style="4" customWidth="1"/>
    <col min="9200" max="9200" width="6" style="4" customWidth="1"/>
    <col min="9201" max="9453" width="9.140625" style="4"/>
    <col min="9454" max="9454" width="108.5703125" style="4" customWidth="1"/>
    <col min="9455" max="9455" width="1.5703125" style="4" customWidth="1"/>
    <col min="9456" max="9456" width="6" style="4" customWidth="1"/>
    <col min="9457" max="9709" width="9.140625" style="4"/>
    <col min="9710" max="9710" width="108.5703125" style="4" customWidth="1"/>
    <col min="9711" max="9711" width="1.5703125" style="4" customWidth="1"/>
    <col min="9712" max="9712" width="6" style="4" customWidth="1"/>
    <col min="9713" max="9965" width="9.140625" style="4"/>
    <col min="9966" max="9966" width="108.5703125" style="4" customWidth="1"/>
    <col min="9967" max="9967" width="1.5703125" style="4" customWidth="1"/>
    <col min="9968" max="9968" width="6" style="4" customWidth="1"/>
    <col min="9969" max="10221" width="9.140625" style="4"/>
    <col min="10222" max="10222" width="108.5703125" style="4" customWidth="1"/>
    <col min="10223" max="10223" width="1.5703125" style="4" customWidth="1"/>
    <col min="10224" max="10224" width="6" style="4" customWidth="1"/>
    <col min="10225" max="10477" width="9.140625" style="4"/>
    <col min="10478" max="10478" width="108.5703125" style="4" customWidth="1"/>
    <col min="10479" max="10479" width="1.5703125" style="4" customWidth="1"/>
    <col min="10480" max="10480" width="6" style="4" customWidth="1"/>
    <col min="10481" max="10733" width="9.140625" style="4"/>
    <col min="10734" max="10734" width="108.5703125" style="4" customWidth="1"/>
    <col min="10735" max="10735" width="1.5703125" style="4" customWidth="1"/>
    <col min="10736" max="10736" width="6" style="4" customWidth="1"/>
    <col min="10737" max="10989" width="9.140625" style="4"/>
    <col min="10990" max="10990" width="108.5703125" style="4" customWidth="1"/>
    <col min="10991" max="10991" width="1.5703125" style="4" customWidth="1"/>
    <col min="10992" max="10992" width="6" style="4" customWidth="1"/>
    <col min="10993" max="11245" width="9.140625" style="4"/>
    <col min="11246" max="11246" width="108.5703125" style="4" customWidth="1"/>
    <col min="11247" max="11247" width="1.5703125" style="4" customWidth="1"/>
    <col min="11248" max="11248" width="6" style="4" customWidth="1"/>
    <col min="11249" max="11501" width="9.140625" style="4"/>
    <col min="11502" max="11502" width="108.5703125" style="4" customWidth="1"/>
    <col min="11503" max="11503" width="1.5703125" style="4" customWidth="1"/>
    <col min="11504" max="11504" width="6" style="4" customWidth="1"/>
    <col min="11505" max="11757" width="9.140625" style="4"/>
    <col min="11758" max="11758" width="108.5703125" style="4" customWidth="1"/>
    <col min="11759" max="11759" width="1.5703125" style="4" customWidth="1"/>
    <col min="11760" max="11760" width="6" style="4" customWidth="1"/>
    <col min="11761" max="12013" width="9.140625" style="4"/>
    <col min="12014" max="12014" width="108.5703125" style="4" customWidth="1"/>
    <col min="12015" max="12015" width="1.5703125" style="4" customWidth="1"/>
    <col min="12016" max="12016" width="6" style="4" customWidth="1"/>
    <col min="12017" max="12269" width="9.140625" style="4"/>
    <col min="12270" max="12270" width="108.5703125" style="4" customWidth="1"/>
    <col min="12271" max="12271" width="1.5703125" style="4" customWidth="1"/>
    <col min="12272" max="12272" width="6" style="4" customWidth="1"/>
    <col min="12273" max="12525" width="9.140625" style="4"/>
    <col min="12526" max="12526" width="108.5703125" style="4" customWidth="1"/>
    <col min="12527" max="12527" width="1.5703125" style="4" customWidth="1"/>
    <col min="12528" max="12528" width="6" style="4" customWidth="1"/>
    <col min="12529" max="12781" width="9.140625" style="4"/>
    <col min="12782" max="12782" width="108.5703125" style="4" customWidth="1"/>
    <col min="12783" max="12783" width="1.5703125" style="4" customWidth="1"/>
    <col min="12784" max="12784" width="6" style="4" customWidth="1"/>
    <col min="12785" max="13037" width="9.140625" style="4"/>
    <col min="13038" max="13038" width="108.5703125" style="4" customWidth="1"/>
    <col min="13039" max="13039" width="1.5703125" style="4" customWidth="1"/>
    <col min="13040" max="13040" width="6" style="4" customWidth="1"/>
    <col min="13041" max="13293" width="9.140625" style="4"/>
    <col min="13294" max="13294" width="108.5703125" style="4" customWidth="1"/>
    <col min="13295" max="13295" width="1.5703125" style="4" customWidth="1"/>
    <col min="13296" max="13296" width="6" style="4" customWidth="1"/>
    <col min="13297" max="13549" width="9.140625" style="4"/>
    <col min="13550" max="13550" width="108.5703125" style="4" customWidth="1"/>
    <col min="13551" max="13551" width="1.5703125" style="4" customWidth="1"/>
    <col min="13552" max="13552" width="6" style="4" customWidth="1"/>
    <col min="13553" max="13805" width="9.140625" style="4"/>
    <col min="13806" max="13806" width="108.5703125" style="4" customWidth="1"/>
    <col min="13807" max="13807" width="1.5703125" style="4" customWidth="1"/>
    <col min="13808" max="13808" width="6" style="4" customWidth="1"/>
    <col min="13809" max="14061" width="9.140625" style="4"/>
    <col min="14062" max="14062" width="108.5703125" style="4" customWidth="1"/>
    <col min="14063" max="14063" width="1.5703125" style="4" customWidth="1"/>
    <col min="14064" max="14064" width="6" style="4" customWidth="1"/>
    <col min="14065" max="14317" width="9.140625" style="4"/>
    <col min="14318" max="14318" width="108.5703125" style="4" customWidth="1"/>
    <col min="14319" max="14319" width="1.5703125" style="4" customWidth="1"/>
    <col min="14320" max="14320" width="6" style="4" customWidth="1"/>
    <col min="14321" max="14573" width="9.140625" style="4"/>
    <col min="14574" max="14574" width="108.5703125" style="4" customWidth="1"/>
    <col min="14575" max="14575" width="1.5703125" style="4" customWidth="1"/>
    <col min="14576" max="14576" width="6" style="4" customWidth="1"/>
    <col min="14577" max="14829" width="9.140625" style="4"/>
    <col min="14830" max="14830" width="108.5703125" style="4" customWidth="1"/>
    <col min="14831" max="14831" width="1.5703125" style="4" customWidth="1"/>
    <col min="14832" max="14832" width="6" style="4" customWidth="1"/>
    <col min="14833" max="15085" width="9.140625" style="4"/>
    <col min="15086" max="15086" width="108.5703125" style="4" customWidth="1"/>
    <col min="15087" max="15087" width="1.5703125" style="4" customWidth="1"/>
    <col min="15088" max="15088" width="6" style="4" customWidth="1"/>
    <col min="15089" max="15341" width="9.140625" style="4"/>
    <col min="15342" max="15342" width="108.5703125" style="4" customWidth="1"/>
    <col min="15343" max="15343" width="1.5703125" style="4" customWidth="1"/>
    <col min="15344" max="15344" width="6" style="4" customWidth="1"/>
    <col min="15345" max="15597" width="9.140625" style="4"/>
    <col min="15598" max="15598" width="108.5703125" style="4" customWidth="1"/>
    <col min="15599" max="15599" width="1.5703125" style="4" customWidth="1"/>
    <col min="15600" max="15600" width="6" style="4" customWidth="1"/>
    <col min="15601" max="15853" width="9.140625" style="4"/>
    <col min="15854" max="15854" width="108.5703125" style="4" customWidth="1"/>
    <col min="15855" max="15855" width="1.5703125" style="4" customWidth="1"/>
    <col min="15856" max="15856" width="6" style="4" customWidth="1"/>
    <col min="15857" max="16109" width="9.140625" style="4"/>
    <col min="16110" max="16110" width="108.5703125" style="4" customWidth="1"/>
    <col min="16111" max="16111" width="1.5703125" style="4" customWidth="1"/>
    <col min="16112" max="16112" width="6" style="4" customWidth="1"/>
    <col min="16113" max="16384" width="9.140625" style="4"/>
  </cols>
  <sheetData>
    <row r="1" spans="1:8" x14ac:dyDescent="0.3">
      <c r="A1" s="8" t="s">
        <v>300</v>
      </c>
      <c r="B1" s="65"/>
      <c r="C1" s="65"/>
      <c r="D1" s="65"/>
      <c r="E1" s="65"/>
      <c r="F1" s="65"/>
      <c r="G1" s="65"/>
      <c r="H1" s="65"/>
    </row>
    <row r="3" spans="1:8" x14ac:dyDescent="0.3">
      <c r="A3" s="48" t="s">
        <v>129</v>
      </c>
      <c r="B3" s="20">
        <v>2019</v>
      </c>
      <c r="C3" s="20">
        <v>2020</v>
      </c>
      <c r="D3" s="20">
        <v>2021</v>
      </c>
    </row>
    <row r="4" spans="1:8" x14ac:dyDescent="0.3">
      <c r="A4" s="12" t="s">
        <v>87</v>
      </c>
      <c r="B4" s="70">
        <v>25</v>
      </c>
      <c r="C4" s="70">
        <v>25.1</v>
      </c>
      <c r="D4" s="70">
        <v>25.4</v>
      </c>
    </row>
    <row r="5" spans="1:8" x14ac:dyDescent="0.3">
      <c r="A5" s="12" t="s">
        <v>96</v>
      </c>
      <c r="B5" s="70">
        <v>25.2</v>
      </c>
      <c r="C5" s="70">
        <v>25.3</v>
      </c>
      <c r="D5" s="70">
        <v>25.4</v>
      </c>
    </row>
    <row r="6" spans="1:8" x14ac:dyDescent="0.3">
      <c r="A6" s="12" t="s">
        <v>50</v>
      </c>
      <c r="B6" s="70">
        <v>25.5</v>
      </c>
      <c r="C6" s="70">
        <v>25.7</v>
      </c>
      <c r="D6" s="70">
        <v>25.900000000000002</v>
      </c>
    </row>
    <row r="7" spans="1:8" x14ac:dyDescent="0.3">
      <c r="A7" s="12" t="s">
        <v>48</v>
      </c>
      <c r="B7" s="70">
        <v>25.8</v>
      </c>
      <c r="C7" s="70">
        <v>25.4</v>
      </c>
      <c r="D7" s="70">
        <v>26.700000000000003</v>
      </c>
    </row>
    <row r="8" spans="1:8" x14ac:dyDescent="0.3">
      <c r="A8" s="12" t="s">
        <v>20</v>
      </c>
      <c r="B8" s="70">
        <v>25.4</v>
      </c>
      <c r="C8" s="70">
        <v>26.3</v>
      </c>
      <c r="D8" s="70">
        <v>26.1</v>
      </c>
    </row>
    <row r="9" spans="1:8" x14ac:dyDescent="0.3">
      <c r="A9" s="12" t="s">
        <v>4</v>
      </c>
      <c r="B9" s="70">
        <v>26</v>
      </c>
      <c r="C9" s="70">
        <v>25.900000000000002</v>
      </c>
      <c r="D9" s="70">
        <v>26.200000000000003</v>
      </c>
    </row>
    <row r="10" spans="1:8" x14ac:dyDescent="0.3">
      <c r="A10" s="12" t="s">
        <v>45</v>
      </c>
      <c r="B10" s="70">
        <v>26.400000000000002</v>
      </c>
      <c r="C10" s="70">
        <v>25</v>
      </c>
      <c r="D10" s="70">
        <v>25.6</v>
      </c>
    </row>
    <row r="11" spans="1:8" x14ac:dyDescent="0.3">
      <c r="A11" s="12" t="s">
        <v>40</v>
      </c>
      <c r="B11" s="70">
        <v>26</v>
      </c>
      <c r="C11" s="70">
        <v>25.4</v>
      </c>
      <c r="D11" s="70">
        <v>26.5</v>
      </c>
    </row>
    <row r="12" spans="1:8" x14ac:dyDescent="0.3">
      <c r="A12" s="12" t="s">
        <v>37</v>
      </c>
      <c r="B12" s="70">
        <v>25.3</v>
      </c>
      <c r="C12" s="70">
        <v>25.5</v>
      </c>
      <c r="D12" s="70">
        <v>26.1</v>
      </c>
    </row>
    <row r="13" spans="1:8" x14ac:dyDescent="0.3">
      <c r="A13" s="12" t="s">
        <v>56</v>
      </c>
      <c r="B13" s="70">
        <v>25.4</v>
      </c>
      <c r="C13" s="70">
        <v>26.1</v>
      </c>
      <c r="D13" s="70">
        <v>26.200000000000003</v>
      </c>
    </row>
    <row r="14" spans="1:8" x14ac:dyDescent="0.3">
      <c r="A14" s="12" t="s">
        <v>51</v>
      </c>
      <c r="B14" s="70">
        <v>25.6</v>
      </c>
      <c r="C14" s="70">
        <v>26.200000000000003</v>
      </c>
      <c r="D14" s="70">
        <v>26.200000000000003</v>
      </c>
    </row>
    <row r="15" spans="1:8" x14ac:dyDescent="0.3">
      <c r="A15" s="12" t="s">
        <v>21</v>
      </c>
      <c r="B15" s="70">
        <v>24.5</v>
      </c>
      <c r="C15" s="70">
        <v>25.5</v>
      </c>
      <c r="D15" s="70">
        <v>25.8</v>
      </c>
    </row>
    <row r="16" spans="1:8" x14ac:dyDescent="0.3">
      <c r="A16" s="12" t="s">
        <v>70</v>
      </c>
      <c r="B16" s="70">
        <v>25.7</v>
      </c>
      <c r="C16" s="70">
        <v>26.400000000000002</v>
      </c>
      <c r="D16" s="70">
        <v>27.800000000000004</v>
      </c>
    </row>
    <row r="17" spans="1:4" x14ac:dyDescent="0.3">
      <c r="A17" s="12" t="s">
        <v>59</v>
      </c>
      <c r="B17" s="70">
        <v>26.200000000000003</v>
      </c>
      <c r="C17" s="70">
        <v>27</v>
      </c>
      <c r="D17" s="70">
        <v>27.1</v>
      </c>
    </row>
    <row r="18" spans="1:4" x14ac:dyDescent="0.3">
      <c r="A18" s="12" t="s">
        <v>43</v>
      </c>
      <c r="B18" s="70">
        <v>26.1</v>
      </c>
      <c r="C18" s="70">
        <v>26.200000000000003</v>
      </c>
      <c r="D18" s="70">
        <v>26.400000000000002</v>
      </c>
    </row>
    <row r="19" spans="1:4" x14ac:dyDescent="0.3">
      <c r="A19" s="12" t="s">
        <v>15</v>
      </c>
      <c r="B19" s="70">
        <v>26.1</v>
      </c>
      <c r="C19" s="70">
        <v>26.1</v>
      </c>
      <c r="D19" s="70">
        <v>26.8</v>
      </c>
    </row>
    <row r="20" spans="1:4" x14ac:dyDescent="0.3">
      <c r="A20" s="12" t="s">
        <v>38</v>
      </c>
      <c r="B20" s="70">
        <v>25.8</v>
      </c>
      <c r="C20" s="70">
        <v>25.6</v>
      </c>
      <c r="D20" s="70">
        <v>26.200000000000003</v>
      </c>
    </row>
    <row r="21" spans="1:4" x14ac:dyDescent="0.3">
      <c r="A21" s="12" t="s">
        <v>39</v>
      </c>
      <c r="B21" s="70">
        <v>25.8</v>
      </c>
      <c r="C21" s="70">
        <v>26.1</v>
      </c>
      <c r="D21" s="70">
        <v>26.1</v>
      </c>
    </row>
    <row r="22" spans="1:4" x14ac:dyDescent="0.3">
      <c r="A22" s="12" t="s">
        <v>78</v>
      </c>
      <c r="B22" s="70">
        <v>25.6</v>
      </c>
      <c r="C22" s="70">
        <v>25.5</v>
      </c>
      <c r="D22" s="70">
        <v>25.8</v>
      </c>
    </row>
    <row r="23" spans="1:4" x14ac:dyDescent="0.3">
      <c r="A23" s="12" t="s">
        <v>13</v>
      </c>
      <c r="B23" s="70">
        <v>24.6</v>
      </c>
      <c r="C23" s="70">
        <v>24.2</v>
      </c>
      <c r="D23" s="70">
        <v>23.8</v>
      </c>
    </row>
    <row r="24" spans="1:4" x14ac:dyDescent="0.3">
      <c r="A24" s="12" t="s">
        <v>97</v>
      </c>
      <c r="B24" s="70">
        <v>24.6</v>
      </c>
      <c r="C24" s="70">
        <v>24.9</v>
      </c>
      <c r="D24" s="70">
        <v>25.3</v>
      </c>
    </row>
    <row r="25" spans="1:4" x14ac:dyDescent="0.3">
      <c r="A25" s="12" t="s">
        <v>71</v>
      </c>
      <c r="B25" s="70">
        <v>24.8</v>
      </c>
      <c r="C25" s="70">
        <v>25.2</v>
      </c>
      <c r="D25" s="70">
        <v>25.8</v>
      </c>
    </row>
    <row r="26" spans="1:4" x14ac:dyDescent="0.3">
      <c r="A26" s="12" t="s">
        <v>65</v>
      </c>
      <c r="B26" s="70">
        <v>24.7</v>
      </c>
      <c r="C26" s="70">
        <v>25.4</v>
      </c>
      <c r="D26" s="70">
        <v>25</v>
      </c>
    </row>
    <row r="27" spans="1:4" x14ac:dyDescent="0.3">
      <c r="A27" s="12" t="s">
        <v>53</v>
      </c>
      <c r="B27" s="70">
        <v>24.8</v>
      </c>
      <c r="C27" s="70">
        <v>25.4</v>
      </c>
      <c r="D27" s="70">
        <v>25.7</v>
      </c>
    </row>
    <row r="28" spans="1:4" x14ac:dyDescent="0.3">
      <c r="A28" s="12" t="s">
        <v>7</v>
      </c>
      <c r="B28" s="70">
        <v>24</v>
      </c>
      <c r="C28" s="70">
        <v>25</v>
      </c>
      <c r="D28" s="70">
        <v>25.5</v>
      </c>
    </row>
    <row r="29" spans="1:4" x14ac:dyDescent="0.3">
      <c r="A29" s="12" t="s">
        <v>80</v>
      </c>
      <c r="B29" s="70">
        <v>24.8</v>
      </c>
      <c r="C29" s="70">
        <v>24.8</v>
      </c>
      <c r="D29" s="70">
        <v>25</v>
      </c>
    </row>
    <row r="30" spans="1:4" x14ac:dyDescent="0.3">
      <c r="A30" s="12" t="s">
        <v>69</v>
      </c>
      <c r="B30" s="70">
        <v>24.3</v>
      </c>
      <c r="C30" s="70">
        <v>25.900000000000002</v>
      </c>
      <c r="D30" s="70">
        <v>26.400000000000002</v>
      </c>
    </row>
    <row r="31" spans="1:4" x14ac:dyDescent="0.3">
      <c r="A31" s="12" t="s">
        <v>33</v>
      </c>
      <c r="B31" s="70">
        <v>25.1</v>
      </c>
      <c r="C31" s="70">
        <v>25.8</v>
      </c>
      <c r="D31" s="70">
        <v>25.8</v>
      </c>
    </row>
    <row r="32" spans="1:4" x14ac:dyDescent="0.3">
      <c r="A32" s="12" t="s">
        <v>30</v>
      </c>
      <c r="B32" s="70">
        <v>24.8</v>
      </c>
      <c r="C32" s="70">
        <v>25.1</v>
      </c>
      <c r="D32" s="70">
        <v>25.6</v>
      </c>
    </row>
    <row r="33" spans="1:4" x14ac:dyDescent="0.3">
      <c r="A33" s="12" t="s">
        <v>52</v>
      </c>
      <c r="B33" s="70">
        <v>25.3</v>
      </c>
      <c r="C33" s="70">
        <v>25.5</v>
      </c>
      <c r="D33" s="70">
        <v>25.7</v>
      </c>
    </row>
    <row r="34" spans="1:4" x14ac:dyDescent="0.3">
      <c r="A34" s="12" t="s">
        <v>31</v>
      </c>
      <c r="B34" s="70">
        <v>25.5</v>
      </c>
      <c r="C34" s="70">
        <v>26.200000000000003</v>
      </c>
      <c r="D34" s="70">
        <v>27</v>
      </c>
    </row>
    <row r="35" spans="1:4" x14ac:dyDescent="0.3">
      <c r="A35" s="12" t="s">
        <v>32</v>
      </c>
      <c r="B35" s="70">
        <v>24.1</v>
      </c>
      <c r="C35" s="70">
        <v>23.9</v>
      </c>
      <c r="D35" s="70">
        <v>24.6</v>
      </c>
    </row>
    <row r="36" spans="1:4" x14ac:dyDescent="0.3">
      <c r="A36" s="12" t="s">
        <v>125</v>
      </c>
      <c r="B36" s="70">
        <v>25.7</v>
      </c>
      <c r="C36" s="70">
        <v>25.5</v>
      </c>
      <c r="D36" s="70">
        <v>25.900000000000002</v>
      </c>
    </row>
    <row r="37" spans="1:4" x14ac:dyDescent="0.3">
      <c r="A37" s="12" t="s">
        <v>26</v>
      </c>
      <c r="B37" s="70">
        <v>25.4</v>
      </c>
      <c r="C37" s="70">
        <v>25.5</v>
      </c>
      <c r="D37" s="70">
        <v>25.1</v>
      </c>
    </row>
    <row r="38" spans="1:4" x14ac:dyDescent="0.3">
      <c r="A38" s="12" t="s">
        <v>27</v>
      </c>
      <c r="B38" s="70">
        <v>23.9</v>
      </c>
      <c r="C38" s="70">
        <v>24.9</v>
      </c>
      <c r="D38" s="70">
        <v>25.4</v>
      </c>
    </row>
    <row r="39" spans="1:4" x14ac:dyDescent="0.3">
      <c r="A39" s="12" t="s">
        <v>89</v>
      </c>
      <c r="B39" s="70">
        <v>24.7</v>
      </c>
      <c r="C39" s="70">
        <v>25.3</v>
      </c>
      <c r="D39" s="70">
        <v>25.6</v>
      </c>
    </row>
    <row r="40" spans="1:4" x14ac:dyDescent="0.3">
      <c r="A40" s="12" t="s">
        <v>28</v>
      </c>
      <c r="B40" s="70">
        <v>26.700000000000003</v>
      </c>
      <c r="C40" s="70">
        <v>25.5</v>
      </c>
      <c r="D40" s="70">
        <v>26.200000000000003</v>
      </c>
    </row>
    <row r="41" spans="1:4" x14ac:dyDescent="0.3">
      <c r="A41" s="12" t="s">
        <v>25</v>
      </c>
      <c r="B41" s="70">
        <v>24.1</v>
      </c>
      <c r="C41" s="70">
        <v>24.6</v>
      </c>
      <c r="D41" s="70">
        <v>24.6</v>
      </c>
    </row>
    <row r="42" spans="1:4" x14ac:dyDescent="0.3">
      <c r="A42" s="12" t="s">
        <v>22</v>
      </c>
      <c r="B42" s="70">
        <v>25.5</v>
      </c>
      <c r="C42" s="70">
        <v>25</v>
      </c>
      <c r="D42" s="70">
        <v>26.1</v>
      </c>
    </row>
    <row r="43" spans="1:4" x14ac:dyDescent="0.3">
      <c r="A43" s="12" t="s">
        <v>29</v>
      </c>
      <c r="B43" s="70">
        <v>25.5</v>
      </c>
      <c r="C43" s="70">
        <v>26.1</v>
      </c>
      <c r="D43" s="70">
        <v>26.200000000000003</v>
      </c>
    </row>
    <row r="44" spans="1:4" x14ac:dyDescent="0.3">
      <c r="A44" s="12" t="s">
        <v>177</v>
      </c>
      <c r="B44" s="70">
        <v>24.1</v>
      </c>
      <c r="C44" s="70">
        <v>24.8</v>
      </c>
      <c r="D44" s="70">
        <v>24.2</v>
      </c>
    </row>
    <row r="45" spans="1:4" x14ac:dyDescent="0.3">
      <c r="A45" s="12" t="s">
        <v>99</v>
      </c>
      <c r="B45" s="70">
        <v>24.5</v>
      </c>
      <c r="C45" s="70">
        <v>24.6</v>
      </c>
      <c r="D45" s="70">
        <v>24.9</v>
      </c>
    </row>
    <row r="46" spans="1:4" x14ac:dyDescent="0.3">
      <c r="A46" s="12" t="s">
        <v>63</v>
      </c>
      <c r="B46" s="70">
        <v>25</v>
      </c>
      <c r="C46" s="70">
        <v>24</v>
      </c>
      <c r="D46" s="70">
        <v>24.7</v>
      </c>
    </row>
    <row r="47" spans="1:4" x14ac:dyDescent="0.3">
      <c r="A47" s="12" t="s">
        <v>81</v>
      </c>
      <c r="B47" s="70">
        <v>24.2</v>
      </c>
      <c r="C47" s="70">
        <v>23.8</v>
      </c>
      <c r="D47" s="70">
        <v>23.7</v>
      </c>
    </row>
    <row r="48" spans="1:4" x14ac:dyDescent="0.3">
      <c r="A48" s="12" t="s">
        <v>91</v>
      </c>
      <c r="B48" s="70">
        <v>24.8</v>
      </c>
      <c r="C48" s="70">
        <v>24.7</v>
      </c>
      <c r="D48" s="70">
        <v>25.1</v>
      </c>
    </row>
    <row r="49" spans="1:4" x14ac:dyDescent="0.3">
      <c r="A49" s="12" t="s">
        <v>92</v>
      </c>
      <c r="B49" s="70">
        <v>25</v>
      </c>
      <c r="C49" s="70">
        <v>24.8</v>
      </c>
      <c r="D49" s="70">
        <v>24.6</v>
      </c>
    </row>
    <row r="50" spans="1:4" x14ac:dyDescent="0.3">
      <c r="A50" s="12" t="s">
        <v>47</v>
      </c>
      <c r="B50" s="70">
        <v>24.9</v>
      </c>
      <c r="C50" s="70">
        <v>24.9</v>
      </c>
      <c r="D50" s="70">
        <v>25.3</v>
      </c>
    </row>
    <row r="51" spans="1:4" x14ac:dyDescent="0.3">
      <c r="A51" s="12" t="s">
        <v>93</v>
      </c>
      <c r="B51" s="70">
        <v>22.9</v>
      </c>
      <c r="C51" s="70">
        <v>24.7</v>
      </c>
      <c r="D51" s="70">
        <v>24.4</v>
      </c>
    </row>
    <row r="52" spans="1:4" x14ac:dyDescent="0.3">
      <c r="A52" s="12" t="s">
        <v>11</v>
      </c>
      <c r="B52" s="70">
        <v>24.6</v>
      </c>
      <c r="C52" s="70">
        <v>25</v>
      </c>
      <c r="D52" s="70">
        <v>25.3</v>
      </c>
    </row>
    <row r="53" spans="1:4" x14ac:dyDescent="0.3">
      <c r="A53" s="12" t="s">
        <v>100</v>
      </c>
      <c r="B53" s="70">
        <v>24.9</v>
      </c>
      <c r="C53" s="70">
        <v>25.2</v>
      </c>
      <c r="D53" s="70">
        <v>25.6</v>
      </c>
    </row>
    <row r="54" spans="1:4" x14ac:dyDescent="0.3">
      <c r="A54" s="12" t="s">
        <v>83</v>
      </c>
      <c r="B54" s="70">
        <v>25.3</v>
      </c>
      <c r="C54" s="70">
        <v>24.9</v>
      </c>
      <c r="D54" s="70">
        <v>25.6</v>
      </c>
    </row>
    <row r="55" spans="1:4" x14ac:dyDescent="0.3">
      <c r="A55" s="12" t="s">
        <v>42</v>
      </c>
      <c r="B55" s="70">
        <v>23.8</v>
      </c>
      <c r="C55" s="70">
        <v>24.5</v>
      </c>
      <c r="D55" s="70">
        <v>25.5</v>
      </c>
    </row>
    <row r="56" spans="1:4" x14ac:dyDescent="0.3">
      <c r="A56" s="12" t="s">
        <v>34</v>
      </c>
      <c r="B56" s="70">
        <v>26.200000000000003</v>
      </c>
      <c r="C56" s="70">
        <v>26.8</v>
      </c>
      <c r="D56" s="70">
        <v>26.700000000000003</v>
      </c>
    </row>
    <row r="57" spans="1:4" x14ac:dyDescent="0.3">
      <c r="A57" s="12" t="s">
        <v>35</v>
      </c>
      <c r="B57" s="70">
        <v>24</v>
      </c>
      <c r="C57" s="70">
        <v>24.6</v>
      </c>
      <c r="D57" s="70">
        <v>25.1</v>
      </c>
    </row>
    <row r="58" spans="1:4" x14ac:dyDescent="0.3">
      <c r="A58" s="12" t="s">
        <v>94</v>
      </c>
      <c r="B58" s="70">
        <v>24.2</v>
      </c>
      <c r="C58" s="70">
        <v>24.9</v>
      </c>
      <c r="D58" s="70">
        <v>25.2</v>
      </c>
    </row>
    <row r="59" spans="1:4" x14ac:dyDescent="0.3">
      <c r="A59" s="12" t="s">
        <v>46</v>
      </c>
      <c r="B59" s="70">
        <v>24</v>
      </c>
      <c r="C59" s="70">
        <v>24.6</v>
      </c>
      <c r="D59" s="70">
        <v>24.4</v>
      </c>
    </row>
    <row r="60" spans="1:4" x14ac:dyDescent="0.3">
      <c r="A60" s="12" t="s">
        <v>44</v>
      </c>
      <c r="B60" s="70">
        <v>24.7</v>
      </c>
      <c r="C60" s="70">
        <v>24.7</v>
      </c>
      <c r="D60" s="70">
        <v>25.3</v>
      </c>
    </row>
    <row r="61" spans="1:4" x14ac:dyDescent="0.3">
      <c r="A61" s="12" t="s">
        <v>36</v>
      </c>
      <c r="B61" s="70">
        <v>25.2</v>
      </c>
      <c r="C61" s="70">
        <v>26.3</v>
      </c>
      <c r="D61" s="70">
        <v>26.1</v>
      </c>
    </row>
    <row r="62" spans="1:4" x14ac:dyDescent="0.3">
      <c r="A62" s="12" t="s">
        <v>54</v>
      </c>
      <c r="B62" s="70">
        <v>25.5</v>
      </c>
      <c r="C62" s="70">
        <v>25.6</v>
      </c>
      <c r="D62" s="70">
        <v>25.4</v>
      </c>
    </row>
    <row r="63" spans="1:4" x14ac:dyDescent="0.3">
      <c r="A63" s="12" t="s">
        <v>23</v>
      </c>
      <c r="B63" s="70">
        <v>24.7</v>
      </c>
      <c r="C63" s="70">
        <v>25.6</v>
      </c>
      <c r="D63" s="70">
        <v>25.7</v>
      </c>
    </row>
    <row r="64" spans="1:4" x14ac:dyDescent="0.3">
      <c r="A64" s="12" t="s">
        <v>49</v>
      </c>
      <c r="B64" s="70">
        <v>25.6</v>
      </c>
      <c r="C64" s="70">
        <v>25.4</v>
      </c>
      <c r="D64" s="70">
        <v>26.899999999999995</v>
      </c>
    </row>
    <row r="65" spans="1:4" x14ac:dyDescent="0.3">
      <c r="A65" s="12" t="s">
        <v>24</v>
      </c>
      <c r="B65" s="70">
        <v>25</v>
      </c>
      <c r="C65" s="70">
        <v>25.2</v>
      </c>
      <c r="D65" s="70">
        <v>25.7</v>
      </c>
    </row>
    <row r="66" spans="1:4" x14ac:dyDescent="0.3">
      <c r="A66" s="12" t="s">
        <v>68</v>
      </c>
      <c r="B66" s="70">
        <v>25.1</v>
      </c>
      <c r="C66" s="70">
        <v>25.4</v>
      </c>
      <c r="D66" s="70">
        <v>26.200000000000003</v>
      </c>
    </row>
    <row r="67" spans="1:4" x14ac:dyDescent="0.3">
      <c r="A67" s="12" t="s">
        <v>41</v>
      </c>
      <c r="B67" s="70">
        <v>25.2</v>
      </c>
      <c r="C67" s="70">
        <v>25.6</v>
      </c>
      <c r="D67" s="70">
        <v>25.7</v>
      </c>
    </row>
    <row r="68" spans="1:4" x14ac:dyDescent="0.3">
      <c r="A68" s="12" t="s">
        <v>101</v>
      </c>
      <c r="B68" s="70">
        <v>24.9</v>
      </c>
      <c r="C68" s="70">
        <v>25.1</v>
      </c>
      <c r="D68" s="70">
        <v>25.2</v>
      </c>
    </row>
    <row r="69" spans="1:4" x14ac:dyDescent="0.3">
      <c r="A69" s="12" t="s">
        <v>55</v>
      </c>
      <c r="B69" s="70">
        <v>25</v>
      </c>
      <c r="C69" s="70">
        <v>26.200000000000003</v>
      </c>
      <c r="D69" s="70">
        <v>26</v>
      </c>
    </row>
    <row r="70" spans="1:4" x14ac:dyDescent="0.3">
      <c r="A70" s="12" t="s">
        <v>16</v>
      </c>
      <c r="B70" s="70">
        <v>25</v>
      </c>
      <c r="C70" s="70">
        <v>25</v>
      </c>
      <c r="D70" s="70">
        <v>24.9</v>
      </c>
    </row>
    <row r="71" spans="1:4" x14ac:dyDescent="0.3">
      <c r="A71" s="12" t="s">
        <v>17</v>
      </c>
      <c r="B71" s="70">
        <v>24.6</v>
      </c>
      <c r="C71" s="70">
        <v>24.9</v>
      </c>
      <c r="D71" s="70">
        <v>25.1</v>
      </c>
    </row>
    <row r="72" spans="1:4" x14ac:dyDescent="0.3">
      <c r="A72" s="12" t="s">
        <v>60</v>
      </c>
      <c r="B72" s="70">
        <v>27.1</v>
      </c>
      <c r="C72" s="70">
        <v>24.9</v>
      </c>
      <c r="D72" s="70">
        <v>24.8</v>
      </c>
    </row>
    <row r="73" spans="1:4" x14ac:dyDescent="0.3">
      <c r="A73" s="12" t="s">
        <v>19</v>
      </c>
      <c r="B73" s="70">
        <v>24.6</v>
      </c>
      <c r="C73" s="70">
        <v>25.7</v>
      </c>
      <c r="D73" s="70">
        <v>25.900000000000002</v>
      </c>
    </row>
    <row r="74" spans="1:4" x14ac:dyDescent="0.3">
      <c r="A74" s="12" t="s">
        <v>82</v>
      </c>
      <c r="B74" s="70">
        <v>24.8</v>
      </c>
      <c r="C74" s="70">
        <v>24.7</v>
      </c>
      <c r="D74" s="70">
        <v>25.2</v>
      </c>
    </row>
    <row r="75" spans="1:4" x14ac:dyDescent="0.3">
      <c r="A75" s="12" t="s">
        <v>102</v>
      </c>
      <c r="B75" s="70">
        <v>25.2</v>
      </c>
      <c r="C75" s="70">
        <v>25.3</v>
      </c>
      <c r="D75" s="70">
        <v>25.4</v>
      </c>
    </row>
    <row r="76" spans="1:4" x14ac:dyDescent="0.3">
      <c r="A76" s="12" t="s">
        <v>58</v>
      </c>
      <c r="B76" s="70">
        <v>24</v>
      </c>
      <c r="C76" s="70">
        <v>24.1</v>
      </c>
      <c r="D76" s="70">
        <v>24.4</v>
      </c>
    </row>
    <row r="77" spans="1:4" x14ac:dyDescent="0.3">
      <c r="A77" s="12" t="s">
        <v>14</v>
      </c>
      <c r="B77" s="70">
        <v>23.3</v>
      </c>
      <c r="C77" s="70">
        <v>22.6</v>
      </c>
      <c r="D77" s="70">
        <v>24.1</v>
      </c>
    </row>
    <row r="78" spans="1:4" x14ac:dyDescent="0.3">
      <c r="A78" s="12" t="s">
        <v>77</v>
      </c>
      <c r="B78" s="70">
        <v>24.9</v>
      </c>
      <c r="C78" s="70">
        <v>25</v>
      </c>
      <c r="D78" s="70">
        <v>25.5</v>
      </c>
    </row>
    <row r="79" spans="1:4" x14ac:dyDescent="0.3">
      <c r="A79" s="12" t="s">
        <v>12</v>
      </c>
      <c r="B79" s="70">
        <v>25.4</v>
      </c>
      <c r="C79" s="70">
        <v>26</v>
      </c>
      <c r="D79" s="70">
        <v>25.6</v>
      </c>
    </row>
    <row r="80" spans="1:4" x14ac:dyDescent="0.3">
      <c r="A80" s="12" t="s">
        <v>61</v>
      </c>
      <c r="B80" s="70">
        <v>25.1</v>
      </c>
      <c r="C80" s="70">
        <v>24.9</v>
      </c>
      <c r="D80" s="70">
        <v>25.5</v>
      </c>
    </row>
    <row r="81" spans="1:4" x14ac:dyDescent="0.3">
      <c r="A81" s="12" t="s">
        <v>72</v>
      </c>
      <c r="B81" s="70">
        <v>24.4</v>
      </c>
      <c r="C81" s="70">
        <v>25</v>
      </c>
      <c r="D81" s="70">
        <v>24.8</v>
      </c>
    </row>
    <row r="82" spans="1:4" x14ac:dyDescent="0.3">
      <c r="A82" s="12" t="s">
        <v>76</v>
      </c>
      <c r="B82" s="70">
        <v>24.9</v>
      </c>
      <c r="C82" s="70">
        <v>25.5</v>
      </c>
      <c r="D82" s="70">
        <v>25.5</v>
      </c>
    </row>
    <row r="83" spans="1:4" x14ac:dyDescent="0.3">
      <c r="A83" s="12" t="s">
        <v>6</v>
      </c>
      <c r="B83" s="70">
        <v>25.4</v>
      </c>
      <c r="C83" s="70">
        <v>25</v>
      </c>
      <c r="D83" s="70">
        <v>25.8</v>
      </c>
    </row>
    <row r="84" spans="1:4" x14ac:dyDescent="0.3">
      <c r="A84" s="12" t="s">
        <v>64</v>
      </c>
      <c r="B84" s="70">
        <v>25.7</v>
      </c>
      <c r="C84" s="70">
        <v>26.3</v>
      </c>
      <c r="D84" s="70">
        <v>25.7</v>
      </c>
    </row>
    <row r="85" spans="1:4" x14ac:dyDescent="0.3">
      <c r="A85" s="12" t="s">
        <v>5</v>
      </c>
      <c r="B85" s="70">
        <v>26.5</v>
      </c>
      <c r="C85" s="70">
        <v>24.8</v>
      </c>
      <c r="D85" s="70">
        <v>25.4</v>
      </c>
    </row>
    <row r="86" spans="1:4" x14ac:dyDescent="0.3">
      <c r="A86" s="12" t="s">
        <v>103</v>
      </c>
      <c r="B86" s="70">
        <v>24.5</v>
      </c>
      <c r="C86" s="70">
        <v>24.7</v>
      </c>
      <c r="D86" s="70">
        <v>25.2</v>
      </c>
    </row>
    <row r="87" spans="1:4" x14ac:dyDescent="0.3">
      <c r="A87" s="12" t="s">
        <v>1</v>
      </c>
      <c r="B87" s="70">
        <v>23.7</v>
      </c>
      <c r="C87" s="70">
        <v>24.7</v>
      </c>
      <c r="D87" s="70">
        <v>24.3</v>
      </c>
    </row>
    <row r="88" spans="1:4" x14ac:dyDescent="0.3">
      <c r="A88" s="12" t="s">
        <v>62</v>
      </c>
      <c r="B88" s="70">
        <v>24.1</v>
      </c>
      <c r="C88" s="70">
        <v>23.8</v>
      </c>
      <c r="D88" s="70">
        <v>24.6</v>
      </c>
    </row>
    <row r="89" spans="1:4" x14ac:dyDescent="0.3">
      <c r="A89" s="12" t="s">
        <v>57</v>
      </c>
      <c r="B89" s="70">
        <v>24.1</v>
      </c>
      <c r="C89" s="70">
        <v>24.9</v>
      </c>
      <c r="D89" s="70">
        <v>25.6</v>
      </c>
    </row>
    <row r="90" spans="1:4" x14ac:dyDescent="0.3">
      <c r="A90" s="12" t="s">
        <v>9</v>
      </c>
      <c r="B90" s="70">
        <v>24.9</v>
      </c>
      <c r="C90" s="70">
        <v>25.1</v>
      </c>
      <c r="D90" s="70">
        <v>24.7</v>
      </c>
    </row>
    <row r="91" spans="1:4" x14ac:dyDescent="0.3">
      <c r="A91" s="12" t="s">
        <v>10</v>
      </c>
      <c r="B91" s="70">
        <v>25.1</v>
      </c>
      <c r="C91" s="70">
        <v>24.9</v>
      </c>
      <c r="D91" s="70">
        <v>25</v>
      </c>
    </row>
    <row r="92" spans="1:4" x14ac:dyDescent="0.3">
      <c r="A92" s="12" t="s">
        <v>75</v>
      </c>
      <c r="B92" s="70">
        <v>24.2</v>
      </c>
      <c r="C92" s="70">
        <v>24.4</v>
      </c>
      <c r="D92" s="70">
        <v>25.5</v>
      </c>
    </row>
    <row r="93" spans="1:4" x14ac:dyDescent="0.3">
      <c r="A93" s="12" t="s">
        <v>73</v>
      </c>
      <c r="B93" s="70">
        <v>24.6</v>
      </c>
      <c r="C93" s="70">
        <v>25.3</v>
      </c>
      <c r="D93" s="70">
        <v>25.8</v>
      </c>
    </row>
    <row r="94" spans="1:4" x14ac:dyDescent="0.3">
      <c r="A94" s="12" t="s">
        <v>8</v>
      </c>
      <c r="B94" s="70">
        <v>24.3</v>
      </c>
      <c r="C94" s="70">
        <v>24.6</v>
      </c>
      <c r="D94" s="70">
        <v>25.900000000000002</v>
      </c>
    </row>
    <row r="95" spans="1:4" x14ac:dyDescent="0.3">
      <c r="A95" s="12" t="s">
        <v>3</v>
      </c>
      <c r="B95" s="70">
        <v>25.2</v>
      </c>
      <c r="C95" s="70">
        <v>24.5</v>
      </c>
      <c r="D95" s="70">
        <v>26.1</v>
      </c>
    </row>
    <row r="96" spans="1:4" x14ac:dyDescent="0.3">
      <c r="A96" s="12" t="s">
        <v>74</v>
      </c>
      <c r="B96" s="70">
        <v>24.4</v>
      </c>
      <c r="C96" s="70">
        <v>26.3</v>
      </c>
      <c r="D96" s="70">
        <v>25.2</v>
      </c>
    </row>
    <row r="97" spans="1:4" x14ac:dyDescent="0.3">
      <c r="A97" s="12" t="s">
        <v>18</v>
      </c>
      <c r="B97" s="70">
        <v>25</v>
      </c>
      <c r="C97" s="70">
        <v>24.1</v>
      </c>
      <c r="D97" s="70">
        <v>24.6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CDF0-A4D4-4D05-AF25-9183CD4E6D03}">
  <sheetPr codeName="Лист8">
    <tabColor theme="3" tint="0.79998168889431442"/>
    <pageSetUpPr fitToPage="1"/>
  </sheetPr>
  <dimension ref="A1:K101"/>
  <sheetViews>
    <sheetView showGridLines="0" workbookViewId="0">
      <selection activeCell="A13" sqref="A13"/>
    </sheetView>
  </sheetViews>
  <sheetFormatPr defaultRowHeight="16.5" x14ac:dyDescent="0.3"/>
  <cols>
    <col min="1" max="1" width="108.5703125" style="9" customWidth="1"/>
    <col min="2" max="4" width="10" style="4" bestFit="1" customWidth="1"/>
    <col min="5" max="6" width="11" style="4" bestFit="1" customWidth="1"/>
    <col min="7" max="7" width="9.85546875" style="4" customWidth="1"/>
    <col min="8" max="240" width="9.140625" style="4"/>
    <col min="241" max="241" width="108.5703125" style="4" customWidth="1"/>
    <col min="242" max="242" width="1.5703125" style="4" customWidth="1"/>
    <col min="243" max="243" width="6" style="4" customWidth="1"/>
    <col min="244" max="496" width="9.140625" style="4"/>
    <col min="497" max="497" width="108.5703125" style="4" customWidth="1"/>
    <col min="498" max="498" width="1.5703125" style="4" customWidth="1"/>
    <col min="499" max="499" width="6" style="4" customWidth="1"/>
    <col min="500" max="752" width="9.140625" style="4"/>
    <col min="753" max="753" width="108.5703125" style="4" customWidth="1"/>
    <col min="754" max="754" width="1.5703125" style="4" customWidth="1"/>
    <col min="755" max="755" width="6" style="4" customWidth="1"/>
    <col min="756" max="1008" width="9.140625" style="4"/>
    <col min="1009" max="1009" width="108.5703125" style="4" customWidth="1"/>
    <col min="1010" max="1010" width="1.5703125" style="4" customWidth="1"/>
    <col min="1011" max="1011" width="6" style="4" customWidth="1"/>
    <col min="1012" max="1264" width="9.140625" style="4"/>
    <col min="1265" max="1265" width="108.5703125" style="4" customWidth="1"/>
    <col min="1266" max="1266" width="1.5703125" style="4" customWidth="1"/>
    <col min="1267" max="1267" width="6" style="4" customWidth="1"/>
    <col min="1268" max="1520" width="9.140625" style="4"/>
    <col min="1521" max="1521" width="108.5703125" style="4" customWidth="1"/>
    <col min="1522" max="1522" width="1.5703125" style="4" customWidth="1"/>
    <col min="1523" max="1523" width="6" style="4" customWidth="1"/>
    <col min="1524" max="1776" width="9.140625" style="4"/>
    <col min="1777" max="1777" width="108.5703125" style="4" customWidth="1"/>
    <col min="1778" max="1778" width="1.5703125" style="4" customWidth="1"/>
    <col min="1779" max="1779" width="6" style="4" customWidth="1"/>
    <col min="1780" max="2032" width="9.140625" style="4"/>
    <col min="2033" max="2033" width="108.5703125" style="4" customWidth="1"/>
    <col min="2034" max="2034" width="1.5703125" style="4" customWidth="1"/>
    <col min="2035" max="2035" width="6" style="4" customWidth="1"/>
    <col min="2036" max="2288" width="9.140625" style="4"/>
    <col min="2289" max="2289" width="108.5703125" style="4" customWidth="1"/>
    <col min="2290" max="2290" width="1.5703125" style="4" customWidth="1"/>
    <col min="2291" max="2291" width="6" style="4" customWidth="1"/>
    <col min="2292" max="2544" width="9.140625" style="4"/>
    <col min="2545" max="2545" width="108.5703125" style="4" customWidth="1"/>
    <col min="2546" max="2546" width="1.5703125" style="4" customWidth="1"/>
    <col min="2547" max="2547" width="6" style="4" customWidth="1"/>
    <col min="2548" max="2800" width="9.140625" style="4"/>
    <col min="2801" max="2801" width="108.5703125" style="4" customWidth="1"/>
    <col min="2802" max="2802" width="1.5703125" style="4" customWidth="1"/>
    <col min="2803" max="2803" width="6" style="4" customWidth="1"/>
    <col min="2804" max="3056" width="9.140625" style="4"/>
    <col min="3057" max="3057" width="108.5703125" style="4" customWidth="1"/>
    <col min="3058" max="3058" width="1.5703125" style="4" customWidth="1"/>
    <col min="3059" max="3059" width="6" style="4" customWidth="1"/>
    <col min="3060" max="3312" width="9.140625" style="4"/>
    <col min="3313" max="3313" width="108.5703125" style="4" customWidth="1"/>
    <col min="3314" max="3314" width="1.5703125" style="4" customWidth="1"/>
    <col min="3315" max="3315" width="6" style="4" customWidth="1"/>
    <col min="3316" max="3568" width="9.140625" style="4"/>
    <col min="3569" max="3569" width="108.5703125" style="4" customWidth="1"/>
    <col min="3570" max="3570" width="1.5703125" style="4" customWidth="1"/>
    <col min="3571" max="3571" width="6" style="4" customWidth="1"/>
    <col min="3572" max="3824" width="9.140625" style="4"/>
    <col min="3825" max="3825" width="108.5703125" style="4" customWidth="1"/>
    <col min="3826" max="3826" width="1.5703125" style="4" customWidth="1"/>
    <col min="3827" max="3827" width="6" style="4" customWidth="1"/>
    <col min="3828" max="4080" width="9.140625" style="4"/>
    <col min="4081" max="4081" width="108.5703125" style="4" customWidth="1"/>
    <col min="4082" max="4082" width="1.5703125" style="4" customWidth="1"/>
    <col min="4083" max="4083" width="6" style="4" customWidth="1"/>
    <col min="4084" max="4336" width="9.140625" style="4"/>
    <col min="4337" max="4337" width="108.5703125" style="4" customWidth="1"/>
    <col min="4338" max="4338" width="1.5703125" style="4" customWidth="1"/>
    <col min="4339" max="4339" width="6" style="4" customWidth="1"/>
    <col min="4340" max="4592" width="9.140625" style="4"/>
    <col min="4593" max="4593" width="108.5703125" style="4" customWidth="1"/>
    <col min="4594" max="4594" width="1.5703125" style="4" customWidth="1"/>
    <col min="4595" max="4595" width="6" style="4" customWidth="1"/>
    <col min="4596" max="4848" width="9.140625" style="4"/>
    <col min="4849" max="4849" width="108.5703125" style="4" customWidth="1"/>
    <col min="4850" max="4850" width="1.5703125" style="4" customWidth="1"/>
    <col min="4851" max="4851" width="6" style="4" customWidth="1"/>
    <col min="4852" max="5104" width="9.140625" style="4"/>
    <col min="5105" max="5105" width="108.5703125" style="4" customWidth="1"/>
    <col min="5106" max="5106" width="1.5703125" style="4" customWidth="1"/>
    <col min="5107" max="5107" width="6" style="4" customWidth="1"/>
    <col min="5108" max="5360" width="9.140625" style="4"/>
    <col min="5361" max="5361" width="108.5703125" style="4" customWidth="1"/>
    <col min="5362" max="5362" width="1.5703125" style="4" customWidth="1"/>
    <col min="5363" max="5363" width="6" style="4" customWidth="1"/>
    <col min="5364" max="5616" width="9.140625" style="4"/>
    <col min="5617" max="5617" width="108.5703125" style="4" customWidth="1"/>
    <col min="5618" max="5618" width="1.5703125" style="4" customWidth="1"/>
    <col min="5619" max="5619" width="6" style="4" customWidth="1"/>
    <col min="5620" max="5872" width="9.140625" style="4"/>
    <col min="5873" max="5873" width="108.5703125" style="4" customWidth="1"/>
    <col min="5874" max="5874" width="1.5703125" style="4" customWidth="1"/>
    <col min="5875" max="5875" width="6" style="4" customWidth="1"/>
    <col min="5876" max="6128" width="9.140625" style="4"/>
    <col min="6129" max="6129" width="108.5703125" style="4" customWidth="1"/>
    <col min="6130" max="6130" width="1.5703125" style="4" customWidth="1"/>
    <col min="6131" max="6131" width="6" style="4" customWidth="1"/>
    <col min="6132" max="6384" width="9.140625" style="4"/>
    <col min="6385" max="6385" width="108.5703125" style="4" customWidth="1"/>
    <col min="6386" max="6386" width="1.5703125" style="4" customWidth="1"/>
    <col min="6387" max="6387" width="6" style="4" customWidth="1"/>
    <col min="6388" max="6640" width="9.140625" style="4"/>
    <col min="6641" max="6641" width="108.5703125" style="4" customWidth="1"/>
    <col min="6642" max="6642" width="1.5703125" style="4" customWidth="1"/>
    <col min="6643" max="6643" width="6" style="4" customWidth="1"/>
    <col min="6644" max="6896" width="9.140625" style="4"/>
    <col min="6897" max="6897" width="108.5703125" style="4" customWidth="1"/>
    <col min="6898" max="6898" width="1.5703125" style="4" customWidth="1"/>
    <col min="6899" max="6899" width="6" style="4" customWidth="1"/>
    <col min="6900" max="7152" width="9.140625" style="4"/>
    <col min="7153" max="7153" width="108.5703125" style="4" customWidth="1"/>
    <col min="7154" max="7154" width="1.5703125" style="4" customWidth="1"/>
    <col min="7155" max="7155" width="6" style="4" customWidth="1"/>
    <col min="7156" max="7408" width="9.140625" style="4"/>
    <col min="7409" max="7409" width="108.5703125" style="4" customWidth="1"/>
    <col min="7410" max="7410" width="1.5703125" style="4" customWidth="1"/>
    <col min="7411" max="7411" width="6" style="4" customWidth="1"/>
    <col min="7412" max="7664" width="9.140625" style="4"/>
    <col min="7665" max="7665" width="108.5703125" style="4" customWidth="1"/>
    <col min="7666" max="7666" width="1.5703125" style="4" customWidth="1"/>
    <col min="7667" max="7667" width="6" style="4" customWidth="1"/>
    <col min="7668" max="7920" width="9.140625" style="4"/>
    <col min="7921" max="7921" width="108.5703125" style="4" customWidth="1"/>
    <col min="7922" max="7922" width="1.5703125" style="4" customWidth="1"/>
    <col min="7923" max="7923" width="6" style="4" customWidth="1"/>
    <col min="7924" max="8176" width="9.140625" style="4"/>
    <col min="8177" max="8177" width="108.5703125" style="4" customWidth="1"/>
    <col min="8178" max="8178" width="1.5703125" style="4" customWidth="1"/>
    <col min="8179" max="8179" width="6" style="4" customWidth="1"/>
    <col min="8180" max="8432" width="9.140625" style="4"/>
    <col min="8433" max="8433" width="108.5703125" style="4" customWidth="1"/>
    <col min="8434" max="8434" width="1.5703125" style="4" customWidth="1"/>
    <col min="8435" max="8435" width="6" style="4" customWidth="1"/>
    <col min="8436" max="8688" width="9.140625" style="4"/>
    <col min="8689" max="8689" width="108.5703125" style="4" customWidth="1"/>
    <col min="8690" max="8690" width="1.5703125" style="4" customWidth="1"/>
    <col min="8691" max="8691" width="6" style="4" customWidth="1"/>
    <col min="8692" max="8944" width="9.140625" style="4"/>
    <col min="8945" max="8945" width="108.5703125" style="4" customWidth="1"/>
    <col min="8946" max="8946" width="1.5703125" style="4" customWidth="1"/>
    <col min="8947" max="8947" width="6" style="4" customWidth="1"/>
    <col min="8948" max="9200" width="9.140625" style="4"/>
    <col min="9201" max="9201" width="108.5703125" style="4" customWidth="1"/>
    <col min="9202" max="9202" width="1.5703125" style="4" customWidth="1"/>
    <col min="9203" max="9203" width="6" style="4" customWidth="1"/>
    <col min="9204" max="9456" width="9.140625" style="4"/>
    <col min="9457" max="9457" width="108.5703125" style="4" customWidth="1"/>
    <col min="9458" max="9458" width="1.5703125" style="4" customWidth="1"/>
    <col min="9459" max="9459" width="6" style="4" customWidth="1"/>
    <col min="9460" max="9712" width="9.140625" style="4"/>
    <col min="9713" max="9713" width="108.5703125" style="4" customWidth="1"/>
    <col min="9714" max="9714" width="1.5703125" style="4" customWidth="1"/>
    <col min="9715" max="9715" width="6" style="4" customWidth="1"/>
    <col min="9716" max="9968" width="9.140625" style="4"/>
    <col min="9969" max="9969" width="108.5703125" style="4" customWidth="1"/>
    <col min="9970" max="9970" width="1.5703125" style="4" customWidth="1"/>
    <col min="9971" max="9971" width="6" style="4" customWidth="1"/>
    <col min="9972" max="10224" width="9.140625" style="4"/>
    <col min="10225" max="10225" width="108.5703125" style="4" customWidth="1"/>
    <col min="10226" max="10226" width="1.5703125" style="4" customWidth="1"/>
    <col min="10227" max="10227" width="6" style="4" customWidth="1"/>
    <col min="10228" max="10480" width="9.140625" style="4"/>
    <col min="10481" max="10481" width="108.5703125" style="4" customWidth="1"/>
    <col min="10482" max="10482" width="1.5703125" style="4" customWidth="1"/>
    <col min="10483" max="10483" width="6" style="4" customWidth="1"/>
    <col min="10484" max="10736" width="9.140625" style="4"/>
    <col min="10737" max="10737" width="108.5703125" style="4" customWidth="1"/>
    <col min="10738" max="10738" width="1.5703125" style="4" customWidth="1"/>
    <col min="10739" max="10739" width="6" style="4" customWidth="1"/>
    <col min="10740" max="10992" width="9.140625" style="4"/>
    <col min="10993" max="10993" width="108.5703125" style="4" customWidth="1"/>
    <col min="10994" max="10994" width="1.5703125" style="4" customWidth="1"/>
    <col min="10995" max="10995" width="6" style="4" customWidth="1"/>
    <col min="10996" max="11248" width="9.140625" style="4"/>
    <col min="11249" max="11249" width="108.5703125" style="4" customWidth="1"/>
    <col min="11250" max="11250" width="1.5703125" style="4" customWidth="1"/>
    <col min="11251" max="11251" width="6" style="4" customWidth="1"/>
    <col min="11252" max="11504" width="9.140625" style="4"/>
    <col min="11505" max="11505" width="108.5703125" style="4" customWidth="1"/>
    <col min="11506" max="11506" width="1.5703125" style="4" customWidth="1"/>
    <col min="11507" max="11507" width="6" style="4" customWidth="1"/>
    <col min="11508" max="11760" width="9.140625" style="4"/>
    <col min="11761" max="11761" width="108.5703125" style="4" customWidth="1"/>
    <col min="11762" max="11762" width="1.5703125" style="4" customWidth="1"/>
    <col min="11763" max="11763" width="6" style="4" customWidth="1"/>
    <col min="11764" max="12016" width="9.140625" style="4"/>
    <col min="12017" max="12017" width="108.5703125" style="4" customWidth="1"/>
    <col min="12018" max="12018" width="1.5703125" style="4" customWidth="1"/>
    <col min="12019" max="12019" width="6" style="4" customWidth="1"/>
    <col min="12020" max="12272" width="9.140625" style="4"/>
    <col min="12273" max="12273" width="108.5703125" style="4" customWidth="1"/>
    <col min="12274" max="12274" width="1.5703125" style="4" customWidth="1"/>
    <col min="12275" max="12275" width="6" style="4" customWidth="1"/>
    <col min="12276" max="12528" width="9.140625" style="4"/>
    <col min="12529" max="12529" width="108.5703125" style="4" customWidth="1"/>
    <col min="12530" max="12530" width="1.5703125" style="4" customWidth="1"/>
    <col min="12531" max="12531" width="6" style="4" customWidth="1"/>
    <col min="12532" max="12784" width="9.140625" style="4"/>
    <col min="12785" max="12785" width="108.5703125" style="4" customWidth="1"/>
    <col min="12786" max="12786" width="1.5703125" style="4" customWidth="1"/>
    <col min="12787" max="12787" width="6" style="4" customWidth="1"/>
    <col min="12788" max="13040" width="9.140625" style="4"/>
    <col min="13041" max="13041" width="108.5703125" style="4" customWidth="1"/>
    <col min="13042" max="13042" width="1.5703125" style="4" customWidth="1"/>
    <col min="13043" max="13043" width="6" style="4" customWidth="1"/>
    <col min="13044" max="13296" width="9.140625" style="4"/>
    <col min="13297" max="13297" width="108.5703125" style="4" customWidth="1"/>
    <col min="13298" max="13298" width="1.5703125" style="4" customWidth="1"/>
    <col min="13299" max="13299" width="6" style="4" customWidth="1"/>
    <col min="13300" max="13552" width="9.140625" style="4"/>
    <col min="13553" max="13553" width="108.5703125" style="4" customWidth="1"/>
    <col min="13554" max="13554" width="1.5703125" style="4" customWidth="1"/>
    <col min="13555" max="13555" width="6" style="4" customWidth="1"/>
    <col min="13556" max="13808" width="9.140625" style="4"/>
    <col min="13809" max="13809" width="108.5703125" style="4" customWidth="1"/>
    <col min="13810" max="13810" width="1.5703125" style="4" customWidth="1"/>
    <col min="13811" max="13811" width="6" style="4" customWidth="1"/>
    <col min="13812" max="14064" width="9.140625" style="4"/>
    <col min="14065" max="14065" width="108.5703125" style="4" customWidth="1"/>
    <col min="14066" max="14066" width="1.5703125" style="4" customWidth="1"/>
    <col min="14067" max="14067" width="6" style="4" customWidth="1"/>
    <col min="14068" max="14320" width="9.140625" style="4"/>
    <col min="14321" max="14321" width="108.5703125" style="4" customWidth="1"/>
    <col min="14322" max="14322" width="1.5703125" style="4" customWidth="1"/>
    <col min="14323" max="14323" width="6" style="4" customWidth="1"/>
    <col min="14324" max="14576" width="9.140625" style="4"/>
    <col min="14577" max="14577" width="108.5703125" style="4" customWidth="1"/>
    <col min="14578" max="14578" width="1.5703125" style="4" customWidth="1"/>
    <col min="14579" max="14579" width="6" style="4" customWidth="1"/>
    <col min="14580" max="14832" width="9.140625" style="4"/>
    <col min="14833" max="14833" width="108.5703125" style="4" customWidth="1"/>
    <col min="14834" max="14834" width="1.5703125" style="4" customWidth="1"/>
    <col min="14835" max="14835" width="6" style="4" customWidth="1"/>
    <col min="14836" max="15088" width="9.140625" style="4"/>
    <col min="15089" max="15089" width="108.5703125" style="4" customWidth="1"/>
    <col min="15090" max="15090" width="1.5703125" style="4" customWidth="1"/>
    <col min="15091" max="15091" width="6" style="4" customWidth="1"/>
    <col min="15092" max="15344" width="9.140625" style="4"/>
    <col min="15345" max="15345" width="108.5703125" style="4" customWidth="1"/>
    <col min="15346" max="15346" width="1.5703125" style="4" customWidth="1"/>
    <col min="15347" max="15347" width="6" style="4" customWidth="1"/>
    <col min="15348" max="15600" width="9.140625" style="4"/>
    <col min="15601" max="15601" width="108.5703125" style="4" customWidth="1"/>
    <col min="15602" max="15602" width="1.5703125" style="4" customWidth="1"/>
    <col min="15603" max="15603" width="6" style="4" customWidth="1"/>
    <col min="15604" max="15856" width="9.140625" style="4"/>
    <col min="15857" max="15857" width="108.5703125" style="4" customWidth="1"/>
    <col min="15858" max="15858" width="1.5703125" style="4" customWidth="1"/>
    <col min="15859" max="15859" width="6" style="4" customWidth="1"/>
    <col min="15860" max="16112" width="9.140625" style="4"/>
    <col min="16113" max="16113" width="108.5703125" style="4" customWidth="1"/>
    <col min="16114" max="16114" width="1.5703125" style="4" customWidth="1"/>
    <col min="16115" max="16115" width="6" style="4" customWidth="1"/>
    <col min="16116" max="16384" width="9.140625" style="4"/>
  </cols>
  <sheetData>
    <row r="1" spans="1:11" x14ac:dyDescent="0.3">
      <c r="A1" s="8" t="s">
        <v>301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3" spans="1:11" x14ac:dyDescent="0.3">
      <c r="A3" s="48" t="s">
        <v>129</v>
      </c>
      <c r="B3" s="20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11" x14ac:dyDescent="0.3">
      <c r="A4" s="71" t="s">
        <v>87</v>
      </c>
      <c r="B4" s="53">
        <v>92989</v>
      </c>
      <c r="C4" s="53">
        <v>95430</v>
      </c>
      <c r="D4" s="53">
        <v>98271</v>
      </c>
      <c r="E4" s="53">
        <v>107399</v>
      </c>
      <c r="F4" s="53">
        <v>108724</v>
      </c>
      <c r="G4" s="53">
        <v>103351</v>
      </c>
    </row>
    <row r="5" spans="1:11" x14ac:dyDescent="0.3">
      <c r="A5" s="71" t="s">
        <v>96</v>
      </c>
      <c r="B5" s="53">
        <v>25187</v>
      </c>
      <c r="C5" s="53">
        <v>25702</v>
      </c>
      <c r="D5" s="53">
        <v>25730</v>
      </c>
      <c r="E5" s="53">
        <v>28283</v>
      </c>
      <c r="F5" s="53">
        <v>27562</v>
      </c>
      <c r="G5" s="53">
        <v>26515</v>
      </c>
    </row>
    <row r="6" spans="1:11" x14ac:dyDescent="0.3">
      <c r="A6" s="71" t="s">
        <v>50</v>
      </c>
      <c r="B6" s="53">
        <v>713</v>
      </c>
      <c r="C6" s="53">
        <v>831</v>
      </c>
      <c r="D6" s="53">
        <v>924</v>
      </c>
      <c r="E6" s="53">
        <v>1037</v>
      </c>
      <c r="F6" s="53">
        <v>1074</v>
      </c>
      <c r="G6" s="53">
        <v>1135</v>
      </c>
    </row>
    <row r="7" spans="1:11" x14ac:dyDescent="0.3">
      <c r="A7" s="71" t="s">
        <v>48</v>
      </c>
      <c r="B7" s="53">
        <v>1020</v>
      </c>
      <c r="C7" s="53">
        <v>1112</v>
      </c>
      <c r="D7" s="53">
        <v>1023</v>
      </c>
      <c r="E7" s="53">
        <v>1183</v>
      </c>
      <c r="F7" s="53">
        <v>1099</v>
      </c>
      <c r="G7" s="53">
        <v>976</v>
      </c>
    </row>
    <row r="8" spans="1:11" x14ac:dyDescent="0.3">
      <c r="A8" s="71" t="s">
        <v>20</v>
      </c>
      <c r="B8" s="53">
        <v>1619</v>
      </c>
      <c r="C8" s="53">
        <v>1612</v>
      </c>
      <c r="D8" s="53">
        <v>1564</v>
      </c>
      <c r="E8" s="53">
        <v>1582</v>
      </c>
      <c r="F8" s="53">
        <v>1678</v>
      </c>
      <c r="G8" s="53">
        <v>1533</v>
      </c>
    </row>
    <row r="9" spans="1:11" x14ac:dyDescent="0.3">
      <c r="A9" s="71" t="s">
        <v>4</v>
      </c>
      <c r="B9" s="53">
        <v>1279</v>
      </c>
      <c r="C9" s="53">
        <v>1254</v>
      </c>
      <c r="D9" s="53">
        <v>1218</v>
      </c>
      <c r="E9" s="53">
        <v>1304</v>
      </c>
      <c r="F9" s="53">
        <v>1243</v>
      </c>
      <c r="G9" s="53">
        <v>1279</v>
      </c>
    </row>
    <row r="10" spans="1:11" x14ac:dyDescent="0.3">
      <c r="A10" s="71" t="s">
        <v>45</v>
      </c>
      <c r="B10" s="53">
        <v>1000</v>
      </c>
      <c r="C10" s="53">
        <v>1007</v>
      </c>
      <c r="D10" s="53">
        <v>1033</v>
      </c>
      <c r="E10" s="53">
        <v>1112</v>
      </c>
      <c r="F10" s="53">
        <v>1062</v>
      </c>
      <c r="G10" s="53">
        <v>955</v>
      </c>
    </row>
    <row r="11" spans="1:11" x14ac:dyDescent="0.3">
      <c r="A11" s="71" t="s">
        <v>40</v>
      </c>
      <c r="B11" s="53">
        <v>838</v>
      </c>
      <c r="C11" s="53">
        <v>886</v>
      </c>
      <c r="D11" s="53">
        <v>805</v>
      </c>
      <c r="E11" s="53">
        <v>927</v>
      </c>
      <c r="F11" s="53">
        <v>923</v>
      </c>
      <c r="G11" s="53">
        <v>826</v>
      </c>
    </row>
    <row r="12" spans="1:11" x14ac:dyDescent="0.3">
      <c r="A12" s="71" t="s">
        <v>37</v>
      </c>
      <c r="B12" s="53">
        <v>432</v>
      </c>
      <c r="C12" s="53">
        <v>461</v>
      </c>
      <c r="D12" s="53">
        <v>484</v>
      </c>
      <c r="E12" s="53">
        <v>542</v>
      </c>
      <c r="F12" s="53">
        <v>610</v>
      </c>
      <c r="G12" s="53">
        <v>551</v>
      </c>
    </row>
    <row r="13" spans="1:11" x14ac:dyDescent="0.3">
      <c r="A13" s="71" t="s">
        <v>56</v>
      </c>
      <c r="B13" s="53">
        <v>771</v>
      </c>
      <c r="C13" s="53">
        <v>809</v>
      </c>
      <c r="D13" s="53">
        <v>813</v>
      </c>
      <c r="E13" s="53">
        <v>925</v>
      </c>
      <c r="F13" s="53">
        <v>903</v>
      </c>
      <c r="G13" s="53">
        <v>940</v>
      </c>
    </row>
    <row r="14" spans="1:11" x14ac:dyDescent="0.3">
      <c r="A14" s="71" t="s">
        <v>51</v>
      </c>
      <c r="B14" s="53">
        <v>671</v>
      </c>
      <c r="C14" s="53">
        <v>692</v>
      </c>
      <c r="D14" s="53">
        <v>644</v>
      </c>
      <c r="E14" s="53">
        <v>823</v>
      </c>
      <c r="F14" s="53">
        <v>858</v>
      </c>
      <c r="G14" s="53">
        <v>674</v>
      </c>
    </row>
    <row r="15" spans="1:11" x14ac:dyDescent="0.3">
      <c r="A15" s="71" t="s">
        <v>21</v>
      </c>
      <c r="B15" s="53">
        <v>5483</v>
      </c>
      <c r="C15" s="53">
        <v>5102</v>
      </c>
      <c r="D15" s="53">
        <v>5158</v>
      </c>
      <c r="E15" s="53">
        <v>5852</v>
      </c>
      <c r="F15" s="53">
        <v>5612</v>
      </c>
      <c r="G15" s="53">
        <v>6082</v>
      </c>
    </row>
    <row r="16" spans="1:11" x14ac:dyDescent="0.3">
      <c r="A16" s="71" t="s">
        <v>70</v>
      </c>
      <c r="B16" s="53">
        <v>594</v>
      </c>
      <c r="C16" s="53">
        <v>681</v>
      </c>
      <c r="D16" s="53">
        <v>710</v>
      </c>
      <c r="E16" s="53">
        <v>730</v>
      </c>
      <c r="F16" s="53">
        <v>653</v>
      </c>
      <c r="G16" s="53">
        <v>630</v>
      </c>
    </row>
    <row r="17" spans="1:7" x14ac:dyDescent="0.3">
      <c r="A17" s="71" t="s">
        <v>59</v>
      </c>
      <c r="B17" s="53">
        <v>872</v>
      </c>
      <c r="C17" s="53">
        <v>866</v>
      </c>
      <c r="D17" s="53">
        <v>930</v>
      </c>
      <c r="E17" s="53">
        <v>1059</v>
      </c>
      <c r="F17" s="53">
        <v>1023</v>
      </c>
      <c r="G17" s="53">
        <v>1018</v>
      </c>
    </row>
    <row r="18" spans="1:7" x14ac:dyDescent="0.3">
      <c r="A18" s="71" t="s">
        <v>43</v>
      </c>
      <c r="B18" s="53">
        <v>695</v>
      </c>
      <c r="C18" s="53">
        <v>729</v>
      </c>
      <c r="D18" s="53">
        <v>767</v>
      </c>
      <c r="E18" s="53">
        <v>755</v>
      </c>
      <c r="F18" s="53">
        <v>753</v>
      </c>
      <c r="G18" s="53">
        <v>719</v>
      </c>
    </row>
    <row r="19" spans="1:7" x14ac:dyDescent="0.3">
      <c r="A19" s="71" t="s">
        <v>15</v>
      </c>
      <c r="B19" s="53">
        <v>702</v>
      </c>
      <c r="C19" s="53">
        <v>667</v>
      </c>
      <c r="D19" s="53">
        <v>653</v>
      </c>
      <c r="E19" s="53">
        <v>658</v>
      </c>
      <c r="F19" s="53">
        <v>702</v>
      </c>
      <c r="G19" s="53">
        <v>675</v>
      </c>
    </row>
    <row r="20" spans="1:7" x14ac:dyDescent="0.3">
      <c r="A20" s="71" t="s">
        <v>38</v>
      </c>
      <c r="B20" s="53">
        <v>1217</v>
      </c>
      <c r="C20" s="53">
        <v>1227</v>
      </c>
      <c r="D20" s="53">
        <v>1192</v>
      </c>
      <c r="E20" s="53">
        <v>1214</v>
      </c>
      <c r="F20" s="53">
        <v>1225</v>
      </c>
      <c r="G20" s="53">
        <v>1168</v>
      </c>
    </row>
    <row r="21" spans="1:7" x14ac:dyDescent="0.3">
      <c r="A21" s="71" t="s">
        <v>39</v>
      </c>
      <c r="B21" s="53">
        <v>1326</v>
      </c>
      <c r="C21" s="53">
        <v>1732</v>
      </c>
      <c r="D21" s="53">
        <v>1566</v>
      </c>
      <c r="E21" s="53">
        <v>1662</v>
      </c>
      <c r="F21" s="53">
        <v>1706</v>
      </c>
      <c r="G21" s="53">
        <v>1516</v>
      </c>
    </row>
    <row r="22" spans="1:7" x14ac:dyDescent="0.3">
      <c r="A22" s="71" t="s">
        <v>78</v>
      </c>
      <c r="B22" s="53">
        <v>1250</v>
      </c>
      <c r="C22" s="53">
        <v>1216</v>
      </c>
      <c r="D22" s="53">
        <v>1260</v>
      </c>
      <c r="E22" s="53">
        <v>1365</v>
      </c>
      <c r="F22" s="53">
        <v>1394</v>
      </c>
      <c r="G22" s="53">
        <v>1294</v>
      </c>
    </row>
    <row r="23" spans="1:7" x14ac:dyDescent="0.3">
      <c r="A23" s="71" t="s">
        <v>13</v>
      </c>
      <c r="B23" s="53">
        <v>4705</v>
      </c>
      <c r="C23" s="53">
        <v>4818</v>
      </c>
      <c r="D23" s="53">
        <v>4986</v>
      </c>
      <c r="E23" s="53">
        <v>5553</v>
      </c>
      <c r="F23" s="53">
        <v>5044</v>
      </c>
      <c r="G23" s="53">
        <v>4544</v>
      </c>
    </row>
    <row r="24" spans="1:7" x14ac:dyDescent="0.3">
      <c r="A24" s="71" t="s">
        <v>97</v>
      </c>
      <c r="B24" s="53">
        <v>9165</v>
      </c>
      <c r="C24" s="53">
        <v>9162</v>
      </c>
      <c r="D24" s="53">
        <v>9888</v>
      </c>
      <c r="E24" s="53">
        <v>10333</v>
      </c>
      <c r="F24" s="53">
        <v>10443</v>
      </c>
      <c r="G24" s="53">
        <v>9893</v>
      </c>
    </row>
    <row r="25" spans="1:7" x14ac:dyDescent="0.3">
      <c r="A25" s="71" t="s">
        <v>71</v>
      </c>
      <c r="B25" s="53">
        <v>452</v>
      </c>
      <c r="C25" s="53">
        <v>434</v>
      </c>
      <c r="D25" s="53">
        <v>485</v>
      </c>
      <c r="E25" s="53">
        <v>622</v>
      </c>
      <c r="F25" s="53">
        <v>581</v>
      </c>
      <c r="G25" s="53">
        <v>529</v>
      </c>
    </row>
    <row r="26" spans="1:7" x14ac:dyDescent="0.3">
      <c r="A26" s="71" t="s">
        <v>65</v>
      </c>
      <c r="B26" s="53">
        <v>721</v>
      </c>
      <c r="C26" s="53">
        <v>707</v>
      </c>
      <c r="D26" s="53">
        <v>797</v>
      </c>
      <c r="E26" s="53">
        <v>836</v>
      </c>
      <c r="F26" s="53">
        <v>817</v>
      </c>
      <c r="G26" s="53">
        <v>798</v>
      </c>
    </row>
    <row r="27" spans="1:7" x14ac:dyDescent="0.3">
      <c r="A27" s="71" t="s">
        <v>53</v>
      </c>
      <c r="B27" s="53">
        <v>775</v>
      </c>
      <c r="C27" s="53">
        <v>768</v>
      </c>
      <c r="D27" s="53">
        <v>809</v>
      </c>
      <c r="E27" s="53">
        <v>842</v>
      </c>
      <c r="F27" s="53">
        <v>844</v>
      </c>
      <c r="G27" s="53">
        <v>755</v>
      </c>
    </row>
    <row r="28" spans="1:7" x14ac:dyDescent="0.3">
      <c r="A28" s="71" t="s">
        <v>7</v>
      </c>
      <c r="B28" s="53">
        <v>28</v>
      </c>
      <c r="C28" s="53">
        <v>31</v>
      </c>
      <c r="D28" s="53">
        <v>53</v>
      </c>
      <c r="E28" s="53">
        <v>51</v>
      </c>
      <c r="F28" s="53">
        <v>52</v>
      </c>
      <c r="G28" s="53">
        <v>45</v>
      </c>
    </row>
    <row r="29" spans="1:7" x14ac:dyDescent="0.3">
      <c r="A29" s="71" t="s">
        <v>88</v>
      </c>
      <c r="B29" s="53">
        <v>747</v>
      </c>
      <c r="C29" s="53">
        <v>737</v>
      </c>
      <c r="D29" s="53">
        <v>756</v>
      </c>
      <c r="E29" s="53">
        <v>791</v>
      </c>
      <c r="F29" s="53">
        <v>792</v>
      </c>
      <c r="G29" s="53">
        <v>710</v>
      </c>
    </row>
    <row r="30" spans="1:7" x14ac:dyDescent="0.3">
      <c r="A30" s="71" t="s">
        <v>80</v>
      </c>
      <c r="B30" s="53">
        <v>1131</v>
      </c>
      <c r="C30" s="53">
        <v>1103</v>
      </c>
      <c r="D30" s="53">
        <v>1035</v>
      </c>
      <c r="E30" s="53">
        <v>954</v>
      </c>
      <c r="F30" s="53">
        <v>950</v>
      </c>
      <c r="G30" s="53">
        <v>954</v>
      </c>
    </row>
    <row r="31" spans="1:7" x14ac:dyDescent="0.3">
      <c r="A31" s="71" t="s">
        <v>69</v>
      </c>
      <c r="B31" s="53">
        <v>654</v>
      </c>
      <c r="C31" s="53">
        <v>643</v>
      </c>
      <c r="D31" s="53">
        <v>608</v>
      </c>
      <c r="E31" s="53">
        <v>604</v>
      </c>
      <c r="F31" s="53">
        <v>590</v>
      </c>
      <c r="G31" s="53">
        <v>593</v>
      </c>
    </row>
    <row r="32" spans="1:7" x14ac:dyDescent="0.3">
      <c r="A32" s="71" t="s">
        <v>33</v>
      </c>
      <c r="B32" s="53">
        <v>1342</v>
      </c>
      <c r="C32" s="53">
        <v>1414</v>
      </c>
      <c r="D32" s="53">
        <v>1688</v>
      </c>
      <c r="E32" s="53">
        <v>1954</v>
      </c>
      <c r="F32" s="53">
        <v>2046</v>
      </c>
      <c r="G32" s="53">
        <v>1933</v>
      </c>
    </row>
    <row r="33" spans="1:7" x14ac:dyDescent="0.3">
      <c r="A33" s="71" t="s">
        <v>30</v>
      </c>
      <c r="B33" s="53">
        <v>470</v>
      </c>
      <c r="C33" s="53">
        <v>478</v>
      </c>
      <c r="D33" s="53">
        <v>571</v>
      </c>
      <c r="E33" s="53">
        <v>587</v>
      </c>
      <c r="F33" s="53">
        <v>575</v>
      </c>
      <c r="G33" s="53">
        <v>558</v>
      </c>
    </row>
    <row r="34" spans="1:7" x14ac:dyDescent="0.3">
      <c r="A34" s="71" t="s">
        <v>52</v>
      </c>
      <c r="B34" s="53">
        <v>571</v>
      </c>
      <c r="C34" s="53">
        <v>615</v>
      </c>
      <c r="D34" s="53">
        <v>721</v>
      </c>
      <c r="E34" s="53">
        <v>694</v>
      </c>
      <c r="F34" s="53">
        <v>758</v>
      </c>
      <c r="G34" s="53">
        <v>590</v>
      </c>
    </row>
    <row r="35" spans="1:7" x14ac:dyDescent="0.3">
      <c r="A35" s="71" t="s">
        <v>31</v>
      </c>
      <c r="B35" s="53">
        <v>557</v>
      </c>
      <c r="C35" s="53">
        <v>567</v>
      </c>
      <c r="D35" s="53">
        <v>571</v>
      </c>
      <c r="E35" s="53">
        <v>618</v>
      </c>
      <c r="F35" s="53">
        <v>617</v>
      </c>
      <c r="G35" s="53">
        <v>600</v>
      </c>
    </row>
    <row r="36" spans="1:7" x14ac:dyDescent="0.3">
      <c r="A36" s="71" t="s">
        <v>32</v>
      </c>
      <c r="B36" s="53">
        <v>2492</v>
      </c>
      <c r="C36" s="53">
        <v>2433</v>
      </c>
      <c r="D36" s="53">
        <v>2603</v>
      </c>
      <c r="E36" s="53">
        <v>2622</v>
      </c>
      <c r="F36" s="53">
        <v>2665</v>
      </c>
      <c r="G36" s="53">
        <v>2583</v>
      </c>
    </row>
    <row r="37" spans="1:7" x14ac:dyDescent="0.3">
      <c r="A37" s="71" t="s">
        <v>98</v>
      </c>
      <c r="B37" s="53">
        <v>10403</v>
      </c>
      <c r="C37" s="53">
        <v>10659</v>
      </c>
      <c r="D37" s="53">
        <v>10818</v>
      </c>
      <c r="E37" s="53">
        <v>11403</v>
      </c>
      <c r="F37" s="53">
        <v>11967</v>
      </c>
      <c r="G37" s="53">
        <v>11995</v>
      </c>
    </row>
    <row r="38" spans="1:7" x14ac:dyDescent="0.3">
      <c r="A38" s="71" t="s">
        <v>26</v>
      </c>
      <c r="B38" s="53">
        <v>260</v>
      </c>
      <c r="C38" s="53">
        <v>263</v>
      </c>
      <c r="D38" s="53">
        <v>280</v>
      </c>
      <c r="E38" s="53">
        <v>278</v>
      </c>
      <c r="F38" s="53">
        <v>272</v>
      </c>
      <c r="G38" s="53">
        <v>283</v>
      </c>
    </row>
    <row r="39" spans="1:7" x14ac:dyDescent="0.3">
      <c r="A39" s="71" t="s">
        <v>27</v>
      </c>
      <c r="B39" s="53">
        <v>113</v>
      </c>
      <c r="C39" s="53">
        <v>121</v>
      </c>
      <c r="D39" s="53">
        <v>134</v>
      </c>
      <c r="E39" s="53">
        <v>134</v>
      </c>
      <c r="F39" s="53">
        <v>139</v>
      </c>
      <c r="G39" s="53">
        <v>125</v>
      </c>
    </row>
    <row r="40" spans="1:7" x14ac:dyDescent="0.3">
      <c r="A40" s="71" t="s">
        <v>89</v>
      </c>
      <c r="B40" s="53">
        <v>1388</v>
      </c>
      <c r="C40" s="53">
        <v>1557</v>
      </c>
      <c r="D40" s="53">
        <v>1556</v>
      </c>
      <c r="E40" s="53">
        <v>1660</v>
      </c>
      <c r="F40" s="53">
        <v>1704</v>
      </c>
      <c r="G40" s="53">
        <v>1746</v>
      </c>
    </row>
    <row r="41" spans="1:7" x14ac:dyDescent="0.3">
      <c r="A41" s="71" t="s">
        <v>28</v>
      </c>
      <c r="B41" s="53">
        <v>3085</v>
      </c>
      <c r="C41" s="53">
        <v>3098</v>
      </c>
      <c r="D41" s="53">
        <v>3187</v>
      </c>
      <c r="E41" s="53">
        <v>3676</v>
      </c>
      <c r="F41" s="53">
        <v>3823</v>
      </c>
      <c r="G41" s="53">
        <v>3834</v>
      </c>
    </row>
    <row r="42" spans="1:7" x14ac:dyDescent="0.3">
      <c r="A42" s="71" t="s">
        <v>25</v>
      </c>
      <c r="B42" s="53">
        <v>573</v>
      </c>
      <c r="C42" s="53">
        <v>623</v>
      </c>
      <c r="D42" s="53">
        <v>657</v>
      </c>
      <c r="E42" s="53">
        <v>679</v>
      </c>
      <c r="F42" s="53">
        <v>707</v>
      </c>
      <c r="G42" s="53">
        <v>649</v>
      </c>
    </row>
    <row r="43" spans="1:7" x14ac:dyDescent="0.3">
      <c r="A43" s="71" t="s">
        <v>22</v>
      </c>
      <c r="B43" s="53">
        <v>1917</v>
      </c>
      <c r="C43" s="53">
        <v>1927</v>
      </c>
      <c r="D43" s="53">
        <v>1837</v>
      </c>
      <c r="E43" s="53">
        <v>1970</v>
      </c>
      <c r="F43" s="53">
        <v>2062</v>
      </c>
      <c r="G43" s="53">
        <v>1721</v>
      </c>
    </row>
    <row r="44" spans="1:7" x14ac:dyDescent="0.3">
      <c r="A44" s="71" t="s">
        <v>29</v>
      </c>
      <c r="B44" s="53">
        <v>2764</v>
      </c>
      <c r="C44" s="53">
        <v>2771</v>
      </c>
      <c r="D44" s="53">
        <v>2836</v>
      </c>
      <c r="E44" s="53">
        <v>2653</v>
      </c>
      <c r="F44" s="53">
        <v>2905</v>
      </c>
      <c r="G44" s="53">
        <v>3263</v>
      </c>
    </row>
    <row r="45" spans="1:7" x14ac:dyDescent="0.3">
      <c r="A45" s="71" t="s">
        <v>90</v>
      </c>
      <c r="B45" s="53">
        <v>303</v>
      </c>
      <c r="C45" s="53">
        <v>299</v>
      </c>
      <c r="D45" s="53">
        <v>331</v>
      </c>
      <c r="E45" s="53">
        <v>353</v>
      </c>
      <c r="F45" s="53">
        <v>355</v>
      </c>
      <c r="G45" s="53">
        <v>374</v>
      </c>
    </row>
    <row r="46" spans="1:7" x14ac:dyDescent="0.3">
      <c r="A46" s="71" t="s">
        <v>99</v>
      </c>
      <c r="B46" s="53">
        <v>3485</v>
      </c>
      <c r="C46" s="53">
        <v>3546</v>
      </c>
      <c r="D46" s="53">
        <v>3580</v>
      </c>
      <c r="E46" s="53">
        <v>3827</v>
      </c>
      <c r="F46" s="53">
        <v>4030</v>
      </c>
      <c r="G46" s="53">
        <v>3822</v>
      </c>
    </row>
    <row r="47" spans="1:7" x14ac:dyDescent="0.3">
      <c r="A47" s="71" t="s">
        <v>63</v>
      </c>
      <c r="B47" s="53">
        <v>647</v>
      </c>
      <c r="C47" s="53">
        <v>537</v>
      </c>
      <c r="D47" s="53">
        <v>556</v>
      </c>
      <c r="E47" s="53">
        <v>563</v>
      </c>
      <c r="F47" s="53">
        <v>551</v>
      </c>
      <c r="G47" s="53">
        <v>593</v>
      </c>
    </row>
    <row r="48" spans="1:7" x14ac:dyDescent="0.3">
      <c r="A48" s="71" t="s">
        <v>81</v>
      </c>
      <c r="B48" s="53">
        <v>21</v>
      </c>
      <c r="C48" s="53">
        <v>23</v>
      </c>
      <c r="D48" s="53">
        <v>22</v>
      </c>
      <c r="E48" s="53">
        <v>22</v>
      </c>
      <c r="F48" s="53">
        <v>23</v>
      </c>
      <c r="G48" s="53">
        <v>26</v>
      </c>
    </row>
    <row r="49" spans="1:7" x14ac:dyDescent="0.3">
      <c r="A49" s="71" t="s">
        <v>91</v>
      </c>
      <c r="B49" s="53">
        <v>349</v>
      </c>
      <c r="C49" s="53">
        <v>323</v>
      </c>
      <c r="D49" s="53">
        <v>330</v>
      </c>
      <c r="E49" s="53">
        <v>354</v>
      </c>
      <c r="F49" s="53">
        <v>353</v>
      </c>
      <c r="G49" s="53">
        <v>325</v>
      </c>
    </row>
    <row r="50" spans="1:7" x14ac:dyDescent="0.3">
      <c r="A50" s="71" t="s">
        <v>92</v>
      </c>
      <c r="B50" s="53">
        <v>192</v>
      </c>
      <c r="C50" s="53">
        <v>194</v>
      </c>
      <c r="D50" s="53">
        <v>165</v>
      </c>
      <c r="E50" s="53">
        <v>168</v>
      </c>
      <c r="F50" s="53">
        <v>221</v>
      </c>
      <c r="G50" s="53">
        <v>176</v>
      </c>
    </row>
    <row r="51" spans="1:7" x14ac:dyDescent="0.3">
      <c r="A51" s="71" t="s">
        <v>47</v>
      </c>
      <c r="B51" s="53">
        <v>502</v>
      </c>
      <c r="C51" s="53">
        <v>472</v>
      </c>
      <c r="D51" s="53">
        <v>519</v>
      </c>
      <c r="E51" s="53">
        <v>476</v>
      </c>
      <c r="F51" s="53">
        <v>419</v>
      </c>
      <c r="G51" s="53">
        <v>445</v>
      </c>
    </row>
    <row r="52" spans="1:7" x14ac:dyDescent="0.3">
      <c r="A52" s="71" t="s">
        <v>93</v>
      </c>
      <c r="B52" s="53">
        <v>160</v>
      </c>
      <c r="C52" s="53">
        <v>175</v>
      </c>
      <c r="D52" s="53">
        <v>123</v>
      </c>
      <c r="E52" s="53">
        <v>149</v>
      </c>
      <c r="F52" s="53">
        <v>160</v>
      </c>
      <c r="G52" s="53">
        <v>262</v>
      </c>
    </row>
    <row r="53" spans="1:7" x14ac:dyDescent="0.3">
      <c r="A53" s="71" t="s">
        <v>11</v>
      </c>
      <c r="B53" s="53">
        <v>1614</v>
      </c>
      <c r="C53" s="53">
        <v>1822</v>
      </c>
      <c r="D53" s="53">
        <v>1865</v>
      </c>
      <c r="E53" s="53">
        <v>2095</v>
      </c>
      <c r="F53" s="53">
        <v>2303</v>
      </c>
      <c r="G53" s="53">
        <v>1995</v>
      </c>
    </row>
    <row r="54" spans="1:7" x14ac:dyDescent="0.3">
      <c r="A54" s="71" t="s">
        <v>100</v>
      </c>
      <c r="B54" s="53">
        <v>20384</v>
      </c>
      <c r="C54" s="53">
        <v>20894</v>
      </c>
      <c r="D54" s="53">
        <v>21958</v>
      </c>
      <c r="E54" s="53">
        <v>24333</v>
      </c>
      <c r="F54" s="53">
        <v>24709</v>
      </c>
      <c r="G54" s="53">
        <v>22921</v>
      </c>
    </row>
    <row r="55" spans="1:7" x14ac:dyDescent="0.3">
      <c r="A55" s="71" t="s">
        <v>83</v>
      </c>
      <c r="B55" s="53">
        <v>2489</v>
      </c>
      <c r="C55" s="53">
        <v>2489</v>
      </c>
      <c r="D55" s="53">
        <v>2534</v>
      </c>
      <c r="E55" s="53">
        <v>2937</v>
      </c>
      <c r="F55" s="53">
        <v>3185</v>
      </c>
      <c r="G55" s="53">
        <v>3044</v>
      </c>
    </row>
    <row r="56" spans="1:7" x14ac:dyDescent="0.3">
      <c r="A56" s="71" t="s">
        <v>42</v>
      </c>
      <c r="B56" s="53">
        <v>440</v>
      </c>
      <c r="C56" s="53">
        <v>440</v>
      </c>
      <c r="D56" s="53">
        <v>617</v>
      </c>
      <c r="E56" s="53">
        <v>678</v>
      </c>
      <c r="F56" s="53">
        <v>771</v>
      </c>
      <c r="G56" s="53">
        <v>754</v>
      </c>
    </row>
    <row r="57" spans="1:7" x14ac:dyDescent="0.3">
      <c r="A57" s="71" t="s">
        <v>34</v>
      </c>
      <c r="B57" s="53">
        <v>447</v>
      </c>
      <c r="C57" s="53">
        <v>447</v>
      </c>
      <c r="D57" s="53">
        <v>442</v>
      </c>
      <c r="E57" s="53">
        <v>533</v>
      </c>
      <c r="F57" s="53">
        <v>635</v>
      </c>
      <c r="G57" s="53">
        <v>571</v>
      </c>
    </row>
    <row r="58" spans="1:7" x14ac:dyDescent="0.3">
      <c r="A58" s="71" t="s">
        <v>35</v>
      </c>
      <c r="B58" s="53">
        <v>1992</v>
      </c>
      <c r="C58" s="53">
        <v>2119</v>
      </c>
      <c r="D58" s="53">
        <v>2275</v>
      </c>
      <c r="E58" s="53">
        <v>2608</v>
      </c>
      <c r="F58" s="53">
        <v>2689</v>
      </c>
      <c r="G58" s="53">
        <v>2498</v>
      </c>
    </row>
    <row r="59" spans="1:7" x14ac:dyDescent="0.3">
      <c r="A59" s="71" t="s">
        <v>94</v>
      </c>
      <c r="B59" s="53">
        <v>1144</v>
      </c>
      <c r="C59" s="53">
        <v>1125</v>
      </c>
      <c r="D59" s="53">
        <v>1167</v>
      </c>
      <c r="E59" s="53">
        <v>1278</v>
      </c>
      <c r="F59" s="53">
        <v>1391</v>
      </c>
      <c r="G59" s="53">
        <v>1245</v>
      </c>
    </row>
    <row r="60" spans="1:7" x14ac:dyDescent="0.3">
      <c r="A60" s="71" t="s">
        <v>46</v>
      </c>
      <c r="B60" s="53">
        <v>903</v>
      </c>
      <c r="C60" s="53">
        <v>853</v>
      </c>
      <c r="D60" s="53">
        <v>986</v>
      </c>
      <c r="E60" s="53">
        <v>965</v>
      </c>
      <c r="F60" s="53">
        <v>892</v>
      </c>
      <c r="G60" s="53">
        <v>885</v>
      </c>
    </row>
    <row r="61" spans="1:7" x14ac:dyDescent="0.3">
      <c r="A61" s="71" t="s">
        <v>44</v>
      </c>
      <c r="B61" s="53">
        <v>2217</v>
      </c>
      <c r="C61" s="53">
        <v>2284</v>
      </c>
      <c r="D61" s="53">
        <v>2169</v>
      </c>
      <c r="E61" s="53">
        <v>2217</v>
      </c>
      <c r="F61" s="53">
        <v>2256</v>
      </c>
      <c r="G61" s="53">
        <v>1977</v>
      </c>
    </row>
    <row r="62" spans="1:7" x14ac:dyDescent="0.3">
      <c r="A62" s="71" t="s">
        <v>36</v>
      </c>
      <c r="B62" s="53">
        <v>857</v>
      </c>
      <c r="C62" s="53">
        <v>843</v>
      </c>
      <c r="D62" s="53">
        <v>891</v>
      </c>
      <c r="E62" s="53">
        <v>1032</v>
      </c>
      <c r="F62" s="53">
        <v>1095</v>
      </c>
      <c r="G62" s="53">
        <v>1000</v>
      </c>
    </row>
    <row r="63" spans="1:7" x14ac:dyDescent="0.3">
      <c r="A63" s="71" t="s">
        <v>54</v>
      </c>
      <c r="B63" s="53">
        <v>2650</v>
      </c>
      <c r="C63" s="53">
        <v>2862</v>
      </c>
      <c r="D63" s="53">
        <v>2933</v>
      </c>
      <c r="E63" s="53">
        <v>3134</v>
      </c>
      <c r="F63" s="53">
        <v>3254</v>
      </c>
      <c r="G63" s="53">
        <v>2943</v>
      </c>
    </row>
    <row r="64" spans="1:7" x14ac:dyDescent="0.3">
      <c r="A64" s="71" t="s">
        <v>23</v>
      </c>
      <c r="B64" s="53">
        <v>1481</v>
      </c>
      <c r="C64" s="53">
        <v>1501</v>
      </c>
      <c r="D64" s="53">
        <v>1563</v>
      </c>
      <c r="E64" s="53">
        <v>1621</v>
      </c>
      <c r="F64" s="53">
        <v>1541</v>
      </c>
      <c r="G64" s="53">
        <v>1406</v>
      </c>
    </row>
    <row r="65" spans="1:7" x14ac:dyDescent="0.3">
      <c r="A65" s="71" t="s">
        <v>49</v>
      </c>
      <c r="B65" s="53">
        <v>1018</v>
      </c>
      <c r="C65" s="53">
        <v>1026</v>
      </c>
      <c r="D65" s="53">
        <v>1093</v>
      </c>
      <c r="E65" s="53">
        <v>1264</v>
      </c>
      <c r="F65" s="53">
        <v>1113</v>
      </c>
      <c r="G65" s="53">
        <v>834</v>
      </c>
    </row>
    <row r="66" spans="1:7" x14ac:dyDescent="0.3">
      <c r="A66" s="71" t="s">
        <v>24</v>
      </c>
      <c r="B66" s="53">
        <v>2052</v>
      </c>
      <c r="C66" s="53">
        <v>2075</v>
      </c>
      <c r="D66" s="53">
        <v>2220</v>
      </c>
      <c r="E66" s="53">
        <v>2587</v>
      </c>
      <c r="F66" s="53">
        <v>2444</v>
      </c>
      <c r="G66" s="53">
        <v>2317</v>
      </c>
    </row>
    <row r="67" spans="1:7" x14ac:dyDescent="0.3">
      <c r="A67" s="71" t="s">
        <v>68</v>
      </c>
      <c r="B67" s="53">
        <v>1900</v>
      </c>
      <c r="C67" s="53">
        <v>1998</v>
      </c>
      <c r="D67" s="53">
        <v>2241</v>
      </c>
      <c r="E67" s="53">
        <v>2485</v>
      </c>
      <c r="F67" s="53">
        <v>2414</v>
      </c>
      <c r="G67" s="53">
        <v>2543</v>
      </c>
    </row>
    <row r="68" spans="1:7" x14ac:dyDescent="0.3">
      <c r="A68" s="71" t="s">
        <v>41</v>
      </c>
      <c r="B68" s="53">
        <v>794</v>
      </c>
      <c r="C68" s="53">
        <v>832</v>
      </c>
      <c r="D68" s="53">
        <v>827</v>
      </c>
      <c r="E68" s="53">
        <v>994</v>
      </c>
      <c r="F68" s="53">
        <v>1029</v>
      </c>
      <c r="G68" s="53">
        <v>904</v>
      </c>
    </row>
    <row r="69" spans="1:7" x14ac:dyDescent="0.3">
      <c r="A69" s="71" t="s">
        <v>101</v>
      </c>
      <c r="B69" s="53">
        <v>7476</v>
      </c>
      <c r="C69" s="53">
        <v>7645</v>
      </c>
      <c r="D69" s="53">
        <v>8002</v>
      </c>
      <c r="E69" s="53">
        <v>8760</v>
      </c>
      <c r="F69" s="53">
        <v>9180</v>
      </c>
      <c r="G69" s="53">
        <v>8567</v>
      </c>
    </row>
    <row r="70" spans="1:7" x14ac:dyDescent="0.3">
      <c r="A70" s="71" t="s">
        <v>55</v>
      </c>
      <c r="B70" s="53">
        <v>690</v>
      </c>
      <c r="C70" s="53">
        <v>624</v>
      </c>
      <c r="D70" s="53">
        <v>618</v>
      </c>
      <c r="E70" s="53">
        <v>650</v>
      </c>
      <c r="F70" s="53">
        <v>678</v>
      </c>
      <c r="G70" s="53">
        <v>619</v>
      </c>
    </row>
    <row r="71" spans="1:7" x14ac:dyDescent="0.3">
      <c r="A71" s="71" t="s">
        <v>16</v>
      </c>
      <c r="B71" s="53">
        <v>3322</v>
      </c>
      <c r="C71" s="53">
        <v>3333</v>
      </c>
      <c r="D71" s="53">
        <v>3492</v>
      </c>
      <c r="E71" s="53">
        <v>3626</v>
      </c>
      <c r="F71" s="53">
        <v>3578</v>
      </c>
      <c r="G71" s="53">
        <v>3397</v>
      </c>
    </row>
    <row r="72" spans="1:7" x14ac:dyDescent="0.3">
      <c r="A72" s="71" t="s">
        <v>19</v>
      </c>
      <c r="B72" s="53">
        <v>1304</v>
      </c>
      <c r="C72" s="53">
        <v>1413</v>
      </c>
      <c r="D72" s="53">
        <v>1503</v>
      </c>
      <c r="E72" s="53">
        <v>1657</v>
      </c>
      <c r="F72" s="53">
        <v>1656</v>
      </c>
      <c r="G72" s="53">
        <v>1683</v>
      </c>
    </row>
    <row r="73" spans="1:7" x14ac:dyDescent="0.3">
      <c r="A73" s="71" t="s">
        <v>17</v>
      </c>
      <c r="B73" s="53">
        <v>622</v>
      </c>
      <c r="C73" s="53">
        <v>651</v>
      </c>
      <c r="D73" s="53">
        <v>650</v>
      </c>
      <c r="E73" s="53">
        <v>746</v>
      </c>
      <c r="F73" s="53">
        <f>F72-SUM(F74:F75)</f>
        <v>655</v>
      </c>
      <c r="G73" s="53">
        <f>G72-SUM(G74:G75)</f>
        <v>675</v>
      </c>
    </row>
    <row r="74" spans="1:7" x14ac:dyDescent="0.3">
      <c r="A74" s="71" t="s">
        <v>60</v>
      </c>
      <c r="B74" s="53">
        <v>150</v>
      </c>
      <c r="C74" s="53">
        <v>166</v>
      </c>
      <c r="D74" s="53">
        <v>206</v>
      </c>
      <c r="E74" s="53">
        <v>191</v>
      </c>
      <c r="F74" s="53">
        <v>209</v>
      </c>
      <c r="G74" s="53">
        <v>179</v>
      </c>
    </row>
    <row r="75" spans="1:7" x14ac:dyDescent="0.3">
      <c r="A75" s="71" t="s">
        <v>95</v>
      </c>
      <c r="B75" s="53">
        <v>532</v>
      </c>
      <c r="C75" s="53">
        <v>596</v>
      </c>
      <c r="D75" s="53">
        <v>647</v>
      </c>
      <c r="E75" s="53">
        <v>720</v>
      </c>
      <c r="F75" s="53">
        <v>792</v>
      </c>
      <c r="G75" s="53">
        <v>829</v>
      </c>
    </row>
    <row r="76" spans="1:7" x14ac:dyDescent="0.3">
      <c r="A76" s="71" t="s">
        <v>82</v>
      </c>
      <c r="B76" s="53">
        <v>2160</v>
      </c>
      <c r="C76" s="53">
        <v>2275</v>
      </c>
      <c r="D76" s="53">
        <v>2389</v>
      </c>
      <c r="E76" s="53">
        <v>2827</v>
      </c>
      <c r="F76" s="53">
        <v>3268</v>
      </c>
      <c r="G76" s="53">
        <v>2868</v>
      </c>
    </row>
    <row r="77" spans="1:7" x14ac:dyDescent="0.3">
      <c r="A77" s="71" t="s">
        <v>102</v>
      </c>
      <c r="B77" s="53">
        <v>12216</v>
      </c>
      <c r="C77" s="53"/>
      <c r="D77" s="53"/>
      <c r="E77" s="53"/>
      <c r="F77" s="53"/>
      <c r="G77" s="53"/>
    </row>
    <row r="78" spans="1:7" x14ac:dyDescent="0.3">
      <c r="A78" s="71" t="s">
        <v>102</v>
      </c>
      <c r="B78" s="53"/>
      <c r="C78" s="53">
        <v>11735</v>
      </c>
      <c r="D78" s="53">
        <v>11701</v>
      </c>
      <c r="E78" s="53">
        <v>13263</v>
      </c>
      <c r="F78" s="53">
        <v>13479</v>
      </c>
      <c r="G78" s="53">
        <v>12942</v>
      </c>
    </row>
    <row r="79" spans="1:7" x14ac:dyDescent="0.3">
      <c r="A79" s="71" t="s">
        <v>58</v>
      </c>
      <c r="B79" s="53">
        <v>95</v>
      </c>
      <c r="C79" s="53">
        <v>114</v>
      </c>
      <c r="D79" s="53">
        <v>120</v>
      </c>
      <c r="E79" s="53">
        <v>121</v>
      </c>
      <c r="F79" s="53">
        <v>114</v>
      </c>
      <c r="G79" s="53">
        <v>140</v>
      </c>
    </row>
    <row r="80" spans="1:7" x14ac:dyDescent="0.3">
      <c r="A80" s="71" t="s">
        <v>14</v>
      </c>
      <c r="B80" s="53">
        <v>236</v>
      </c>
      <c r="C80" s="53">
        <v>192</v>
      </c>
      <c r="D80" s="53">
        <v>174</v>
      </c>
      <c r="E80" s="53">
        <v>201</v>
      </c>
      <c r="F80" s="53">
        <v>164</v>
      </c>
      <c r="G80" s="53">
        <v>217</v>
      </c>
    </row>
    <row r="81" spans="1:7" x14ac:dyDescent="0.3">
      <c r="A81" s="71" t="s">
        <v>77</v>
      </c>
      <c r="B81" s="53">
        <v>381</v>
      </c>
      <c r="C81" s="53">
        <v>420</v>
      </c>
      <c r="D81" s="53">
        <v>420</v>
      </c>
      <c r="E81" s="53">
        <v>455</v>
      </c>
      <c r="F81" s="53">
        <v>483</v>
      </c>
      <c r="G81" s="53">
        <v>506</v>
      </c>
    </row>
    <row r="82" spans="1:7" x14ac:dyDescent="0.3">
      <c r="A82" s="71" t="s">
        <v>12</v>
      </c>
      <c r="B82" s="53">
        <v>1305</v>
      </c>
      <c r="C82" s="53">
        <v>1380</v>
      </c>
      <c r="D82" s="53">
        <v>1378</v>
      </c>
      <c r="E82" s="53">
        <v>1523</v>
      </c>
      <c r="F82" s="53">
        <v>1729</v>
      </c>
      <c r="G82" s="53">
        <v>1601</v>
      </c>
    </row>
    <row r="83" spans="1:7" x14ac:dyDescent="0.3">
      <c r="A83" s="71" t="s">
        <v>61</v>
      </c>
      <c r="B83" s="53">
        <v>2335</v>
      </c>
      <c r="C83" s="53">
        <v>2465</v>
      </c>
      <c r="D83" s="53">
        <v>2512</v>
      </c>
      <c r="E83" s="53">
        <v>2828</v>
      </c>
      <c r="F83" s="53">
        <v>2792</v>
      </c>
      <c r="G83" s="53">
        <v>2711</v>
      </c>
    </row>
    <row r="84" spans="1:7" x14ac:dyDescent="0.3">
      <c r="A84" s="71" t="s">
        <v>72</v>
      </c>
      <c r="B84" s="53">
        <v>1313</v>
      </c>
      <c r="C84" s="53">
        <v>1353</v>
      </c>
      <c r="D84" s="53">
        <v>1392</v>
      </c>
      <c r="E84" s="53">
        <v>1815</v>
      </c>
      <c r="F84" s="53">
        <v>1856</v>
      </c>
      <c r="G84" s="53">
        <v>1688</v>
      </c>
    </row>
    <row r="85" spans="1:7" x14ac:dyDescent="0.3">
      <c r="A85" s="71" t="s">
        <v>76</v>
      </c>
      <c r="B85" s="53">
        <v>1981</v>
      </c>
      <c r="C85" s="53">
        <v>2192</v>
      </c>
      <c r="D85" s="53">
        <v>2151</v>
      </c>
      <c r="E85" s="53">
        <v>2469</v>
      </c>
      <c r="F85" s="53">
        <v>2463</v>
      </c>
      <c r="G85" s="53">
        <v>2386</v>
      </c>
    </row>
    <row r="86" spans="1:7" x14ac:dyDescent="0.3">
      <c r="A86" s="71" t="s">
        <v>6</v>
      </c>
      <c r="B86" s="53">
        <v>1394</v>
      </c>
      <c r="C86" s="53">
        <v>1541</v>
      </c>
      <c r="D86" s="53">
        <v>1522</v>
      </c>
      <c r="E86" s="53">
        <v>1650</v>
      </c>
      <c r="F86" s="53">
        <v>1681</v>
      </c>
      <c r="G86" s="53">
        <v>1671</v>
      </c>
    </row>
    <row r="87" spans="1:7" x14ac:dyDescent="0.3">
      <c r="A87" s="71" t="s">
        <v>64</v>
      </c>
      <c r="B87" s="53">
        <v>1135</v>
      </c>
      <c r="C87" s="53">
        <v>1140</v>
      </c>
      <c r="D87" s="53">
        <v>1109</v>
      </c>
      <c r="E87" s="53">
        <v>1161</v>
      </c>
      <c r="F87" s="53">
        <v>1049</v>
      </c>
      <c r="G87" s="53">
        <v>1021</v>
      </c>
    </row>
    <row r="88" spans="1:7" x14ac:dyDescent="0.3">
      <c r="A88" s="71" t="s">
        <v>5</v>
      </c>
      <c r="B88" s="53">
        <v>878</v>
      </c>
      <c r="C88" s="53">
        <v>938</v>
      </c>
      <c r="D88" s="53">
        <v>923</v>
      </c>
      <c r="E88" s="53">
        <v>1040</v>
      </c>
      <c r="F88" s="53">
        <v>1148</v>
      </c>
      <c r="G88" s="53">
        <v>1001</v>
      </c>
    </row>
    <row r="89" spans="1:7" x14ac:dyDescent="0.3">
      <c r="A89" s="71" t="s">
        <v>103</v>
      </c>
      <c r="B89" s="53">
        <v>4673</v>
      </c>
      <c r="C89" s="53"/>
      <c r="D89" s="53"/>
      <c r="E89" s="53"/>
      <c r="F89" s="53"/>
      <c r="G89" s="53"/>
    </row>
    <row r="90" spans="1:7" x14ac:dyDescent="0.3">
      <c r="A90" s="71" t="s">
        <v>103</v>
      </c>
      <c r="B90" s="53"/>
      <c r="C90" s="53">
        <v>6087</v>
      </c>
      <c r="D90" s="53">
        <v>6594</v>
      </c>
      <c r="E90" s="53">
        <v>7197</v>
      </c>
      <c r="F90" s="53">
        <v>7354</v>
      </c>
      <c r="G90" s="53">
        <v>6696</v>
      </c>
    </row>
    <row r="91" spans="1:7" x14ac:dyDescent="0.3">
      <c r="A91" s="71" t="s">
        <v>1</v>
      </c>
      <c r="B91" s="53">
        <v>595</v>
      </c>
      <c r="C91" s="53">
        <v>615</v>
      </c>
      <c r="D91" s="53">
        <v>682</v>
      </c>
      <c r="E91" s="53">
        <v>723</v>
      </c>
      <c r="F91" s="53">
        <v>880</v>
      </c>
      <c r="G91" s="53">
        <v>792</v>
      </c>
    </row>
    <row r="92" spans="1:7" x14ac:dyDescent="0.3">
      <c r="A92" s="71" t="s">
        <v>57</v>
      </c>
      <c r="B92" s="53">
        <v>568</v>
      </c>
      <c r="C92" s="53">
        <v>614</v>
      </c>
      <c r="D92" s="53">
        <v>725</v>
      </c>
      <c r="E92" s="53">
        <v>773</v>
      </c>
      <c r="F92" s="53">
        <v>722</v>
      </c>
      <c r="G92" s="53">
        <v>703</v>
      </c>
    </row>
    <row r="93" spans="1:7" x14ac:dyDescent="0.3">
      <c r="A93" s="71" t="s">
        <v>62</v>
      </c>
      <c r="B93" s="53">
        <v>372</v>
      </c>
      <c r="C93" s="53">
        <v>374</v>
      </c>
      <c r="D93" s="53">
        <v>391</v>
      </c>
      <c r="E93" s="53">
        <v>437</v>
      </c>
      <c r="F93" s="53">
        <v>428</v>
      </c>
      <c r="G93" s="53">
        <v>382</v>
      </c>
    </row>
    <row r="94" spans="1:7" x14ac:dyDescent="0.3">
      <c r="A94" s="71" t="s">
        <v>9</v>
      </c>
      <c r="B94" s="53">
        <v>182</v>
      </c>
      <c r="C94" s="53">
        <v>226</v>
      </c>
      <c r="D94" s="53">
        <v>220</v>
      </c>
      <c r="E94" s="53">
        <v>240</v>
      </c>
      <c r="F94" s="53">
        <v>216</v>
      </c>
      <c r="G94" s="53">
        <v>217</v>
      </c>
    </row>
    <row r="95" spans="1:7" x14ac:dyDescent="0.3">
      <c r="A95" s="71" t="s">
        <v>10</v>
      </c>
      <c r="B95" s="53">
        <v>1561</v>
      </c>
      <c r="C95" s="53">
        <v>1619</v>
      </c>
      <c r="D95" s="53">
        <v>1675</v>
      </c>
      <c r="E95" s="53">
        <v>1808</v>
      </c>
      <c r="F95" s="53">
        <v>1832</v>
      </c>
      <c r="G95" s="53">
        <v>1737</v>
      </c>
    </row>
    <row r="96" spans="1:7" x14ac:dyDescent="0.3">
      <c r="A96" s="71" t="s">
        <v>75</v>
      </c>
      <c r="B96" s="53">
        <v>1035</v>
      </c>
      <c r="C96" s="53">
        <v>1097</v>
      </c>
      <c r="D96" s="53">
        <v>1165</v>
      </c>
      <c r="E96" s="53">
        <v>1188</v>
      </c>
      <c r="F96" s="53">
        <v>1192</v>
      </c>
      <c r="G96" s="53">
        <v>1133</v>
      </c>
    </row>
    <row r="97" spans="1:7" x14ac:dyDescent="0.3">
      <c r="A97" s="71" t="s">
        <v>73</v>
      </c>
      <c r="B97" s="53">
        <v>601</v>
      </c>
      <c r="C97" s="53">
        <v>664</v>
      </c>
      <c r="D97" s="53">
        <v>764</v>
      </c>
      <c r="E97" s="53">
        <v>901</v>
      </c>
      <c r="F97" s="53">
        <v>885</v>
      </c>
      <c r="G97" s="53">
        <v>746</v>
      </c>
    </row>
    <row r="98" spans="1:7" x14ac:dyDescent="0.3">
      <c r="A98" s="71" t="s">
        <v>8</v>
      </c>
      <c r="B98" s="53">
        <v>112</v>
      </c>
      <c r="C98" s="53">
        <v>118</v>
      </c>
      <c r="D98" s="53">
        <v>132</v>
      </c>
      <c r="E98" s="53">
        <v>128</v>
      </c>
      <c r="F98" s="53">
        <v>166</v>
      </c>
      <c r="G98" s="53">
        <v>163</v>
      </c>
    </row>
    <row r="99" spans="1:7" x14ac:dyDescent="0.3">
      <c r="A99" s="71" t="s">
        <v>3</v>
      </c>
      <c r="B99" s="53">
        <v>646</v>
      </c>
      <c r="C99" s="53">
        <v>604</v>
      </c>
      <c r="D99" s="53">
        <v>689</v>
      </c>
      <c r="E99" s="53">
        <v>834</v>
      </c>
      <c r="F99" s="53">
        <v>869</v>
      </c>
      <c r="G99" s="53">
        <v>669</v>
      </c>
    </row>
    <row r="100" spans="1:7" x14ac:dyDescent="0.3">
      <c r="A100" s="71" t="s">
        <v>74</v>
      </c>
      <c r="B100" s="53">
        <v>134</v>
      </c>
      <c r="C100" s="53">
        <v>117</v>
      </c>
      <c r="D100" s="53">
        <v>128</v>
      </c>
      <c r="E100" s="53">
        <v>139</v>
      </c>
      <c r="F100" s="53">
        <v>140</v>
      </c>
      <c r="G100" s="53">
        <v>125</v>
      </c>
    </row>
    <row r="101" spans="1:7" x14ac:dyDescent="0.3">
      <c r="A101" s="71" t="s">
        <v>18</v>
      </c>
      <c r="B101" s="53">
        <v>30</v>
      </c>
      <c r="C101" s="53">
        <v>39</v>
      </c>
      <c r="D101" s="53">
        <v>23</v>
      </c>
      <c r="E101" s="53">
        <v>26</v>
      </c>
      <c r="F101" s="53">
        <v>24</v>
      </c>
      <c r="G101" s="53">
        <v>29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FA99E-6C11-4BA1-8D82-C304EAFBC502}">
  <sheetPr codeName="Лист10">
    <tabColor theme="3" tint="0.79998168889431442"/>
    <pageSetUpPr fitToPage="1"/>
  </sheetPr>
  <dimension ref="A1:K101"/>
  <sheetViews>
    <sheetView showGridLines="0" workbookViewId="0"/>
  </sheetViews>
  <sheetFormatPr defaultRowHeight="16.5" x14ac:dyDescent="0.3"/>
  <cols>
    <col min="1" max="1" width="108.5703125" style="9" customWidth="1"/>
    <col min="2" max="4" width="10" style="4" bestFit="1" customWidth="1"/>
    <col min="5" max="6" width="11" style="4" bestFit="1" customWidth="1"/>
    <col min="7" max="7" width="9.85546875" style="4" customWidth="1"/>
    <col min="8" max="240" width="9.140625" style="4"/>
    <col min="241" max="241" width="108.5703125" style="4" customWidth="1"/>
    <col min="242" max="242" width="1.5703125" style="4" customWidth="1"/>
    <col min="243" max="243" width="6" style="4" customWidth="1"/>
    <col min="244" max="496" width="9.140625" style="4"/>
    <col min="497" max="497" width="108.5703125" style="4" customWidth="1"/>
    <col min="498" max="498" width="1.5703125" style="4" customWidth="1"/>
    <col min="499" max="499" width="6" style="4" customWidth="1"/>
    <col min="500" max="752" width="9.140625" style="4"/>
    <col min="753" max="753" width="108.5703125" style="4" customWidth="1"/>
    <col min="754" max="754" width="1.5703125" style="4" customWidth="1"/>
    <col min="755" max="755" width="6" style="4" customWidth="1"/>
    <col min="756" max="1008" width="9.140625" style="4"/>
    <col min="1009" max="1009" width="108.5703125" style="4" customWidth="1"/>
    <col min="1010" max="1010" width="1.5703125" style="4" customWidth="1"/>
    <col min="1011" max="1011" width="6" style="4" customWidth="1"/>
    <col min="1012" max="1264" width="9.140625" style="4"/>
    <col min="1265" max="1265" width="108.5703125" style="4" customWidth="1"/>
    <col min="1266" max="1266" width="1.5703125" style="4" customWidth="1"/>
    <col min="1267" max="1267" width="6" style="4" customWidth="1"/>
    <col min="1268" max="1520" width="9.140625" style="4"/>
    <col min="1521" max="1521" width="108.5703125" style="4" customWidth="1"/>
    <col min="1522" max="1522" width="1.5703125" style="4" customWidth="1"/>
    <col min="1523" max="1523" width="6" style="4" customWidth="1"/>
    <col min="1524" max="1776" width="9.140625" style="4"/>
    <col min="1777" max="1777" width="108.5703125" style="4" customWidth="1"/>
    <col min="1778" max="1778" width="1.5703125" style="4" customWidth="1"/>
    <col min="1779" max="1779" width="6" style="4" customWidth="1"/>
    <col min="1780" max="2032" width="9.140625" style="4"/>
    <col min="2033" max="2033" width="108.5703125" style="4" customWidth="1"/>
    <col min="2034" max="2034" width="1.5703125" style="4" customWidth="1"/>
    <col min="2035" max="2035" width="6" style="4" customWidth="1"/>
    <col min="2036" max="2288" width="9.140625" style="4"/>
    <col min="2289" max="2289" width="108.5703125" style="4" customWidth="1"/>
    <col min="2290" max="2290" width="1.5703125" style="4" customWidth="1"/>
    <col min="2291" max="2291" width="6" style="4" customWidth="1"/>
    <col min="2292" max="2544" width="9.140625" style="4"/>
    <col min="2545" max="2545" width="108.5703125" style="4" customWidth="1"/>
    <col min="2546" max="2546" width="1.5703125" style="4" customWidth="1"/>
    <col min="2547" max="2547" width="6" style="4" customWidth="1"/>
    <col min="2548" max="2800" width="9.140625" style="4"/>
    <col min="2801" max="2801" width="108.5703125" style="4" customWidth="1"/>
    <col min="2802" max="2802" width="1.5703125" style="4" customWidth="1"/>
    <col min="2803" max="2803" width="6" style="4" customWidth="1"/>
    <col min="2804" max="3056" width="9.140625" style="4"/>
    <col min="3057" max="3057" width="108.5703125" style="4" customWidth="1"/>
    <col min="3058" max="3058" width="1.5703125" style="4" customWidth="1"/>
    <col min="3059" max="3059" width="6" style="4" customWidth="1"/>
    <col min="3060" max="3312" width="9.140625" style="4"/>
    <col min="3313" max="3313" width="108.5703125" style="4" customWidth="1"/>
    <col min="3314" max="3314" width="1.5703125" style="4" customWidth="1"/>
    <col min="3315" max="3315" width="6" style="4" customWidth="1"/>
    <col min="3316" max="3568" width="9.140625" style="4"/>
    <col min="3569" max="3569" width="108.5703125" style="4" customWidth="1"/>
    <col min="3570" max="3570" width="1.5703125" style="4" customWidth="1"/>
    <col min="3571" max="3571" width="6" style="4" customWidth="1"/>
    <col min="3572" max="3824" width="9.140625" style="4"/>
    <col min="3825" max="3825" width="108.5703125" style="4" customWidth="1"/>
    <col min="3826" max="3826" width="1.5703125" style="4" customWidth="1"/>
    <col min="3827" max="3827" width="6" style="4" customWidth="1"/>
    <col min="3828" max="4080" width="9.140625" style="4"/>
    <col min="4081" max="4081" width="108.5703125" style="4" customWidth="1"/>
    <col min="4082" max="4082" width="1.5703125" style="4" customWidth="1"/>
    <col min="4083" max="4083" width="6" style="4" customWidth="1"/>
    <col min="4084" max="4336" width="9.140625" style="4"/>
    <col min="4337" max="4337" width="108.5703125" style="4" customWidth="1"/>
    <col min="4338" max="4338" width="1.5703125" style="4" customWidth="1"/>
    <col min="4339" max="4339" width="6" style="4" customWidth="1"/>
    <col min="4340" max="4592" width="9.140625" style="4"/>
    <col min="4593" max="4593" width="108.5703125" style="4" customWidth="1"/>
    <col min="4594" max="4594" width="1.5703125" style="4" customWidth="1"/>
    <col min="4595" max="4595" width="6" style="4" customWidth="1"/>
    <col min="4596" max="4848" width="9.140625" style="4"/>
    <col min="4849" max="4849" width="108.5703125" style="4" customWidth="1"/>
    <col min="4850" max="4850" width="1.5703125" style="4" customWidth="1"/>
    <col min="4851" max="4851" width="6" style="4" customWidth="1"/>
    <col min="4852" max="5104" width="9.140625" style="4"/>
    <col min="5105" max="5105" width="108.5703125" style="4" customWidth="1"/>
    <col min="5106" max="5106" width="1.5703125" style="4" customWidth="1"/>
    <col min="5107" max="5107" width="6" style="4" customWidth="1"/>
    <col min="5108" max="5360" width="9.140625" style="4"/>
    <col min="5361" max="5361" width="108.5703125" style="4" customWidth="1"/>
    <col min="5362" max="5362" width="1.5703125" style="4" customWidth="1"/>
    <col min="5363" max="5363" width="6" style="4" customWidth="1"/>
    <col min="5364" max="5616" width="9.140625" style="4"/>
    <col min="5617" max="5617" width="108.5703125" style="4" customWidth="1"/>
    <col min="5618" max="5618" width="1.5703125" style="4" customWidth="1"/>
    <col min="5619" max="5619" width="6" style="4" customWidth="1"/>
    <col min="5620" max="5872" width="9.140625" style="4"/>
    <col min="5873" max="5873" width="108.5703125" style="4" customWidth="1"/>
    <col min="5874" max="5874" width="1.5703125" style="4" customWidth="1"/>
    <col min="5875" max="5875" width="6" style="4" customWidth="1"/>
    <col min="5876" max="6128" width="9.140625" style="4"/>
    <col min="6129" max="6129" width="108.5703125" style="4" customWidth="1"/>
    <col min="6130" max="6130" width="1.5703125" style="4" customWidth="1"/>
    <col min="6131" max="6131" width="6" style="4" customWidth="1"/>
    <col min="6132" max="6384" width="9.140625" style="4"/>
    <col min="6385" max="6385" width="108.5703125" style="4" customWidth="1"/>
    <col min="6386" max="6386" width="1.5703125" style="4" customWidth="1"/>
    <col min="6387" max="6387" width="6" style="4" customWidth="1"/>
    <col min="6388" max="6640" width="9.140625" style="4"/>
    <col min="6641" max="6641" width="108.5703125" style="4" customWidth="1"/>
    <col min="6642" max="6642" width="1.5703125" style="4" customWidth="1"/>
    <col min="6643" max="6643" width="6" style="4" customWidth="1"/>
    <col min="6644" max="6896" width="9.140625" style="4"/>
    <col min="6897" max="6897" width="108.5703125" style="4" customWidth="1"/>
    <col min="6898" max="6898" width="1.5703125" style="4" customWidth="1"/>
    <col min="6899" max="6899" width="6" style="4" customWidth="1"/>
    <col min="6900" max="7152" width="9.140625" style="4"/>
    <col min="7153" max="7153" width="108.5703125" style="4" customWidth="1"/>
    <col min="7154" max="7154" width="1.5703125" style="4" customWidth="1"/>
    <col min="7155" max="7155" width="6" style="4" customWidth="1"/>
    <col min="7156" max="7408" width="9.140625" style="4"/>
    <col min="7409" max="7409" width="108.5703125" style="4" customWidth="1"/>
    <col min="7410" max="7410" width="1.5703125" style="4" customWidth="1"/>
    <col min="7411" max="7411" width="6" style="4" customWidth="1"/>
    <col min="7412" max="7664" width="9.140625" style="4"/>
    <col min="7665" max="7665" width="108.5703125" style="4" customWidth="1"/>
    <col min="7666" max="7666" width="1.5703125" style="4" customWidth="1"/>
    <col min="7667" max="7667" width="6" style="4" customWidth="1"/>
    <col min="7668" max="7920" width="9.140625" style="4"/>
    <col min="7921" max="7921" width="108.5703125" style="4" customWidth="1"/>
    <col min="7922" max="7922" width="1.5703125" style="4" customWidth="1"/>
    <col min="7923" max="7923" width="6" style="4" customWidth="1"/>
    <col min="7924" max="8176" width="9.140625" style="4"/>
    <col min="8177" max="8177" width="108.5703125" style="4" customWidth="1"/>
    <col min="8178" max="8178" width="1.5703125" style="4" customWidth="1"/>
    <col min="8179" max="8179" width="6" style="4" customWidth="1"/>
    <col min="8180" max="8432" width="9.140625" style="4"/>
    <col min="8433" max="8433" width="108.5703125" style="4" customWidth="1"/>
    <col min="8434" max="8434" width="1.5703125" style="4" customWidth="1"/>
    <col min="8435" max="8435" width="6" style="4" customWidth="1"/>
    <col min="8436" max="8688" width="9.140625" style="4"/>
    <col min="8689" max="8689" width="108.5703125" style="4" customWidth="1"/>
    <col min="8690" max="8690" width="1.5703125" style="4" customWidth="1"/>
    <col min="8691" max="8691" width="6" style="4" customWidth="1"/>
    <col min="8692" max="8944" width="9.140625" style="4"/>
    <col min="8945" max="8945" width="108.5703125" style="4" customWidth="1"/>
    <col min="8946" max="8946" width="1.5703125" style="4" customWidth="1"/>
    <col min="8947" max="8947" width="6" style="4" customWidth="1"/>
    <col min="8948" max="9200" width="9.140625" style="4"/>
    <col min="9201" max="9201" width="108.5703125" style="4" customWidth="1"/>
    <col min="9202" max="9202" width="1.5703125" style="4" customWidth="1"/>
    <col min="9203" max="9203" width="6" style="4" customWidth="1"/>
    <col min="9204" max="9456" width="9.140625" style="4"/>
    <col min="9457" max="9457" width="108.5703125" style="4" customWidth="1"/>
    <col min="9458" max="9458" width="1.5703125" style="4" customWidth="1"/>
    <col min="9459" max="9459" width="6" style="4" customWidth="1"/>
    <col min="9460" max="9712" width="9.140625" style="4"/>
    <col min="9713" max="9713" width="108.5703125" style="4" customWidth="1"/>
    <col min="9714" max="9714" width="1.5703125" style="4" customWidth="1"/>
    <col min="9715" max="9715" width="6" style="4" customWidth="1"/>
    <col min="9716" max="9968" width="9.140625" style="4"/>
    <col min="9969" max="9969" width="108.5703125" style="4" customWidth="1"/>
    <col min="9970" max="9970" width="1.5703125" style="4" customWidth="1"/>
    <col min="9971" max="9971" width="6" style="4" customWidth="1"/>
    <col min="9972" max="10224" width="9.140625" style="4"/>
    <col min="10225" max="10225" width="108.5703125" style="4" customWidth="1"/>
    <col min="10226" max="10226" width="1.5703125" style="4" customWidth="1"/>
    <col min="10227" max="10227" width="6" style="4" customWidth="1"/>
    <col min="10228" max="10480" width="9.140625" style="4"/>
    <col min="10481" max="10481" width="108.5703125" style="4" customWidth="1"/>
    <col min="10482" max="10482" width="1.5703125" style="4" customWidth="1"/>
    <col min="10483" max="10483" width="6" style="4" customWidth="1"/>
    <col min="10484" max="10736" width="9.140625" style="4"/>
    <col min="10737" max="10737" width="108.5703125" style="4" customWidth="1"/>
    <col min="10738" max="10738" width="1.5703125" style="4" customWidth="1"/>
    <col min="10739" max="10739" width="6" style="4" customWidth="1"/>
    <col min="10740" max="10992" width="9.140625" style="4"/>
    <col min="10993" max="10993" width="108.5703125" style="4" customWidth="1"/>
    <col min="10994" max="10994" width="1.5703125" style="4" customWidth="1"/>
    <col min="10995" max="10995" width="6" style="4" customWidth="1"/>
    <col min="10996" max="11248" width="9.140625" style="4"/>
    <col min="11249" max="11249" width="108.5703125" style="4" customWidth="1"/>
    <col min="11250" max="11250" width="1.5703125" style="4" customWidth="1"/>
    <col min="11251" max="11251" width="6" style="4" customWidth="1"/>
    <col min="11252" max="11504" width="9.140625" style="4"/>
    <col min="11505" max="11505" width="108.5703125" style="4" customWidth="1"/>
    <col min="11506" max="11506" width="1.5703125" style="4" customWidth="1"/>
    <col min="11507" max="11507" width="6" style="4" customWidth="1"/>
    <col min="11508" max="11760" width="9.140625" style="4"/>
    <col min="11761" max="11761" width="108.5703125" style="4" customWidth="1"/>
    <col min="11762" max="11762" width="1.5703125" style="4" customWidth="1"/>
    <col min="11763" max="11763" width="6" style="4" customWidth="1"/>
    <col min="11764" max="12016" width="9.140625" style="4"/>
    <col min="12017" max="12017" width="108.5703125" style="4" customWidth="1"/>
    <col min="12018" max="12018" width="1.5703125" style="4" customWidth="1"/>
    <col min="12019" max="12019" width="6" style="4" customWidth="1"/>
    <col min="12020" max="12272" width="9.140625" style="4"/>
    <col min="12273" max="12273" width="108.5703125" style="4" customWidth="1"/>
    <col min="12274" max="12274" width="1.5703125" style="4" customWidth="1"/>
    <col min="12275" max="12275" width="6" style="4" customWidth="1"/>
    <col min="12276" max="12528" width="9.140625" style="4"/>
    <col min="12529" max="12529" width="108.5703125" style="4" customWidth="1"/>
    <col min="12530" max="12530" width="1.5703125" style="4" customWidth="1"/>
    <col min="12531" max="12531" width="6" style="4" customWidth="1"/>
    <col min="12532" max="12784" width="9.140625" style="4"/>
    <col min="12785" max="12785" width="108.5703125" style="4" customWidth="1"/>
    <col min="12786" max="12786" width="1.5703125" style="4" customWidth="1"/>
    <col min="12787" max="12787" width="6" style="4" customWidth="1"/>
    <col min="12788" max="13040" width="9.140625" style="4"/>
    <col min="13041" max="13041" width="108.5703125" style="4" customWidth="1"/>
    <col min="13042" max="13042" width="1.5703125" style="4" customWidth="1"/>
    <col min="13043" max="13043" width="6" style="4" customWidth="1"/>
    <col min="13044" max="13296" width="9.140625" style="4"/>
    <col min="13297" max="13297" width="108.5703125" style="4" customWidth="1"/>
    <col min="13298" max="13298" width="1.5703125" style="4" customWidth="1"/>
    <col min="13299" max="13299" width="6" style="4" customWidth="1"/>
    <col min="13300" max="13552" width="9.140625" style="4"/>
    <col min="13553" max="13553" width="108.5703125" style="4" customWidth="1"/>
    <col min="13554" max="13554" width="1.5703125" style="4" customWidth="1"/>
    <col min="13555" max="13555" width="6" style="4" customWidth="1"/>
    <col min="13556" max="13808" width="9.140625" style="4"/>
    <col min="13809" max="13809" width="108.5703125" style="4" customWidth="1"/>
    <col min="13810" max="13810" width="1.5703125" style="4" customWidth="1"/>
    <col min="13811" max="13811" width="6" style="4" customWidth="1"/>
    <col min="13812" max="14064" width="9.140625" style="4"/>
    <col min="14065" max="14065" width="108.5703125" style="4" customWidth="1"/>
    <col min="14066" max="14066" width="1.5703125" style="4" customWidth="1"/>
    <col min="14067" max="14067" width="6" style="4" customWidth="1"/>
    <col min="14068" max="14320" width="9.140625" style="4"/>
    <col min="14321" max="14321" width="108.5703125" style="4" customWidth="1"/>
    <col min="14322" max="14322" width="1.5703125" style="4" customWidth="1"/>
    <col min="14323" max="14323" width="6" style="4" customWidth="1"/>
    <col min="14324" max="14576" width="9.140625" style="4"/>
    <col min="14577" max="14577" width="108.5703125" style="4" customWidth="1"/>
    <col min="14578" max="14578" width="1.5703125" style="4" customWidth="1"/>
    <col min="14579" max="14579" width="6" style="4" customWidth="1"/>
    <col min="14580" max="14832" width="9.140625" style="4"/>
    <col min="14833" max="14833" width="108.5703125" style="4" customWidth="1"/>
    <col min="14834" max="14834" width="1.5703125" style="4" customWidth="1"/>
    <col min="14835" max="14835" width="6" style="4" customWidth="1"/>
    <col min="14836" max="15088" width="9.140625" style="4"/>
    <col min="15089" max="15089" width="108.5703125" style="4" customWidth="1"/>
    <col min="15090" max="15090" width="1.5703125" style="4" customWidth="1"/>
    <col min="15091" max="15091" width="6" style="4" customWidth="1"/>
    <col min="15092" max="15344" width="9.140625" style="4"/>
    <col min="15345" max="15345" width="108.5703125" style="4" customWidth="1"/>
    <col min="15346" max="15346" width="1.5703125" style="4" customWidth="1"/>
    <col min="15347" max="15347" width="6" style="4" customWidth="1"/>
    <col min="15348" max="15600" width="9.140625" style="4"/>
    <col min="15601" max="15601" width="108.5703125" style="4" customWidth="1"/>
    <col min="15602" max="15602" width="1.5703125" style="4" customWidth="1"/>
    <col min="15603" max="15603" width="6" style="4" customWidth="1"/>
    <col min="15604" max="15856" width="9.140625" style="4"/>
    <col min="15857" max="15857" width="108.5703125" style="4" customWidth="1"/>
    <col min="15858" max="15858" width="1.5703125" style="4" customWidth="1"/>
    <col min="15859" max="15859" width="6" style="4" customWidth="1"/>
    <col min="15860" max="16112" width="9.140625" style="4"/>
    <col min="16113" max="16113" width="108.5703125" style="4" customWidth="1"/>
    <col min="16114" max="16114" width="1.5703125" style="4" customWidth="1"/>
    <col min="16115" max="16115" width="6" style="4" customWidth="1"/>
    <col min="16116" max="16384" width="9.140625" style="4"/>
  </cols>
  <sheetData>
    <row r="1" spans="1:11" x14ac:dyDescent="0.3">
      <c r="A1" s="8" t="s">
        <v>303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3" spans="1:11" x14ac:dyDescent="0.3">
      <c r="A3" s="48" t="s">
        <v>129</v>
      </c>
      <c r="B3" s="20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11" x14ac:dyDescent="0.3">
      <c r="A4" s="71" t="s">
        <v>87</v>
      </c>
      <c r="B4" s="53"/>
      <c r="C4" s="53">
        <v>1683274.29</v>
      </c>
      <c r="D4" s="53">
        <v>1825049.99</v>
      </c>
      <c r="E4" s="53">
        <v>1447412.79</v>
      </c>
      <c r="F4" s="53">
        <v>1931411.1</v>
      </c>
      <c r="G4" s="53">
        <v>2350146.5</v>
      </c>
    </row>
    <row r="5" spans="1:11" x14ac:dyDescent="0.3">
      <c r="A5" s="71" t="s">
        <v>96</v>
      </c>
      <c r="B5" s="53">
        <v>389012.69</v>
      </c>
      <c r="C5" s="53">
        <v>579867.79</v>
      </c>
      <c r="D5" s="53">
        <v>635032.79</v>
      </c>
      <c r="E5" s="53">
        <v>484271.69</v>
      </c>
      <c r="F5" s="53">
        <v>668430.68999999994</v>
      </c>
      <c r="G5" s="53">
        <v>777128.59</v>
      </c>
    </row>
    <row r="6" spans="1:11" x14ac:dyDescent="0.3">
      <c r="A6" s="71" t="s">
        <v>50</v>
      </c>
      <c r="B6" s="53">
        <v>7902.19</v>
      </c>
      <c r="C6" s="53">
        <v>8428.7900000000009</v>
      </c>
      <c r="D6" s="53">
        <v>9037.99</v>
      </c>
      <c r="E6" s="53">
        <v>9588.19</v>
      </c>
      <c r="F6" s="53">
        <v>11841.79</v>
      </c>
      <c r="G6" s="53">
        <v>13970.2</v>
      </c>
    </row>
    <row r="7" spans="1:11" x14ac:dyDescent="0.3">
      <c r="A7" s="71" t="s">
        <v>48</v>
      </c>
      <c r="B7" s="53">
        <v>11332.2</v>
      </c>
      <c r="C7" s="53">
        <v>12120.09</v>
      </c>
      <c r="D7" s="53">
        <v>12815.59</v>
      </c>
      <c r="E7" s="53">
        <v>8878.39</v>
      </c>
      <c r="F7" s="53">
        <v>11637.89</v>
      </c>
      <c r="G7" s="53">
        <v>12772.49</v>
      </c>
    </row>
    <row r="8" spans="1:11" x14ac:dyDescent="0.3">
      <c r="A8" s="71" t="s">
        <v>20</v>
      </c>
      <c r="B8" s="53">
        <v>10530.09</v>
      </c>
      <c r="C8" s="53">
        <v>10836.99</v>
      </c>
      <c r="D8" s="53">
        <v>11583.09</v>
      </c>
      <c r="E8" s="53">
        <v>9387.39</v>
      </c>
      <c r="F8" s="53">
        <v>12341.59</v>
      </c>
      <c r="G8" s="53">
        <v>13454.29</v>
      </c>
    </row>
    <row r="9" spans="1:11" x14ac:dyDescent="0.3">
      <c r="A9" s="71" t="s">
        <v>4</v>
      </c>
      <c r="B9" s="53">
        <v>14932.39</v>
      </c>
      <c r="C9" s="53">
        <v>16344.9</v>
      </c>
      <c r="D9" s="53">
        <v>18075.89</v>
      </c>
      <c r="E9" s="53">
        <v>15415.7</v>
      </c>
      <c r="F9" s="53">
        <v>20134.189999999999</v>
      </c>
      <c r="G9" s="53">
        <v>23594.400000000001</v>
      </c>
    </row>
    <row r="10" spans="1:11" x14ac:dyDescent="0.3">
      <c r="A10" s="71" t="s">
        <v>45</v>
      </c>
      <c r="B10" s="53">
        <v>5808.4</v>
      </c>
      <c r="C10" s="53">
        <v>6472.9</v>
      </c>
      <c r="D10" s="53">
        <v>7146.49</v>
      </c>
      <c r="E10" s="53">
        <v>6837.4</v>
      </c>
      <c r="F10" s="53">
        <v>7575.6</v>
      </c>
      <c r="G10" s="53">
        <v>7795.6</v>
      </c>
    </row>
    <row r="11" spans="1:11" x14ac:dyDescent="0.3">
      <c r="A11" s="71" t="s">
        <v>40</v>
      </c>
      <c r="B11" s="53">
        <v>8237.2900000000009</v>
      </c>
      <c r="C11" s="53">
        <v>8814.7900000000009</v>
      </c>
      <c r="D11" s="53">
        <v>10801.29</v>
      </c>
      <c r="E11" s="53">
        <v>9465.39</v>
      </c>
      <c r="F11" s="53">
        <v>12117.29</v>
      </c>
      <c r="G11" s="53">
        <v>13495.99</v>
      </c>
    </row>
    <row r="12" spans="1:11" x14ac:dyDescent="0.3">
      <c r="A12" s="71" t="s">
        <v>37</v>
      </c>
      <c r="B12" s="53">
        <v>4188.99</v>
      </c>
      <c r="C12" s="53">
        <v>4443.7</v>
      </c>
      <c r="D12" s="53">
        <v>4773.59</v>
      </c>
      <c r="E12" s="53">
        <v>3698.69</v>
      </c>
      <c r="F12" s="53">
        <v>4725.59</v>
      </c>
      <c r="G12" s="53">
        <v>5518.69</v>
      </c>
    </row>
    <row r="13" spans="1:11" x14ac:dyDescent="0.3">
      <c r="A13" s="71" t="s">
        <v>56</v>
      </c>
      <c r="B13" s="53">
        <v>6137.99</v>
      </c>
      <c r="C13" s="53">
        <v>6298.19</v>
      </c>
      <c r="D13" s="53">
        <v>6772.49</v>
      </c>
      <c r="E13" s="53">
        <v>6187.1</v>
      </c>
      <c r="F13" s="53">
        <v>7174.39</v>
      </c>
      <c r="G13" s="53">
        <v>7762.29</v>
      </c>
    </row>
    <row r="14" spans="1:11" x14ac:dyDescent="0.3">
      <c r="A14" s="71" t="s">
        <v>51</v>
      </c>
      <c r="B14" s="53">
        <v>6894.49</v>
      </c>
      <c r="C14" s="53">
        <v>7328.6</v>
      </c>
      <c r="D14" s="53">
        <v>8006.59</v>
      </c>
      <c r="E14" s="53">
        <v>6701.6</v>
      </c>
      <c r="F14" s="53">
        <v>8838.09</v>
      </c>
      <c r="G14" s="53">
        <v>9853.2900000000009</v>
      </c>
    </row>
    <row r="15" spans="1:11" x14ac:dyDescent="0.3">
      <c r="A15" s="71" t="s">
        <v>21</v>
      </c>
      <c r="B15" s="53">
        <v>100649.19</v>
      </c>
      <c r="C15" s="53">
        <v>113372.19</v>
      </c>
      <c r="D15" s="53">
        <v>131130.49</v>
      </c>
      <c r="E15" s="53">
        <v>101663.69</v>
      </c>
      <c r="F15" s="53">
        <v>134049.39000000001</v>
      </c>
      <c r="G15" s="53">
        <v>145653.89000000001</v>
      </c>
    </row>
    <row r="16" spans="1:11" x14ac:dyDescent="0.3">
      <c r="A16" s="71" t="s">
        <v>70</v>
      </c>
      <c r="B16" s="53">
        <v>3934.19</v>
      </c>
      <c r="C16" s="53">
        <v>4077.29</v>
      </c>
      <c r="D16" s="53">
        <v>4349.2</v>
      </c>
      <c r="E16" s="53">
        <v>3579.49</v>
      </c>
      <c r="F16" s="53">
        <v>4425.99</v>
      </c>
      <c r="G16" s="53">
        <v>4922.8999999999996</v>
      </c>
    </row>
    <row r="17" spans="1:7" x14ac:dyDescent="0.3">
      <c r="A17" s="71" t="s">
        <v>59</v>
      </c>
      <c r="B17" s="53">
        <v>6104.4</v>
      </c>
      <c r="C17" s="53">
        <v>6452.6</v>
      </c>
      <c r="D17" s="53">
        <v>6979.6</v>
      </c>
      <c r="E17" s="53">
        <v>7024.99</v>
      </c>
      <c r="F17" s="53">
        <v>9893.09</v>
      </c>
      <c r="G17" s="53">
        <v>10687.39</v>
      </c>
    </row>
    <row r="18" spans="1:7" x14ac:dyDescent="0.3">
      <c r="A18" s="71" t="s">
        <v>43</v>
      </c>
      <c r="B18" s="53">
        <v>6535.99</v>
      </c>
      <c r="C18" s="53">
        <v>6958.9</v>
      </c>
      <c r="D18" s="53">
        <v>7284.29</v>
      </c>
      <c r="E18" s="53">
        <v>5679.9</v>
      </c>
      <c r="F18" s="53">
        <v>7094.1</v>
      </c>
      <c r="G18" s="53">
        <v>7756.1</v>
      </c>
    </row>
    <row r="19" spans="1:7" x14ac:dyDescent="0.3">
      <c r="A19" s="71" t="s">
        <v>15</v>
      </c>
      <c r="B19" s="53">
        <v>5235.3</v>
      </c>
      <c r="C19" s="53">
        <v>5804.6</v>
      </c>
      <c r="D19" s="53">
        <v>6283.29</v>
      </c>
      <c r="E19" s="53">
        <v>5705.99</v>
      </c>
      <c r="F19" s="53">
        <v>6663.69</v>
      </c>
      <c r="G19" s="53">
        <v>8426.89</v>
      </c>
    </row>
    <row r="20" spans="1:7" x14ac:dyDescent="0.3">
      <c r="A20" s="71" t="s">
        <v>38</v>
      </c>
      <c r="B20" s="53">
        <v>8320.2000000000007</v>
      </c>
      <c r="C20" s="53">
        <v>8682.99</v>
      </c>
      <c r="D20" s="53">
        <v>9247.99</v>
      </c>
      <c r="E20" s="53">
        <v>7976.1</v>
      </c>
      <c r="F20" s="53">
        <v>10602.2</v>
      </c>
      <c r="G20" s="53">
        <v>13454.29</v>
      </c>
    </row>
    <row r="21" spans="1:7" x14ac:dyDescent="0.3">
      <c r="A21" s="71" t="s">
        <v>39</v>
      </c>
      <c r="B21" s="53">
        <v>8098.6</v>
      </c>
      <c r="C21" s="53">
        <v>8483.2000000000007</v>
      </c>
      <c r="D21" s="53">
        <v>8991.49</v>
      </c>
      <c r="E21" s="53">
        <v>8080.89</v>
      </c>
      <c r="F21" s="53">
        <v>10087.59</v>
      </c>
      <c r="G21" s="53">
        <v>12502.09</v>
      </c>
    </row>
    <row r="22" spans="1:7" x14ac:dyDescent="0.3">
      <c r="A22" s="71" t="s">
        <v>78</v>
      </c>
      <c r="B22" s="53">
        <v>9575.99</v>
      </c>
      <c r="C22" s="53">
        <v>10614.59</v>
      </c>
      <c r="D22" s="53">
        <v>13239.59</v>
      </c>
      <c r="E22" s="53">
        <v>12036.79</v>
      </c>
      <c r="F22" s="53">
        <v>14942.49</v>
      </c>
      <c r="G22" s="53">
        <v>17260.689999999999</v>
      </c>
    </row>
    <row r="23" spans="1:7" x14ac:dyDescent="0.3">
      <c r="A23" s="71" t="s">
        <v>13</v>
      </c>
      <c r="B23" s="53">
        <v>164594.69</v>
      </c>
      <c r="C23" s="53">
        <v>334332.69</v>
      </c>
      <c r="D23" s="53">
        <v>358513.39</v>
      </c>
      <c r="E23" s="53">
        <v>256363.9</v>
      </c>
      <c r="F23" s="53">
        <v>374285.59</v>
      </c>
      <c r="G23" s="53">
        <v>448246.99</v>
      </c>
    </row>
    <row r="24" spans="1:7" x14ac:dyDescent="0.3">
      <c r="A24" s="71" t="s">
        <v>97</v>
      </c>
      <c r="B24" s="53">
        <v>157556.4</v>
      </c>
      <c r="C24" s="53">
        <v>170390.99</v>
      </c>
      <c r="D24" s="53">
        <v>191398.59</v>
      </c>
      <c r="E24" s="53">
        <v>154507.9</v>
      </c>
      <c r="F24" s="53">
        <v>241991.09</v>
      </c>
      <c r="G24" s="53">
        <v>298041.99</v>
      </c>
    </row>
    <row r="25" spans="1:7" x14ac:dyDescent="0.3">
      <c r="A25" s="71" t="s">
        <v>71</v>
      </c>
      <c r="B25" s="53">
        <v>4782.99</v>
      </c>
      <c r="C25" s="53">
        <v>4968.99</v>
      </c>
      <c r="D25" s="53">
        <v>5484.79</v>
      </c>
      <c r="E25" s="53">
        <v>5752.19</v>
      </c>
      <c r="F25" s="53">
        <v>6703.19</v>
      </c>
      <c r="G25" s="53">
        <v>8578.69</v>
      </c>
    </row>
    <row r="26" spans="1:7" x14ac:dyDescent="0.3">
      <c r="A26" s="71" t="s">
        <v>65</v>
      </c>
      <c r="B26" s="53">
        <v>8130.39</v>
      </c>
      <c r="C26" s="53">
        <v>9590.2900000000009</v>
      </c>
      <c r="D26" s="53">
        <v>9326.99</v>
      </c>
      <c r="E26" s="53">
        <v>9454.49</v>
      </c>
      <c r="F26" s="53">
        <v>12186.29</v>
      </c>
      <c r="G26" s="53">
        <v>13934.3</v>
      </c>
    </row>
    <row r="27" spans="1:7" x14ac:dyDescent="0.3">
      <c r="A27" s="71" t="s">
        <v>53</v>
      </c>
      <c r="B27" s="53">
        <v>14455.49</v>
      </c>
      <c r="C27" s="53">
        <v>15451.09</v>
      </c>
      <c r="D27" s="53">
        <v>16250.2</v>
      </c>
      <c r="E27" s="53">
        <v>13622.2</v>
      </c>
      <c r="F27" s="53">
        <v>17606.29</v>
      </c>
      <c r="G27" s="53">
        <v>20133.990000000002</v>
      </c>
    </row>
    <row r="28" spans="1:7" x14ac:dyDescent="0.3">
      <c r="A28" s="71" t="s">
        <v>7</v>
      </c>
      <c r="B28" s="53">
        <v>1278.8</v>
      </c>
      <c r="C28" s="53">
        <v>1345.8</v>
      </c>
      <c r="D28" s="53">
        <v>1325.69</v>
      </c>
      <c r="E28" s="53">
        <v>1268.2</v>
      </c>
      <c r="F28" s="53">
        <v>1666.6</v>
      </c>
      <c r="G28" s="53">
        <v>1957.49</v>
      </c>
    </row>
    <row r="29" spans="1:7" x14ac:dyDescent="0.3">
      <c r="A29" s="71" t="s">
        <v>88</v>
      </c>
      <c r="B29" s="53">
        <v>13176.7</v>
      </c>
      <c r="C29" s="53">
        <v>14105.29</v>
      </c>
      <c r="D29" s="53">
        <v>14924.49</v>
      </c>
      <c r="E29" s="53">
        <v>12353.99</v>
      </c>
      <c r="F29" s="53">
        <v>15939.7</v>
      </c>
      <c r="G29" s="53">
        <v>18176.490000000002</v>
      </c>
    </row>
    <row r="30" spans="1:7" x14ac:dyDescent="0.3">
      <c r="A30" s="71" t="s">
        <v>80</v>
      </c>
      <c r="B30" s="53">
        <v>7220.49</v>
      </c>
      <c r="C30" s="53">
        <v>8088.89</v>
      </c>
      <c r="D30" s="53">
        <v>9095.19</v>
      </c>
      <c r="E30" s="53">
        <v>7862.69</v>
      </c>
      <c r="F30" s="53">
        <v>10007.99</v>
      </c>
      <c r="G30" s="53">
        <v>12746.7</v>
      </c>
    </row>
    <row r="31" spans="1:7" x14ac:dyDescent="0.3">
      <c r="A31" s="71" t="s">
        <v>69</v>
      </c>
      <c r="B31" s="53">
        <v>11700.89</v>
      </c>
      <c r="C31" s="53">
        <v>13043.2</v>
      </c>
      <c r="D31" s="53">
        <v>14287.99</v>
      </c>
      <c r="E31" s="53">
        <v>11329.79</v>
      </c>
      <c r="F31" s="53">
        <v>17241.3</v>
      </c>
      <c r="G31" s="53">
        <v>22518.9</v>
      </c>
    </row>
    <row r="32" spans="1:7" x14ac:dyDescent="0.3">
      <c r="A32" s="71" t="s">
        <v>33</v>
      </c>
      <c r="B32" s="53">
        <v>15462.2</v>
      </c>
      <c r="C32" s="53">
        <v>16784.89</v>
      </c>
      <c r="D32" s="53">
        <v>18849.689999999999</v>
      </c>
      <c r="E32" s="53">
        <v>14496.49</v>
      </c>
      <c r="F32" s="53">
        <v>19064.189999999999</v>
      </c>
      <c r="G32" s="53">
        <v>20773.490000000002</v>
      </c>
    </row>
    <row r="33" spans="1:7" x14ac:dyDescent="0.3">
      <c r="A33" s="71" t="s">
        <v>30</v>
      </c>
      <c r="B33" s="53">
        <v>13756.7</v>
      </c>
      <c r="C33" s="53">
        <v>14112.89</v>
      </c>
      <c r="D33" s="53">
        <v>14488.2</v>
      </c>
      <c r="E33" s="53">
        <v>14392.39</v>
      </c>
      <c r="F33" s="53">
        <v>23689.19</v>
      </c>
      <c r="G33" s="53">
        <v>28152.79</v>
      </c>
    </row>
    <row r="34" spans="1:7" x14ac:dyDescent="0.3">
      <c r="A34" s="71" t="s">
        <v>52</v>
      </c>
      <c r="B34" s="53">
        <v>4804.8999999999996</v>
      </c>
      <c r="C34" s="53">
        <v>4910.8999999999996</v>
      </c>
      <c r="D34" s="53">
        <v>5106.6000000000004</v>
      </c>
      <c r="E34" s="53">
        <v>4669.09</v>
      </c>
      <c r="F34" s="53">
        <v>5204.8</v>
      </c>
      <c r="G34" s="53">
        <v>5694.19</v>
      </c>
    </row>
    <row r="35" spans="1:7" x14ac:dyDescent="0.3">
      <c r="A35" s="71" t="s">
        <v>31</v>
      </c>
      <c r="B35" s="53">
        <v>4835.8999999999996</v>
      </c>
      <c r="C35" s="53">
        <v>5242.3900000000003</v>
      </c>
      <c r="D35" s="53">
        <v>5944.99</v>
      </c>
      <c r="E35" s="53">
        <v>5692.49</v>
      </c>
      <c r="F35" s="53">
        <v>6568.29</v>
      </c>
      <c r="G35" s="53">
        <v>7638.99</v>
      </c>
    </row>
    <row r="36" spans="1:7" x14ac:dyDescent="0.3">
      <c r="A36" s="71" t="s">
        <v>32</v>
      </c>
      <c r="B36" s="53">
        <v>72406.39</v>
      </c>
      <c r="C36" s="53">
        <v>78197.490000000005</v>
      </c>
      <c r="D36" s="53">
        <v>92563.79</v>
      </c>
      <c r="E36" s="53">
        <v>67235.990000000005</v>
      </c>
      <c r="F36" s="53">
        <v>123719.49</v>
      </c>
      <c r="G36" s="53">
        <v>157869.89000000001</v>
      </c>
    </row>
    <row r="37" spans="1:7" x14ac:dyDescent="0.3">
      <c r="A37" s="71" t="s">
        <v>98</v>
      </c>
      <c r="B37" s="53">
        <v>151445.99</v>
      </c>
      <c r="C37" s="53">
        <v>161135.4</v>
      </c>
      <c r="D37" s="53">
        <v>173439.7</v>
      </c>
      <c r="E37" s="53">
        <v>156788.69</v>
      </c>
      <c r="F37" s="53">
        <v>186345.09</v>
      </c>
      <c r="G37" s="53">
        <v>230227.39</v>
      </c>
    </row>
    <row r="38" spans="1:7" x14ac:dyDescent="0.3">
      <c r="A38" s="71" t="s">
        <v>26</v>
      </c>
      <c r="B38" s="53">
        <v>3084.89</v>
      </c>
      <c r="C38" s="53">
        <v>3222.59</v>
      </c>
      <c r="D38" s="53">
        <v>3896.49</v>
      </c>
      <c r="E38" s="53">
        <v>2882.3</v>
      </c>
      <c r="F38" s="53">
        <v>3821.49</v>
      </c>
      <c r="G38" s="53">
        <v>3945.79</v>
      </c>
    </row>
    <row r="39" spans="1:7" x14ac:dyDescent="0.3">
      <c r="A39" s="71" t="s">
        <v>27</v>
      </c>
      <c r="B39" s="53">
        <v>569.4</v>
      </c>
      <c r="C39" s="53">
        <v>599.79</v>
      </c>
      <c r="D39" s="53">
        <v>676.7</v>
      </c>
      <c r="E39" s="53">
        <v>541.9</v>
      </c>
      <c r="F39" s="53">
        <v>841.7</v>
      </c>
      <c r="G39" s="53">
        <v>1186.49</v>
      </c>
    </row>
    <row r="40" spans="1:7" x14ac:dyDescent="0.3">
      <c r="A40" s="71" t="s">
        <v>89</v>
      </c>
      <c r="B40" s="53">
        <v>10348.69</v>
      </c>
      <c r="C40" s="53">
        <v>11989.39</v>
      </c>
      <c r="D40" s="53">
        <v>13785.89</v>
      </c>
      <c r="E40" s="53">
        <v>13852.49</v>
      </c>
      <c r="F40" s="53">
        <v>19786.8</v>
      </c>
      <c r="G40" s="53">
        <v>23114.79</v>
      </c>
    </row>
    <row r="41" spans="1:7" x14ac:dyDescent="0.3">
      <c r="A41" s="71" t="s">
        <v>28</v>
      </c>
      <c r="B41" s="53">
        <v>73148.19</v>
      </c>
      <c r="C41" s="53">
        <v>76689.490000000005</v>
      </c>
      <c r="D41" s="53">
        <v>81280.490000000005</v>
      </c>
      <c r="E41" s="53">
        <v>75393.490000000005</v>
      </c>
      <c r="F41" s="53">
        <v>88308.89</v>
      </c>
      <c r="G41" s="53">
        <v>107678.89</v>
      </c>
    </row>
    <row r="42" spans="1:7" x14ac:dyDescent="0.3">
      <c r="A42" s="71" t="s">
        <v>25</v>
      </c>
      <c r="B42" s="53">
        <v>8974.19</v>
      </c>
      <c r="C42" s="53">
        <v>9587.09</v>
      </c>
      <c r="D42" s="53">
        <v>10200.290000000001</v>
      </c>
      <c r="E42" s="53">
        <v>8299.09</v>
      </c>
      <c r="F42" s="53">
        <v>9206.49</v>
      </c>
      <c r="G42" s="53">
        <v>10827.29</v>
      </c>
    </row>
    <row r="43" spans="1:7" x14ac:dyDescent="0.3">
      <c r="A43" s="71" t="s">
        <v>22</v>
      </c>
      <c r="B43" s="53">
        <v>12374.39</v>
      </c>
      <c r="C43" s="53">
        <v>13680.89</v>
      </c>
      <c r="D43" s="53">
        <v>15175.39</v>
      </c>
      <c r="E43" s="53">
        <v>13365.99</v>
      </c>
      <c r="F43" s="53">
        <v>15990.09</v>
      </c>
      <c r="G43" s="53">
        <v>19079.09</v>
      </c>
    </row>
    <row r="44" spans="1:7" x14ac:dyDescent="0.3">
      <c r="A44" s="71" t="s">
        <v>29</v>
      </c>
      <c r="B44" s="53">
        <v>37411.089999999997</v>
      </c>
      <c r="C44" s="53">
        <v>39649.300000000003</v>
      </c>
      <c r="D44" s="53">
        <v>42165.99</v>
      </c>
      <c r="E44" s="53">
        <v>36625.79</v>
      </c>
      <c r="F44" s="53">
        <v>40769.79</v>
      </c>
      <c r="G44" s="53">
        <v>51509.49</v>
      </c>
    </row>
    <row r="45" spans="1:7" x14ac:dyDescent="0.3">
      <c r="A45" s="71" t="s">
        <v>90</v>
      </c>
      <c r="B45" s="53">
        <v>5535.1</v>
      </c>
      <c r="C45" s="53">
        <v>5716.8</v>
      </c>
      <c r="D45" s="53">
        <v>6258.39</v>
      </c>
      <c r="E45" s="53">
        <v>5827.49</v>
      </c>
      <c r="F45" s="53">
        <v>7619.89</v>
      </c>
      <c r="G45" s="53">
        <v>12885.49</v>
      </c>
    </row>
    <row r="46" spans="1:7" x14ac:dyDescent="0.3">
      <c r="A46" s="71" t="s">
        <v>99</v>
      </c>
      <c r="B46" s="53">
        <v>143697.29</v>
      </c>
      <c r="C46" s="53">
        <v>138058.39000000001</v>
      </c>
      <c r="D46" s="53">
        <v>144041.99</v>
      </c>
      <c r="E46" s="53">
        <v>106075.89</v>
      </c>
      <c r="F46" s="53">
        <v>135982.29</v>
      </c>
      <c r="G46" s="53">
        <v>163681.29</v>
      </c>
    </row>
    <row r="47" spans="1:7" x14ac:dyDescent="0.3">
      <c r="A47" s="71" t="s">
        <v>63</v>
      </c>
      <c r="B47" s="53">
        <v>86343.39</v>
      </c>
      <c r="C47" s="53">
        <v>76920.09</v>
      </c>
      <c r="D47" s="53">
        <v>79868.990000000005</v>
      </c>
      <c r="E47" s="53">
        <v>54831.39</v>
      </c>
      <c r="F47" s="53">
        <v>72818.19</v>
      </c>
      <c r="G47" s="53">
        <v>96123.19</v>
      </c>
    </row>
    <row r="48" spans="1:7" x14ac:dyDescent="0.3">
      <c r="A48" s="71" t="s">
        <v>81</v>
      </c>
      <c r="B48" s="53">
        <v>360.49</v>
      </c>
      <c r="C48" s="53">
        <v>461.1</v>
      </c>
      <c r="D48" s="53">
        <v>449.39</v>
      </c>
      <c r="E48" s="53">
        <v>462.29</v>
      </c>
      <c r="F48" s="53">
        <v>522.79</v>
      </c>
      <c r="G48" s="53">
        <v>856.5</v>
      </c>
    </row>
    <row r="49" spans="1:7" x14ac:dyDescent="0.3">
      <c r="A49" s="71" t="s">
        <v>91</v>
      </c>
      <c r="B49" s="53">
        <v>4749.2</v>
      </c>
      <c r="C49" s="53">
        <v>5441.9</v>
      </c>
      <c r="D49" s="53">
        <v>5473.5</v>
      </c>
      <c r="E49" s="53">
        <v>4934.09</v>
      </c>
      <c r="F49" s="53">
        <v>6288.9</v>
      </c>
      <c r="G49" s="53">
        <v>7738.49</v>
      </c>
    </row>
    <row r="50" spans="1:7" x14ac:dyDescent="0.3">
      <c r="A50" s="71" t="s">
        <v>92</v>
      </c>
      <c r="B50" s="53">
        <v>888.5</v>
      </c>
      <c r="C50" s="53">
        <v>928.59</v>
      </c>
      <c r="D50" s="53">
        <v>990.4</v>
      </c>
      <c r="E50" s="53">
        <v>930.79</v>
      </c>
      <c r="F50" s="53">
        <v>1348.49</v>
      </c>
      <c r="G50" s="53">
        <v>1427.19</v>
      </c>
    </row>
    <row r="51" spans="1:7" x14ac:dyDescent="0.3">
      <c r="A51" s="71" t="s">
        <v>47</v>
      </c>
      <c r="B51" s="53">
        <v>4667.2</v>
      </c>
      <c r="C51" s="53">
        <v>4843.99</v>
      </c>
      <c r="D51" s="53">
        <v>4734.29</v>
      </c>
      <c r="E51" s="53">
        <v>3839.09</v>
      </c>
      <c r="F51" s="53">
        <v>5344.1</v>
      </c>
      <c r="G51" s="53">
        <v>5994.69</v>
      </c>
    </row>
    <row r="52" spans="1:7" x14ac:dyDescent="0.3">
      <c r="A52" s="71" t="s">
        <v>93</v>
      </c>
      <c r="B52" s="53">
        <v>11772.09</v>
      </c>
      <c r="C52" s="53">
        <v>12894.2</v>
      </c>
      <c r="D52" s="53">
        <v>13927.39</v>
      </c>
      <c r="E52" s="53">
        <v>12612.2</v>
      </c>
      <c r="F52" s="53">
        <v>14913.79</v>
      </c>
      <c r="G52" s="53">
        <v>16138.2</v>
      </c>
    </row>
    <row r="53" spans="1:7" x14ac:dyDescent="0.3">
      <c r="A53" s="71" t="s">
        <v>11</v>
      </c>
      <c r="B53" s="53">
        <v>34916.39</v>
      </c>
      <c r="C53" s="53">
        <v>36568.589999999997</v>
      </c>
      <c r="D53" s="53">
        <v>38597.99</v>
      </c>
      <c r="E53" s="53">
        <v>28466.09</v>
      </c>
      <c r="F53" s="53">
        <v>34745.89</v>
      </c>
      <c r="G53" s="53">
        <v>35402.99</v>
      </c>
    </row>
    <row r="54" spans="1:7" x14ac:dyDescent="0.3">
      <c r="A54" s="71" t="s">
        <v>100</v>
      </c>
      <c r="B54" s="53">
        <v>227687.09</v>
      </c>
      <c r="C54" s="53">
        <v>242124.89</v>
      </c>
      <c r="D54" s="53">
        <v>256825.99</v>
      </c>
      <c r="E54" s="53">
        <v>199378.7</v>
      </c>
      <c r="F54" s="53">
        <v>246089.2</v>
      </c>
      <c r="G54" s="53">
        <v>300593.59000000003</v>
      </c>
    </row>
    <row r="55" spans="1:7" x14ac:dyDescent="0.3">
      <c r="A55" s="71" t="s">
        <v>83</v>
      </c>
      <c r="B55" s="53">
        <v>28744.400000000001</v>
      </c>
      <c r="C55" s="53">
        <v>29782.49</v>
      </c>
      <c r="D55" s="53">
        <v>30773.9</v>
      </c>
      <c r="E55" s="53">
        <v>23731.09</v>
      </c>
      <c r="F55" s="53">
        <v>27275.599999999999</v>
      </c>
      <c r="G55" s="53">
        <v>32454.49</v>
      </c>
    </row>
    <row r="56" spans="1:7" x14ac:dyDescent="0.3">
      <c r="A56" s="71" t="s">
        <v>42</v>
      </c>
      <c r="B56" s="53">
        <v>4759.29</v>
      </c>
      <c r="C56" s="53">
        <v>5057.6000000000004</v>
      </c>
      <c r="D56" s="53">
        <v>5718.79</v>
      </c>
      <c r="E56" s="53">
        <v>4292.8900000000003</v>
      </c>
      <c r="F56" s="53">
        <v>5626.79</v>
      </c>
      <c r="G56" s="53">
        <v>7537.69</v>
      </c>
    </row>
    <row r="57" spans="1:7" x14ac:dyDescent="0.3">
      <c r="A57" s="71" t="s">
        <v>34</v>
      </c>
      <c r="B57" s="53">
        <v>4267.49</v>
      </c>
      <c r="C57" s="53">
        <v>5016.2</v>
      </c>
      <c r="D57" s="53">
        <v>5011.3</v>
      </c>
      <c r="E57" s="53">
        <v>3860.59</v>
      </c>
      <c r="F57" s="53">
        <v>4407.49</v>
      </c>
      <c r="G57" s="53">
        <v>5547.5</v>
      </c>
    </row>
    <row r="58" spans="1:7" x14ac:dyDescent="0.3">
      <c r="A58" s="71" t="s">
        <v>35</v>
      </c>
      <c r="B58" s="53">
        <v>39997</v>
      </c>
      <c r="C58" s="53">
        <v>44067.19</v>
      </c>
      <c r="D58" s="53">
        <v>47651.19</v>
      </c>
      <c r="E58" s="53">
        <v>37432.89</v>
      </c>
      <c r="F58" s="53">
        <v>46589.89</v>
      </c>
      <c r="G58" s="53">
        <v>54722.29</v>
      </c>
    </row>
    <row r="59" spans="1:7" x14ac:dyDescent="0.3">
      <c r="A59" s="71" t="s">
        <v>94</v>
      </c>
      <c r="B59" s="53">
        <v>11847.39</v>
      </c>
      <c r="C59" s="53">
        <v>12585.89</v>
      </c>
      <c r="D59" s="53">
        <v>13238.2</v>
      </c>
      <c r="E59" s="53">
        <v>10758.4</v>
      </c>
      <c r="F59" s="53">
        <v>13371.3</v>
      </c>
      <c r="G59" s="53">
        <v>16812.39</v>
      </c>
    </row>
    <row r="60" spans="1:7" x14ac:dyDescent="0.3">
      <c r="A60" s="71" t="s">
        <v>46</v>
      </c>
      <c r="B60" s="53">
        <v>9451.49</v>
      </c>
      <c r="C60" s="53">
        <v>10119.69</v>
      </c>
      <c r="D60" s="53">
        <v>10892.29</v>
      </c>
      <c r="E60" s="53">
        <v>8493.09</v>
      </c>
      <c r="F60" s="53">
        <v>11268.19</v>
      </c>
      <c r="G60" s="53">
        <v>13497.2</v>
      </c>
    </row>
    <row r="61" spans="1:7" x14ac:dyDescent="0.3">
      <c r="A61" s="71" t="s">
        <v>44</v>
      </c>
      <c r="B61" s="53">
        <v>23623.79</v>
      </c>
      <c r="C61" s="53">
        <v>22759.09</v>
      </c>
      <c r="D61" s="53">
        <v>23964.19</v>
      </c>
      <c r="E61" s="53">
        <v>17933.189999999999</v>
      </c>
      <c r="F61" s="53">
        <v>23884.89</v>
      </c>
      <c r="G61" s="53">
        <v>30211.19</v>
      </c>
    </row>
    <row r="62" spans="1:7" x14ac:dyDescent="0.3">
      <c r="A62" s="71" t="s">
        <v>36</v>
      </c>
      <c r="B62" s="53">
        <v>10862.09</v>
      </c>
      <c r="C62" s="53">
        <v>11314.89</v>
      </c>
      <c r="D62" s="53">
        <v>11666.69</v>
      </c>
      <c r="E62" s="53">
        <v>9342.49</v>
      </c>
      <c r="F62" s="53">
        <v>11207.2</v>
      </c>
      <c r="G62" s="53">
        <v>13922.3</v>
      </c>
    </row>
    <row r="63" spans="1:7" x14ac:dyDescent="0.3">
      <c r="A63" s="71" t="s">
        <v>54</v>
      </c>
      <c r="B63" s="53">
        <v>24760.49</v>
      </c>
      <c r="C63" s="53">
        <v>27413.200000000001</v>
      </c>
      <c r="D63" s="53">
        <v>29562.99</v>
      </c>
      <c r="E63" s="53">
        <v>21266.59</v>
      </c>
      <c r="F63" s="53">
        <v>26741.7</v>
      </c>
      <c r="G63" s="53">
        <v>32063.9</v>
      </c>
    </row>
    <row r="64" spans="1:7" x14ac:dyDescent="0.3">
      <c r="A64" s="71" t="s">
        <v>23</v>
      </c>
      <c r="B64" s="53">
        <v>15400.99</v>
      </c>
      <c r="C64" s="53">
        <v>16273.79</v>
      </c>
      <c r="D64" s="53">
        <v>17024.79</v>
      </c>
      <c r="E64" s="53">
        <v>12935.39</v>
      </c>
      <c r="F64" s="53">
        <v>15665.59</v>
      </c>
      <c r="G64" s="53">
        <v>18439.689999999999</v>
      </c>
    </row>
    <row r="65" spans="1:7" x14ac:dyDescent="0.3">
      <c r="A65" s="71" t="s">
        <v>49</v>
      </c>
      <c r="B65" s="53">
        <v>9905.2900000000009</v>
      </c>
      <c r="C65" s="53">
        <v>10392.39</v>
      </c>
      <c r="D65" s="53">
        <v>10763.29</v>
      </c>
      <c r="E65" s="53">
        <v>8960.59</v>
      </c>
      <c r="F65" s="53">
        <v>10261.290000000001</v>
      </c>
      <c r="G65" s="53">
        <v>11411.39</v>
      </c>
    </row>
    <row r="66" spans="1:7" x14ac:dyDescent="0.3">
      <c r="A66" s="71" t="s">
        <v>24</v>
      </c>
      <c r="B66" s="53">
        <v>24332.79</v>
      </c>
      <c r="C66" s="53">
        <v>26491.1</v>
      </c>
      <c r="D66" s="53">
        <v>28227.4</v>
      </c>
      <c r="E66" s="53">
        <v>20481.79</v>
      </c>
      <c r="F66" s="53">
        <v>25496.19</v>
      </c>
      <c r="G66" s="53">
        <v>36981.1</v>
      </c>
    </row>
    <row r="67" spans="1:7" x14ac:dyDescent="0.3">
      <c r="A67" s="71" t="s">
        <v>68</v>
      </c>
      <c r="B67" s="53">
        <v>13692.2</v>
      </c>
      <c r="C67" s="53">
        <v>14708.39</v>
      </c>
      <c r="D67" s="53">
        <v>15634.09</v>
      </c>
      <c r="E67" s="53">
        <v>13941.49</v>
      </c>
      <c r="F67" s="53">
        <v>16330.39</v>
      </c>
      <c r="G67" s="53">
        <v>17657.39</v>
      </c>
    </row>
    <row r="68" spans="1:7" x14ac:dyDescent="0.3">
      <c r="A68" s="71" t="s">
        <v>41</v>
      </c>
      <c r="B68" s="53">
        <v>6042.3</v>
      </c>
      <c r="C68" s="53">
        <v>6142.99</v>
      </c>
      <c r="D68" s="53">
        <v>6696.6</v>
      </c>
      <c r="E68" s="53">
        <v>5948.1</v>
      </c>
      <c r="F68" s="53">
        <v>7962.69</v>
      </c>
      <c r="G68" s="53">
        <v>9334.99</v>
      </c>
    </row>
    <row r="69" spans="1:7" x14ac:dyDescent="0.3">
      <c r="A69" s="71" t="s">
        <v>101</v>
      </c>
      <c r="B69" s="53">
        <v>150326.49</v>
      </c>
      <c r="C69" s="53">
        <v>155818.39000000001</v>
      </c>
      <c r="D69" s="53">
        <v>163542.19</v>
      </c>
      <c r="E69" s="53">
        <v>135348.70000000001</v>
      </c>
      <c r="F69" s="53">
        <v>167952.4</v>
      </c>
      <c r="G69" s="53">
        <v>224153.39</v>
      </c>
    </row>
    <row r="70" spans="1:7" x14ac:dyDescent="0.3">
      <c r="A70" s="71" t="s">
        <v>55</v>
      </c>
      <c r="B70" s="53">
        <v>3691.8</v>
      </c>
      <c r="C70" s="53">
        <v>3808.89</v>
      </c>
      <c r="D70" s="53">
        <v>3977.09</v>
      </c>
      <c r="E70" s="53">
        <v>3008.2</v>
      </c>
      <c r="F70" s="53">
        <v>3777.3</v>
      </c>
      <c r="G70" s="53">
        <v>4530.59</v>
      </c>
    </row>
    <row r="71" spans="1:7" x14ac:dyDescent="0.3">
      <c r="A71" s="71" t="s">
        <v>16</v>
      </c>
      <c r="B71" s="53">
        <v>50548.3</v>
      </c>
      <c r="C71" s="53">
        <v>52514.29</v>
      </c>
      <c r="D71" s="53">
        <v>54888.3</v>
      </c>
      <c r="E71" s="53">
        <v>38762.589999999997</v>
      </c>
      <c r="F71" s="53">
        <v>47383.3</v>
      </c>
      <c r="G71" s="53">
        <v>73759.490000000005</v>
      </c>
    </row>
    <row r="72" spans="1:7" x14ac:dyDescent="0.3">
      <c r="A72" s="71" t="s">
        <v>19</v>
      </c>
      <c r="B72" s="53">
        <v>75445.490000000005</v>
      </c>
      <c r="C72" s="53">
        <v>78409.89</v>
      </c>
      <c r="D72" s="53">
        <v>81629.69</v>
      </c>
      <c r="E72" s="53">
        <v>70969.09</v>
      </c>
      <c r="F72" s="53">
        <v>84225.49</v>
      </c>
      <c r="G72" s="53">
        <v>97198.79</v>
      </c>
    </row>
    <row r="73" spans="1:7" x14ac:dyDescent="0.3">
      <c r="A73" s="71" t="s">
        <v>17</v>
      </c>
      <c r="B73" s="53">
        <v>37095.89</v>
      </c>
      <c r="C73" s="53">
        <v>36173.79</v>
      </c>
      <c r="D73" s="53">
        <v>36946.1</v>
      </c>
      <c r="E73" s="53">
        <v>30696.19</v>
      </c>
      <c r="F73" s="53">
        <v>35083.49</v>
      </c>
      <c r="G73" s="53">
        <v>37683.79</v>
      </c>
    </row>
    <row r="74" spans="1:7" x14ac:dyDescent="0.3">
      <c r="A74" s="71" t="s">
        <v>60</v>
      </c>
      <c r="B74" s="53">
        <v>12651.89</v>
      </c>
      <c r="C74" s="53">
        <v>14253.89</v>
      </c>
      <c r="D74" s="53">
        <v>15460.2</v>
      </c>
      <c r="E74" s="53">
        <v>14705.09</v>
      </c>
      <c r="F74" s="53">
        <v>19650.900000000001</v>
      </c>
      <c r="G74" s="53">
        <v>25424.99</v>
      </c>
    </row>
    <row r="75" spans="1:7" x14ac:dyDescent="0.3">
      <c r="A75" s="71" t="s">
        <v>95</v>
      </c>
      <c r="B75" s="53">
        <v>25697.69</v>
      </c>
      <c r="C75" s="53">
        <v>27982.19</v>
      </c>
      <c r="D75" s="53">
        <v>29223.4</v>
      </c>
      <c r="E75" s="53">
        <v>25567.79</v>
      </c>
      <c r="F75" s="53">
        <v>29491.09</v>
      </c>
      <c r="G75" s="53">
        <v>34089.99</v>
      </c>
    </row>
    <row r="76" spans="1:7" x14ac:dyDescent="0.3">
      <c r="A76" s="71" t="s">
        <v>82</v>
      </c>
      <c r="B76" s="53">
        <v>20640.89</v>
      </c>
      <c r="C76" s="53">
        <v>21085.29</v>
      </c>
      <c r="D76" s="53">
        <v>23047.09</v>
      </c>
      <c r="E76" s="53">
        <v>22608.79</v>
      </c>
      <c r="F76" s="53">
        <v>32566.29</v>
      </c>
      <c r="G76" s="53">
        <v>48664.49</v>
      </c>
    </row>
    <row r="77" spans="1:7" x14ac:dyDescent="0.3">
      <c r="A77" s="71" t="s">
        <v>102</v>
      </c>
      <c r="B77" s="53">
        <v>139737.49</v>
      </c>
      <c r="C77" s="53"/>
      <c r="D77" s="53"/>
      <c r="E77" s="53"/>
      <c r="F77" s="53"/>
      <c r="G77" s="53"/>
    </row>
    <row r="78" spans="1:7" x14ac:dyDescent="0.3">
      <c r="A78" s="71" t="s">
        <v>102</v>
      </c>
      <c r="B78" s="53"/>
      <c r="C78" s="53">
        <v>134235.89000000001</v>
      </c>
      <c r="D78" s="53">
        <v>150652.39000000001</v>
      </c>
      <c r="E78" s="53">
        <v>117122.79</v>
      </c>
      <c r="F78" s="53">
        <v>157040.49</v>
      </c>
      <c r="G78" s="53">
        <v>198801.09</v>
      </c>
    </row>
    <row r="79" spans="1:7" x14ac:dyDescent="0.3">
      <c r="A79" s="71" t="s">
        <v>58</v>
      </c>
      <c r="B79" s="53">
        <v>843.49</v>
      </c>
      <c r="C79" s="53">
        <v>855.1</v>
      </c>
      <c r="D79" s="53">
        <v>1054.99</v>
      </c>
      <c r="E79" s="53">
        <v>993.2</v>
      </c>
      <c r="F79" s="53">
        <v>2103.59</v>
      </c>
      <c r="G79" s="53">
        <v>2728.39</v>
      </c>
    </row>
    <row r="80" spans="1:7" x14ac:dyDescent="0.3">
      <c r="A80" s="71" t="s">
        <v>14</v>
      </c>
      <c r="B80" s="53">
        <v>753.2</v>
      </c>
      <c r="C80" s="53">
        <v>828.09</v>
      </c>
      <c r="D80" s="53">
        <v>1101.3</v>
      </c>
      <c r="E80" s="53">
        <v>882.49</v>
      </c>
      <c r="F80" s="53">
        <v>1046.8900000000001</v>
      </c>
      <c r="G80" s="53">
        <v>1414.19</v>
      </c>
    </row>
    <row r="81" spans="1:7" x14ac:dyDescent="0.3">
      <c r="A81" s="71" t="s">
        <v>77</v>
      </c>
      <c r="B81" s="53">
        <v>5036.2</v>
      </c>
      <c r="C81" s="53">
        <v>5251.6</v>
      </c>
      <c r="D81" s="53">
        <v>5634.29</v>
      </c>
      <c r="E81" s="53">
        <v>5272.8</v>
      </c>
      <c r="F81" s="53">
        <v>5854.4</v>
      </c>
      <c r="G81" s="53">
        <v>6682.29</v>
      </c>
    </row>
    <row r="82" spans="1:7" x14ac:dyDescent="0.3">
      <c r="A82" s="71" t="s">
        <v>12</v>
      </c>
      <c r="B82" s="53">
        <v>9488.7900000000009</v>
      </c>
      <c r="C82" s="53">
        <v>9855.49</v>
      </c>
      <c r="D82" s="53">
        <v>10364.89</v>
      </c>
      <c r="E82" s="53">
        <v>8507.7900000000009</v>
      </c>
      <c r="F82" s="53">
        <v>10920.9</v>
      </c>
      <c r="G82" s="53">
        <v>13815.59</v>
      </c>
    </row>
    <row r="83" spans="1:7" x14ac:dyDescent="0.3">
      <c r="A83" s="71" t="s">
        <v>61</v>
      </c>
      <c r="B83" s="53">
        <v>23111.99</v>
      </c>
      <c r="C83" s="53">
        <v>26486.79</v>
      </c>
      <c r="D83" s="53">
        <v>30292.59</v>
      </c>
      <c r="E83" s="53">
        <v>24161.89</v>
      </c>
      <c r="F83" s="53">
        <v>34139.1</v>
      </c>
      <c r="G83" s="53">
        <v>42386.19</v>
      </c>
    </row>
    <row r="84" spans="1:7" x14ac:dyDescent="0.3">
      <c r="A84" s="71" t="s">
        <v>72</v>
      </c>
      <c r="B84" s="53">
        <v>14244.79</v>
      </c>
      <c r="C84" s="53">
        <v>15608.89</v>
      </c>
      <c r="D84" s="53">
        <v>17263.189999999999</v>
      </c>
      <c r="E84" s="53">
        <v>12571.7</v>
      </c>
      <c r="F84" s="53">
        <v>19508.990000000002</v>
      </c>
      <c r="G84" s="53">
        <v>27898.400000000001</v>
      </c>
    </row>
    <row r="85" spans="1:7" x14ac:dyDescent="0.3">
      <c r="A85" s="71" t="s">
        <v>76</v>
      </c>
      <c r="B85" s="53">
        <v>19041.8</v>
      </c>
      <c r="C85" s="53">
        <v>20149.29</v>
      </c>
      <c r="D85" s="53">
        <v>22086.29</v>
      </c>
      <c r="E85" s="53">
        <v>17325.59</v>
      </c>
      <c r="F85" s="53">
        <v>23866.09</v>
      </c>
      <c r="G85" s="53">
        <v>28143.29</v>
      </c>
    </row>
    <row r="86" spans="1:7" x14ac:dyDescent="0.3">
      <c r="A86" s="71" t="s">
        <v>6</v>
      </c>
      <c r="B86" s="53">
        <v>25751.19</v>
      </c>
      <c r="C86" s="53">
        <v>31275.4</v>
      </c>
      <c r="D86" s="53">
        <v>36410.19</v>
      </c>
      <c r="E86" s="53">
        <v>26415.9</v>
      </c>
      <c r="F86" s="53">
        <v>34127.300000000003</v>
      </c>
      <c r="G86" s="53">
        <v>45198.8</v>
      </c>
    </row>
    <row r="87" spans="1:7" x14ac:dyDescent="0.3">
      <c r="A87" s="71" t="s">
        <v>64</v>
      </c>
      <c r="B87" s="53">
        <v>14372.7</v>
      </c>
      <c r="C87" s="53">
        <v>14573.39</v>
      </c>
      <c r="D87" s="53">
        <v>16905.189999999999</v>
      </c>
      <c r="E87" s="53">
        <v>14722.59</v>
      </c>
      <c r="F87" s="53">
        <v>17452.89</v>
      </c>
      <c r="G87" s="53">
        <v>20908.59</v>
      </c>
    </row>
    <row r="88" spans="1:7" x14ac:dyDescent="0.3">
      <c r="A88" s="71" t="s">
        <v>5</v>
      </c>
      <c r="B88" s="53">
        <v>8682.69</v>
      </c>
      <c r="C88" s="53">
        <v>9351.89</v>
      </c>
      <c r="D88" s="53">
        <v>9539.39</v>
      </c>
      <c r="E88" s="53">
        <v>6268.79</v>
      </c>
      <c r="F88" s="53">
        <v>8020.29</v>
      </c>
      <c r="G88" s="53">
        <v>9625.2900000000009</v>
      </c>
    </row>
    <row r="89" spans="1:7" x14ac:dyDescent="0.3">
      <c r="A89" s="71" t="s">
        <v>103</v>
      </c>
      <c r="B89" s="53">
        <v>75125.59</v>
      </c>
      <c r="C89" s="53"/>
      <c r="D89" s="53"/>
      <c r="E89" s="53"/>
      <c r="F89" s="53"/>
      <c r="G89" s="53"/>
    </row>
    <row r="90" spans="1:7" x14ac:dyDescent="0.3">
      <c r="A90" s="71" t="s">
        <v>103</v>
      </c>
      <c r="B90" s="53"/>
      <c r="C90" s="53">
        <v>101642.49</v>
      </c>
      <c r="D90" s="53">
        <v>110116.29</v>
      </c>
      <c r="E90" s="53">
        <v>93918.39</v>
      </c>
      <c r="F90" s="53">
        <v>127579.79</v>
      </c>
      <c r="G90" s="53">
        <v>157519.09</v>
      </c>
    </row>
    <row r="91" spans="1:7" x14ac:dyDescent="0.3">
      <c r="A91" s="71" t="s">
        <v>1</v>
      </c>
      <c r="B91" s="53">
        <v>10018.69</v>
      </c>
      <c r="C91" s="53">
        <v>10353.290000000001</v>
      </c>
      <c r="D91" s="53">
        <v>11421.89</v>
      </c>
      <c r="E91" s="53">
        <v>9748.2000000000007</v>
      </c>
      <c r="F91" s="53">
        <v>11381.79</v>
      </c>
      <c r="G91" s="53">
        <v>14687.29</v>
      </c>
    </row>
    <row r="92" spans="1:7" x14ac:dyDescent="0.3">
      <c r="A92" s="71" t="s">
        <v>57</v>
      </c>
      <c r="B92" s="53">
        <v>8391.89</v>
      </c>
      <c r="C92" s="53">
        <v>8856.69</v>
      </c>
      <c r="D92" s="53">
        <v>9902.2900000000009</v>
      </c>
      <c r="E92" s="53">
        <v>8356.89</v>
      </c>
      <c r="F92" s="53">
        <v>10408.69</v>
      </c>
      <c r="G92" s="53">
        <v>12848.39</v>
      </c>
    </row>
    <row r="93" spans="1:7" x14ac:dyDescent="0.3">
      <c r="A93" s="71" t="s">
        <v>62</v>
      </c>
      <c r="B93" s="53">
        <v>16792.8</v>
      </c>
      <c r="C93" s="53">
        <v>20880.490000000002</v>
      </c>
      <c r="D93" s="53">
        <v>22629.99</v>
      </c>
      <c r="E93" s="53">
        <v>20812.89</v>
      </c>
      <c r="F93" s="53">
        <v>27346.99</v>
      </c>
      <c r="G93" s="53">
        <v>30186.29</v>
      </c>
    </row>
    <row r="94" spans="1:7" x14ac:dyDescent="0.3">
      <c r="A94" s="71" t="s">
        <v>9</v>
      </c>
      <c r="B94" s="53">
        <v>5733.29</v>
      </c>
      <c r="C94" s="53">
        <v>5945.1</v>
      </c>
      <c r="D94" s="53">
        <v>6229.99</v>
      </c>
      <c r="E94" s="53">
        <v>6034.1</v>
      </c>
      <c r="F94" s="53">
        <v>6786.9</v>
      </c>
      <c r="G94" s="53">
        <v>8427.59</v>
      </c>
    </row>
    <row r="95" spans="1:7" x14ac:dyDescent="0.3">
      <c r="A95" s="71" t="s">
        <v>10</v>
      </c>
      <c r="B95" s="53">
        <v>16965.59</v>
      </c>
      <c r="C95" s="53">
        <v>18049.490000000002</v>
      </c>
      <c r="D95" s="53">
        <v>19495.8</v>
      </c>
      <c r="E95" s="53">
        <v>13119.1</v>
      </c>
      <c r="F95" s="53">
        <v>25882.99</v>
      </c>
      <c r="G95" s="53">
        <v>29692.19</v>
      </c>
    </row>
    <row r="96" spans="1:7" x14ac:dyDescent="0.3">
      <c r="A96" s="71" t="s">
        <v>75</v>
      </c>
      <c r="B96" s="53">
        <v>17197.39</v>
      </c>
      <c r="C96" s="53">
        <v>18086.689999999999</v>
      </c>
      <c r="D96" s="53">
        <v>19506.29</v>
      </c>
      <c r="E96" s="53">
        <v>16295.7</v>
      </c>
      <c r="F96" s="53">
        <v>21361.39</v>
      </c>
      <c r="G96" s="53">
        <v>29336.49</v>
      </c>
    </row>
    <row r="97" spans="1:7" x14ac:dyDescent="0.3">
      <c r="A97" s="71" t="s">
        <v>73</v>
      </c>
      <c r="B97" s="53">
        <v>5944.1</v>
      </c>
      <c r="C97" s="53">
        <v>6175.9</v>
      </c>
      <c r="D97" s="53">
        <v>6473.99</v>
      </c>
      <c r="E97" s="53">
        <v>6367.19</v>
      </c>
      <c r="F97" s="53">
        <v>9199.49</v>
      </c>
      <c r="G97" s="53">
        <v>13734.3</v>
      </c>
    </row>
    <row r="98" spans="1:7" x14ac:dyDescent="0.3">
      <c r="A98" s="71" t="s">
        <v>8</v>
      </c>
      <c r="B98" s="53">
        <v>2262.89</v>
      </c>
      <c r="C98" s="53">
        <v>2656.6</v>
      </c>
      <c r="D98" s="53">
        <v>2738.09</v>
      </c>
      <c r="E98" s="53">
        <v>2767.1</v>
      </c>
      <c r="F98" s="53">
        <v>3258.49</v>
      </c>
      <c r="G98" s="53">
        <v>4020.99</v>
      </c>
    </row>
    <row r="99" spans="1:7" x14ac:dyDescent="0.3">
      <c r="A99" s="71" t="s">
        <v>3</v>
      </c>
      <c r="B99" s="53">
        <v>8823.59</v>
      </c>
      <c r="C99" s="53">
        <v>9045.49</v>
      </c>
      <c r="D99" s="53">
        <v>9714.2900000000009</v>
      </c>
      <c r="E99" s="53">
        <v>8188.69</v>
      </c>
      <c r="F99" s="53">
        <v>9144.59</v>
      </c>
      <c r="G99" s="53">
        <v>11209.49</v>
      </c>
    </row>
    <row r="100" spans="1:7" x14ac:dyDescent="0.3">
      <c r="A100" s="71" t="s">
        <v>74</v>
      </c>
      <c r="B100" s="53">
        <v>802.5</v>
      </c>
      <c r="C100" s="53">
        <v>869.49</v>
      </c>
      <c r="D100" s="53">
        <v>935.29</v>
      </c>
      <c r="E100" s="53">
        <v>673.4</v>
      </c>
      <c r="F100" s="53">
        <v>814.89</v>
      </c>
      <c r="G100" s="53">
        <v>1118.0899999999999</v>
      </c>
    </row>
    <row r="101" spans="1:7" x14ac:dyDescent="0.3">
      <c r="A101" s="71" t="s">
        <v>18</v>
      </c>
      <c r="B101" s="53">
        <v>603.4</v>
      </c>
      <c r="C101" s="53">
        <v>723.2</v>
      </c>
      <c r="D101" s="53">
        <v>1068.0899999999999</v>
      </c>
      <c r="E101" s="53">
        <v>1555.1</v>
      </c>
      <c r="F101" s="53">
        <v>1993.4</v>
      </c>
      <c r="G101" s="53">
        <v>2257.89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FDD18-BD28-45BA-8069-F2583A3DFBDF}">
  <sheetPr codeName="Лист11">
    <tabColor theme="3" tint="0.79998168889431442"/>
    <pageSetUpPr fitToPage="1"/>
  </sheetPr>
  <dimension ref="A1:K99"/>
  <sheetViews>
    <sheetView showGridLines="0" workbookViewId="0">
      <selection activeCell="A84" sqref="A84"/>
    </sheetView>
  </sheetViews>
  <sheetFormatPr defaultRowHeight="16.5" x14ac:dyDescent="0.3"/>
  <cols>
    <col min="1" max="1" width="108.5703125" style="9" customWidth="1"/>
    <col min="2" max="4" width="10" style="4" bestFit="1" customWidth="1"/>
    <col min="5" max="6" width="11" style="4" bestFit="1" customWidth="1"/>
    <col min="7" max="7" width="9.85546875" style="4" customWidth="1"/>
    <col min="8" max="240" width="9.140625" style="4"/>
    <col min="241" max="241" width="108.5703125" style="4" customWidth="1"/>
    <col min="242" max="242" width="1.5703125" style="4" customWidth="1"/>
    <col min="243" max="243" width="6" style="4" customWidth="1"/>
    <col min="244" max="496" width="9.140625" style="4"/>
    <col min="497" max="497" width="108.5703125" style="4" customWidth="1"/>
    <col min="498" max="498" width="1.5703125" style="4" customWidth="1"/>
    <col min="499" max="499" width="6" style="4" customWidth="1"/>
    <col min="500" max="752" width="9.140625" style="4"/>
    <col min="753" max="753" width="108.5703125" style="4" customWidth="1"/>
    <col min="754" max="754" width="1.5703125" style="4" customWidth="1"/>
    <col min="755" max="755" width="6" style="4" customWidth="1"/>
    <col min="756" max="1008" width="9.140625" style="4"/>
    <col min="1009" max="1009" width="108.5703125" style="4" customWidth="1"/>
    <col min="1010" max="1010" width="1.5703125" style="4" customWidth="1"/>
    <col min="1011" max="1011" width="6" style="4" customWidth="1"/>
    <col min="1012" max="1264" width="9.140625" style="4"/>
    <col min="1265" max="1265" width="108.5703125" style="4" customWidth="1"/>
    <col min="1266" max="1266" width="1.5703125" style="4" customWidth="1"/>
    <col min="1267" max="1267" width="6" style="4" customWidth="1"/>
    <col min="1268" max="1520" width="9.140625" style="4"/>
    <col min="1521" max="1521" width="108.5703125" style="4" customWidth="1"/>
    <col min="1522" max="1522" width="1.5703125" style="4" customWidth="1"/>
    <col min="1523" max="1523" width="6" style="4" customWidth="1"/>
    <col min="1524" max="1776" width="9.140625" style="4"/>
    <col min="1777" max="1777" width="108.5703125" style="4" customWidth="1"/>
    <col min="1778" max="1778" width="1.5703125" style="4" customWidth="1"/>
    <col min="1779" max="1779" width="6" style="4" customWidth="1"/>
    <col min="1780" max="2032" width="9.140625" style="4"/>
    <col min="2033" max="2033" width="108.5703125" style="4" customWidth="1"/>
    <col min="2034" max="2034" width="1.5703125" style="4" customWidth="1"/>
    <col min="2035" max="2035" width="6" style="4" customWidth="1"/>
    <col min="2036" max="2288" width="9.140625" style="4"/>
    <col min="2289" max="2289" width="108.5703125" style="4" customWidth="1"/>
    <col min="2290" max="2290" width="1.5703125" style="4" customWidth="1"/>
    <col min="2291" max="2291" width="6" style="4" customWidth="1"/>
    <col min="2292" max="2544" width="9.140625" style="4"/>
    <col min="2545" max="2545" width="108.5703125" style="4" customWidth="1"/>
    <col min="2546" max="2546" width="1.5703125" style="4" customWidth="1"/>
    <col min="2547" max="2547" width="6" style="4" customWidth="1"/>
    <col min="2548" max="2800" width="9.140625" style="4"/>
    <col min="2801" max="2801" width="108.5703125" style="4" customWidth="1"/>
    <col min="2802" max="2802" width="1.5703125" style="4" customWidth="1"/>
    <col min="2803" max="2803" width="6" style="4" customWidth="1"/>
    <col min="2804" max="3056" width="9.140625" style="4"/>
    <col min="3057" max="3057" width="108.5703125" style="4" customWidth="1"/>
    <col min="3058" max="3058" width="1.5703125" style="4" customWidth="1"/>
    <col min="3059" max="3059" width="6" style="4" customWidth="1"/>
    <col min="3060" max="3312" width="9.140625" style="4"/>
    <col min="3313" max="3313" width="108.5703125" style="4" customWidth="1"/>
    <col min="3314" max="3314" width="1.5703125" style="4" customWidth="1"/>
    <col min="3315" max="3315" width="6" style="4" customWidth="1"/>
    <col min="3316" max="3568" width="9.140625" style="4"/>
    <col min="3569" max="3569" width="108.5703125" style="4" customWidth="1"/>
    <col min="3570" max="3570" width="1.5703125" style="4" customWidth="1"/>
    <col min="3571" max="3571" width="6" style="4" customWidth="1"/>
    <col min="3572" max="3824" width="9.140625" style="4"/>
    <col min="3825" max="3825" width="108.5703125" style="4" customWidth="1"/>
    <col min="3826" max="3826" width="1.5703125" style="4" customWidth="1"/>
    <col min="3827" max="3827" width="6" style="4" customWidth="1"/>
    <col min="3828" max="4080" width="9.140625" style="4"/>
    <col min="4081" max="4081" width="108.5703125" style="4" customWidth="1"/>
    <col min="4082" max="4082" width="1.5703125" style="4" customWidth="1"/>
    <col min="4083" max="4083" width="6" style="4" customWidth="1"/>
    <col min="4084" max="4336" width="9.140625" style="4"/>
    <col min="4337" max="4337" width="108.5703125" style="4" customWidth="1"/>
    <col min="4338" max="4338" width="1.5703125" style="4" customWidth="1"/>
    <col min="4339" max="4339" width="6" style="4" customWidth="1"/>
    <col min="4340" max="4592" width="9.140625" style="4"/>
    <col min="4593" max="4593" width="108.5703125" style="4" customWidth="1"/>
    <col min="4594" max="4594" width="1.5703125" style="4" customWidth="1"/>
    <col min="4595" max="4595" width="6" style="4" customWidth="1"/>
    <col min="4596" max="4848" width="9.140625" style="4"/>
    <col min="4849" max="4849" width="108.5703125" style="4" customWidth="1"/>
    <col min="4850" max="4850" width="1.5703125" style="4" customWidth="1"/>
    <col min="4851" max="4851" width="6" style="4" customWidth="1"/>
    <col min="4852" max="5104" width="9.140625" style="4"/>
    <col min="5105" max="5105" width="108.5703125" style="4" customWidth="1"/>
    <col min="5106" max="5106" width="1.5703125" style="4" customWidth="1"/>
    <col min="5107" max="5107" width="6" style="4" customWidth="1"/>
    <col min="5108" max="5360" width="9.140625" style="4"/>
    <col min="5361" max="5361" width="108.5703125" style="4" customWidth="1"/>
    <col min="5362" max="5362" width="1.5703125" style="4" customWidth="1"/>
    <col min="5363" max="5363" width="6" style="4" customWidth="1"/>
    <col min="5364" max="5616" width="9.140625" style="4"/>
    <col min="5617" max="5617" width="108.5703125" style="4" customWidth="1"/>
    <col min="5618" max="5618" width="1.5703125" style="4" customWidth="1"/>
    <col min="5619" max="5619" width="6" style="4" customWidth="1"/>
    <col min="5620" max="5872" width="9.140625" style="4"/>
    <col min="5873" max="5873" width="108.5703125" style="4" customWidth="1"/>
    <col min="5874" max="5874" width="1.5703125" style="4" customWidth="1"/>
    <col min="5875" max="5875" width="6" style="4" customWidth="1"/>
    <col min="5876" max="6128" width="9.140625" style="4"/>
    <col min="6129" max="6129" width="108.5703125" style="4" customWidth="1"/>
    <col min="6130" max="6130" width="1.5703125" style="4" customWidth="1"/>
    <col min="6131" max="6131" width="6" style="4" customWidth="1"/>
    <col min="6132" max="6384" width="9.140625" style="4"/>
    <col min="6385" max="6385" width="108.5703125" style="4" customWidth="1"/>
    <col min="6386" max="6386" width="1.5703125" style="4" customWidth="1"/>
    <col min="6387" max="6387" width="6" style="4" customWidth="1"/>
    <col min="6388" max="6640" width="9.140625" style="4"/>
    <col min="6641" max="6641" width="108.5703125" style="4" customWidth="1"/>
    <col min="6642" max="6642" width="1.5703125" style="4" customWidth="1"/>
    <col min="6643" max="6643" width="6" style="4" customWidth="1"/>
    <col min="6644" max="6896" width="9.140625" style="4"/>
    <col min="6897" max="6897" width="108.5703125" style="4" customWidth="1"/>
    <col min="6898" max="6898" width="1.5703125" style="4" customWidth="1"/>
    <col min="6899" max="6899" width="6" style="4" customWidth="1"/>
    <col min="6900" max="7152" width="9.140625" style="4"/>
    <col min="7153" max="7153" width="108.5703125" style="4" customWidth="1"/>
    <col min="7154" max="7154" width="1.5703125" style="4" customWidth="1"/>
    <col min="7155" max="7155" width="6" style="4" customWidth="1"/>
    <col min="7156" max="7408" width="9.140625" style="4"/>
    <col min="7409" max="7409" width="108.5703125" style="4" customWidth="1"/>
    <col min="7410" max="7410" width="1.5703125" style="4" customWidth="1"/>
    <col min="7411" max="7411" width="6" style="4" customWidth="1"/>
    <col min="7412" max="7664" width="9.140625" style="4"/>
    <col min="7665" max="7665" width="108.5703125" style="4" customWidth="1"/>
    <col min="7666" max="7666" width="1.5703125" style="4" customWidth="1"/>
    <col min="7667" max="7667" width="6" style="4" customWidth="1"/>
    <col min="7668" max="7920" width="9.140625" style="4"/>
    <col min="7921" max="7921" width="108.5703125" style="4" customWidth="1"/>
    <col min="7922" max="7922" width="1.5703125" style="4" customWidth="1"/>
    <col min="7923" max="7923" width="6" style="4" customWidth="1"/>
    <col min="7924" max="8176" width="9.140625" style="4"/>
    <col min="8177" max="8177" width="108.5703125" style="4" customWidth="1"/>
    <col min="8178" max="8178" width="1.5703125" style="4" customWidth="1"/>
    <col min="8179" max="8179" width="6" style="4" customWidth="1"/>
    <col min="8180" max="8432" width="9.140625" style="4"/>
    <col min="8433" max="8433" width="108.5703125" style="4" customWidth="1"/>
    <col min="8434" max="8434" width="1.5703125" style="4" customWidth="1"/>
    <col min="8435" max="8435" width="6" style="4" customWidth="1"/>
    <col min="8436" max="8688" width="9.140625" style="4"/>
    <col min="8689" max="8689" width="108.5703125" style="4" customWidth="1"/>
    <col min="8690" max="8690" width="1.5703125" style="4" customWidth="1"/>
    <col min="8691" max="8691" width="6" style="4" customWidth="1"/>
    <col min="8692" max="8944" width="9.140625" style="4"/>
    <col min="8945" max="8945" width="108.5703125" style="4" customWidth="1"/>
    <col min="8946" max="8946" width="1.5703125" style="4" customWidth="1"/>
    <col min="8947" max="8947" width="6" style="4" customWidth="1"/>
    <col min="8948" max="9200" width="9.140625" style="4"/>
    <col min="9201" max="9201" width="108.5703125" style="4" customWidth="1"/>
    <col min="9202" max="9202" width="1.5703125" style="4" customWidth="1"/>
    <col min="9203" max="9203" width="6" style="4" customWidth="1"/>
    <col min="9204" max="9456" width="9.140625" style="4"/>
    <col min="9457" max="9457" width="108.5703125" style="4" customWidth="1"/>
    <col min="9458" max="9458" width="1.5703125" style="4" customWidth="1"/>
    <col min="9459" max="9459" width="6" style="4" customWidth="1"/>
    <col min="9460" max="9712" width="9.140625" style="4"/>
    <col min="9713" max="9713" width="108.5703125" style="4" customWidth="1"/>
    <col min="9714" max="9714" width="1.5703125" style="4" customWidth="1"/>
    <col min="9715" max="9715" width="6" style="4" customWidth="1"/>
    <col min="9716" max="9968" width="9.140625" style="4"/>
    <col min="9969" max="9969" width="108.5703125" style="4" customWidth="1"/>
    <col min="9970" max="9970" width="1.5703125" style="4" customWidth="1"/>
    <col min="9971" max="9971" width="6" style="4" customWidth="1"/>
    <col min="9972" max="10224" width="9.140625" style="4"/>
    <col min="10225" max="10225" width="108.5703125" style="4" customWidth="1"/>
    <col min="10226" max="10226" width="1.5703125" style="4" customWidth="1"/>
    <col min="10227" max="10227" width="6" style="4" customWidth="1"/>
    <col min="10228" max="10480" width="9.140625" style="4"/>
    <col min="10481" max="10481" width="108.5703125" style="4" customWidth="1"/>
    <col min="10482" max="10482" width="1.5703125" style="4" customWidth="1"/>
    <col min="10483" max="10483" width="6" style="4" customWidth="1"/>
    <col min="10484" max="10736" width="9.140625" style="4"/>
    <col min="10737" max="10737" width="108.5703125" style="4" customWidth="1"/>
    <col min="10738" max="10738" width="1.5703125" style="4" customWidth="1"/>
    <col min="10739" max="10739" width="6" style="4" customWidth="1"/>
    <col min="10740" max="10992" width="9.140625" style="4"/>
    <col min="10993" max="10993" width="108.5703125" style="4" customWidth="1"/>
    <col min="10994" max="10994" width="1.5703125" style="4" customWidth="1"/>
    <col min="10995" max="10995" width="6" style="4" customWidth="1"/>
    <col min="10996" max="11248" width="9.140625" style="4"/>
    <col min="11249" max="11249" width="108.5703125" style="4" customWidth="1"/>
    <col min="11250" max="11250" width="1.5703125" style="4" customWidth="1"/>
    <col min="11251" max="11251" width="6" style="4" customWidth="1"/>
    <col min="11252" max="11504" width="9.140625" style="4"/>
    <col min="11505" max="11505" width="108.5703125" style="4" customWidth="1"/>
    <col min="11506" max="11506" width="1.5703125" style="4" customWidth="1"/>
    <col min="11507" max="11507" width="6" style="4" customWidth="1"/>
    <col min="11508" max="11760" width="9.140625" style="4"/>
    <col min="11761" max="11761" width="108.5703125" style="4" customWidth="1"/>
    <col min="11762" max="11762" width="1.5703125" style="4" customWidth="1"/>
    <col min="11763" max="11763" width="6" style="4" customWidth="1"/>
    <col min="11764" max="12016" width="9.140625" style="4"/>
    <col min="12017" max="12017" width="108.5703125" style="4" customWidth="1"/>
    <col min="12018" max="12018" width="1.5703125" style="4" customWidth="1"/>
    <col min="12019" max="12019" width="6" style="4" customWidth="1"/>
    <col min="12020" max="12272" width="9.140625" style="4"/>
    <col min="12273" max="12273" width="108.5703125" style="4" customWidth="1"/>
    <col min="12274" max="12274" width="1.5703125" style="4" customWidth="1"/>
    <col min="12275" max="12275" width="6" style="4" customWidth="1"/>
    <col min="12276" max="12528" width="9.140625" style="4"/>
    <col min="12529" max="12529" width="108.5703125" style="4" customWidth="1"/>
    <col min="12530" max="12530" width="1.5703125" style="4" customWidth="1"/>
    <col min="12531" max="12531" width="6" style="4" customWidth="1"/>
    <col min="12532" max="12784" width="9.140625" style="4"/>
    <col min="12785" max="12785" width="108.5703125" style="4" customWidth="1"/>
    <col min="12786" max="12786" width="1.5703125" style="4" customWidth="1"/>
    <col min="12787" max="12787" width="6" style="4" customWidth="1"/>
    <col min="12788" max="13040" width="9.140625" style="4"/>
    <col min="13041" max="13041" width="108.5703125" style="4" customWidth="1"/>
    <col min="13042" max="13042" width="1.5703125" style="4" customWidth="1"/>
    <col min="13043" max="13043" width="6" style="4" customWidth="1"/>
    <col min="13044" max="13296" width="9.140625" style="4"/>
    <col min="13297" max="13297" width="108.5703125" style="4" customWidth="1"/>
    <col min="13298" max="13298" width="1.5703125" style="4" customWidth="1"/>
    <col min="13299" max="13299" width="6" style="4" customWidth="1"/>
    <col min="13300" max="13552" width="9.140625" style="4"/>
    <col min="13553" max="13553" width="108.5703125" style="4" customWidth="1"/>
    <col min="13554" max="13554" width="1.5703125" style="4" customWidth="1"/>
    <col min="13555" max="13555" width="6" style="4" customWidth="1"/>
    <col min="13556" max="13808" width="9.140625" style="4"/>
    <col min="13809" max="13809" width="108.5703125" style="4" customWidth="1"/>
    <col min="13810" max="13810" width="1.5703125" style="4" customWidth="1"/>
    <col min="13811" max="13811" width="6" style="4" customWidth="1"/>
    <col min="13812" max="14064" width="9.140625" style="4"/>
    <col min="14065" max="14065" width="108.5703125" style="4" customWidth="1"/>
    <col min="14066" max="14066" width="1.5703125" style="4" customWidth="1"/>
    <col min="14067" max="14067" width="6" style="4" customWidth="1"/>
    <col min="14068" max="14320" width="9.140625" style="4"/>
    <col min="14321" max="14321" width="108.5703125" style="4" customWidth="1"/>
    <col min="14322" max="14322" width="1.5703125" style="4" customWidth="1"/>
    <col min="14323" max="14323" width="6" style="4" customWidth="1"/>
    <col min="14324" max="14576" width="9.140625" style="4"/>
    <col min="14577" max="14577" width="108.5703125" style="4" customWidth="1"/>
    <col min="14578" max="14578" width="1.5703125" style="4" customWidth="1"/>
    <col min="14579" max="14579" width="6" style="4" customWidth="1"/>
    <col min="14580" max="14832" width="9.140625" style="4"/>
    <col min="14833" max="14833" width="108.5703125" style="4" customWidth="1"/>
    <col min="14834" max="14834" width="1.5703125" style="4" customWidth="1"/>
    <col min="14835" max="14835" width="6" style="4" customWidth="1"/>
    <col min="14836" max="15088" width="9.140625" style="4"/>
    <col min="15089" max="15089" width="108.5703125" style="4" customWidth="1"/>
    <col min="15090" max="15090" width="1.5703125" style="4" customWidth="1"/>
    <col min="15091" max="15091" width="6" style="4" customWidth="1"/>
    <col min="15092" max="15344" width="9.140625" style="4"/>
    <col min="15345" max="15345" width="108.5703125" style="4" customWidth="1"/>
    <col min="15346" max="15346" width="1.5703125" style="4" customWidth="1"/>
    <col min="15347" max="15347" width="6" style="4" customWidth="1"/>
    <col min="15348" max="15600" width="9.140625" style="4"/>
    <col min="15601" max="15601" width="108.5703125" style="4" customWidth="1"/>
    <col min="15602" max="15602" width="1.5703125" style="4" customWidth="1"/>
    <col min="15603" max="15603" width="6" style="4" customWidth="1"/>
    <col min="15604" max="15856" width="9.140625" style="4"/>
    <col min="15857" max="15857" width="108.5703125" style="4" customWidth="1"/>
    <col min="15858" max="15858" width="1.5703125" style="4" customWidth="1"/>
    <col min="15859" max="15859" width="6" style="4" customWidth="1"/>
    <col min="15860" max="16112" width="9.140625" style="4"/>
    <col min="16113" max="16113" width="108.5703125" style="4" customWidth="1"/>
    <col min="16114" max="16114" width="1.5703125" style="4" customWidth="1"/>
    <col min="16115" max="16115" width="6" style="4" customWidth="1"/>
    <col min="16116" max="16384" width="9.140625" style="4"/>
  </cols>
  <sheetData>
    <row r="1" spans="1:11" x14ac:dyDescent="0.3">
      <c r="A1" s="8" t="s">
        <v>304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3" spans="1:11" x14ac:dyDescent="0.3">
      <c r="A3" s="48" t="s">
        <v>129</v>
      </c>
      <c r="B3" s="20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11" x14ac:dyDescent="0.3">
      <c r="A4" s="71" t="s">
        <v>87</v>
      </c>
      <c r="B4" s="46">
        <v>2.9541156739859617E-2</v>
      </c>
      <c r="C4" s="46">
        <v>2.9946044586376466E-2</v>
      </c>
      <c r="D4" s="46">
        <v>2.9633497920974968E-2</v>
      </c>
      <c r="E4" s="46">
        <v>3.2580449570679404E-2</v>
      </c>
      <c r="F4" s="46">
        <v>2.974651846310573E-2</v>
      </c>
      <c r="G4" s="46">
        <v>3.0863278601538782E-2</v>
      </c>
    </row>
    <row r="5" spans="1:11" x14ac:dyDescent="0.3">
      <c r="A5" s="71" t="s">
        <v>172</v>
      </c>
      <c r="B5" s="46">
        <v>2.9147496156627626E-2</v>
      </c>
      <c r="C5" s="46">
        <v>3.0341084696965073E-2</v>
      </c>
      <c r="D5" s="46">
        <v>2.9036599692758638E-2</v>
      </c>
      <c r="E5" s="46">
        <v>3.4828989652900891E-2</v>
      </c>
      <c r="F5" s="46">
        <v>2.9699238230999469E-2</v>
      </c>
      <c r="G5" s="46">
        <v>3.3615082619839649E-2</v>
      </c>
    </row>
    <row r="6" spans="1:11" x14ac:dyDescent="0.3">
      <c r="A6" s="71" t="s">
        <v>50</v>
      </c>
      <c r="B6" s="46">
        <v>3.1380652733801855E-2</v>
      </c>
      <c r="C6" s="46">
        <v>3.3173533704588615E-2</v>
      </c>
      <c r="D6" s="46">
        <v>3.4874457869226147E-2</v>
      </c>
      <c r="E6" s="46">
        <v>3.7567938055397092E-2</v>
      </c>
      <c r="F6" s="46">
        <v>3.3333926521005079E-2</v>
      </c>
      <c r="G6" s="46">
        <v>3.8686390502437655E-2</v>
      </c>
    </row>
    <row r="7" spans="1:11" x14ac:dyDescent="0.3">
      <c r="A7" s="71" t="s">
        <v>48</v>
      </c>
      <c r="B7" s="46">
        <v>2.2926437955066315E-2</v>
      </c>
      <c r="C7" s="46">
        <v>2.7032735411130424E-2</v>
      </c>
      <c r="D7" s="46">
        <v>3.0602570493356008E-2</v>
      </c>
      <c r="E7" s="46">
        <v>2.3319682870254446E-2</v>
      </c>
      <c r="F7" s="46">
        <v>2.6063992734500975E-2</v>
      </c>
      <c r="G7" s="46">
        <v>2.4655084161430585E-2</v>
      </c>
    </row>
    <row r="8" spans="1:11" x14ac:dyDescent="0.3">
      <c r="A8" s="71" t="s">
        <v>20</v>
      </c>
      <c r="B8" s="46">
        <v>2.5754837495641739E-2</v>
      </c>
      <c r="C8" s="46">
        <v>2.8331846246208343E-2</v>
      </c>
      <c r="D8" s="46">
        <v>2.6949861655783322E-2</v>
      </c>
      <c r="E8" s="46">
        <v>3.2178637451143556E-2</v>
      </c>
      <c r="F8" s="46">
        <v>3.0625992458510255E-2</v>
      </c>
      <c r="G8" s="46">
        <v>2.935252839693199E-2</v>
      </c>
    </row>
    <row r="9" spans="1:11" x14ac:dyDescent="0.3">
      <c r="A9" s="71" t="s">
        <v>4</v>
      </c>
      <c r="B9" s="46">
        <v>3.8774173627448255E-2</v>
      </c>
      <c r="C9" s="46">
        <v>3.7885542054483579E-2</v>
      </c>
      <c r="D9" s="46">
        <v>3.9927867389466375E-2</v>
      </c>
      <c r="E9" s="46">
        <v>4.5750140851007981E-2</v>
      </c>
      <c r="F9" s="46">
        <v>4.4537487037525893E-2</v>
      </c>
      <c r="G9" s="46">
        <v>4.3034700985673781E-2</v>
      </c>
    </row>
    <row r="10" spans="1:11" x14ac:dyDescent="0.3">
      <c r="A10" s="71" t="s">
        <v>45</v>
      </c>
      <c r="B10" s="46">
        <v>3.6827615870821256E-2</v>
      </c>
      <c r="C10" s="46">
        <v>3.9828350522928088E-2</v>
      </c>
      <c r="D10" s="46">
        <v>4.5978195614587845E-2</v>
      </c>
      <c r="E10" s="46">
        <v>5.2799812600353366E-2</v>
      </c>
      <c r="F10" s="46">
        <v>4.533392616985709E-2</v>
      </c>
      <c r="G10" s="46">
        <v>4.8845048282798641E-2</v>
      </c>
    </row>
    <row r="11" spans="1:11" x14ac:dyDescent="0.3">
      <c r="A11" s="71" t="s">
        <v>40</v>
      </c>
      <c r="B11" s="46">
        <v>3.7694266213793327E-2</v>
      </c>
      <c r="C11" s="46">
        <v>3.1254052434798799E-2</v>
      </c>
      <c r="D11" s="46">
        <v>2.7535802296514283E-2</v>
      </c>
      <c r="E11" s="46">
        <v>2.8239226333064863E-2</v>
      </c>
      <c r="F11" s="46">
        <v>3.6744503089722519E-2</v>
      </c>
      <c r="G11" s="46">
        <v>2.6737757564001829E-2</v>
      </c>
    </row>
    <row r="12" spans="1:11" x14ac:dyDescent="0.3">
      <c r="A12" s="71" t="s">
        <v>37</v>
      </c>
      <c r="B12" s="46">
        <v>3.8943754786548407E-2</v>
      </c>
      <c r="C12" s="46">
        <v>4.298442727238589E-2</v>
      </c>
      <c r="D12" s="46">
        <v>4.4554773651900519E-2</v>
      </c>
      <c r="E12" s="46">
        <v>3.371335863347024E-2</v>
      </c>
      <c r="F12" s="46">
        <v>3.2091590063664743E-2</v>
      </c>
      <c r="G12" s="46">
        <v>3.6772719656476667E-2</v>
      </c>
    </row>
    <row r="13" spans="1:11" x14ac:dyDescent="0.3">
      <c r="A13" s="71" t="s">
        <v>56</v>
      </c>
      <c r="B13" s="46">
        <v>3.7089729514107363E-2</v>
      </c>
      <c r="C13" s="46">
        <v>3.740806405282425E-2</v>
      </c>
      <c r="D13" s="46">
        <v>3.7095317462274735E-2</v>
      </c>
      <c r="E13" s="46">
        <v>3.6125612832222424E-2</v>
      </c>
      <c r="F13" s="46">
        <v>3.4700360717446935E-2</v>
      </c>
      <c r="G13" s="46">
        <v>3.5647607885646755E-2</v>
      </c>
    </row>
    <row r="14" spans="1:11" x14ac:dyDescent="0.3">
      <c r="A14" s="71" t="s">
        <v>51</v>
      </c>
      <c r="B14" s="46">
        <v>3.0171998535328037E-2</v>
      </c>
      <c r="C14" s="46">
        <v>2.5377180401504596E-2</v>
      </c>
      <c r="D14" s="46">
        <v>2.6945610355115123E-2</v>
      </c>
      <c r="E14" s="46">
        <v>2.9274656261406403E-2</v>
      </c>
      <c r="F14" s="46">
        <v>2.8135017196947984E-2</v>
      </c>
      <c r="G14" s="46">
        <v>3.0118138043324718E-2</v>
      </c>
    </row>
    <row r="15" spans="1:11" x14ac:dyDescent="0.3">
      <c r="A15" s="71" t="s">
        <v>21</v>
      </c>
      <c r="B15" s="46">
        <v>2.4793018196079437E-2</v>
      </c>
      <c r="C15" s="46">
        <v>2.1302406810097561E-2</v>
      </c>
      <c r="D15" s="46">
        <v>2.1504890699665973E-2</v>
      </c>
      <c r="E15" s="46">
        <v>2.5094572052023791E-2</v>
      </c>
      <c r="F15" s="46">
        <v>2.2930745303812047E-2</v>
      </c>
      <c r="G15" s="46">
        <v>1.8896718006294E-2</v>
      </c>
    </row>
    <row r="16" spans="1:11" x14ac:dyDescent="0.3">
      <c r="A16" s="71" t="s">
        <v>70</v>
      </c>
      <c r="B16" s="46">
        <v>2.6394303838602477E-2</v>
      </c>
      <c r="C16" s="46">
        <v>2.568548199352283E-2</v>
      </c>
      <c r="D16" s="46">
        <v>2.7207390676369462E-2</v>
      </c>
      <c r="E16" s="46">
        <v>2.30641465477485E-2</v>
      </c>
      <c r="F16" s="46">
        <v>3.3054065493182183E-2</v>
      </c>
      <c r="G16" s="46">
        <v>3.0760470606109397E-2</v>
      </c>
    </row>
    <row r="17" spans="1:7" x14ac:dyDescent="0.3">
      <c r="A17" s="71" t="s">
        <v>59</v>
      </c>
      <c r="B17" s="46">
        <v>2.2740128398444998E-2</v>
      </c>
      <c r="C17" s="46">
        <v>2.9857302485933709E-2</v>
      </c>
      <c r="D17" s="46">
        <v>2.9213736644831595E-2</v>
      </c>
      <c r="E17" s="46">
        <v>2.1885020424722391E-2</v>
      </c>
      <c r="F17" s="46">
        <v>2.4700445021337159E-2</v>
      </c>
      <c r="G17" s="46">
        <v>3.2889420670879931E-2</v>
      </c>
    </row>
    <row r="18" spans="1:7" x14ac:dyDescent="0.3">
      <c r="A18" s="71" t="s">
        <v>43</v>
      </c>
      <c r="B18" s="46">
        <v>2.0005746370360032E-2</v>
      </c>
      <c r="C18" s="46">
        <v>1.7648131489461802E-2</v>
      </c>
      <c r="D18" s="46">
        <v>1.8868589889556548E-2</v>
      </c>
      <c r="E18" s="46">
        <v>1.1613019939256307E-2</v>
      </c>
      <c r="F18" s="46">
        <v>1.3554950345940786E-2</v>
      </c>
      <c r="G18" s="46">
        <v>1.4433630977573155E-2</v>
      </c>
    </row>
    <row r="19" spans="1:7" x14ac:dyDescent="0.3">
      <c r="A19" s="71" t="s">
        <v>15</v>
      </c>
      <c r="B19" s="46">
        <v>2.0444432328193474E-2</v>
      </c>
      <c r="C19" s="46">
        <v>1.3806094270004326E-2</v>
      </c>
      <c r="D19" s="46">
        <v>1.4589178254140817E-2</v>
      </c>
      <c r="E19" s="46">
        <v>1.3633395878774403E-2</v>
      </c>
      <c r="F19" s="46">
        <v>1.6855594649065241E-2</v>
      </c>
      <c r="G19" s="46">
        <v>1.945930793501786E-2</v>
      </c>
    </row>
    <row r="20" spans="1:7" x14ac:dyDescent="0.3">
      <c r="A20" s="71" t="s">
        <v>38</v>
      </c>
      <c r="B20" s="46">
        <v>4.0503500129523834E-2</v>
      </c>
      <c r="C20" s="46">
        <v>3.4889228070104104E-2</v>
      </c>
      <c r="D20" s="46">
        <v>3.489349917020719E-2</v>
      </c>
      <c r="E20" s="46">
        <v>3.6262436234694648E-2</v>
      </c>
      <c r="F20" s="46">
        <v>4.1674391588742435E-2</v>
      </c>
      <c r="G20" s="46">
        <v>5.1336221784995119E-2</v>
      </c>
    </row>
    <row r="21" spans="1:7" x14ac:dyDescent="0.3">
      <c r="A21" s="71" t="s">
        <v>39</v>
      </c>
      <c r="B21" s="46">
        <v>4.0856905057121161E-2</v>
      </c>
      <c r="C21" s="46">
        <v>3.5800919799591373E-2</v>
      </c>
      <c r="D21" s="46">
        <v>3.6203078251259568E-2</v>
      </c>
      <c r="E21" s="46">
        <v>3.0098423239531193E-2</v>
      </c>
      <c r="F21" s="46">
        <v>2.6598700831393925E-2</v>
      </c>
      <c r="G21" s="46">
        <v>2.8704207425547669E-2</v>
      </c>
    </row>
    <row r="22" spans="1:7" x14ac:dyDescent="0.3">
      <c r="A22" s="71" t="s">
        <v>78</v>
      </c>
      <c r="B22" s="46">
        <v>2.8668591991187577E-2</v>
      </c>
      <c r="C22" s="46">
        <v>2.7755611346255885E-2</v>
      </c>
      <c r="D22" s="46">
        <v>2.9270058978655759E-2</v>
      </c>
      <c r="E22" s="46">
        <v>2.8540488768498753E-2</v>
      </c>
      <c r="F22" s="46">
        <v>2.7009449302394243E-2</v>
      </c>
      <c r="G22" s="46">
        <v>2.5059669436589369E-2</v>
      </c>
    </row>
    <row r="23" spans="1:7" x14ac:dyDescent="0.3">
      <c r="A23" s="71" t="s">
        <v>13</v>
      </c>
      <c r="B23" s="46">
        <v>2.9327198803306313E-2</v>
      </c>
      <c r="C23" s="46">
        <v>3.3608943489849955E-2</v>
      </c>
      <c r="D23" s="46">
        <v>2.977128740837047E-2</v>
      </c>
      <c r="E23" s="46">
        <v>4.132062464130349E-2</v>
      </c>
      <c r="F23" s="46">
        <v>3.0501840390529607E-2</v>
      </c>
      <c r="G23" s="46">
        <v>3.8801615390321308E-2</v>
      </c>
    </row>
    <row r="24" spans="1:7" x14ac:dyDescent="0.3">
      <c r="A24" s="71" t="s">
        <v>172</v>
      </c>
      <c r="B24" s="46">
        <v>3.1212984924177799E-2</v>
      </c>
      <c r="C24" s="46">
        <v>2.9883889225105365E-2</v>
      </c>
      <c r="D24" s="46">
        <v>2.8911649080644423E-2</v>
      </c>
      <c r="E24" s="46">
        <v>3.1426781536997107E-2</v>
      </c>
      <c r="F24" s="46">
        <v>2.9681714957772731E-2</v>
      </c>
      <c r="G24" s="46">
        <v>2.9336840997396519E-2</v>
      </c>
    </row>
    <row r="25" spans="1:7" x14ac:dyDescent="0.3">
      <c r="A25" s="71" t="s">
        <v>71</v>
      </c>
      <c r="B25" s="46">
        <v>3.6646200652378523E-2</v>
      </c>
      <c r="C25" s="46">
        <v>3.3077790348950122E-2</v>
      </c>
      <c r="D25" s="46">
        <v>3.8565534261598353E-2</v>
      </c>
      <c r="E25" s="46">
        <v>3.540175796145742E-2</v>
      </c>
      <c r="F25" s="46">
        <v>4.355248148849198E-2</v>
      </c>
      <c r="G25" s="46">
        <v>4.0484467740158687E-2</v>
      </c>
    </row>
    <row r="26" spans="1:7" x14ac:dyDescent="0.3">
      <c r="A26" s="71" t="s">
        <v>65</v>
      </c>
      <c r="B26" s="46">
        <v>3.7065508092829269E-2</v>
      </c>
      <c r="C26" s="46">
        <v>2.9963258367764489E-2</v>
      </c>
      <c r="D26" s="46">
        <v>3.7166283842799068E-2</v>
      </c>
      <c r="E26" s="46">
        <v>3.6843525429530448E-2</v>
      </c>
      <c r="F26" s="46">
        <v>3.4052159523886738E-2</v>
      </c>
      <c r="G26" s="46">
        <v>3.0137764926983744E-2</v>
      </c>
    </row>
    <row r="27" spans="1:7" x14ac:dyDescent="0.3">
      <c r="A27" s="71" t="s">
        <v>53</v>
      </c>
      <c r="B27" s="46">
        <v>2.4873558974951564E-2</v>
      </c>
      <c r="C27" s="46">
        <v>2.8824288608085846E-2</v>
      </c>
      <c r="D27" s="46">
        <v>2.6077043077350794E-2</v>
      </c>
      <c r="E27" s="46">
        <v>2.4810873518274251E-2</v>
      </c>
      <c r="F27" s="46">
        <v>2.6169200122532755E-2</v>
      </c>
      <c r="G27" s="46">
        <v>2.4942871631359238E-2</v>
      </c>
    </row>
    <row r="28" spans="1:7" x14ac:dyDescent="0.3">
      <c r="A28" s="71" t="s">
        <v>7</v>
      </c>
      <c r="B28" s="46">
        <v>4.5975482076401605E-2</v>
      </c>
      <c r="C28" s="46">
        <v>5.0871848268896416E-2</v>
      </c>
      <c r="D28" s="46">
        <v>3.2304150075619383E-2</v>
      </c>
      <c r="E28" s="46">
        <v>3.3195588945218825E-2</v>
      </c>
      <c r="F28" s="46">
        <v>3.1213005822062233E-2</v>
      </c>
      <c r="G28" s="46">
        <v>4.8916836768054299E-2</v>
      </c>
    </row>
    <row r="29" spans="1:7" ht="33" x14ac:dyDescent="0.3">
      <c r="A29" s="72" t="s">
        <v>173</v>
      </c>
      <c r="B29" s="46">
        <v>2.3936765779244619E-2</v>
      </c>
      <c r="C29" s="46">
        <v>2.7786427032053269E-2</v>
      </c>
      <c r="D29" s="46">
        <v>2.5759303309530995E-2</v>
      </c>
      <c r="E29" s="46">
        <v>2.445395240403549E-2</v>
      </c>
      <c r="F29" s="46">
        <v>2.5913638506885869E-2</v>
      </c>
      <c r="G29" s="46">
        <v>2.3845676327135835E-2</v>
      </c>
    </row>
    <row r="30" spans="1:7" x14ac:dyDescent="0.3">
      <c r="A30" s="71" t="s">
        <v>80</v>
      </c>
      <c r="B30" s="46">
        <v>3.4937910964135128E-2</v>
      </c>
      <c r="C30" s="46">
        <v>2.8554369332044457E-2</v>
      </c>
      <c r="D30" s="46">
        <v>2.5916602452027825E-2</v>
      </c>
      <c r="E30" s="46">
        <v>3.255332858643753E-2</v>
      </c>
      <c r="F30" s="46">
        <v>2.7444447809196002E-2</v>
      </c>
      <c r="G30" s="46">
        <v>2.7402983222923113E-2</v>
      </c>
    </row>
    <row r="31" spans="1:7" x14ac:dyDescent="0.3">
      <c r="A31" s="71" t="s">
        <v>69</v>
      </c>
      <c r="B31" s="46">
        <v>3.7730313775372636E-2</v>
      </c>
      <c r="C31" s="46">
        <v>3.6079868043452257E-2</v>
      </c>
      <c r="D31" s="46">
        <v>4.2398178799623064E-2</v>
      </c>
      <c r="E31" s="46">
        <v>4.3192097283657672E-2</v>
      </c>
      <c r="F31" s="46">
        <v>4.5624136286530385E-2</v>
      </c>
      <c r="G31" s="46">
        <v>3.5096544998306063E-2</v>
      </c>
    </row>
    <row r="32" spans="1:7" x14ac:dyDescent="0.3">
      <c r="A32" s="71" t="s">
        <v>33</v>
      </c>
      <c r="B32" s="46">
        <v>3.0548315488640867E-2</v>
      </c>
      <c r="C32" s="46">
        <v>3.4755728248701698E-2</v>
      </c>
      <c r="D32" s="46">
        <v>3.8257456239784896E-2</v>
      </c>
      <c r="E32" s="46">
        <v>4.0195471210828393E-2</v>
      </c>
      <c r="F32" s="46">
        <v>4.3255997945546729E-2</v>
      </c>
      <c r="G32" s="46">
        <v>4.5440853476910209E-2</v>
      </c>
    </row>
    <row r="33" spans="1:7" x14ac:dyDescent="0.3">
      <c r="A33" s="71" t="s">
        <v>30</v>
      </c>
      <c r="B33" s="46">
        <v>4.0896981216305542E-2</v>
      </c>
      <c r="C33" s="46">
        <v>4.2445734937184537E-2</v>
      </c>
      <c r="D33" s="46">
        <v>3.9544074006193211E-2</v>
      </c>
      <c r="E33" s="46">
        <v>4.2005313616805678E-2</v>
      </c>
      <c r="F33" s="46">
        <v>3.992336781661425E-2</v>
      </c>
      <c r="G33" s="46">
        <v>3.7952298268776136E-2</v>
      </c>
    </row>
    <row r="34" spans="1:7" x14ac:dyDescent="0.3">
      <c r="A34" s="71" t="s">
        <v>52</v>
      </c>
      <c r="B34" s="46">
        <v>1.3692233530803817E-2</v>
      </c>
      <c r="C34" s="46">
        <v>1.8949894866818851E-2</v>
      </c>
      <c r="D34" s="46">
        <v>1.547991987994495E-2</v>
      </c>
      <c r="E34" s="46">
        <v>1.9805702061437509E-2</v>
      </c>
      <c r="F34" s="46">
        <v>2.0227383561442533E-2</v>
      </c>
      <c r="G34" s="46">
        <v>1.9412362048621686E-2</v>
      </c>
    </row>
    <row r="35" spans="1:7" x14ac:dyDescent="0.3">
      <c r="A35" s="71" t="s">
        <v>31</v>
      </c>
      <c r="B35" s="46">
        <v>3.6862873299415726E-2</v>
      </c>
      <c r="C35" s="46">
        <v>3.3117371262936866E-2</v>
      </c>
      <c r="D35" s="46">
        <v>3.4006121125190331E-2</v>
      </c>
      <c r="E35" s="46">
        <v>3.5978697806078409E-2</v>
      </c>
      <c r="F35" s="46">
        <v>3.8260971107433261E-2</v>
      </c>
      <c r="G35" s="46">
        <v>3.9548811636826185E-2</v>
      </c>
    </row>
    <row r="36" spans="1:7" x14ac:dyDescent="0.3">
      <c r="A36" s="71" t="s">
        <v>32</v>
      </c>
      <c r="B36" s="46">
        <v>2.97140880686112E-2</v>
      </c>
      <c r="C36" s="46">
        <v>2.6744074433268494E-2</v>
      </c>
      <c r="D36" s="46">
        <v>2.3658504024619373E-2</v>
      </c>
      <c r="E36" s="46">
        <v>2.6918934253540368E-2</v>
      </c>
      <c r="F36" s="46">
        <v>2.2396482443592037E-2</v>
      </c>
      <c r="G36" s="46">
        <v>2.379354308991509E-2</v>
      </c>
    </row>
    <row r="37" spans="1:7" x14ac:dyDescent="0.3">
      <c r="A37" s="71" t="s">
        <v>172</v>
      </c>
      <c r="B37" s="46">
        <v>3.4188369577272039E-2</v>
      </c>
      <c r="C37" s="46">
        <v>3.3422353271852084E-2</v>
      </c>
      <c r="D37" s="46">
        <v>3.0355670321467423E-2</v>
      </c>
      <c r="E37" s="46">
        <v>3.1773496094193929E-2</v>
      </c>
      <c r="F37" s="46">
        <v>3.1520098746043876E-2</v>
      </c>
      <c r="G37" s="46">
        <v>2.6877822633971173E-2</v>
      </c>
    </row>
    <row r="38" spans="1:7" x14ac:dyDescent="0.3">
      <c r="A38" s="71" t="s">
        <v>26</v>
      </c>
      <c r="B38" s="46">
        <v>2.0206681487314172E-2</v>
      </c>
      <c r="C38" s="46">
        <v>1.8392451542323891E-2</v>
      </c>
      <c r="D38" s="46">
        <v>1.9384952469292883E-2</v>
      </c>
      <c r="E38" s="46">
        <v>2.2585733325058439E-2</v>
      </c>
      <c r="F38" s="46">
        <v>2.2854915235293066E-2</v>
      </c>
      <c r="G38" s="46">
        <v>2.6769353851492352E-2</v>
      </c>
    </row>
    <row r="39" spans="1:7" x14ac:dyDescent="0.3">
      <c r="A39" s="71" t="s">
        <v>27</v>
      </c>
      <c r="B39" s="46">
        <v>1.9056056578400985E-2</v>
      </c>
      <c r="C39" s="46">
        <v>2.5171921050137231E-2</v>
      </c>
      <c r="D39" s="46">
        <v>2.2283202466169896E-2</v>
      </c>
      <c r="E39" s="46">
        <v>2.4237279376497757E-2</v>
      </c>
      <c r="F39" s="46">
        <v>2.224587212438351E-2</v>
      </c>
      <c r="G39" s="46">
        <v>1.6790957957033018E-2</v>
      </c>
    </row>
    <row r="40" spans="1:7" x14ac:dyDescent="0.3">
      <c r="A40" s="71" t="s">
        <v>89</v>
      </c>
      <c r="B40" s="46">
        <v>3.4932579485490146E-2</v>
      </c>
      <c r="C40" s="46">
        <v>3.0527745188288363E-2</v>
      </c>
      <c r="D40" s="46">
        <v>2.849402115511266E-2</v>
      </c>
      <c r="E40" s="46">
        <v>2.7508626875389769E-2</v>
      </c>
      <c r="F40" s="46">
        <v>2.6047820942274723E-2</v>
      </c>
      <c r="G40" s="46">
        <v>2.7304424473013237E-2</v>
      </c>
    </row>
    <row r="41" spans="1:7" x14ac:dyDescent="0.3">
      <c r="A41" s="71" t="s">
        <v>28</v>
      </c>
      <c r="B41" s="46">
        <v>2.9069085214440134E-2</v>
      </c>
      <c r="C41" s="46">
        <v>3.2005697354939966E-2</v>
      </c>
      <c r="D41" s="46">
        <v>2.7873886338769228E-2</v>
      </c>
      <c r="E41" s="46">
        <v>3.007693025326531E-2</v>
      </c>
      <c r="F41" s="46">
        <v>3.1502039677873163E-2</v>
      </c>
      <c r="G41" s="46">
        <v>2.2897182153687048E-2</v>
      </c>
    </row>
    <row r="42" spans="1:7" x14ac:dyDescent="0.3">
      <c r="A42" s="71" t="s">
        <v>25</v>
      </c>
      <c r="B42" s="46">
        <v>3.4517932200350522E-2</v>
      </c>
      <c r="C42" s="46">
        <v>3.2663429573305092E-2</v>
      </c>
      <c r="D42" s="46">
        <v>3.0451267866548778E-2</v>
      </c>
      <c r="E42" s="46">
        <v>3.1319566631445694E-2</v>
      </c>
      <c r="F42" s="46">
        <v>3.0960207085306113E-2</v>
      </c>
      <c r="G42" s="46">
        <v>2.8284840025793324E-2</v>
      </c>
    </row>
    <row r="43" spans="1:7" x14ac:dyDescent="0.3">
      <c r="A43" s="71" t="s">
        <v>22</v>
      </c>
      <c r="B43" s="46">
        <v>3.0030606873212396E-2</v>
      </c>
      <c r="C43" s="46">
        <v>3.022580796920802E-2</v>
      </c>
      <c r="D43" s="46">
        <v>2.6185903255596114E-2</v>
      </c>
      <c r="E43" s="46">
        <v>2.5876136824845818E-2</v>
      </c>
      <c r="F43" s="46">
        <v>2.5490364166938773E-2</v>
      </c>
      <c r="G43" s="46">
        <v>2.4396542924309542E-2</v>
      </c>
    </row>
    <row r="44" spans="1:7" x14ac:dyDescent="0.3">
      <c r="A44" s="71" t="s">
        <v>29</v>
      </c>
      <c r="B44" s="46">
        <v>4.5987227784926782E-2</v>
      </c>
      <c r="C44" s="46">
        <v>4.0327557857441597E-2</v>
      </c>
      <c r="D44" s="46">
        <v>3.8928419879311033E-2</v>
      </c>
      <c r="E44" s="46">
        <v>3.951732359657887E-2</v>
      </c>
      <c r="F44" s="46">
        <v>3.7964285569091705E-2</v>
      </c>
      <c r="G44" s="46">
        <v>3.3292359981676949E-2</v>
      </c>
    </row>
    <row r="45" spans="1:7" x14ac:dyDescent="0.3">
      <c r="A45" s="71" t="s">
        <v>123</v>
      </c>
      <c r="B45" s="46">
        <v>2.6777688661755322E-2</v>
      </c>
      <c r="C45" s="46">
        <v>3.0425588565272239E-2</v>
      </c>
      <c r="D45" s="46">
        <v>2.3545152964615238E-2</v>
      </c>
      <c r="E45" s="46">
        <v>3.5659498210684544E-2</v>
      </c>
      <c r="F45" s="46">
        <v>3.532329406416506E-2</v>
      </c>
      <c r="G45" s="46">
        <v>3.2651685610637644E-2</v>
      </c>
    </row>
    <row r="46" spans="1:7" x14ac:dyDescent="0.3">
      <c r="A46" s="71" t="s">
        <v>172</v>
      </c>
      <c r="B46" s="46">
        <v>1.7638082670013679E-2</v>
      </c>
      <c r="C46" s="46">
        <v>1.7206013363891891E-2</v>
      </c>
      <c r="D46" s="46">
        <v>1.8267202853172543E-2</v>
      </c>
      <c r="E46" s="46">
        <v>1.8231339945996582E-2</v>
      </c>
      <c r="F46" s="46">
        <v>1.7799804374766508E-2</v>
      </c>
      <c r="G46" s="46">
        <v>1.6636415572204903E-2</v>
      </c>
    </row>
    <row r="47" spans="1:7" x14ac:dyDescent="0.3">
      <c r="A47" s="71" t="s">
        <v>63</v>
      </c>
      <c r="B47" s="46">
        <v>1.0742413465893013E-2</v>
      </c>
      <c r="C47" s="46">
        <v>1.3674414525333805E-2</v>
      </c>
      <c r="D47" s="46">
        <v>1.0969546076300908E-2</v>
      </c>
      <c r="E47" s="46">
        <v>1.2364753281522832E-2</v>
      </c>
      <c r="F47" s="46">
        <v>1.0038386103670478E-2</v>
      </c>
      <c r="G47" s="46">
        <v>1.1760557941103467E-2</v>
      </c>
    </row>
    <row r="48" spans="1:7" x14ac:dyDescent="0.3">
      <c r="A48" s="71" t="s">
        <v>81</v>
      </c>
      <c r="B48" s="46">
        <v>4.9148951856206269E-6</v>
      </c>
      <c r="C48" s="46">
        <v>3.3208172632575978E-3</v>
      </c>
      <c r="D48" s="46">
        <v>4.1772596557776162E-3</v>
      </c>
      <c r="E48" s="46">
        <v>7.3202957201788568E-3</v>
      </c>
      <c r="F48" s="46">
        <v>5.3893581839334912E-3</v>
      </c>
      <c r="G48" s="46">
        <v>4.1053761673177239E-3</v>
      </c>
    </row>
    <row r="49" spans="1:7" x14ac:dyDescent="0.3">
      <c r="A49" s="72" t="s">
        <v>91</v>
      </c>
      <c r="B49" s="46">
        <v>1.6501910833597873E-2</v>
      </c>
      <c r="C49" s="46">
        <v>1.4568471347288827E-2</v>
      </c>
      <c r="D49" s="46">
        <v>2.2008747154173489E-2</v>
      </c>
      <c r="E49" s="46">
        <v>1.690105875772431E-2</v>
      </c>
      <c r="F49" s="46">
        <v>1.3569411662477906E-2</v>
      </c>
      <c r="G49" s="46">
        <v>1.3855222699205772E-2</v>
      </c>
    </row>
    <row r="50" spans="1:7" x14ac:dyDescent="0.3">
      <c r="A50" s="72" t="s">
        <v>92</v>
      </c>
      <c r="B50" s="46">
        <v>8.0724811505030296E-3</v>
      </c>
      <c r="C50" s="46">
        <v>1.1961581542973837E-2</v>
      </c>
      <c r="D50" s="46">
        <v>1.280515739609938E-2</v>
      </c>
      <c r="E50" s="46">
        <v>1.3357407288448465E-2</v>
      </c>
      <c r="F50" s="46">
        <v>1.0508513627461739E-2</v>
      </c>
      <c r="G50" s="46">
        <v>1.1382516921639895E-2</v>
      </c>
    </row>
    <row r="51" spans="1:7" x14ac:dyDescent="0.3">
      <c r="A51" s="72" t="s">
        <v>47</v>
      </c>
      <c r="B51" s="46">
        <v>1.098720978931614E-2</v>
      </c>
      <c r="C51" s="46">
        <v>1.0629103727845429E-2</v>
      </c>
      <c r="D51" s="46">
        <v>9.6767428002058724E-3</v>
      </c>
      <c r="E51" s="46">
        <v>1.2979489642893137E-2</v>
      </c>
      <c r="F51" s="46">
        <v>1.2056841633134181E-2</v>
      </c>
      <c r="G51" s="46">
        <v>1.0384460405803682E-2</v>
      </c>
    </row>
    <row r="52" spans="1:7" x14ac:dyDescent="0.3">
      <c r="A52" s="71" t="s">
        <v>93</v>
      </c>
      <c r="B52" s="46">
        <v>8.4121521400411996E-4</v>
      </c>
      <c r="C52" s="46">
        <v>9.0701870091370251E-4</v>
      </c>
      <c r="D52" s="46">
        <v>6.4261605514587012E-4</v>
      </c>
      <c r="E52" s="46">
        <v>9.5218324316797892E-4</v>
      </c>
      <c r="F52" s="46">
        <v>8.0081635688722364E-4</v>
      </c>
      <c r="G52" s="46">
        <v>5.6206986761570996E-4</v>
      </c>
    </row>
    <row r="53" spans="1:7" x14ac:dyDescent="0.3">
      <c r="A53" s="71" t="s">
        <v>11</v>
      </c>
      <c r="B53" s="46">
        <v>3.5413482631831909E-2</v>
      </c>
      <c r="C53" s="46">
        <v>3.2701066728650932E-2</v>
      </c>
      <c r="D53" s="46">
        <v>3.8025598486413931E-2</v>
      </c>
      <c r="E53" s="46">
        <v>3.4220822657021546E-2</v>
      </c>
      <c r="F53" s="46">
        <v>3.8043594127755015E-2</v>
      </c>
      <c r="G53" s="46">
        <v>3.2308924193842313E-2</v>
      </c>
    </row>
    <row r="54" spans="1:7" x14ac:dyDescent="0.3">
      <c r="A54" s="71" t="s">
        <v>172</v>
      </c>
      <c r="B54" s="46">
        <v>2.6871476208193714E-2</v>
      </c>
      <c r="C54" s="46">
        <v>2.6950704606791897E-2</v>
      </c>
      <c r="D54" s="46">
        <v>2.9012856202853564E-2</v>
      </c>
      <c r="E54" s="46">
        <v>3.1536904067674759E-2</v>
      </c>
      <c r="F54" s="46">
        <v>2.9074468518814171E-2</v>
      </c>
      <c r="G54" s="46">
        <v>3.0555054793773823E-2</v>
      </c>
    </row>
    <row r="55" spans="1:7" x14ac:dyDescent="0.3">
      <c r="A55" s="71" t="s">
        <v>83</v>
      </c>
      <c r="B55" s="46">
        <v>2.3750145523141315E-2</v>
      </c>
      <c r="C55" s="46">
        <v>2.8985639418328928E-2</v>
      </c>
      <c r="D55" s="46">
        <v>2.4448379531183076E-2</v>
      </c>
      <c r="E55" s="46">
        <v>2.5351457280505949E-2</v>
      </c>
      <c r="F55" s="46">
        <v>2.405246776072233E-2</v>
      </c>
      <c r="G55" s="46">
        <v>2.0293252492667283E-2</v>
      </c>
    </row>
    <row r="56" spans="1:7" x14ac:dyDescent="0.3">
      <c r="A56" s="71" t="s">
        <v>42</v>
      </c>
      <c r="B56" s="46">
        <v>3.0937711306058661E-2</v>
      </c>
      <c r="C56" s="46">
        <v>2.9238164731159949E-2</v>
      </c>
      <c r="D56" s="46">
        <v>2.8343804563967387E-2</v>
      </c>
      <c r="E56" s="46">
        <v>3.0674691650484108E-2</v>
      </c>
      <c r="F56" s="46">
        <v>2.7315919747142405E-2</v>
      </c>
      <c r="G56" s="46">
        <v>2.4958715737737024E-2</v>
      </c>
    </row>
    <row r="57" spans="1:7" x14ac:dyDescent="0.3">
      <c r="A57" s="71" t="s">
        <v>34</v>
      </c>
      <c r="B57" s="46">
        <v>3.6798176117060245E-2</v>
      </c>
      <c r="C57" s="46">
        <v>3.1256956439720533E-2</v>
      </c>
      <c r="D57" s="46">
        <v>2.7658952105882116E-2</v>
      </c>
      <c r="E57" s="46">
        <v>3.9477424272945635E-2</v>
      </c>
      <c r="F57" s="46">
        <v>3.7542858599081318E-2</v>
      </c>
      <c r="G57" s="46">
        <v>3.5860118576967026E-2</v>
      </c>
    </row>
    <row r="58" spans="1:7" x14ac:dyDescent="0.3">
      <c r="A58" s="71" t="s">
        <v>35</v>
      </c>
      <c r="B58" s="46">
        <v>2.3331669833165782E-2</v>
      </c>
      <c r="C58" s="46">
        <v>2.0416255325151681E-2</v>
      </c>
      <c r="D58" s="46">
        <v>2.5743480226430745E-2</v>
      </c>
      <c r="E58" s="46">
        <v>2.9406129630269503E-2</v>
      </c>
      <c r="F58" s="46">
        <v>2.7918560102529397E-2</v>
      </c>
      <c r="G58" s="46">
        <v>2.9186415507898425E-2</v>
      </c>
    </row>
    <row r="59" spans="1:7" x14ac:dyDescent="0.3">
      <c r="A59" s="71" t="s">
        <v>94</v>
      </c>
      <c r="B59" s="46">
        <v>3.0583117862870702E-2</v>
      </c>
      <c r="C59" s="46">
        <v>3.4363587297011236E-2</v>
      </c>
      <c r="D59" s="46">
        <v>3.595905608063233E-2</v>
      </c>
      <c r="E59" s="46">
        <v>3.7177172403210709E-2</v>
      </c>
      <c r="F59" s="46">
        <v>3.281458254900757E-2</v>
      </c>
      <c r="G59" s="46">
        <v>3.6644072026978843E-2</v>
      </c>
    </row>
    <row r="60" spans="1:7" x14ac:dyDescent="0.3">
      <c r="A60" s="71" t="s">
        <v>46</v>
      </c>
      <c r="B60" s="46">
        <v>2.6789036089951725E-2</v>
      </c>
      <c r="C60" s="46">
        <v>2.8784432381202964E-2</v>
      </c>
      <c r="D60" s="46">
        <v>2.8291178514006182E-2</v>
      </c>
      <c r="E60" s="46">
        <v>2.5796903826454661E-2</v>
      </c>
      <c r="F60" s="46">
        <v>2.5351726494706163E-2</v>
      </c>
      <c r="G60" s="46">
        <v>2.4272923468179778E-2</v>
      </c>
    </row>
    <row r="61" spans="1:7" x14ac:dyDescent="0.3">
      <c r="A61" s="71" t="s">
        <v>44</v>
      </c>
      <c r="B61" s="46">
        <v>3.2312649211615661E-2</v>
      </c>
      <c r="C61" s="46">
        <v>3.3365324399923048E-2</v>
      </c>
      <c r="D61" s="46">
        <v>3.314085111169629E-2</v>
      </c>
      <c r="E61" s="46">
        <v>3.7141336131980292E-2</v>
      </c>
      <c r="F61" s="46">
        <v>3.7703395157685608E-2</v>
      </c>
      <c r="G61" s="46">
        <v>3.7052905439894972E-2</v>
      </c>
    </row>
    <row r="62" spans="1:7" x14ac:dyDescent="0.3">
      <c r="A62" s="71" t="s">
        <v>36</v>
      </c>
      <c r="B62" s="46">
        <v>4.2056925540108182E-2</v>
      </c>
      <c r="C62" s="46">
        <v>3.9254456204487455E-2</v>
      </c>
      <c r="D62" s="46">
        <v>3.5820988408663032E-2</v>
      </c>
      <c r="E62" s="46">
        <v>3.8112760497324483E-2</v>
      </c>
      <c r="F62" s="46">
        <v>3.5129727071144916E-2</v>
      </c>
      <c r="G62" s="46">
        <v>3.1880157555603632E-2</v>
      </c>
    </row>
    <row r="63" spans="1:7" x14ac:dyDescent="0.3">
      <c r="A63" s="71" t="s">
        <v>54</v>
      </c>
      <c r="B63" s="46">
        <v>2.0969515664147884E-2</v>
      </c>
      <c r="C63" s="46">
        <v>2.0651015644547865E-2</v>
      </c>
      <c r="D63" s="46">
        <v>2.5097220824949921E-2</v>
      </c>
      <c r="E63" s="46">
        <v>3.1613725164766737E-2</v>
      </c>
      <c r="F63" s="46">
        <v>2.8260310212049649E-2</v>
      </c>
      <c r="G63" s="46">
        <v>3.6692081302873179E-2</v>
      </c>
    </row>
    <row r="64" spans="1:7" x14ac:dyDescent="0.3">
      <c r="A64" s="71" t="s">
        <v>23</v>
      </c>
      <c r="B64" s="46">
        <v>2.7684938706283666E-2</v>
      </c>
      <c r="C64" s="46">
        <v>2.743700876591712E-2</v>
      </c>
      <c r="D64" s="46">
        <v>2.4121251433987741E-2</v>
      </c>
      <c r="E64" s="46">
        <v>2.6492737250417057E-2</v>
      </c>
      <c r="F64" s="46">
        <v>2.6630920362342398E-2</v>
      </c>
      <c r="G64" s="46">
        <v>2.6827874791970251E-2</v>
      </c>
    </row>
    <row r="65" spans="1:7" x14ac:dyDescent="0.3">
      <c r="A65" s="71" t="s">
        <v>49</v>
      </c>
      <c r="B65" s="46">
        <v>3.4254411165016423E-2</v>
      </c>
      <c r="C65" s="46">
        <v>3.4083178215798843E-2</v>
      </c>
      <c r="D65" s="46">
        <v>3.4981643719046399E-2</v>
      </c>
      <c r="E65" s="46">
        <v>3.4421762137433254E-2</v>
      </c>
      <c r="F65" s="46">
        <v>3.7733889931662441E-2</v>
      </c>
      <c r="G65" s="46">
        <v>4.0940979299989196E-2</v>
      </c>
    </row>
    <row r="66" spans="1:7" x14ac:dyDescent="0.3">
      <c r="A66" s="71" t="s">
        <v>24</v>
      </c>
      <c r="B66" s="46">
        <v>2.7939302544508524E-2</v>
      </c>
      <c r="C66" s="46">
        <v>2.63179079958628E-2</v>
      </c>
      <c r="D66" s="46">
        <v>3.7237842566312178E-2</v>
      </c>
      <c r="E66" s="46">
        <v>4.0851529350628149E-2</v>
      </c>
      <c r="F66" s="46">
        <v>3.4605209423640731E-2</v>
      </c>
      <c r="G66" s="46">
        <v>3.9411668350463697E-2</v>
      </c>
    </row>
    <row r="67" spans="1:7" x14ac:dyDescent="0.3">
      <c r="A67" s="71" t="s">
        <v>68</v>
      </c>
      <c r="B67" s="46">
        <v>2.5332887262706327E-2</v>
      </c>
      <c r="C67" s="46">
        <v>2.8316590055863299E-2</v>
      </c>
      <c r="D67" s="46">
        <v>3.0455571160947759E-2</v>
      </c>
      <c r="E67" s="46">
        <v>2.8084583535561151E-2</v>
      </c>
      <c r="F67" s="46">
        <v>1.9891327228376259E-2</v>
      </c>
      <c r="G67" s="46">
        <v>2.1387590478022564E-2</v>
      </c>
    </row>
    <row r="68" spans="1:7" x14ac:dyDescent="0.3">
      <c r="A68" s="71" t="s">
        <v>41</v>
      </c>
      <c r="B68" s="46">
        <v>1.7997353061753353E-2</v>
      </c>
      <c r="C68" s="46">
        <v>1.6143041080174305E-2</v>
      </c>
      <c r="D68" s="46">
        <v>1.5480787880423629E-2</v>
      </c>
      <c r="E68" s="46">
        <v>1.7335075920340733E-2</v>
      </c>
      <c r="F68" s="46">
        <v>1.6355485285405803E-2</v>
      </c>
      <c r="G68" s="46">
        <v>2.2797888409770307E-2</v>
      </c>
    </row>
    <row r="69" spans="1:7" x14ac:dyDescent="0.3">
      <c r="A69" s="71" t="s">
        <v>172</v>
      </c>
      <c r="B69" s="46">
        <v>2.8151470990778346E-2</v>
      </c>
      <c r="C69" s="46">
        <v>3.255164699599148E-2</v>
      </c>
      <c r="D69" s="46">
        <v>3.1524392882763021E-2</v>
      </c>
      <c r="E69" s="46">
        <v>3.2172946952888165E-2</v>
      </c>
      <c r="F69" s="46">
        <v>3.1596746291750612E-2</v>
      </c>
      <c r="G69" s="46">
        <v>3.5771606761835835E-2</v>
      </c>
    </row>
    <row r="70" spans="1:7" x14ac:dyDescent="0.3">
      <c r="A70" s="71" t="s">
        <v>55</v>
      </c>
      <c r="B70" s="46">
        <v>2.7161371385978038E-2</v>
      </c>
      <c r="C70" s="46">
        <v>3.1493285495760581E-2</v>
      </c>
      <c r="D70" s="46">
        <v>3.3545218466334743E-2</v>
      </c>
      <c r="E70" s="46">
        <v>3.8108326892053922E-2</v>
      </c>
      <c r="F70" s="46">
        <v>3.1844947411257027E-2</v>
      </c>
      <c r="G70" s="46">
        <v>3.2754249918169227E-2</v>
      </c>
    </row>
    <row r="71" spans="1:7" x14ac:dyDescent="0.3">
      <c r="A71" s="71" t="s">
        <v>16</v>
      </c>
      <c r="B71" s="46">
        <v>2.8954638867766159E-2</v>
      </c>
      <c r="C71" s="46">
        <v>3.4024782022552394E-2</v>
      </c>
      <c r="D71" s="46">
        <v>3.1196595385040615E-2</v>
      </c>
      <c r="E71" s="46">
        <v>3.0324749657749624E-2</v>
      </c>
      <c r="F71" s="46">
        <v>3.0582475233086232E-2</v>
      </c>
      <c r="G71" s="46">
        <v>3.9492179376005389E-2</v>
      </c>
    </row>
    <row r="72" spans="1:7" x14ac:dyDescent="0.3">
      <c r="A72" s="71" t="s">
        <v>19</v>
      </c>
      <c r="B72" s="46">
        <v>2.8505402684532975E-2</v>
      </c>
      <c r="C72" s="46">
        <v>3.0589588321054871E-2</v>
      </c>
      <c r="D72" s="46">
        <v>2.8946133243936276E-2</v>
      </c>
      <c r="E72" s="46">
        <v>2.8599493708860987E-2</v>
      </c>
      <c r="F72" s="46">
        <v>3.0679087810108852E-2</v>
      </c>
      <c r="G72" s="46">
        <v>2.8584132942481265E-2</v>
      </c>
    </row>
    <row r="73" spans="1:7" x14ac:dyDescent="0.3">
      <c r="A73" s="72" t="s">
        <v>17</v>
      </c>
      <c r="B73" s="46">
        <v>2.7731940679021558E-2</v>
      </c>
      <c r="C73" s="46">
        <v>2.6093376439409888E-2</v>
      </c>
      <c r="D73" s="46">
        <v>2.7432785175332632E-2</v>
      </c>
      <c r="E73" s="46">
        <v>2.4950877474583008E-2</v>
      </c>
      <c r="F73" s="46">
        <v>3.5433061634489414E-2</v>
      </c>
      <c r="G73" s="46">
        <v>3.2162433509931143E-2</v>
      </c>
    </row>
    <row r="74" spans="1:7" x14ac:dyDescent="0.3">
      <c r="A74" s="72" t="s">
        <v>60</v>
      </c>
      <c r="B74" s="46">
        <v>5.2483533690496097E-2</v>
      </c>
      <c r="C74" s="46">
        <v>5.6900775613041035E-2</v>
      </c>
      <c r="D74" s="46">
        <v>4.1814615763032019E-2</v>
      </c>
      <c r="E74" s="46">
        <v>5.6155516022760671E-2</v>
      </c>
      <c r="F74" s="46">
        <v>3.2401143233958971E-2</v>
      </c>
      <c r="G74" s="46">
        <v>2.990950369602622E-2</v>
      </c>
    </row>
    <row r="75" spans="1:7" ht="33" x14ac:dyDescent="0.3">
      <c r="A75" s="72" t="s">
        <v>174</v>
      </c>
      <c r="B75" s="46">
        <v>1.7850072475167702E-2</v>
      </c>
      <c r="C75" s="46">
        <v>2.4330746027122343E-2</v>
      </c>
      <c r="D75" s="46">
        <v>2.2316253753575269E-2</v>
      </c>
      <c r="E75" s="46">
        <v>1.8516690067067128E-2</v>
      </c>
      <c r="F75" s="46">
        <v>2.2227152638872771E-2</v>
      </c>
      <c r="G75" s="46">
        <v>2.2019798533720839E-2</v>
      </c>
    </row>
    <row r="76" spans="1:7" x14ac:dyDescent="0.3">
      <c r="A76" s="71" t="s">
        <v>82</v>
      </c>
      <c r="B76" s="46">
        <v>2.6654607361005205E-2</v>
      </c>
      <c r="C76" s="46">
        <v>3.331406373987654E-2</v>
      </c>
      <c r="D76" s="46">
        <v>3.5229691313917053E-2</v>
      </c>
      <c r="E76" s="46">
        <v>3.7670518266274301E-2</v>
      </c>
      <c r="F76" s="46">
        <v>3.4262232468082729E-2</v>
      </c>
      <c r="G76" s="46">
        <v>4.2672685506757527E-2</v>
      </c>
    </row>
    <row r="77" spans="1:7" x14ac:dyDescent="0.3">
      <c r="A77" s="71" t="s">
        <v>172</v>
      </c>
      <c r="B77" s="46">
        <v>3.4597704622873961E-2</v>
      </c>
      <c r="C77" s="46">
        <v>3.5061668667583853E-2</v>
      </c>
      <c r="D77" s="46">
        <v>3.6674998373271248E-2</v>
      </c>
      <c r="E77" s="46">
        <v>3.7100446135560579E-2</v>
      </c>
      <c r="F77" s="46">
        <v>3.5297489220647314E-2</v>
      </c>
      <c r="G77" s="46">
        <v>3.2486742268187097E-2</v>
      </c>
    </row>
    <row r="78" spans="1:7" x14ac:dyDescent="0.3">
      <c r="A78" s="71" t="s">
        <v>58</v>
      </c>
      <c r="B78" s="46">
        <v>3.0296365005379869E-2</v>
      </c>
      <c r="C78" s="46">
        <v>3.0769777385374408E-2</v>
      </c>
      <c r="D78" s="46">
        <v>3.7844244738235236E-2</v>
      </c>
      <c r="E78" s="46">
        <v>3.8574231009167209E-2</v>
      </c>
      <c r="F78" s="46">
        <v>3.3709751484649567E-2</v>
      </c>
      <c r="G78" s="46">
        <v>3.5831508418039622E-2</v>
      </c>
    </row>
    <row r="79" spans="1:7" x14ac:dyDescent="0.3">
      <c r="A79" s="71" t="s">
        <v>14</v>
      </c>
      <c r="B79" s="46">
        <v>3.0474648608127729E-2</v>
      </c>
      <c r="C79" s="46">
        <v>2.6251062889927977E-2</v>
      </c>
      <c r="D79" s="46">
        <v>2.3627815069684779E-2</v>
      </c>
      <c r="E79" s="46">
        <v>1.8285881855125356E-2</v>
      </c>
      <c r="F79" s="46">
        <v>1.7297143759269627E-2</v>
      </c>
      <c r="G79" s="46">
        <v>1.9697196323595435E-2</v>
      </c>
    </row>
    <row r="80" spans="1:7" x14ac:dyDescent="0.3">
      <c r="A80" s="71" t="s">
        <v>77</v>
      </c>
      <c r="B80" s="46">
        <v>3.9248908900964344E-2</v>
      </c>
      <c r="C80" s="46">
        <v>4.3163310918549865E-2</v>
      </c>
      <c r="D80" s="46">
        <v>4.1977726586355846E-2</v>
      </c>
      <c r="E80" s="46">
        <v>4.2793043816155001E-2</v>
      </c>
      <c r="F80" s="46">
        <v>4.472074707048921E-2</v>
      </c>
      <c r="G80" s="46">
        <v>4.5947165645128615E-2</v>
      </c>
    </row>
    <row r="81" spans="1:7" x14ac:dyDescent="0.3">
      <c r="A81" s="71" t="s">
        <v>12</v>
      </c>
      <c r="B81" s="46">
        <v>3.270451880935845E-2</v>
      </c>
      <c r="C81" s="46">
        <v>3.1941684926548863E-2</v>
      </c>
      <c r="D81" s="46">
        <v>3.48131487449077E-2</v>
      </c>
      <c r="E81" s="46">
        <v>3.6064015789567652E-2</v>
      </c>
      <c r="F81" s="46">
        <v>2.9904457467688286E-2</v>
      </c>
      <c r="G81" s="46">
        <v>2.7975929898779797E-2</v>
      </c>
    </row>
    <row r="82" spans="1:7" x14ac:dyDescent="0.3">
      <c r="A82" s="71" t="s">
        <v>61</v>
      </c>
      <c r="B82" s="46">
        <v>3.7162554366417667E-2</v>
      </c>
      <c r="C82" s="46">
        <v>3.5072818255510015E-2</v>
      </c>
      <c r="D82" s="46">
        <v>3.6234815748267223E-2</v>
      </c>
      <c r="E82" s="46">
        <v>3.7622626070146242E-2</v>
      </c>
      <c r="F82" s="46">
        <v>3.3462458386904995E-2</v>
      </c>
      <c r="G82" s="46">
        <v>3.9174253528396971E-2</v>
      </c>
    </row>
    <row r="83" spans="1:7" x14ac:dyDescent="0.3">
      <c r="A83" s="71" t="s">
        <v>72</v>
      </c>
      <c r="B83" s="46">
        <v>2.7881660354783722E-2</v>
      </c>
      <c r="C83" s="46">
        <v>2.9822390088379502E-2</v>
      </c>
      <c r="D83" s="46">
        <v>2.9812384758071565E-2</v>
      </c>
      <c r="E83" s="46">
        <v>3.4185893167895165E-2</v>
      </c>
      <c r="F83" s="46">
        <v>3.229128444227726E-2</v>
      </c>
      <c r="G83" s="46">
        <v>2.9758077841631602E-2</v>
      </c>
    </row>
    <row r="84" spans="1:7" x14ac:dyDescent="0.3">
      <c r="A84" s="71" t="s">
        <v>76</v>
      </c>
      <c r="B84" s="46">
        <v>3.3263761714995281E-2</v>
      </c>
      <c r="C84" s="46">
        <v>3.1132216754731233E-2</v>
      </c>
      <c r="D84" s="46">
        <v>2.6943516871457563E-2</v>
      </c>
      <c r="E84" s="46">
        <v>2.8317909969575901E-2</v>
      </c>
      <c r="F84" s="46">
        <v>2.9370270020134166E-2</v>
      </c>
      <c r="G84" s="46">
        <v>2.3922775411991046E-2</v>
      </c>
    </row>
    <row r="85" spans="1:7" x14ac:dyDescent="0.3">
      <c r="A85" s="71" t="s">
        <v>6</v>
      </c>
      <c r="B85" s="46">
        <v>4.3948028215694511E-2</v>
      </c>
      <c r="C85" s="46">
        <v>5.1815225478714907E-2</v>
      </c>
      <c r="D85" s="46">
        <v>5.8053604586518037E-2</v>
      </c>
      <c r="E85" s="46">
        <v>5.2117793157335682E-2</v>
      </c>
      <c r="F85" s="46">
        <v>5.3923141616105431E-2</v>
      </c>
      <c r="G85" s="46">
        <v>4.2220000023731871E-2</v>
      </c>
    </row>
    <row r="86" spans="1:7" x14ac:dyDescent="0.3">
      <c r="A86" s="71" t="s">
        <v>64</v>
      </c>
      <c r="B86" s="46">
        <v>3.0951935789385928E-2</v>
      </c>
      <c r="C86" s="46">
        <v>2.8477487998663474E-2</v>
      </c>
      <c r="D86" s="46">
        <v>3.3134179803227345E-2</v>
      </c>
      <c r="E86" s="46">
        <v>3.371751254975882E-2</v>
      </c>
      <c r="F86" s="46">
        <v>3.3225909609194262E-2</v>
      </c>
      <c r="G86" s="46">
        <v>2.4872602349441063E-2</v>
      </c>
    </row>
    <row r="87" spans="1:7" x14ac:dyDescent="0.3">
      <c r="A87" s="71" t="s">
        <v>5</v>
      </c>
      <c r="B87" s="46">
        <v>2.8906758120456354E-2</v>
      </c>
      <c r="C87" s="46">
        <v>2.9751121503297354E-2</v>
      </c>
      <c r="D87" s="46">
        <v>3.4833544128412525E-2</v>
      </c>
      <c r="E87" s="46">
        <v>3.4461425847593548E-2</v>
      </c>
      <c r="F87" s="46">
        <v>2.9714021935571225E-2</v>
      </c>
      <c r="G87" s="46">
        <v>2.8205425255064944E-2</v>
      </c>
    </row>
    <row r="88" spans="1:7" x14ac:dyDescent="0.3">
      <c r="A88" s="71" t="s">
        <v>172</v>
      </c>
      <c r="B88" s="46">
        <v>3.0998976129399981E-2</v>
      </c>
      <c r="C88" s="46">
        <v>2.9043861755854626E-2</v>
      </c>
      <c r="D88" s="46">
        <v>3.0067780062310409E-2</v>
      </c>
      <c r="E88" s="46">
        <v>3.0870648482568347E-2</v>
      </c>
      <c r="F88" s="46">
        <v>2.6848015814693239E-2</v>
      </c>
      <c r="G88" s="46">
        <v>2.7313876452822995E-2</v>
      </c>
    </row>
    <row r="89" spans="1:7" x14ac:dyDescent="0.3">
      <c r="A89" s="71" t="s">
        <v>1</v>
      </c>
      <c r="B89" s="46">
        <v>3.2059815010853462E-2</v>
      </c>
      <c r="C89" s="46">
        <v>3.4361347899000978E-2</v>
      </c>
      <c r="D89" s="46">
        <v>2.7438545125965979E-2</v>
      </c>
      <c r="E89" s="46">
        <v>3.2926251348609319E-2</v>
      </c>
      <c r="F89" s="46">
        <v>2.8389156605398633E-2</v>
      </c>
      <c r="G89" s="46">
        <v>3.184695049561543E-2</v>
      </c>
    </row>
    <row r="90" spans="1:7" x14ac:dyDescent="0.3">
      <c r="A90" s="71" t="s">
        <v>62</v>
      </c>
      <c r="B90" s="46">
        <v>2.8970631408573616E-2</v>
      </c>
      <c r="C90" s="46">
        <v>2.9260252335775526E-2</v>
      </c>
      <c r="D90" s="46">
        <v>2.6769831598794962E-2</v>
      </c>
      <c r="E90" s="46">
        <v>2.6918267331027441E-2</v>
      </c>
      <c r="F90" s="46">
        <v>2.2667501218291097E-2</v>
      </c>
      <c r="G90" s="46">
        <v>2.1849188268563014E-2</v>
      </c>
    </row>
    <row r="91" spans="1:7" x14ac:dyDescent="0.3">
      <c r="A91" s="71" t="s">
        <v>57</v>
      </c>
      <c r="B91" s="46">
        <v>3.900143444210976E-2</v>
      </c>
      <c r="C91" s="46">
        <v>3.3216558715797588E-2</v>
      </c>
      <c r="D91" s="46">
        <v>3.9568028118340488E-2</v>
      </c>
      <c r="E91" s="46">
        <v>3.7947288095045759E-2</v>
      </c>
      <c r="F91" s="46">
        <v>3.5349508491506851E-2</v>
      </c>
      <c r="G91" s="46">
        <v>3.2567951187194091E-2</v>
      </c>
    </row>
    <row r="92" spans="1:7" x14ac:dyDescent="0.3">
      <c r="A92" s="71" t="s">
        <v>9</v>
      </c>
      <c r="B92" s="46">
        <v>3.8131973436348242E-2</v>
      </c>
      <c r="C92" s="46">
        <v>4.1706866757870269E-2</v>
      </c>
      <c r="D92" s="46">
        <v>3.6811768983113981E-2</v>
      </c>
      <c r="E92" s="46">
        <v>3.8731765091057697E-2</v>
      </c>
      <c r="F92" s="46">
        <v>3.9710330727619716E-2</v>
      </c>
      <c r="G92" s="46">
        <v>5.1023810388543062E-2</v>
      </c>
    </row>
    <row r="93" spans="1:7" x14ac:dyDescent="0.3">
      <c r="A93" s="71" t="s">
        <v>10</v>
      </c>
      <c r="B93" s="46">
        <v>2.5006907052553897E-2</v>
      </c>
      <c r="C93" s="46">
        <v>2.6255673596300558E-2</v>
      </c>
      <c r="D93" s="46">
        <v>2.7139521072498608E-2</v>
      </c>
      <c r="E93" s="46">
        <v>3.0492358068758111E-2</v>
      </c>
      <c r="F93" s="46">
        <v>2.174104759613987E-2</v>
      </c>
      <c r="G93" s="46">
        <v>2.4847605872701357E-2</v>
      </c>
    </row>
    <row r="94" spans="1:7" x14ac:dyDescent="0.3">
      <c r="A94" s="71" t="s">
        <v>75</v>
      </c>
      <c r="B94" s="46">
        <v>3.0430792650076442E-2</v>
      </c>
      <c r="C94" s="46">
        <v>2.5561662995102936E-2</v>
      </c>
      <c r="D94" s="46">
        <v>2.8249234536247381E-2</v>
      </c>
      <c r="E94" s="46">
        <v>2.878462852750446E-2</v>
      </c>
      <c r="F94" s="46">
        <v>2.3410286315769236E-2</v>
      </c>
      <c r="G94" s="46">
        <v>2.05800162670692E-2</v>
      </c>
    </row>
    <row r="95" spans="1:7" x14ac:dyDescent="0.3">
      <c r="A95" s="71" t="s">
        <v>73</v>
      </c>
      <c r="B95" s="46">
        <v>3.6826497586302666E-2</v>
      </c>
      <c r="C95" s="46">
        <v>2.860263260852984E-2</v>
      </c>
      <c r="D95" s="46">
        <v>3.2564355429040778E-2</v>
      </c>
      <c r="E95" s="46">
        <v>2.6379436564835948E-2</v>
      </c>
      <c r="F95" s="46">
        <v>2.6741158471272043E-2</v>
      </c>
      <c r="G95" s="46">
        <v>2.7203902884373937E-2</v>
      </c>
    </row>
    <row r="96" spans="1:7" x14ac:dyDescent="0.3">
      <c r="A96" s="71" t="s">
        <v>8</v>
      </c>
      <c r="B96" s="46">
        <v>2.5184266780894048E-2</v>
      </c>
      <c r="C96" s="46">
        <v>2.0890298768359173E-2</v>
      </c>
      <c r="D96" s="46">
        <v>1.9840383943578351E-2</v>
      </c>
      <c r="E96" s="46">
        <v>2.1825552218501191E-2</v>
      </c>
      <c r="F96" s="46">
        <v>2.0197516404818563E-2</v>
      </c>
      <c r="G96" s="46">
        <v>2.3632280107750613E-2</v>
      </c>
    </row>
    <row r="97" spans="1:7" x14ac:dyDescent="0.3">
      <c r="A97" s="71" t="s">
        <v>3</v>
      </c>
      <c r="B97" s="46">
        <v>2.6957359461441097E-2</v>
      </c>
      <c r="C97" s="46">
        <v>2.3521241281577662E-2</v>
      </c>
      <c r="D97" s="46">
        <v>2.9339864350549662E-2</v>
      </c>
      <c r="E97" s="46">
        <v>2.5586538475178663E-2</v>
      </c>
      <c r="F97" s="46">
        <v>2.7166148547870826E-2</v>
      </c>
      <c r="G97" s="46">
        <v>2.4734877600761936E-2</v>
      </c>
    </row>
    <row r="98" spans="1:7" x14ac:dyDescent="0.3">
      <c r="A98" s="71" t="s">
        <v>74</v>
      </c>
      <c r="B98" s="46">
        <v>5.8337975120556988E-2</v>
      </c>
      <c r="C98" s="46">
        <v>6.0486439244316015E-2</v>
      </c>
      <c r="D98" s="46">
        <v>5.6532045245058213E-2</v>
      </c>
      <c r="E98" s="46">
        <v>6.0636109201680805E-2</v>
      </c>
      <c r="F98" s="46">
        <v>6.4187311230241031E-2</v>
      </c>
      <c r="G98" s="46">
        <v>6.0102600485141863E-2</v>
      </c>
    </row>
    <row r="99" spans="1:7" x14ac:dyDescent="0.3">
      <c r="A99" s="71" t="s">
        <v>18</v>
      </c>
      <c r="B99" s="46">
        <v>3.6478539215258433E-2</v>
      </c>
      <c r="C99" s="46">
        <v>3.79898320884157E-2</v>
      </c>
      <c r="D99" s="46">
        <v>4.9453149074160076E-2</v>
      </c>
      <c r="E99" s="46">
        <v>5.6581862276645134E-2</v>
      </c>
      <c r="F99" s="46">
        <v>6.9202065382047803E-2</v>
      </c>
      <c r="G99" s="46">
        <v>5.5047615965874638E-2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CECA7-98BF-4F21-8B75-BBF6A84E04D6}">
  <sheetPr codeName="Лист12">
    <tabColor theme="3" tint="0.79998168889431442"/>
    <pageSetUpPr fitToPage="1"/>
  </sheetPr>
  <dimension ref="A1:G97"/>
  <sheetViews>
    <sheetView showGridLines="0" workbookViewId="0"/>
  </sheetViews>
  <sheetFormatPr defaultRowHeight="16.5" x14ac:dyDescent="0.3"/>
  <cols>
    <col min="1" max="1" width="108.5703125" style="9" customWidth="1"/>
    <col min="2" max="3" width="11" style="4" bestFit="1" customWidth="1"/>
    <col min="4" max="236" width="9.140625" style="4"/>
    <col min="237" max="237" width="108.5703125" style="4" customWidth="1"/>
    <col min="238" max="238" width="1.5703125" style="4" customWidth="1"/>
    <col min="239" max="239" width="6" style="4" customWidth="1"/>
    <col min="240" max="492" width="9.140625" style="4"/>
    <col min="493" max="493" width="108.5703125" style="4" customWidth="1"/>
    <col min="494" max="494" width="1.5703125" style="4" customWidth="1"/>
    <col min="495" max="495" width="6" style="4" customWidth="1"/>
    <col min="496" max="748" width="9.140625" style="4"/>
    <col min="749" max="749" width="108.5703125" style="4" customWidth="1"/>
    <col min="750" max="750" width="1.5703125" style="4" customWidth="1"/>
    <col min="751" max="751" width="6" style="4" customWidth="1"/>
    <col min="752" max="1004" width="9.140625" style="4"/>
    <col min="1005" max="1005" width="108.5703125" style="4" customWidth="1"/>
    <col min="1006" max="1006" width="1.5703125" style="4" customWidth="1"/>
    <col min="1007" max="1007" width="6" style="4" customWidth="1"/>
    <col min="1008" max="1260" width="9.140625" style="4"/>
    <col min="1261" max="1261" width="108.5703125" style="4" customWidth="1"/>
    <col min="1262" max="1262" width="1.5703125" style="4" customWidth="1"/>
    <col min="1263" max="1263" width="6" style="4" customWidth="1"/>
    <col min="1264" max="1516" width="9.140625" style="4"/>
    <col min="1517" max="1517" width="108.5703125" style="4" customWidth="1"/>
    <col min="1518" max="1518" width="1.5703125" style="4" customWidth="1"/>
    <col min="1519" max="1519" width="6" style="4" customWidth="1"/>
    <col min="1520" max="1772" width="9.140625" style="4"/>
    <col min="1773" max="1773" width="108.5703125" style="4" customWidth="1"/>
    <col min="1774" max="1774" width="1.5703125" style="4" customWidth="1"/>
    <col min="1775" max="1775" width="6" style="4" customWidth="1"/>
    <col min="1776" max="2028" width="9.140625" style="4"/>
    <col min="2029" max="2029" width="108.5703125" style="4" customWidth="1"/>
    <col min="2030" max="2030" width="1.5703125" style="4" customWidth="1"/>
    <col min="2031" max="2031" width="6" style="4" customWidth="1"/>
    <col min="2032" max="2284" width="9.140625" style="4"/>
    <col min="2285" max="2285" width="108.5703125" style="4" customWidth="1"/>
    <col min="2286" max="2286" width="1.5703125" style="4" customWidth="1"/>
    <col min="2287" max="2287" width="6" style="4" customWidth="1"/>
    <col min="2288" max="2540" width="9.140625" style="4"/>
    <col min="2541" max="2541" width="108.5703125" style="4" customWidth="1"/>
    <col min="2542" max="2542" width="1.5703125" style="4" customWidth="1"/>
    <col min="2543" max="2543" width="6" style="4" customWidth="1"/>
    <col min="2544" max="2796" width="9.140625" style="4"/>
    <col min="2797" max="2797" width="108.5703125" style="4" customWidth="1"/>
    <col min="2798" max="2798" width="1.5703125" style="4" customWidth="1"/>
    <col min="2799" max="2799" width="6" style="4" customWidth="1"/>
    <col min="2800" max="3052" width="9.140625" style="4"/>
    <col min="3053" max="3053" width="108.5703125" style="4" customWidth="1"/>
    <col min="3054" max="3054" width="1.5703125" style="4" customWidth="1"/>
    <col min="3055" max="3055" width="6" style="4" customWidth="1"/>
    <col min="3056" max="3308" width="9.140625" style="4"/>
    <col min="3309" max="3309" width="108.5703125" style="4" customWidth="1"/>
    <col min="3310" max="3310" width="1.5703125" style="4" customWidth="1"/>
    <col min="3311" max="3311" width="6" style="4" customWidth="1"/>
    <col min="3312" max="3564" width="9.140625" style="4"/>
    <col min="3565" max="3565" width="108.5703125" style="4" customWidth="1"/>
    <col min="3566" max="3566" width="1.5703125" style="4" customWidth="1"/>
    <col min="3567" max="3567" width="6" style="4" customWidth="1"/>
    <col min="3568" max="3820" width="9.140625" style="4"/>
    <col min="3821" max="3821" width="108.5703125" style="4" customWidth="1"/>
    <col min="3822" max="3822" width="1.5703125" style="4" customWidth="1"/>
    <col min="3823" max="3823" width="6" style="4" customWidth="1"/>
    <col min="3824" max="4076" width="9.140625" style="4"/>
    <col min="4077" max="4077" width="108.5703125" style="4" customWidth="1"/>
    <col min="4078" max="4078" width="1.5703125" style="4" customWidth="1"/>
    <col min="4079" max="4079" width="6" style="4" customWidth="1"/>
    <col min="4080" max="4332" width="9.140625" style="4"/>
    <col min="4333" max="4333" width="108.5703125" style="4" customWidth="1"/>
    <col min="4334" max="4334" width="1.5703125" style="4" customWidth="1"/>
    <col min="4335" max="4335" width="6" style="4" customWidth="1"/>
    <col min="4336" max="4588" width="9.140625" style="4"/>
    <col min="4589" max="4589" width="108.5703125" style="4" customWidth="1"/>
    <col min="4590" max="4590" width="1.5703125" style="4" customWidth="1"/>
    <col min="4591" max="4591" width="6" style="4" customWidth="1"/>
    <col min="4592" max="4844" width="9.140625" style="4"/>
    <col min="4845" max="4845" width="108.5703125" style="4" customWidth="1"/>
    <col min="4846" max="4846" width="1.5703125" style="4" customWidth="1"/>
    <col min="4847" max="4847" width="6" style="4" customWidth="1"/>
    <col min="4848" max="5100" width="9.140625" style="4"/>
    <col min="5101" max="5101" width="108.5703125" style="4" customWidth="1"/>
    <col min="5102" max="5102" width="1.5703125" style="4" customWidth="1"/>
    <col min="5103" max="5103" width="6" style="4" customWidth="1"/>
    <col min="5104" max="5356" width="9.140625" style="4"/>
    <col min="5357" max="5357" width="108.5703125" style="4" customWidth="1"/>
    <col min="5358" max="5358" width="1.5703125" style="4" customWidth="1"/>
    <col min="5359" max="5359" width="6" style="4" customWidth="1"/>
    <col min="5360" max="5612" width="9.140625" style="4"/>
    <col min="5613" max="5613" width="108.5703125" style="4" customWidth="1"/>
    <col min="5614" max="5614" width="1.5703125" style="4" customWidth="1"/>
    <col min="5615" max="5615" width="6" style="4" customWidth="1"/>
    <col min="5616" max="5868" width="9.140625" style="4"/>
    <col min="5869" max="5869" width="108.5703125" style="4" customWidth="1"/>
    <col min="5870" max="5870" width="1.5703125" style="4" customWidth="1"/>
    <col min="5871" max="5871" width="6" style="4" customWidth="1"/>
    <col min="5872" max="6124" width="9.140625" style="4"/>
    <col min="6125" max="6125" width="108.5703125" style="4" customWidth="1"/>
    <col min="6126" max="6126" width="1.5703125" style="4" customWidth="1"/>
    <col min="6127" max="6127" width="6" style="4" customWidth="1"/>
    <col min="6128" max="6380" width="9.140625" style="4"/>
    <col min="6381" max="6381" width="108.5703125" style="4" customWidth="1"/>
    <col min="6382" max="6382" width="1.5703125" style="4" customWidth="1"/>
    <col min="6383" max="6383" width="6" style="4" customWidth="1"/>
    <col min="6384" max="6636" width="9.140625" style="4"/>
    <col min="6637" max="6637" width="108.5703125" style="4" customWidth="1"/>
    <col min="6638" max="6638" width="1.5703125" style="4" customWidth="1"/>
    <col min="6639" max="6639" width="6" style="4" customWidth="1"/>
    <col min="6640" max="6892" width="9.140625" style="4"/>
    <col min="6893" max="6893" width="108.5703125" style="4" customWidth="1"/>
    <col min="6894" max="6894" width="1.5703125" style="4" customWidth="1"/>
    <col min="6895" max="6895" width="6" style="4" customWidth="1"/>
    <col min="6896" max="7148" width="9.140625" style="4"/>
    <col min="7149" max="7149" width="108.5703125" style="4" customWidth="1"/>
    <col min="7150" max="7150" width="1.5703125" style="4" customWidth="1"/>
    <col min="7151" max="7151" width="6" style="4" customWidth="1"/>
    <col min="7152" max="7404" width="9.140625" style="4"/>
    <col min="7405" max="7405" width="108.5703125" style="4" customWidth="1"/>
    <col min="7406" max="7406" width="1.5703125" style="4" customWidth="1"/>
    <col min="7407" max="7407" width="6" style="4" customWidth="1"/>
    <col min="7408" max="7660" width="9.140625" style="4"/>
    <col min="7661" max="7661" width="108.5703125" style="4" customWidth="1"/>
    <col min="7662" max="7662" width="1.5703125" style="4" customWidth="1"/>
    <col min="7663" max="7663" width="6" style="4" customWidth="1"/>
    <col min="7664" max="7916" width="9.140625" style="4"/>
    <col min="7917" max="7917" width="108.5703125" style="4" customWidth="1"/>
    <col min="7918" max="7918" width="1.5703125" style="4" customWidth="1"/>
    <col min="7919" max="7919" width="6" style="4" customWidth="1"/>
    <col min="7920" max="8172" width="9.140625" style="4"/>
    <col min="8173" max="8173" width="108.5703125" style="4" customWidth="1"/>
    <col min="8174" max="8174" width="1.5703125" style="4" customWidth="1"/>
    <col min="8175" max="8175" width="6" style="4" customWidth="1"/>
    <col min="8176" max="8428" width="9.140625" style="4"/>
    <col min="8429" max="8429" width="108.5703125" style="4" customWidth="1"/>
    <col min="8430" max="8430" width="1.5703125" style="4" customWidth="1"/>
    <col min="8431" max="8431" width="6" style="4" customWidth="1"/>
    <col min="8432" max="8684" width="9.140625" style="4"/>
    <col min="8685" max="8685" width="108.5703125" style="4" customWidth="1"/>
    <col min="8686" max="8686" width="1.5703125" style="4" customWidth="1"/>
    <col min="8687" max="8687" width="6" style="4" customWidth="1"/>
    <col min="8688" max="8940" width="9.140625" style="4"/>
    <col min="8941" max="8941" width="108.5703125" style="4" customWidth="1"/>
    <col min="8942" max="8942" width="1.5703125" style="4" customWidth="1"/>
    <col min="8943" max="8943" width="6" style="4" customWidth="1"/>
    <col min="8944" max="9196" width="9.140625" style="4"/>
    <col min="9197" max="9197" width="108.5703125" style="4" customWidth="1"/>
    <col min="9198" max="9198" width="1.5703125" style="4" customWidth="1"/>
    <col min="9199" max="9199" width="6" style="4" customWidth="1"/>
    <col min="9200" max="9452" width="9.140625" style="4"/>
    <col min="9453" max="9453" width="108.5703125" style="4" customWidth="1"/>
    <col min="9454" max="9454" width="1.5703125" style="4" customWidth="1"/>
    <col min="9455" max="9455" width="6" style="4" customWidth="1"/>
    <col min="9456" max="9708" width="9.140625" style="4"/>
    <col min="9709" max="9709" width="108.5703125" style="4" customWidth="1"/>
    <col min="9710" max="9710" width="1.5703125" style="4" customWidth="1"/>
    <col min="9711" max="9711" width="6" style="4" customWidth="1"/>
    <col min="9712" max="9964" width="9.140625" style="4"/>
    <col min="9965" max="9965" width="108.5703125" style="4" customWidth="1"/>
    <col min="9966" max="9966" width="1.5703125" style="4" customWidth="1"/>
    <col min="9967" max="9967" width="6" style="4" customWidth="1"/>
    <col min="9968" max="10220" width="9.140625" style="4"/>
    <col min="10221" max="10221" width="108.5703125" style="4" customWidth="1"/>
    <col min="10222" max="10222" width="1.5703125" style="4" customWidth="1"/>
    <col min="10223" max="10223" width="6" style="4" customWidth="1"/>
    <col min="10224" max="10476" width="9.140625" style="4"/>
    <col min="10477" max="10477" width="108.5703125" style="4" customWidth="1"/>
    <col min="10478" max="10478" width="1.5703125" style="4" customWidth="1"/>
    <col min="10479" max="10479" width="6" style="4" customWidth="1"/>
    <col min="10480" max="10732" width="9.140625" style="4"/>
    <col min="10733" max="10733" width="108.5703125" style="4" customWidth="1"/>
    <col min="10734" max="10734" width="1.5703125" style="4" customWidth="1"/>
    <col min="10735" max="10735" width="6" style="4" customWidth="1"/>
    <col min="10736" max="10988" width="9.140625" style="4"/>
    <col min="10989" max="10989" width="108.5703125" style="4" customWidth="1"/>
    <col min="10990" max="10990" width="1.5703125" style="4" customWidth="1"/>
    <col min="10991" max="10991" width="6" style="4" customWidth="1"/>
    <col min="10992" max="11244" width="9.140625" style="4"/>
    <col min="11245" max="11245" width="108.5703125" style="4" customWidth="1"/>
    <col min="11246" max="11246" width="1.5703125" style="4" customWidth="1"/>
    <col min="11247" max="11247" width="6" style="4" customWidth="1"/>
    <col min="11248" max="11500" width="9.140625" style="4"/>
    <col min="11501" max="11501" width="108.5703125" style="4" customWidth="1"/>
    <col min="11502" max="11502" width="1.5703125" style="4" customWidth="1"/>
    <col min="11503" max="11503" width="6" style="4" customWidth="1"/>
    <col min="11504" max="11756" width="9.140625" style="4"/>
    <col min="11757" max="11757" width="108.5703125" style="4" customWidth="1"/>
    <col min="11758" max="11758" width="1.5703125" style="4" customWidth="1"/>
    <col min="11759" max="11759" width="6" style="4" customWidth="1"/>
    <col min="11760" max="12012" width="9.140625" style="4"/>
    <col min="12013" max="12013" width="108.5703125" style="4" customWidth="1"/>
    <col min="12014" max="12014" width="1.5703125" style="4" customWidth="1"/>
    <col min="12015" max="12015" width="6" style="4" customWidth="1"/>
    <col min="12016" max="12268" width="9.140625" style="4"/>
    <col min="12269" max="12269" width="108.5703125" style="4" customWidth="1"/>
    <col min="12270" max="12270" width="1.5703125" style="4" customWidth="1"/>
    <col min="12271" max="12271" width="6" style="4" customWidth="1"/>
    <col min="12272" max="12524" width="9.140625" style="4"/>
    <col min="12525" max="12525" width="108.5703125" style="4" customWidth="1"/>
    <col min="12526" max="12526" width="1.5703125" style="4" customWidth="1"/>
    <col min="12527" max="12527" width="6" style="4" customWidth="1"/>
    <col min="12528" max="12780" width="9.140625" style="4"/>
    <col min="12781" max="12781" width="108.5703125" style="4" customWidth="1"/>
    <col min="12782" max="12782" width="1.5703125" style="4" customWidth="1"/>
    <col min="12783" max="12783" width="6" style="4" customWidth="1"/>
    <col min="12784" max="13036" width="9.140625" style="4"/>
    <col min="13037" max="13037" width="108.5703125" style="4" customWidth="1"/>
    <col min="13038" max="13038" width="1.5703125" style="4" customWidth="1"/>
    <col min="13039" max="13039" width="6" style="4" customWidth="1"/>
    <col min="13040" max="13292" width="9.140625" style="4"/>
    <col min="13293" max="13293" width="108.5703125" style="4" customWidth="1"/>
    <col min="13294" max="13294" width="1.5703125" style="4" customWidth="1"/>
    <col min="13295" max="13295" width="6" style="4" customWidth="1"/>
    <col min="13296" max="13548" width="9.140625" style="4"/>
    <col min="13549" max="13549" width="108.5703125" style="4" customWidth="1"/>
    <col min="13550" max="13550" width="1.5703125" style="4" customWidth="1"/>
    <col min="13551" max="13551" width="6" style="4" customWidth="1"/>
    <col min="13552" max="13804" width="9.140625" style="4"/>
    <col min="13805" max="13805" width="108.5703125" style="4" customWidth="1"/>
    <col min="13806" max="13806" width="1.5703125" style="4" customWidth="1"/>
    <col min="13807" max="13807" width="6" style="4" customWidth="1"/>
    <col min="13808" max="14060" width="9.140625" style="4"/>
    <col min="14061" max="14061" width="108.5703125" style="4" customWidth="1"/>
    <col min="14062" max="14062" width="1.5703125" style="4" customWidth="1"/>
    <col min="14063" max="14063" width="6" style="4" customWidth="1"/>
    <col min="14064" max="14316" width="9.140625" style="4"/>
    <col min="14317" max="14317" width="108.5703125" style="4" customWidth="1"/>
    <col min="14318" max="14318" width="1.5703125" style="4" customWidth="1"/>
    <col min="14319" max="14319" width="6" style="4" customWidth="1"/>
    <col min="14320" max="14572" width="9.140625" style="4"/>
    <col min="14573" max="14573" width="108.5703125" style="4" customWidth="1"/>
    <col min="14574" max="14574" width="1.5703125" style="4" customWidth="1"/>
    <col min="14575" max="14575" width="6" style="4" customWidth="1"/>
    <col min="14576" max="14828" width="9.140625" style="4"/>
    <col min="14829" max="14829" width="108.5703125" style="4" customWidth="1"/>
    <col min="14830" max="14830" width="1.5703125" style="4" customWidth="1"/>
    <col min="14831" max="14831" width="6" style="4" customWidth="1"/>
    <col min="14832" max="15084" width="9.140625" style="4"/>
    <col min="15085" max="15085" width="108.5703125" style="4" customWidth="1"/>
    <col min="15086" max="15086" width="1.5703125" style="4" customWidth="1"/>
    <col min="15087" max="15087" width="6" style="4" customWidth="1"/>
    <col min="15088" max="15340" width="9.140625" style="4"/>
    <col min="15341" max="15341" width="108.5703125" style="4" customWidth="1"/>
    <col min="15342" max="15342" width="1.5703125" style="4" customWidth="1"/>
    <col min="15343" max="15343" width="6" style="4" customWidth="1"/>
    <col min="15344" max="15596" width="9.140625" style="4"/>
    <col min="15597" max="15597" width="108.5703125" style="4" customWidth="1"/>
    <col min="15598" max="15598" width="1.5703125" style="4" customWidth="1"/>
    <col min="15599" max="15599" width="6" style="4" customWidth="1"/>
    <col min="15600" max="15852" width="9.140625" style="4"/>
    <col min="15853" max="15853" width="108.5703125" style="4" customWidth="1"/>
    <col min="15854" max="15854" width="1.5703125" style="4" customWidth="1"/>
    <col min="15855" max="15855" width="6" style="4" customWidth="1"/>
    <col min="15856" max="16108" width="9.140625" style="4"/>
    <col min="16109" max="16109" width="108.5703125" style="4" customWidth="1"/>
    <col min="16110" max="16110" width="1.5703125" style="4" customWidth="1"/>
    <col min="16111" max="16111" width="6" style="4" customWidth="1"/>
    <col min="16112" max="16384" width="9.140625" style="4"/>
  </cols>
  <sheetData>
    <row r="1" spans="1:7" x14ac:dyDescent="0.3">
      <c r="A1" s="8" t="s">
        <v>305</v>
      </c>
      <c r="B1" s="65"/>
      <c r="C1" s="65"/>
      <c r="D1" s="65"/>
      <c r="E1" s="65"/>
      <c r="F1" s="65"/>
      <c r="G1" s="65"/>
    </row>
    <row r="3" spans="1:7" x14ac:dyDescent="0.3">
      <c r="A3" s="48" t="s">
        <v>129</v>
      </c>
      <c r="B3" s="20">
        <v>2020</v>
      </c>
      <c r="C3" s="20">
        <v>2021</v>
      </c>
    </row>
    <row r="4" spans="1:7" x14ac:dyDescent="0.3">
      <c r="A4" s="71" t="s">
        <v>87</v>
      </c>
      <c r="B4" s="46">
        <v>4.1399999999999999E-2</v>
      </c>
      <c r="C4" s="46">
        <v>3.6426638040000001E-2</v>
      </c>
    </row>
    <row r="5" spans="1:7" x14ac:dyDescent="0.3">
      <c r="A5" s="71" t="s">
        <v>96</v>
      </c>
      <c r="B5" s="46">
        <v>3.4500000000000003E-2</v>
      </c>
      <c r="C5" s="46">
        <v>3.3858128229999999E-2</v>
      </c>
    </row>
    <row r="6" spans="1:7" x14ac:dyDescent="0.3">
      <c r="A6" s="71" t="s">
        <v>50</v>
      </c>
      <c r="B6" s="46">
        <v>2.7900000000000001E-2</v>
      </c>
      <c r="C6" s="46">
        <v>3.2483948895000003E-2</v>
      </c>
    </row>
    <row r="7" spans="1:7" x14ac:dyDescent="0.3">
      <c r="A7" s="71" t="s">
        <v>48</v>
      </c>
      <c r="B7" s="46">
        <v>3.6900000000000002E-2</v>
      </c>
      <c r="C7" s="46">
        <v>4.0020988727000002E-2</v>
      </c>
    </row>
    <row r="8" spans="1:7" x14ac:dyDescent="0.3">
      <c r="A8" s="71" t="s">
        <v>20</v>
      </c>
      <c r="B8" s="46">
        <v>4.1100000000000005E-2</v>
      </c>
      <c r="C8" s="46">
        <v>3.0176381658000004E-2</v>
      </c>
    </row>
    <row r="9" spans="1:7" x14ac:dyDescent="0.3">
      <c r="A9" s="71" t="s">
        <v>4</v>
      </c>
      <c r="B9" s="46">
        <v>2.7099999999999999E-2</v>
      </c>
      <c r="C9" s="46">
        <v>1.7518582987E-2</v>
      </c>
    </row>
    <row r="10" spans="1:7" x14ac:dyDescent="0.3">
      <c r="A10" s="71" t="s">
        <v>45</v>
      </c>
      <c r="B10" s="46">
        <v>7.0800000000000002E-2</v>
      </c>
      <c r="C10" s="46">
        <v>4.8869498693000002E-2</v>
      </c>
    </row>
    <row r="11" spans="1:7" x14ac:dyDescent="0.3">
      <c r="A11" s="71" t="s">
        <v>40</v>
      </c>
      <c r="B11" s="46">
        <v>2.6800000000000001E-2</v>
      </c>
      <c r="C11" s="46">
        <v>2.1992348021999997E-2</v>
      </c>
    </row>
    <row r="12" spans="1:7" x14ac:dyDescent="0.3">
      <c r="A12" s="71" t="s">
        <v>37</v>
      </c>
      <c r="B12" s="46">
        <v>2.0299999999999999E-2</v>
      </c>
      <c r="C12" s="46">
        <v>5.3295472378000003E-2</v>
      </c>
    </row>
    <row r="13" spans="1:7" x14ac:dyDescent="0.3">
      <c r="A13" s="71" t="s">
        <v>56</v>
      </c>
      <c r="B13" s="46">
        <v>7.0199999999999999E-2</v>
      </c>
      <c r="C13" s="46">
        <v>3.6774020200999999E-2</v>
      </c>
    </row>
    <row r="14" spans="1:7" x14ac:dyDescent="0.3">
      <c r="A14" s="71" t="s">
        <v>51</v>
      </c>
      <c r="B14" s="46">
        <v>2.8300000000000002E-2</v>
      </c>
      <c r="C14" s="46">
        <v>3.9242380223000001E-2</v>
      </c>
    </row>
    <row r="15" spans="1:7" x14ac:dyDescent="0.3">
      <c r="A15" s="71" t="s">
        <v>21</v>
      </c>
      <c r="B15" s="46">
        <v>2.8999999999999998E-2</v>
      </c>
      <c r="C15" s="46">
        <v>3.7244353699000005E-2</v>
      </c>
    </row>
    <row r="16" spans="1:7" x14ac:dyDescent="0.3">
      <c r="A16" s="71" t="s">
        <v>70</v>
      </c>
      <c r="B16" s="46">
        <v>4.1399999999999999E-2</v>
      </c>
      <c r="C16" s="46">
        <v>4.8296343362999997E-2</v>
      </c>
    </row>
    <row r="17" spans="1:3" x14ac:dyDescent="0.3">
      <c r="A17" s="71" t="s">
        <v>59</v>
      </c>
      <c r="B17" s="46">
        <v>4.4199999999999996E-2</v>
      </c>
      <c r="C17" s="46">
        <v>5.1358318744000001E-2</v>
      </c>
    </row>
    <row r="18" spans="1:3" x14ac:dyDescent="0.3">
      <c r="A18" s="71" t="s">
        <v>43</v>
      </c>
      <c r="B18" s="46">
        <v>1.8700000000000001E-2</v>
      </c>
      <c r="C18" s="46">
        <v>3.5162715471E-2</v>
      </c>
    </row>
    <row r="19" spans="1:3" x14ac:dyDescent="0.3">
      <c r="A19" s="71" t="s">
        <v>15</v>
      </c>
      <c r="B19" s="46">
        <v>3.0800000000000001E-2</v>
      </c>
      <c r="C19" s="46">
        <v>3.0299743537000001E-2</v>
      </c>
    </row>
    <row r="20" spans="1:3" x14ac:dyDescent="0.3">
      <c r="A20" s="71" t="s">
        <v>38</v>
      </c>
      <c r="B20" s="46">
        <v>6.2400000000000004E-2</v>
      </c>
      <c r="C20" s="46">
        <v>3.1169369830000002E-2</v>
      </c>
    </row>
    <row r="21" spans="1:3" x14ac:dyDescent="0.3">
      <c r="A21" s="71" t="s">
        <v>39</v>
      </c>
      <c r="B21" s="46">
        <v>2.5000000000000001E-2</v>
      </c>
      <c r="C21" s="46">
        <v>2.3911075273000001E-2</v>
      </c>
    </row>
    <row r="22" spans="1:3" x14ac:dyDescent="0.3">
      <c r="A22" s="71" t="s">
        <v>78</v>
      </c>
      <c r="B22" s="46">
        <v>2.7300000000000001E-2</v>
      </c>
      <c r="C22" s="46">
        <v>2.9443795213000001E-2</v>
      </c>
    </row>
    <row r="23" spans="1:3" x14ac:dyDescent="0.3">
      <c r="A23" s="71" t="s">
        <v>13</v>
      </c>
      <c r="B23" s="46">
        <v>3.3300000000000003E-2</v>
      </c>
      <c r="C23" s="46">
        <v>3.2879496256999999E-2</v>
      </c>
    </row>
    <row r="24" spans="1:3" x14ac:dyDescent="0.3">
      <c r="A24" s="71" t="s">
        <v>97</v>
      </c>
      <c r="B24" s="46">
        <v>4.9599999999999998E-2</v>
      </c>
      <c r="C24" s="46">
        <v>4.1955110500000004E-2</v>
      </c>
    </row>
    <row r="25" spans="1:3" x14ac:dyDescent="0.3">
      <c r="A25" s="71" t="s">
        <v>71</v>
      </c>
      <c r="B25" s="46">
        <v>3.8399999999999997E-2</v>
      </c>
      <c r="C25" s="46">
        <v>5.8047318451000002E-2</v>
      </c>
    </row>
    <row r="26" spans="1:3" x14ac:dyDescent="0.3">
      <c r="A26" s="71" t="s">
        <v>65</v>
      </c>
      <c r="B26" s="46">
        <v>7.8899999999999998E-2</v>
      </c>
      <c r="C26" s="46">
        <v>5.6847648228000001E-2</v>
      </c>
    </row>
    <row r="27" spans="1:3" x14ac:dyDescent="0.3">
      <c r="A27" s="71" t="s">
        <v>53</v>
      </c>
      <c r="B27" s="46">
        <v>5.2199999999999996E-2</v>
      </c>
      <c r="C27" s="46">
        <v>7.5222273724999997E-2</v>
      </c>
    </row>
    <row r="28" spans="1:3" x14ac:dyDescent="0.3">
      <c r="A28" s="71" t="s">
        <v>7</v>
      </c>
      <c r="B28" s="46">
        <v>1.3999999999999999E-2</v>
      </c>
      <c r="C28" s="46">
        <v>1.0276872939999999E-2</v>
      </c>
    </row>
    <row r="29" spans="1:3" x14ac:dyDescent="0.3">
      <c r="A29" s="72" t="s">
        <v>80</v>
      </c>
      <c r="B29" s="46">
        <v>5.7200000000000001E-2</v>
      </c>
      <c r="C29" s="46">
        <v>4.7009148370000003E-2</v>
      </c>
    </row>
    <row r="30" spans="1:3" x14ac:dyDescent="0.3">
      <c r="A30" s="71" t="s">
        <v>69</v>
      </c>
      <c r="B30" s="46">
        <v>3.4099999999999998E-2</v>
      </c>
      <c r="C30" s="46">
        <v>5.6705339682999997E-2</v>
      </c>
    </row>
    <row r="31" spans="1:3" x14ac:dyDescent="0.3">
      <c r="A31" s="71" t="s">
        <v>33</v>
      </c>
      <c r="B31" s="46">
        <v>4.3400000000000001E-2</v>
      </c>
      <c r="C31" s="46">
        <v>3.5274226178000002E-2</v>
      </c>
    </row>
    <row r="32" spans="1:3" x14ac:dyDescent="0.3">
      <c r="A32" s="71" t="s">
        <v>30</v>
      </c>
      <c r="B32" s="46">
        <v>8.7100000000000011E-2</v>
      </c>
      <c r="C32" s="46">
        <v>6.2407049680999999E-2</v>
      </c>
    </row>
    <row r="33" spans="1:3" x14ac:dyDescent="0.3">
      <c r="A33" s="71" t="s">
        <v>52</v>
      </c>
      <c r="B33" s="46">
        <v>5.0300000000000004E-2</v>
      </c>
      <c r="C33" s="46">
        <v>4.8944906360999997E-2</v>
      </c>
    </row>
    <row r="34" spans="1:3" x14ac:dyDescent="0.3">
      <c r="A34" s="71" t="s">
        <v>31</v>
      </c>
      <c r="B34" s="46">
        <v>6.54E-2</v>
      </c>
      <c r="C34" s="46">
        <v>2.1872174942E-2</v>
      </c>
    </row>
    <row r="35" spans="1:3" x14ac:dyDescent="0.3">
      <c r="A35" s="71" t="s">
        <v>32</v>
      </c>
      <c r="B35" s="46">
        <v>4.0899999999999999E-2</v>
      </c>
      <c r="C35" s="46">
        <v>2.8376892285999999E-2</v>
      </c>
    </row>
    <row r="36" spans="1:3" x14ac:dyDescent="0.3">
      <c r="A36" s="71" t="s">
        <v>125</v>
      </c>
      <c r="B36" s="46">
        <v>4.8600000000000004E-2</v>
      </c>
      <c r="C36" s="46">
        <v>3.2297837781999995E-2</v>
      </c>
    </row>
    <row r="37" spans="1:3" x14ac:dyDescent="0.3">
      <c r="A37" s="71" t="s">
        <v>26</v>
      </c>
      <c r="B37" s="46">
        <v>6.9400000000000003E-2</v>
      </c>
      <c r="C37" s="46">
        <v>2.6067450960000002E-2</v>
      </c>
    </row>
    <row r="38" spans="1:3" x14ac:dyDescent="0.3">
      <c r="A38" s="71" t="s">
        <v>27</v>
      </c>
      <c r="B38" s="46">
        <v>1.72E-2</v>
      </c>
      <c r="C38" s="46">
        <v>1.5920228557E-2</v>
      </c>
    </row>
    <row r="39" spans="1:3" x14ac:dyDescent="0.3">
      <c r="A39" s="71" t="s">
        <v>89</v>
      </c>
      <c r="B39" s="46">
        <v>2.6099999999999998E-2</v>
      </c>
      <c r="C39" s="46">
        <v>1.8928556719000001E-2</v>
      </c>
    </row>
    <row r="40" spans="1:3" x14ac:dyDescent="0.3">
      <c r="A40" s="71" t="s">
        <v>28</v>
      </c>
      <c r="B40" s="46">
        <v>6.8699999999999997E-2</v>
      </c>
      <c r="C40" s="46">
        <v>3.2195553603999998E-2</v>
      </c>
    </row>
    <row r="41" spans="1:3" x14ac:dyDescent="0.3">
      <c r="A41" s="71" t="s">
        <v>25</v>
      </c>
      <c r="B41" s="46">
        <v>5.96E-2</v>
      </c>
      <c r="C41" s="46">
        <v>3.7362958864000005E-2</v>
      </c>
    </row>
    <row r="42" spans="1:3" x14ac:dyDescent="0.3">
      <c r="A42" s="71" t="s">
        <v>22</v>
      </c>
      <c r="B42" s="46">
        <v>3.6799999999999999E-2</v>
      </c>
      <c r="C42" s="46">
        <v>3.4694813869000002E-2</v>
      </c>
    </row>
    <row r="43" spans="1:3" x14ac:dyDescent="0.3">
      <c r="A43" s="71" t="s">
        <v>29</v>
      </c>
      <c r="B43" s="46">
        <v>4.2099999999999999E-2</v>
      </c>
      <c r="C43" s="46">
        <v>3.9008649849000002E-2</v>
      </c>
    </row>
    <row r="44" spans="1:3" x14ac:dyDescent="0.3">
      <c r="A44" s="71" t="s">
        <v>177</v>
      </c>
      <c r="B44" s="46">
        <v>1.6399999999999998E-2</v>
      </c>
      <c r="C44" s="46">
        <v>1.7862377267999999E-2</v>
      </c>
    </row>
    <row r="45" spans="1:3" x14ac:dyDescent="0.3">
      <c r="A45" s="71" t="s">
        <v>99</v>
      </c>
      <c r="B45" s="46">
        <v>1.77E-2</v>
      </c>
      <c r="C45" s="46">
        <v>1.5839930546000001E-2</v>
      </c>
    </row>
    <row r="46" spans="1:3" x14ac:dyDescent="0.3">
      <c r="A46" s="71" t="s">
        <v>63</v>
      </c>
      <c r="B46" s="46">
        <v>9.1999999999999998E-3</v>
      </c>
      <c r="C46" s="46">
        <v>6.5887371500000002E-3</v>
      </c>
    </row>
    <row r="47" spans="1:3" x14ac:dyDescent="0.3">
      <c r="A47" s="71" t="s">
        <v>81</v>
      </c>
      <c r="B47" s="46">
        <v>8.9999999999999998E-4</v>
      </c>
      <c r="C47" s="46">
        <v>8.9999999999999998E-4</v>
      </c>
    </row>
    <row r="48" spans="1:3" x14ac:dyDescent="0.3">
      <c r="A48" s="71" t="s">
        <v>91</v>
      </c>
      <c r="B48" s="46">
        <v>8.6999999999999994E-3</v>
      </c>
      <c r="C48" s="46">
        <v>6.6087791839999997E-3</v>
      </c>
    </row>
    <row r="49" spans="1:3" x14ac:dyDescent="0.3">
      <c r="A49" s="72" t="s">
        <v>92</v>
      </c>
      <c r="B49" s="46">
        <v>1.7000000000000001E-2</v>
      </c>
      <c r="C49" s="46">
        <v>2.6229493209999999E-3</v>
      </c>
    </row>
    <row r="50" spans="1:3" x14ac:dyDescent="0.3">
      <c r="A50" s="72" t="s">
        <v>47</v>
      </c>
      <c r="B50" s="46">
        <v>1.0700000000000001E-2</v>
      </c>
      <c r="C50" s="46">
        <v>4.7250540759999999E-3</v>
      </c>
    </row>
    <row r="51" spans="1:3" x14ac:dyDescent="0.3">
      <c r="A51" s="72" t="s">
        <v>93</v>
      </c>
      <c r="B51" s="46">
        <v>1E-3</v>
      </c>
      <c r="C51" s="46">
        <v>1E-3</v>
      </c>
    </row>
    <row r="52" spans="1:3" x14ac:dyDescent="0.3">
      <c r="A52" s="71" t="s">
        <v>11</v>
      </c>
      <c r="B52" s="46">
        <v>3.8699999999999998E-2</v>
      </c>
      <c r="C52" s="46">
        <v>3.9773996178000003E-2</v>
      </c>
    </row>
    <row r="53" spans="1:3" x14ac:dyDescent="0.3">
      <c r="A53" s="71" t="s">
        <v>100</v>
      </c>
      <c r="B53" s="46">
        <v>3.3399999999999999E-2</v>
      </c>
      <c r="C53" s="46">
        <v>3.6226431486000001E-2</v>
      </c>
    </row>
    <row r="54" spans="1:3" x14ac:dyDescent="0.3">
      <c r="A54" s="71" t="s">
        <v>83</v>
      </c>
      <c r="B54" s="46">
        <v>4.2599999999999999E-2</v>
      </c>
      <c r="C54" s="46">
        <v>4.2825344582999997E-2</v>
      </c>
    </row>
    <row r="55" spans="1:3" x14ac:dyDescent="0.3">
      <c r="A55" s="71" t="s">
        <v>42</v>
      </c>
      <c r="B55" s="46">
        <v>4.2000000000000003E-2</v>
      </c>
      <c r="C55" s="46">
        <v>6.4759690332999997E-2</v>
      </c>
    </row>
    <row r="56" spans="1:3" x14ac:dyDescent="0.3">
      <c r="A56" s="71" t="s">
        <v>34</v>
      </c>
      <c r="B56" s="46">
        <v>2.1899999999999999E-2</v>
      </c>
      <c r="C56" s="46">
        <v>2.6307780690999996E-2</v>
      </c>
    </row>
    <row r="57" spans="1:3" x14ac:dyDescent="0.3">
      <c r="A57" s="71" t="s">
        <v>35</v>
      </c>
      <c r="B57" s="46">
        <v>1.7000000000000001E-2</v>
      </c>
      <c r="C57" s="46">
        <v>1.8823117169000002E-2</v>
      </c>
    </row>
    <row r="58" spans="1:3" x14ac:dyDescent="0.3">
      <c r="A58" s="71" t="s">
        <v>94</v>
      </c>
      <c r="B58" s="46">
        <v>1.89E-2</v>
      </c>
      <c r="C58" s="46">
        <v>2.0845777219000002E-2</v>
      </c>
    </row>
    <row r="59" spans="1:3" x14ac:dyDescent="0.3">
      <c r="A59" s="71" t="s">
        <v>46</v>
      </c>
      <c r="B59" s="46">
        <v>3.3000000000000002E-2</v>
      </c>
      <c r="C59" s="46">
        <v>3.2494080775000003E-2</v>
      </c>
    </row>
    <row r="60" spans="1:3" x14ac:dyDescent="0.3">
      <c r="A60" s="71" t="s">
        <v>44</v>
      </c>
      <c r="B60" s="46">
        <v>4.53E-2</v>
      </c>
      <c r="C60" s="46">
        <v>7.5661282888999995E-2</v>
      </c>
    </row>
    <row r="61" spans="1:3" x14ac:dyDescent="0.3">
      <c r="A61" s="71" t="s">
        <v>36</v>
      </c>
      <c r="B61" s="46">
        <v>5.5199999999999999E-2</v>
      </c>
      <c r="C61" s="46">
        <v>4.0135237765999997E-2</v>
      </c>
    </row>
    <row r="62" spans="1:3" x14ac:dyDescent="0.3">
      <c r="A62" s="71" t="s">
        <v>54</v>
      </c>
      <c r="B62" s="46">
        <v>3.8199999999999998E-2</v>
      </c>
      <c r="C62" s="46">
        <v>3.7653069745000003E-2</v>
      </c>
    </row>
    <row r="63" spans="1:3" x14ac:dyDescent="0.3">
      <c r="A63" s="71" t="s">
        <v>23</v>
      </c>
      <c r="B63" s="46">
        <v>2.0799999999999999E-2</v>
      </c>
      <c r="C63" s="46">
        <v>3.2823872572999999E-2</v>
      </c>
    </row>
    <row r="64" spans="1:3" x14ac:dyDescent="0.3">
      <c r="A64" s="71" t="s">
        <v>49</v>
      </c>
      <c r="B64" s="46">
        <v>3.4799999999999998E-2</v>
      </c>
      <c r="C64" s="46">
        <v>4.0846450627999999E-2</v>
      </c>
    </row>
    <row r="65" spans="1:3" x14ac:dyDescent="0.3">
      <c r="A65" s="71" t="s">
        <v>24</v>
      </c>
      <c r="B65" s="46">
        <v>3.1200000000000002E-2</v>
      </c>
      <c r="C65" s="46">
        <v>3.1410080059999998E-2</v>
      </c>
    </row>
    <row r="66" spans="1:3" x14ac:dyDescent="0.3">
      <c r="A66" s="71" t="s">
        <v>68</v>
      </c>
      <c r="B66" s="46">
        <v>3.7499999999999999E-2</v>
      </c>
      <c r="C66" s="46">
        <v>3.0178255516000001E-2</v>
      </c>
    </row>
    <row r="67" spans="1:3" x14ac:dyDescent="0.3">
      <c r="A67" s="71" t="s">
        <v>41</v>
      </c>
      <c r="B67" s="46">
        <v>2.4799999999999999E-2</v>
      </c>
      <c r="C67" s="46">
        <v>1.3433723736E-2</v>
      </c>
    </row>
    <row r="68" spans="1:3" x14ac:dyDescent="0.3">
      <c r="A68" s="71" t="s">
        <v>101</v>
      </c>
      <c r="B68" s="46">
        <v>5.8600000000000006E-2</v>
      </c>
      <c r="C68" s="46">
        <v>4.9919524042999999E-2</v>
      </c>
    </row>
    <row r="69" spans="1:3" x14ac:dyDescent="0.3">
      <c r="A69" s="71" t="s">
        <v>55</v>
      </c>
      <c r="B69" s="46">
        <v>5.4400000000000004E-2</v>
      </c>
      <c r="C69" s="46">
        <v>6.4526061613999999E-2</v>
      </c>
    </row>
    <row r="70" spans="1:3" x14ac:dyDescent="0.3">
      <c r="A70" s="71" t="s">
        <v>16</v>
      </c>
      <c r="B70" s="46">
        <v>5.5300000000000002E-2</v>
      </c>
      <c r="C70" s="46">
        <v>6.4306595841999992E-2</v>
      </c>
    </row>
    <row r="71" spans="1:3" x14ac:dyDescent="0.3">
      <c r="A71" s="71" t="s">
        <v>17</v>
      </c>
      <c r="B71" s="46">
        <v>3.3300000000000003E-2</v>
      </c>
      <c r="C71" s="46">
        <v>3.3865133439000002E-2</v>
      </c>
    </row>
    <row r="72" spans="1:3" x14ac:dyDescent="0.3">
      <c r="A72" s="71" t="s">
        <v>60</v>
      </c>
      <c r="B72" s="46">
        <v>4.7E-2</v>
      </c>
      <c r="C72" s="46">
        <v>2.3175399149000003E-2</v>
      </c>
    </row>
    <row r="73" spans="1:3" x14ac:dyDescent="0.3">
      <c r="A73" s="72" t="s">
        <v>19</v>
      </c>
      <c r="B73" s="46">
        <v>3.6600000000000001E-2</v>
      </c>
      <c r="C73" s="46">
        <v>3.2732911943000001E-2</v>
      </c>
    </row>
    <row r="74" spans="1:3" x14ac:dyDescent="0.3">
      <c r="A74" s="72" t="s">
        <v>82</v>
      </c>
      <c r="B74" s="46">
        <v>8.3400000000000002E-2</v>
      </c>
      <c r="C74" s="46">
        <v>4.3550549073999995E-2</v>
      </c>
    </row>
    <row r="75" spans="1:3" x14ac:dyDescent="0.3">
      <c r="A75" s="72" t="s">
        <v>102</v>
      </c>
      <c r="B75" s="46">
        <v>4.9500000000000002E-2</v>
      </c>
      <c r="C75" s="46">
        <v>3.6475614296999997E-2</v>
      </c>
    </row>
    <row r="76" spans="1:3" x14ac:dyDescent="0.3">
      <c r="A76" s="71" t="s">
        <v>58</v>
      </c>
      <c r="B76" s="46">
        <v>3.61E-2</v>
      </c>
      <c r="C76" s="46">
        <v>5.0155619542999998E-2</v>
      </c>
    </row>
    <row r="77" spans="1:3" x14ac:dyDescent="0.3">
      <c r="A77" s="71" t="s">
        <v>14</v>
      </c>
      <c r="B77" s="46">
        <v>1E-3</v>
      </c>
      <c r="C77" s="46">
        <v>1.1391878567E-2</v>
      </c>
    </row>
    <row r="78" spans="1:3" x14ac:dyDescent="0.3">
      <c r="A78" s="71" t="s">
        <v>77</v>
      </c>
      <c r="B78" s="46">
        <v>5.3699999999999998E-2</v>
      </c>
      <c r="C78" s="46">
        <v>4.9522873076999999E-2</v>
      </c>
    </row>
    <row r="79" spans="1:3" x14ac:dyDescent="0.3">
      <c r="A79" s="71" t="s">
        <v>12</v>
      </c>
      <c r="B79" s="46">
        <v>4.6500000000000007E-2</v>
      </c>
      <c r="C79" s="46">
        <v>3.4641454813000003E-2</v>
      </c>
    </row>
    <row r="80" spans="1:3" x14ac:dyDescent="0.3">
      <c r="A80" s="71" t="s">
        <v>61</v>
      </c>
      <c r="B80" s="46">
        <v>5.4600000000000003E-2</v>
      </c>
      <c r="C80" s="46">
        <v>3.2990520655000001E-2</v>
      </c>
    </row>
    <row r="81" spans="1:3" x14ac:dyDescent="0.3">
      <c r="A81" s="71" t="s">
        <v>72</v>
      </c>
      <c r="B81" s="46">
        <v>4.9200000000000001E-2</v>
      </c>
      <c r="C81" s="46">
        <v>3.5201739348E-2</v>
      </c>
    </row>
    <row r="82" spans="1:3" x14ac:dyDescent="0.3">
      <c r="A82" s="71" t="s">
        <v>76</v>
      </c>
      <c r="B82" s="46">
        <v>5.45E-2</v>
      </c>
      <c r="C82" s="46">
        <v>3.6121101319000003E-2</v>
      </c>
    </row>
    <row r="83" spans="1:3" x14ac:dyDescent="0.3">
      <c r="A83" s="71" t="s">
        <v>6</v>
      </c>
      <c r="B83" s="46">
        <v>5.0700000000000002E-2</v>
      </c>
      <c r="C83" s="46">
        <v>4.1617187102999997E-2</v>
      </c>
    </row>
    <row r="84" spans="1:3" x14ac:dyDescent="0.3">
      <c r="A84" s="71" t="s">
        <v>64</v>
      </c>
      <c r="B84" s="46">
        <v>3.1E-2</v>
      </c>
      <c r="C84" s="46">
        <v>1.9066211643999999E-2</v>
      </c>
    </row>
    <row r="85" spans="1:3" x14ac:dyDescent="0.3">
      <c r="A85" s="71" t="s">
        <v>5</v>
      </c>
      <c r="B85" s="46">
        <v>7.5700000000000003E-2</v>
      </c>
      <c r="C85" s="46">
        <v>7.2219963351000005E-2</v>
      </c>
    </row>
    <row r="86" spans="1:3" x14ac:dyDescent="0.3">
      <c r="A86" s="71" t="s">
        <v>103</v>
      </c>
      <c r="B86" s="46">
        <v>5.6399999999999999E-2</v>
      </c>
      <c r="C86" s="46">
        <v>4.8569617009000005E-2</v>
      </c>
    </row>
    <row r="87" spans="1:3" x14ac:dyDescent="0.3">
      <c r="A87" s="71" t="s">
        <v>1</v>
      </c>
      <c r="B87" s="46">
        <v>2.9399999999999999E-2</v>
      </c>
      <c r="C87" s="46">
        <v>1.6841846705E-2</v>
      </c>
    </row>
    <row r="88" spans="1:3" x14ac:dyDescent="0.3">
      <c r="A88" s="71" t="s">
        <v>62</v>
      </c>
      <c r="B88" s="46">
        <v>1.83E-2</v>
      </c>
      <c r="C88" s="46">
        <v>2.0560707918999999E-2</v>
      </c>
    </row>
    <row r="89" spans="1:3" x14ac:dyDescent="0.3">
      <c r="A89" s="71" t="s">
        <v>57</v>
      </c>
      <c r="B89" s="46">
        <v>2.18E-2</v>
      </c>
      <c r="C89" s="46">
        <v>2.2060747162999998E-2</v>
      </c>
    </row>
    <row r="90" spans="1:3" x14ac:dyDescent="0.3">
      <c r="A90" s="71" t="s">
        <v>9</v>
      </c>
      <c r="B90" s="46">
        <v>5.3699999999999998E-2</v>
      </c>
      <c r="C90" s="46">
        <v>3.7318345683999998E-2</v>
      </c>
    </row>
    <row r="91" spans="1:3" x14ac:dyDescent="0.3">
      <c r="A91" s="71" t="s">
        <v>10</v>
      </c>
      <c r="B91" s="46">
        <v>0.06</v>
      </c>
      <c r="C91" s="46">
        <v>5.7569015464999998E-2</v>
      </c>
    </row>
    <row r="92" spans="1:3" x14ac:dyDescent="0.3">
      <c r="A92" s="71" t="s">
        <v>75</v>
      </c>
      <c r="B92" s="46">
        <v>9.11E-2</v>
      </c>
      <c r="C92" s="46">
        <v>6.3590577955999997E-2</v>
      </c>
    </row>
    <row r="93" spans="1:3" x14ac:dyDescent="0.3">
      <c r="A93" s="71" t="s">
        <v>73</v>
      </c>
      <c r="B93" s="46">
        <v>8.7300000000000003E-2</v>
      </c>
      <c r="C93" s="46">
        <v>8.2486650379999998E-2</v>
      </c>
    </row>
    <row r="94" spans="1:3" x14ac:dyDescent="0.3">
      <c r="A94" s="71" t="s">
        <v>8</v>
      </c>
      <c r="B94" s="46">
        <v>0.12130000000000001</v>
      </c>
      <c r="C94" s="46">
        <v>8.2992020610000009E-2</v>
      </c>
    </row>
    <row r="95" spans="1:3" x14ac:dyDescent="0.3">
      <c r="A95" s="71" t="s">
        <v>3</v>
      </c>
      <c r="B95" s="46">
        <v>5.28E-2</v>
      </c>
      <c r="C95" s="46">
        <v>5.1378304882999999E-2</v>
      </c>
    </row>
    <row r="96" spans="1:3" x14ac:dyDescent="0.3">
      <c r="A96" s="71" t="s">
        <v>74</v>
      </c>
      <c r="B96" s="46">
        <v>7.1500000000000008E-2</v>
      </c>
      <c r="C96" s="46">
        <v>0.111200547522</v>
      </c>
    </row>
    <row r="97" spans="1:3" x14ac:dyDescent="0.3">
      <c r="A97" s="71" t="s">
        <v>18</v>
      </c>
      <c r="B97" s="46">
        <v>0.1023</v>
      </c>
      <c r="C97" s="46">
        <v>5.6879058396999999E-2</v>
      </c>
    </row>
  </sheetData>
  <autoFilter ref="A3:C97" xr:uid="{5C2CECA7-98BF-4F21-8B75-BBF6A84E04D6}"/>
  <pageMargins left="0.75" right="0.75" top="1" bottom="1" header="0.5" footer="0.5"/>
  <pageSetup orientation="portrait" horizontalDpi="300" verticalDpi="300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81734-E45C-427A-B376-76E386B92D57}">
  <sheetPr codeName="Лист13">
    <tabColor theme="3" tint="0.79998168889431442"/>
    <pageSetUpPr fitToPage="1"/>
  </sheetPr>
  <dimension ref="A1:G97"/>
  <sheetViews>
    <sheetView showGridLines="0" workbookViewId="0">
      <selection activeCell="B4" sqref="B4:C4"/>
    </sheetView>
  </sheetViews>
  <sheetFormatPr defaultRowHeight="16.5" x14ac:dyDescent="0.3"/>
  <cols>
    <col min="1" max="1" width="108.5703125" style="9" customWidth="1"/>
    <col min="2" max="3" width="11" style="4" bestFit="1" customWidth="1"/>
    <col min="4" max="236" width="9.140625" style="4"/>
    <col min="237" max="237" width="108.5703125" style="4" customWidth="1"/>
    <col min="238" max="238" width="1.5703125" style="4" customWidth="1"/>
    <col min="239" max="239" width="6" style="4" customWidth="1"/>
    <col min="240" max="492" width="9.140625" style="4"/>
    <col min="493" max="493" width="108.5703125" style="4" customWidth="1"/>
    <col min="494" max="494" width="1.5703125" style="4" customWidth="1"/>
    <col min="495" max="495" width="6" style="4" customWidth="1"/>
    <col min="496" max="748" width="9.140625" style="4"/>
    <col min="749" max="749" width="108.5703125" style="4" customWidth="1"/>
    <col min="750" max="750" width="1.5703125" style="4" customWidth="1"/>
    <col min="751" max="751" width="6" style="4" customWidth="1"/>
    <col min="752" max="1004" width="9.140625" style="4"/>
    <col min="1005" max="1005" width="108.5703125" style="4" customWidth="1"/>
    <col min="1006" max="1006" width="1.5703125" style="4" customWidth="1"/>
    <col min="1007" max="1007" width="6" style="4" customWidth="1"/>
    <col min="1008" max="1260" width="9.140625" style="4"/>
    <col min="1261" max="1261" width="108.5703125" style="4" customWidth="1"/>
    <col min="1262" max="1262" width="1.5703125" style="4" customWidth="1"/>
    <col min="1263" max="1263" width="6" style="4" customWidth="1"/>
    <col min="1264" max="1516" width="9.140625" style="4"/>
    <col min="1517" max="1517" width="108.5703125" style="4" customWidth="1"/>
    <col min="1518" max="1518" width="1.5703125" style="4" customWidth="1"/>
    <col min="1519" max="1519" width="6" style="4" customWidth="1"/>
    <col min="1520" max="1772" width="9.140625" style="4"/>
    <col min="1773" max="1773" width="108.5703125" style="4" customWidth="1"/>
    <col min="1774" max="1774" width="1.5703125" style="4" customWidth="1"/>
    <col min="1775" max="1775" width="6" style="4" customWidth="1"/>
    <col min="1776" max="2028" width="9.140625" style="4"/>
    <col min="2029" max="2029" width="108.5703125" style="4" customWidth="1"/>
    <col min="2030" max="2030" width="1.5703125" style="4" customWidth="1"/>
    <col min="2031" max="2031" width="6" style="4" customWidth="1"/>
    <col min="2032" max="2284" width="9.140625" style="4"/>
    <col min="2285" max="2285" width="108.5703125" style="4" customWidth="1"/>
    <col min="2286" max="2286" width="1.5703125" style="4" customWidth="1"/>
    <col min="2287" max="2287" width="6" style="4" customWidth="1"/>
    <col min="2288" max="2540" width="9.140625" style="4"/>
    <col min="2541" max="2541" width="108.5703125" style="4" customWidth="1"/>
    <col min="2542" max="2542" width="1.5703125" style="4" customWidth="1"/>
    <col min="2543" max="2543" width="6" style="4" customWidth="1"/>
    <col min="2544" max="2796" width="9.140625" style="4"/>
    <col min="2797" max="2797" width="108.5703125" style="4" customWidth="1"/>
    <col min="2798" max="2798" width="1.5703125" style="4" customWidth="1"/>
    <col min="2799" max="2799" width="6" style="4" customWidth="1"/>
    <col min="2800" max="3052" width="9.140625" style="4"/>
    <col min="3053" max="3053" width="108.5703125" style="4" customWidth="1"/>
    <col min="3054" max="3054" width="1.5703125" style="4" customWidth="1"/>
    <col min="3055" max="3055" width="6" style="4" customWidth="1"/>
    <col min="3056" max="3308" width="9.140625" style="4"/>
    <col min="3309" max="3309" width="108.5703125" style="4" customWidth="1"/>
    <col min="3310" max="3310" width="1.5703125" style="4" customWidth="1"/>
    <col min="3311" max="3311" width="6" style="4" customWidth="1"/>
    <col min="3312" max="3564" width="9.140625" style="4"/>
    <col min="3565" max="3565" width="108.5703125" style="4" customWidth="1"/>
    <col min="3566" max="3566" width="1.5703125" style="4" customWidth="1"/>
    <col min="3567" max="3567" width="6" style="4" customWidth="1"/>
    <col min="3568" max="3820" width="9.140625" style="4"/>
    <col min="3821" max="3821" width="108.5703125" style="4" customWidth="1"/>
    <col min="3822" max="3822" width="1.5703125" style="4" customWidth="1"/>
    <col min="3823" max="3823" width="6" style="4" customWidth="1"/>
    <col min="3824" max="4076" width="9.140625" style="4"/>
    <col min="4077" max="4077" width="108.5703125" style="4" customWidth="1"/>
    <col min="4078" max="4078" width="1.5703125" style="4" customWidth="1"/>
    <col min="4079" max="4079" width="6" style="4" customWidth="1"/>
    <col min="4080" max="4332" width="9.140625" style="4"/>
    <col min="4333" max="4333" width="108.5703125" style="4" customWidth="1"/>
    <col min="4334" max="4334" width="1.5703125" style="4" customWidth="1"/>
    <col min="4335" max="4335" width="6" style="4" customWidth="1"/>
    <col min="4336" max="4588" width="9.140625" style="4"/>
    <col min="4589" max="4589" width="108.5703125" style="4" customWidth="1"/>
    <col min="4590" max="4590" width="1.5703125" style="4" customWidth="1"/>
    <col min="4591" max="4591" width="6" style="4" customWidth="1"/>
    <col min="4592" max="4844" width="9.140625" style="4"/>
    <col min="4845" max="4845" width="108.5703125" style="4" customWidth="1"/>
    <col min="4846" max="4846" width="1.5703125" style="4" customWidth="1"/>
    <col min="4847" max="4847" width="6" style="4" customWidth="1"/>
    <col min="4848" max="5100" width="9.140625" style="4"/>
    <col min="5101" max="5101" width="108.5703125" style="4" customWidth="1"/>
    <col min="5102" max="5102" width="1.5703125" style="4" customWidth="1"/>
    <col min="5103" max="5103" width="6" style="4" customWidth="1"/>
    <col min="5104" max="5356" width="9.140625" style="4"/>
    <col min="5357" max="5357" width="108.5703125" style="4" customWidth="1"/>
    <col min="5358" max="5358" width="1.5703125" style="4" customWidth="1"/>
    <col min="5359" max="5359" width="6" style="4" customWidth="1"/>
    <col min="5360" max="5612" width="9.140625" style="4"/>
    <col min="5613" max="5613" width="108.5703125" style="4" customWidth="1"/>
    <col min="5614" max="5614" width="1.5703125" style="4" customWidth="1"/>
    <col min="5615" max="5615" width="6" style="4" customWidth="1"/>
    <col min="5616" max="5868" width="9.140625" style="4"/>
    <col min="5869" max="5869" width="108.5703125" style="4" customWidth="1"/>
    <col min="5870" max="5870" width="1.5703125" style="4" customWidth="1"/>
    <col min="5871" max="5871" width="6" style="4" customWidth="1"/>
    <col min="5872" max="6124" width="9.140625" style="4"/>
    <col min="6125" max="6125" width="108.5703125" style="4" customWidth="1"/>
    <col min="6126" max="6126" width="1.5703125" style="4" customWidth="1"/>
    <col min="6127" max="6127" width="6" style="4" customWidth="1"/>
    <col min="6128" max="6380" width="9.140625" style="4"/>
    <col min="6381" max="6381" width="108.5703125" style="4" customWidth="1"/>
    <col min="6382" max="6382" width="1.5703125" style="4" customWidth="1"/>
    <col min="6383" max="6383" width="6" style="4" customWidth="1"/>
    <col min="6384" max="6636" width="9.140625" style="4"/>
    <col min="6637" max="6637" width="108.5703125" style="4" customWidth="1"/>
    <col min="6638" max="6638" width="1.5703125" style="4" customWidth="1"/>
    <col min="6639" max="6639" width="6" style="4" customWidth="1"/>
    <col min="6640" max="6892" width="9.140625" style="4"/>
    <col min="6893" max="6893" width="108.5703125" style="4" customWidth="1"/>
    <col min="6894" max="6894" width="1.5703125" style="4" customWidth="1"/>
    <col min="6895" max="6895" width="6" style="4" customWidth="1"/>
    <col min="6896" max="7148" width="9.140625" style="4"/>
    <col min="7149" max="7149" width="108.5703125" style="4" customWidth="1"/>
    <col min="7150" max="7150" width="1.5703125" style="4" customWidth="1"/>
    <col min="7151" max="7151" width="6" style="4" customWidth="1"/>
    <col min="7152" max="7404" width="9.140625" style="4"/>
    <col min="7405" max="7405" width="108.5703125" style="4" customWidth="1"/>
    <col min="7406" max="7406" width="1.5703125" style="4" customWidth="1"/>
    <col min="7407" max="7407" width="6" style="4" customWidth="1"/>
    <col min="7408" max="7660" width="9.140625" style="4"/>
    <col min="7661" max="7661" width="108.5703125" style="4" customWidth="1"/>
    <col min="7662" max="7662" width="1.5703125" style="4" customWidth="1"/>
    <col min="7663" max="7663" width="6" style="4" customWidth="1"/>
    <col min="7664" max="7916" width="9.140625" style="4"/>
    <col min="7917" max="7917" width="108.5703125" style="4" customWidth="1"/>
    <col min="7918" max="7918" width="1.5703125" style="4" customWidth="1"/>
    <col min="7919" max="7919" width="6" style="4" customWidth="1"/>
    <col min="7920" max="8172" width="9.140625" style="4"/>
    <col min="8173" max="8173" width="108.5703125" style="4" customWidth="1"/>
    <col min="8174" max="8174" width="1.5703125" style="4" customWidth="1"/>
    <col min="8175" max="8175" width="6" style="4" customWidth="1"/>
    <col min="8176" max="8428" width="9.140625" style="4"/>
    <col min="8429" max="8429" width="108.5703125" style="4" customWidth="1"/>
    <col min="8430" max="8430" width="1.5703125" style="4" customWidth="1"/>
    <col min="8431" max="8431" width="6" style="4" customWidth="1"/>
    <col min="8432" max="8684" width="9.140625" style="4"/>
    <col min="8685" max="8685" width="108.5703125" style="4" customWidth="1"/>
    <col min="8686" max="8686" width="1.5703125" style="4" customWidth="1"/>
    <col min="8687" max="8687" width="6" style="4" customWidth="1"/>
    <col min="8688" max="8940" width="9.140625" style="4"/>
    <col min="8941" max="8941" width="108.5703125" style="4" customWidth="1"/>
    <col min="8942" max="8942" width="1.5703125" style="4" customWidth="1"/>
    <col min="8943" max="8943" width="6" style="4" customWidth="1"/>
    <col min="8944" max="9196" width="9.140625" style="4"/>
    <col min="9197" max="9197" width="108.5703125" style="4" customWidth="1"/>
    <col min="9198" max="9198" width="1.5703125" style="4" customWidth="1"/>
    <col min="9199" max="9199" width="6" style="4" customWidth="1"/>
    <col min="9200" max="9452" width="9.140625" style="4"/>
    <col min="9453" max="9453" width="108.5703125" style="4" customWidth="1"/>
    <col min="9454" max="9454" width="1.5703125" style="4" customWidth="1"/>
    <col min="9455" max="9455" width="6" style="4" customWidth="1"/>
    <col min="9456" max="9708" width="9.140625" style="4"/>
    <col min="9709" max="9709" width="108.5703125" style="4" customWidth="1"/>
    <col min="9710" max="9710" width="1.5703125" style="4" customWidth="1"/>
    <col min="9711" max="9711" width="6" style="4" customWidth="1"/>
    <col min="9712" max="9964" width="9.140625" style="4"/>
    <col min="9965" max="9965" width="108.5703125" style="4" customWidth="1"/>
    <col min="9966" max="9966" width="1.5703125" style="4" customWidth="1"/>
    <col min="9967" max="9967" width="6" style="4" customWidth="1"/>
    <col min="9968" max="10220" width="9.140625" style="4"/>
    <col min="10221" max="10221" width="108.5703125" style="4" customWidth="1"/>
    <col min="10222" max="10222" width="1.5703125" style="4" customWidth="1"/>
    <col min="10223" max="10223" width="6" style="4" customWidth="1"/>
    <col min="10224" max="10476" width="9.140625" style="4"/>
    <col min="10477" max="10477" width="108.5703125" style="4" customWidth="1"/>
    <col min="10478" max="10478" width="1.5703125" style="4" customWidth="1"/>
    <col min="10479" max="10479" width="6" style="4" customWidth="1"/>
    <col min="10480" max="10732" width="9.140625" style="4"/>
    <col min="10733" max="10733" width="108.5703125" style="4" customWidth="1"/>
    <col min="10734" max="10734" width="1.5703125" style="4" customWidth="1"/>
    <col min="10735" max="10735" width="6" style="4" customWidth="1"/>
    <col min="10736" max="10988" width="9.140625" style="4"/>
    <col min="10989" max="10989" width="108.5703125" style="4" customWidth="1"/>
    <col min="10990" max="10990" width="1.5703125" style="4" customWidth="1"/>
    <col min="10991" max="10991" width="6" style="4" customWidth="1"/>
    <col min="10992" max="11244" width="9.140625" style="4"/>
    <col min="11245" max="11245" width="108.5703125" style="4" customWidth="1"/>
    <col min="11246" max="11246" width="1.5703125" style="4" customWidth="1"/>
    <col min="11247" max="11247" width="6" style="4" customWidth="1"/>
    <col min="11248" max="11500" width="9.140625" style="4"/>
    <col min="11501" max="11501" width="108.5703125" style="4" customWidth="1"/>
    <col min="11502" max="11502" width="1.5703125" style="4" customWidth="1"/>
    <col min="11503" max="11503" width="6" style="4" customWidth="1"/>
    <col min="11504" max="11756" width="9.140625" style="4"/>
    <col min="11757" max="11757" width="108.5703125" style="4" customWidth="1"/>
    <col min="11758" max="11758" width="1.5703125" style="4" customWidth="1"/>
    <col min="11759" max="11759" width="6" style="4" customWidth="1"/>
    <col min="11760" max="12012" width="9.140625" style="4"/>
    <col min="12013" max="12013" width="108.5703125" style="4" customWidth="1"/>
    <col min="12014" max="12014" width="1.5703125" style="4" customWidth="1"/>
    <col min="12015" max="12015" width="6" style="4" customWidth="1"/>
    <col min="12016" max="12268" width="9.140625" style="4"/>
    <col min="12269" max="12269" width="108.5703125" style="4" customWidth="1"/>
    <col min="12270" max="12270" width="1.5703125" style="4" customWidth="1"/>
    <col min="12271" max="12271" width="6" style="4" customWidth="1"/>
    <col min="12272" max="12524" width="9.140625" style="4"/>
    <col min="12525" max="12525" width="108.5703125" style="4" customWidth="1"/>
    <col min="12526" max="12526" width="1.5703125" style="4" customWidth="1"/>
    <col min="12527" max="12527" width="6" style="4" customWidth="1"/>
    <col min="12528" max="12780" width="9.140625" style="4"/>
    <col min="12781" max="12781" width="108.5703125" style="4" customWidth="1"/>
    <col min="12782" max="12782" width="1.5703125" style="4" customWidth="1"/>
    <col min="12783" max="12783" width="6" style="4" customWidth="1"/>
    <col min="12784" max="13036" width="9.140625" style="4"/>
    <col min="13037" max="13037" width="108.5703125" style="4" customWidth="1"/>
    <col min="13038" max="13038" width="1.5703125" style="4" customWidth="1"/>
    <col min="13039" max="13039" width="6" style="4" customWidth="1"/>
    <col min="13040" max="13292" width="9.140625" style="4"/>
    <col min="13293" max="13293" width="108.5703125" style="4" customWidth="1"/>
    <col min="13294" max="13294" width="1.5703125" style="4" customWidth="1"/>
    <col min="13295" max="13295" width="6" style="4" customWidth="1"/>
    <col min="13296" max="13548" width="9.140625" style="4"/>
    <col min="13549" max="13549" width="108.5703125" style="4" customWidth="1"/>
    <col min="13550" max="13550" width="1.5703125" style="4" customWidth="1"/>
    <col min="13551" max="13551" width="6" style="4" customWidth="1"/>
    <col min="13552" max="13804" width="9.140625" style="4"/>
    <col min="13805" max="13805" width="108.5703125" style="4" customWidth="1"/>
    <col min="13806" max="13806" width="1.5703125" style="4" customWidth="1"/>
    <col min="13807" max="13807" width="6" style="4" customWidth="1"/>
    <col min="13808" max="14060" width="9.140625" style="4"/>
    <col min="14061" max="14061" width="108.5703125" style="4" customWidth="1"/>
    <col min="14062" max="14062" width="1.5703125" style="4" customWidth="1"/>
    <col min="14063" max="14063" width="6" style="4" customWidth="1"/>
    <col min="14064" max="14316" width="9.140625" style="4"/>
    <col min="14317" max="14317" width="108.5703125" style="4" customWidth="1"/>
    <col min="14318" max="14318" width="1.5703125" style="4" customWidth="1"/>
    <col min="14319" max="14319" width="6" style="4" customWidth="1"/>
    <col min="14320" max="14572" width="9.140625" style="4"/>
    <col min="14573" max="14573" width="108.5703125" style="4" customWidth="1"/>
    <col min="14574" max="14574" width="1.5703125" style="4" customWidth="1"/>
    <col min="14575" max="14575" width="6" style="4" customWidth="1"/>
    <col min="14576" max="14828" width="9.140625" style="4"/>
    <col min="14829" max="14829" width="108.5703125" style="4" customWidth="1"/>
    <col min="14830" max="14830" width="1.5703125" style="4" customWidth="1"/>
    <col min="14831" max="14831" width="6" style="4" customWidth="1"/>
    <col min="14832" max="15084" width="9.140625" style="4"/>
    <col min="15085" max="15085" width="108.5703125" style="4" customWidth="1"/>
    <col min="15086" max="15086" width="1.5703125" style="4" customWidth="1"/>
    <col min="15087" max="15087" width="6" style="4" customWidth="1"/>
    <col min="15088" max="15340" width="9.140625" style="4"/>
    <col min="15341" max="15341" width="108.5703125" style="4" customWidth="1"/>
    <col min="15342" max="15342" width="1.5703125" style="4" customWidth="1"/>
    <col min="15343" max="15343" width="6" style="4" customWidth="1"/>
    <col min="15344" max="15596" width="9.140625" style="4"/>
    <col min="15597" max="15597" width="108.5703125" style="4" customWidth="1"/>
    <col min="15598" max="15598" width="1.5703125" style="4" customWidth="1"/>
    <col min="15599" max="15599" width="6" style="4" customWidth="1"/>
    <col min="15600" max="15852" width="9.140625" style="4"/>
    <col min="15853" max="15853" width="108.5703125" style="4" customWidth="1"/>
    <col min="15854" max="15854" width="1.5703125" style="4" customWidth="1"/>
    <col min="15855" max="15855" width="6" style="4" customWidth="1"/>
    <col min="15856" max="16108" width="9.140625" style="4"/>
    <col min="16109" max="16109" width="108.5703125" style="4" customWidth="1"/>
    <col min="16110" max="16110" width="1.5703125" style="4" customWidth="1"/>
    <col min="16111" max="16111" width="6" style="4" customWidth="1"/>
    <col min="16112" max="16384" width="9.140625" style="4"/>
  </cols>
  <sheetData>
    <row r="1" spans="1:7" x14ac:dyDescent="0.3">
      <c r="A1" s="8" t="s">
        <v>306</v>
      </c>
      <c r="B1" s="65"/>
      <c r="C1" s="65"/>
      <c r="D1" s="65"/>
      <c r="E1" s="65"/>
      <c r="F1" s="65"/>
      <c r="G1" s="65"/>
    </row>
    <row r="3" spans="1:7" x14ac:dyDescent="0.3">
      <c r="A3" s="48" t="s">
        <v>129</v>
      </c>
      <c r="B3" s="20">
        <v>2020</v>
      </c>
      <c r="C3" s="20">
        <v>2021</v>
      </c>
    </row>
    <row r="4" spans="1:7" x14ac:dyDescent="0.3">
      <c r="A4" s="71" t="s">
        <v>87</v>
      </c>
      <c r="B4" s="46">
        <v>0.18872520000000001</v>
      </c>
      <c r="C4" s="46">
        <v>0.17760000000000001</v>
      </c>
    </row>
    <row r="5" spans="1:7" x14ac:dyDescent="0.3">
      <c r="A5" s="71" t="s">
        <v>96</v>
      </c>
      <c r="B5" s="46">
        <v>0.17353870000000002</v>
      </c>
      <c r="C5" s="46">
        <v>0.16089999999999999</v>
      </c>
    </row>
    <row r="6" spans="1:7" x14ac:dyDescent="0.3">
      <c r="A6" s="71" t="s">
        <v>50</v>
      </c>
      <c r="B6" s="46">
        <v>0.17657630000000002</v>
      </c>
      <c r="C6" s="46">
        <v>0.18059999999999998</v>
      </c>
    </row>
    <row r="7" spans="1:7" x14ac:dyDescent="0.3">
      <c r="A7" s="71" t="s">
        <v>48</v>
      </c>
      <c r="B7" s="46">
        <v>0.17462900000000001</v>
      </c>
      <c r="C7" s="46">
        <v>0.1517</v>
      </c>
    </row>
    <row r="8" spans="1:7" x14ac:dyDescent="0.3">
      <c r="A8" s="71" t="s">
        <v>20</v>
      </c>
      <c r="B8" s="46">
        <v>0.21397770000000002</v>
      </c>
      <c r="C8" s="46">
        <v>0.19839999999999999</v>
      </c>
    </row>
    <row r="9" spans="1:7" x14ac:dyDescent="0.3">
      <c r="A9" s="71" t="s">
        <v>4</v>
      </c>
      <c r="B9" s="46">
        <v>0.21503509999999998</v>
      </c>
      <c r="C9" s="46">
        <v>0.20350000000000001</v>
      </c>
    </row>
    <row r="10" spans="1:7" x14ac:dyDescent="0.3">
      <c r="A10" s="71" t="s">
        <v>45</v>
      </c>
      <c r="B10" s="46">
        <v>0.16842669999999998</v>
      </c>
      <c r="C10" s="46">
        <v>0.17710000000000001</v>
      </c>
    </row>
    <row r="11" spans="1:7" x14ac:dyDescent="0.3">
      <c r="A11" s="71" t="s">
        <v>40</v>
      </c>
      <c r="B11" s="46">
        <v>0.19572430000000002</v>
      </c>
      <c r="C11" s="46">
        <v>0.19</v>
      </c>
    </row>
    <row r="12" spans="1:7" x14ac:dyDescent="0.3">
      <c r="A12" s="71" t="s">
        <v>37</v>
      </c>
      <c r="B12" s="46">
        <v>0.18321899999999999</v>
      </c>
      <c r="C12" s="46">
        <v>0.23719999999999999</v>
      </c>
    </row>
    <row r="13" spans="1:7" x14ac:dyDescent="0.3">
      <c r="A13" s="71" t="s">
        <v>56</v>
      </c>
      <c r="B13" s="46">
        <v>0.1940239</v>
      </c>
      <c r="C13" s="46">
        <v>0.15909999999999999</v>
      </c>
    </row>
    <row r="14" spans="1:7" x14ac:dyDescent="0.3">
      <c r="A14" s="71" t="s">
        <v>51</v>
      </c>
      <c r="B14" s="46">
        <v>0.22031539999999999</v>
      </c>
      <c r="C14" s="46">
        <v>0.15920000000000001</v>
      </c>
    </row>
    <row r="15" spans="1:7" x14ac:dyDescent="0.3">
      <c r="A15" s="71" t="s">
        <v>21</v>
      </c>
      <c r="B15" s="46">
        <v>0.18079190000000001</v>
      </c>
      <c r="C15" s="46">
        <v>0.1613</v>
      </c>
    </row>
    <row r="16" spans="1:7" x14ac:dyDescent="0.3">
      <c r="A16" s="71" t="s">
        <v>70</v>
      </c>
      <c r="B16" s="46">
        <v>0.1944294</v>
      </c>
      <c r="C16" s="46">
        <v>0.1852</v>
      </c>
    </row>
    <row r="17" spans="1:3" x14ac:dyDescent="0.3">
      <c r="A17" s="71" t="s">
        <v>59</v>
      </c>
      <c r="B17" s="46">
        <v>0.16113369999999999</v>
      </c>
      <c r="C17" s="46">
        <v>0.1303</v>
      </c>
    </row>
    <row r="18" spans="1:3" x14ac:dyDescent="0.3">
      <c r="A18" s="71" t="s">
        <v>43</v>
      </c>
      <c r="B18" s="46">
        <v>0.19945489999999999</v>
      </c>
      <c r="C18" s="46">
        <v>0.2306</v>
      </c>
    </row>
    <row r="19" spans="1:3" x14ac:dyDescent="0.3">
      <c r="A19" s="71" t="s">
        <v>15</v>
      </c>
      <c r="B19" s="46">
        <v>0.19250100000000001</v>
      </c>
      <c r="C19" s="46">
        <v>0.18049999999999999</v>
      </c>
    </row>
    <row r="20" spans="1:3" x14ac:dyDescent="0.3">
      <c r="A20" s="71" t="s">
        <v>38</v>
      </c>
      <c r="B20" s="46">
        <v>0.2275383</v>
      </c>
      <c r="C20" s="46">
        <v>0.21640000000000001</v>
      </c>
    </row>
    <row r="21" spans="1:3" x14ac:dyDescent="0.3">
      <c r="A21" s="71" t="s">
        <v>39</v>
      </c>
      <c r="B21" s="46">
        <v>0.18470880000000001</v>
      </c>
      <c r="C21" s="46">
        <v>0.161</v>
      </c>
    </row>
    <row r="22" spans="1:3" x14ac:dyDescent="0.3">
      <c r="A22" s="71" t="s">
        <v>78</v>
      </c>
      <c r="B22" s="46">
        <v>0.2165369</v>
      </c>
      <c r="C22" s="46">
        <v>0.15029999999999999</v>
      </c>
    </row>
    <row r="23" spans="1:3" x14ac:dyDescent="0.3">
      <c r="A23" s="71" t="s">
        <v>13</v>
      </c>
      <c r="B23" s="46">
        <v>0.13184979999999999</v>
      </c>
      <c r="C23" s="46">
        <v>0.12789999999999999</v>
      </c>
    </row>
    <row r="24" spans="1:3" x14ac:dyDescent="0.3">
      <c r="A24" s="71" t="s">
        <v>97</v>
      </c>
      <c r="B24" s="46">
        <v>0.1970616</v>
      </c>
      <c r="C24" s="46">
        <v>0.17449999999999999</v>
      </c>
    </row>
    <row r="25" spans="1:3" x14ac:dyDescent="0.3">
      <c r="A25" s="71" t="s">
        <v>71</v>
      </c>
      <c r="B25" s="46">
        <v>0.2385776</v>
      </c>
      <c r="C25" s="46">
        <v>0.152</v>
      </c>
    </row>
    <row r="26" spans="1:3" x14ac:dyDescent="0.3">
      <c r="A26" s="71" t="s">
        <v>65</v>
      </c>
      <c r="B26" s="46">
        <v>0.2890336</v>
      </c>
      <c r="C26" s="46">
        <v>0.22579999999999997</v>
      </c>
    </row>
    <row r="27" spans="1:3" x14ac:dyDescent="0.3">
      <c r="A27" s="71" t="s">
        <v>53</v>
      </c>
      <c r="B27" s="46">
        <v>0.17884530000000001</v>
      </c>
      <c r="C27" s="46">
        <v>0.18170000000000003</v>
      </c>
    </row>
    <row r="28" spans="1:3" x14ac:dyDescent="0.3">
      <c r="A28" s="71" t="s">
        <v>7</v>
      </c>
      <c r="B28" s="46">
        <v>0.2796534</v>
      </c>
      <c r="C28" s="46">
        <v>0.2429</v>
      </c>
    </row>
    <row r="29" spans="1:3" x14ac:dyDescent="0.3">
      <c r="A29" s="72" t="s">
        <v>80</v>
      </c>
      <c r="B29" s="46">
        <v>0.19135100000000002</v>
      </c>
      <c r="C29" s="46">
        <v>0.19109999999999999</v>
      </c>
    </row>
    <row r="30" spans="1:3" x14ac:dyDescent="0.3">
      <c r="A30" s="71" t="s">
        <v>69</v>
      </c>
      <c r="B30" s="46">
        <v>0.17239679999999999</v>
      </c>
      <c r="C30" s="46">
        <v>0.183</v>
      </c>
    </row>
    <row r="31" spans="1:3" x14ac:dyDescent="0.3">
      <c r="A31" s="71" t="s">
        <v>33</v>
      </c>
      <c r="B31" s="46">
        <v>0.19058330000000001</v>
      </c>
      <c r="C31" s="46">
        <v>0.14800000000000002</v>
      </c>
    </row>
    <row r="32" spans="1:3" x14ac:dyDescent="0.3">
      <c r="A32" s="71" t="s">
        <v>30</v>
      </c>
      <c r="B32" s="46">
        <v>0.28597829999999996</v>
      </c>
      <c r="C32" s="46">
        <v>0.27010000000000001</v>
      </c>
    </row>
    <row r="33" spans="1:3" x14ac:dyDescent="0.3">
      <c r="A33" s="71" t="s">
        <v>52</v>
      </c>
      <c r="B33" s="46">
        <v>0.1913328</v>
      </c>
      <c r="C33" s="46">
        <v>0.19289999999999999</v>
      </c>
    </row>
    <row r="34" spans="1:3" x14ac:dyDescent="0.3">
      <c r="A34" s="71" t="s">
        <v>31</v>
      </c>
      <c r="B34" s="46">
        <v>0.22427050000000001</v>
      </c>
      <c r="C34" s="46">
        <v>0.1961</v>
      </c>
    </row>
    <row r="35" spans="1:3" x14ac:dyDescent="0.3">
      <c r="A35" s="71" t="s">
        <v>32</v>
      </c>
      <c r="B35" s="46">
        <v>0.17118369999999999</v>
      </c>
      <c r="C35" s="46">
        <v>0.15179999999999999</v>
      </c>
    </row>
    <row r="36" spans="1:3" x14ac:dyDescent="0.3">
      <c r="A36" s="71" t="s">
        <v>125</v>
      </c>
      <c r="B36" s="46">
        <v>0.1808796</v>
      </c>
      <c r="C36" s="46">
        <v>0.17120000000000002</v>
      </c>
    </row>
    <row r="37" spans="1:3" x14ac:dyDescent="0.3">
      <c r="A37" s="71" t="s">
        <v>26</v>
      </c>
      <c r="B37" s="46">
        <v>0.18302879999999999</v>
      </c>
      <c r="C37" s="46">
        <v>0.20319999999999999</v>
      </c>
    </row>
    <row r="38" spans="1:3" x14ac:dyDescent="0.3">
      <c r="A38" s="71" t="s">
        <v>27</v>
      </c>
      <c r="B38" s="46">
        <v>0.13630729999999999</v>
      </c>
      <c r="C38" s="46">
        <v>0.14699999999999999</v>
      </c>
    </row>
    <row r="39" spans="1:3" x14ac:dyDescent="0.3">
      <c r="A39" s="71" t="s">
        <v>89</v>
      </c>
      <c r="B39" s="46">
        <v>0.20212140000000001</v>
      </c>
      <c r="C39" s="46">
        <v>0.17559999999999998</v>
      </c>
    </row>
    <row r="40" spans="1:3" x14ac:dyDescent="0.3">
      <c r="A40" s="71" t="s">
        <v>28</v>
      </c>
      <c r="B40" s="46">
        <v>0.18898679999999998</v>
      </c>
      <c r="C40" s="46">
        <v>0.1603</v>
      </c>
    </row>
    <row r="41" spans="1:3" x14ac:dyDescent="0.3">
      <c r="A41" s="71" t="s">
        <v>25</v>
      </c>
      <c r="B41" s="46">
        <v>0.13243729999999998</v>
      </c>
      <c r="C41" s="46">
        <v>0.13320000000000001</v>
      </c>
    </row>
    <row r="42" spans="1:3" x14ac:dyDescent="0.3">
      <c r="A42" s="71" t="s">
        <v>22</v>
      </c>
      <c r="B42" s="46">
        <v>0.1705602</v>
      </c>
      <c r="C42" s="46">
        <v>0.16829999999999998</v>
      </c>
    </row>
    <row r="43" spans="1:3" x14ac:dyDescent="0.3">
      <c r="A43" s="71" t="s">
        <v>29</v>
      </c>
      <c r="B43" s="46">
        <v>0.18558129999999998</v>
      </c>
      <c r="C43" s="46">
        <v>0.1913</v>
      </c>
    </row>
    <row r="44" spans="1:3" x14ac:dyDescent="0.3">
      <c r="A44" s="71" t="s">
        <v>177</v>
      </c>
      <c r="B44" s="46">
        <v>0.13788309999999998</v>
      </c>
      <c r="C44" s="46">
        <v>0.15869999999999998</v>
      </c>
    </row>
    <row r="45" spans="1:3" x14ac:dyDescent="0.3">
      <c r="A45" s="71" t="s">
        <v>99</v>
      </c>
      <c r="B45" s="46">
        <v>0.105014</v>
      </c>
      <c r="C45" s="46">
        <v>9.820000000000001E-2</v>
      </c>
    </row>
    <row r="46" spans="1:3" x14ac:dyDescent="0.3">
      <c r="A46" s="71" t="s">
        <v>63</v>
      </c>
      <c r="B46" s="46">
        <v>7.1729870000000001E-2</v>
      </c>
      <c r="C46" s="46">
        <v>6.7400000000000002E-2</v>
      </c>
    </row>
    <row r="47" spans="1:3" x14ac:dyDescent="0.3">
      <c r="A47" s="71" t="s">
        <v>81</v>
      </c>
      <c r="B47" s="46">
        <v>3.6458240000000003E-2</v>
      </c>
      <c r="C47" s="46">
        <v>4.8799999999999996E-2</v>
      </c>
    </row>
    <row r="48" spans="1:3" x14ac:dyDescent="0.3">
      <c r="A48" s="71" t="s">
        <v>91</v>
      </c>
      <c r="B48" s="46">
        <v>0.10269550000000001</v>
      </c>
      <c r="C48" s="46">
        <v>8.3000000000000004E-2</v>
      </c>
    </row>
    <row r="49" spans="1:3" x14ac:dyDescent="0.3">
      <c r="A49" s="72" t="s">
        <v>92</v>
      </c>
      <c r="B49" s="46">
        <v>0.13657759999999999</v>
      </c>
      <c r="C49" s="46">
        <v>8.929999999999999E-2</v>
      </c>
    </row>
    <row r="50" spans="1:3" x14ac:dyDescent="0.3">
      <c r="A50" s="72" t="s">
        <v>47</v>
      </c>
      <c r="B50" s="46">
        <v>9.4825380000000001E-2</v>
      </c>
      <c r="C50" s="46">
        <v>7.5300000000000006E-2</v>
      </c>
    </row>
    <row r="51" spans="1:3" x14ac:dyDescent="0.3">
      <c r="A51" s="72" t="s">
        <v>93</v>
      </c>
      <c r="B51" s="46">
        <v>1E-3</v>
      </c>
      <c r="C51" s="46">
        <v>1E-3</v>
      </c>
    </row>
    <row r="52" spans="1:3" x14ac:dyDescent="0.3">
      <c r="A52" s="71" t="s">
        <v>11</v>
      </c>
      <c r="B52" s="46">
        <v>0.17918199999999998</v>
      </c>
      <c r="C52" s="46">
        <v>0.17679999999999998</v>
      </c>
    </row>
    <row r="53" spans="1:3" x14ac:dyDescent="0.3">
      <c r="A53" s="71" t="s">
        <v>100</v>
      </c>
      <c r="B53" s="46">
        <v>0.1791152</v>
      </c>
      <c r="C53" s="46">
        <v>0.1736</v>
      </c>
    </row>
    <row r="54" spans="1:3" x14ac:dyDescent="0.3">
      <c r="A54" s="71" t="s">
        <v>83</v>
      </c>
      <c r="B54" s="46">
        <v>0.1690228</v>
      </c>
      <c r="C54" s="46">
        <v>0.1525</v>
      </c>
    </row>
    <row r="55" spans="1:3" x14ac:dyDescent="0.3">
      <c r="A55" s="71" t="s">
        <v>42</v>
      </c>
      <c r="B55" s="46">
        <v>0.20144290000000001</v>
      </c>
      <c r="C55" s="46">
        <v>0.158</v>
      </c>
    </row>
    <row r="56" spans="1:3" x14ac:dyDescent="0.3">
      <c r="A56" s="71" t="s">
        <v>34</v>
      </c>
      <c r="B56" s="46">
        <v>0.1337363</v>
      </c>
      <c r="C56" s="46">
        <v>0.14180000000000001</v>
      </c>
    </row>
    <row r="57" spans="1:3" x14ac:dyDescent="0.3">
      <c r="A57" s="71" t="s">
        <v>35</v>
      </c>
      <c r="B57" s="46">
        <v>0.1433517</v>
      </c>
      <c r="C57" s="46">
        <v>0.15039999999999998</v>
      </c>
    </row>
    <row r="58" spans="1:3" x14ac:dyDescent="0.3">
      <c r="A58" s="71" t="s">
        <v>94</v>
      </c>
      <c r="B58" s="46">
        <v>0.18292249999999999</v>
      </c>
      <c r="C58" s="46">
        <v>0.19789999999999999</v>
      </c>
    </row>
    <row r="59" spans="1:3" x14ac:dyDescent="0.3">
      <c r="A59" s="71" t="s">
        <v>46</v>
      </c>
      <c r="B59" s="46">
        <v>0.15943680000000002</v>
      </c>
      <c r="C59" s="46">
        <v>0.17170000000000002</v>
      </c>
    </row>
    <row r="60" spans="1:3" x14ac:dyDescent="0.3">
      <c r="A60" s="71" t="s">
        <v>44</v>
      </c>
      <c r="B60" s="46">
        <v>0.22993159999999999</v>
      </c>
      <c r="C60" s="46">
        <v>0.25079999999999997</v>
      </c>
    </row>
    <row r="61" spans="1:3" x14ac:dyDescent="0.3">
      <c r="A61" s="71" t="s">
        <v>36</v>
      </c>
      <c r="B61" s="46">
        <v>0.18970500000000001</v>
      </c>
      <c r="C61" s="46">
        <v>0.17550000000000002</v>
      </c>
    </row>
    <row r="62" spans="1:3" x14ac:dyDescent="0.3">
      <c r="A62" s="71" t="s">
        <v>54</v>
      </c>
      <c r="B62" s="46">
        <v>0.19306879999999998</v>
      </c>
      <c r="C62" s="46">
        <v>0.1769</v>
      </c>
    </row>
    <row r="63" spans="1:3" x14ac:dyDescent="0.3">
      <c r="A63" s="71" t="s">
        <v>23</v>
      </c>
      <c r="B63" s="46">
        <v>0.18838869999999999</v>
      </c>
      <c r="C63" s="46">
        <v>0.1641</v>
      </c>
    </row>
    <row r="64" spans="1:3" x14ac:dyDescent="0.3">
      <c r="A64" s="71" t="s">
        <v>49</v>
      </c>
      <c r="B64" s="46">
        <v>0.16766940000000002</v>
      </c>
      <c r="C64" s="46">
        <v>0.16930000000000001</v>
      </c>
    </row>
    <row r="65" spans="1:3" x14ac:dyDescent="0.3">
      <c r="A65" s="71" t="s">
        <v>24</v>
      </c>
      <c r="B65" s="46">
        <v>0.1603329</v>
      </c>
      <c r="C65" s="46">
        <v>0.14269999999999999</v>
      </c>
    </row>
    <row r="66" spans="1:3" x14ac:dyDescent="0.3">
      <c r="A66" s="71" t="s">
        <v>68</v>
      </c>
      <c r="B66" s="46">
        <v>0.19683010000000001</v>
      </c>
      <c r="C66" s="46">
        <v>0.22469999999999998</v>
      </c>
    </row>
    <row r="67" spans="1:3" x14ac:dyDescent="0.3">
      <c r="A67" s="71" t="s">
        <v>41</v>
      </c>
      <c r="B67" s="46">
        <v>0.1933068</v>
      </c>
      <c r="C67" s="46">
        <v>0.13919999999999999</v>
      </c>
    </row>
    <row r="68" spans="1:3" x14ac:dyDescent="0.3">
      <c r="A68" s="71" t="s">
        <v>101</v>
      </c>
      <c r="B68" s="46">
        <v>0.21697549999999999</v>
      </c>
      <c r="C68" s="46">
        <v>0.20949999999999999</v>
      </c>
    </row>
    <row r="69" spans="1:3" x14ac:dyDescent="0.3">
      <c r="A69" s="71" t="s">
        <v>55</v>
      </c>
      <c r="B69" s="46">
        <v>0.21299990000000002</v>
      </c>
      <c r="C69" s="46">
        <v>0.18960000000000002</v>
      </c>
    </row>
    <row r="70" spans="1:3" x14ac:dyDescent="0.3">
      <c r="A70" s="71" t="s">
        <v>16</v>
      </c>
      <c r="B70" s="46">
        <v>0.20354430000000001</v>
      </c>
      <c r="C70" s="46">
        <v>0.2228</v>
      </c>
    </row>
    <row r="71" spans="1:3" x14ac:dyDescent="0.3">
      <c r="A71" s="71" t="s">
        <v>17</v>
      </c>
      <c r="B71" s="46">
        <v>0.17789489999999999</v>
      </c>
      <c r="C71" s="46">
        <v>0.2087</v>
      </c>
    </row>
    <row r="72" spans="1:3" x14ac:dyDescent="0.3">
      <c r="A72" s="71" t="s">
        <v>60</v>
      </c>
      <c r="B72" s="46">
        <v>0.25060769999999999</v>
      </c>
      <c r="C72" s="46">
        <v>0.1764</v>
      </c>
    </row>
    <row r="73" spans="1:3" x14ac:dyDescent="0.3">
      <c r="A73" s="72" t="s">
        <v>19</v>
      </c>
      <c r="B73" s="46">
        <v>0.21248259999999999</v>
      </c>
      <c r="C73" s="46">
        <v>0.17739999999999997</v>
      </c>
    </row>
    <row r="74" spans="1:3" x14ac:dyDescent="0.3">
      <c r="A74" s="72" t="s">
        <v>82</v>
      </c>
      <c r="B74" s="46">
        <v>0.2465871</v>
      </c>
      <c r="C74" s="46">
        <v>0.2147</v>
      </c>
    </row>
    <row r="75" spans="1:3" x14ac:dyDescent="0.3">
      <c r="A75" s="72" t="s">
        <v>102</v>
      </c>
      <c r="B75" s="46">
        <v>0.23166709999999999</v>
      </c>
      <c r="C75" s="46">
        <v>0.2155</v>
      </c>
    </row>
    <row r="76" spans="1:3" x14ac:dyDescent="0.3">
      <c r="A76" s="71" t="s">
        <v>58</v>
      </c>
      <c r="B76" s="46">
        <v>0.29343219999999998</v>
      </c>
      <c r="C76" s="46">
        <v>0.20039999999999999</v>
      </c>
    </row>
    <row r="77" spans="1:3" x14ac:dyDescent="0.3">
      <c r="A77" s="71" t="s">
        <v>14</v>
      </c>
      <c r="B77" s="46">
        <v>0.2535211</v>
      </c>
      <c r="C77" s="46">
        <v>0.15720000000000001</v>
      </c>
    </row>
    <row r="78" spans="1:3" x14ac:dyDescent="0.3">
      <c r="A78" s="71" t="s">
        <v>77</v>
      </c>
      <c r="B78" s="46">
        <v>0.28024830000000001</v>
      </c>
      <c r="C78" s="46">
        <v>0.19010000000000002</v>
      </c>
    </row>
    <row r="79" spans="1:3" x14ac:dyDescent="0.3">
      <c r="A79" s="71" t="s">
        <v>12</v>
      </c>
      <c r="B79" s="46">
        <v>0.24251010000000001</v>
      </c>
      <c r="C79" s="46">
        <v>0.22649999999999998</v>
      </c>
    </row>
    <row r="80" spans="1:3" x14ac:dyDescent="0.3">
      <c r="A80" s="71" t="s">
        <v>61</v>
      </c>
      <c r="B80" s="46">
        <v>0.25330829999999999</v>
      </c>
      <c r="C80" s="46">
        <v>0.20949999999999999</v>
      </c>
    </row>
    <row r="81" spans="1:3" x14ac:dyDescent="0.3">
      <c r="A81" s="71" t="s">
        <v>72</v>
      </c>
      <c r="B81" s="46">
        <v>0.22749919999999998</v>
      </c>
      <c r="C81" s="46">
        <v>0.20069999999999999</v>
      </c>
    </row>
    <row r="82" spans="1:3" x14ac:dyDescent="0.3">
      <c r="A82" s="71" t="s">
        <v>76</v>
      </c>
      <c r="B82" s="46">
        <v>0.22329059999999998</v>
      </c>
      <c r="C82" s="46">
        <v>0.23480000000000001</v>
      </c>
    </row>
    <row r="83" spans="1:3" x14ac:dyDescent="0.3">
      <c r="A83" s="71" t="s">
        <v>6</v>
      </c>
      <c r="B83" s="46">
        <v>0.23979</v>
      </c>
      <c r="C83" s="46">
        <v>0.22870000000000001</v>
      </c>
    </row>
    <row r="84" spans="1:3" x14ac:dyDescent="0.3">
      <c r="A84" s="71" t="s">
        <v>64</v>
      </c>
      <c r="B84" s="46">
        <v>0.2038044</v>
      </c>
      <c r="C84" s="46">
        <v>0.22550000000000001</v>
      </c>
    </row>
    <row r="85" spans="1:3" x14ac:dyDescent="0.3">
      <c r="A85" s="71" t="s">
        <v>5</v>
      </c>
      <c r="B85" s="46">
        <v>0.16585949999999999</v>
      </c>
      <c r="C85" s="46">
        <v>0.15720000000000001</v>
      </c>
    </row>
    <row r="86" spans="1:3" x14ac:dyDescent="0.3">
      <c r="A86" s="71" t="s">
        <v>103</v>
      </c>
      <c r="B86" s="46">
        <v>0.25140799999999996</v>
      </c>
      <c r="C86" s="46">
        <v>0.24440000000000001</v>
      </c>
    </row>
    <row r="87" spans="1:3" x14ac:dyDescent="0.3">
      <c r="A87" s="71" t="s">
        <v>1</v>
      </c>
      <c r="B87" s="46">
        <v>0.2892362</v>
      </c>
      <c r="C87" s="46">
        <v>0.3029</v>
      </c>
    </row>
    <row r="88" spans="1:3" x14ac:dyDescent="0.3">
      <c r="A88" s="71" t="s">
        <v>62</v>
      </c>
      <c r="B88" s="46">
        <v>0.27081479999999997</v>
      </c>
      <c r="C88" s="46">
        <v>0.24170000000000003</v>
      </c>
    </row>
    <row r="89" spans="1:3" x14ac:dyDescent="0.3">
      <c r="A89" s="71" t="s">
        <v>57</v>
      </c>
      <c r="B89" s="46">
        <v>0.24670000000000003</v>
      </c>
      <c r="C89" s="46">
        <v>0.2656</v>
      </c>
    </row>
    <row r="90" spans="1:3" x14ac:dyDescent="0.3">
      <c r="A90" s="71" t="s">
        <v>9</v>
      </c>
      <c r="B90" s="46">
        <v>0.27000190000000002</v>
      </c>
      <c r="C90" s="46">
        <v>0.25230000000000002</v>
      </c>
    </row>
    <row r="91" spans="1:3" x14ac:dyDescent="0.3">
      <c r="A91" s="71" t="s">
        <v>10</v>
      </c>
      <c r="B91" s="46">
        <v>0.1894401</v>
      </c>
      <c r="C91" s="46">
        <v>0.214</v>
      </c>
    </row>
    <row r="92" spans="1:3" x14ac:dyDescent="0.3">
      <c r="A92" s="71" t="s">
        <v>75</v>
      </c>
      <c r="B92" s="46">
        <v>0.2943866</v>
      </c>
      <c r="C92" s="46">
        <v>0.2223</v>
      </c>
    </row>
    <row r="93" spans="1:3" x14ac:dyDescent="0.3">
      <c r="A93" s="71" t="s">
        <v>73</v>
      </c>
      <c r="B93" s="46">
        <v>0.22482350000000001</v>
      </c>
      <c r="C93" s="46">
        <v>0.2402</v>
      </c>
    </row>
    <row r="94" spans="1:3" x14ac:dyDescent="0.3">
      <c r="A94" s="71" t="s">
        <v>8</v>
      </c>
      <c r="B94" s="46">
        <v>0.31183379999999999</v>
      </c>
      <c r="C94" s="46">
        <v>0.24660000000000001</v>
      </c>
    </row>
    <row r="95" spans="1:3" x14ac:dyDescent="0.3">
      <c r="A95" s="71" t="s">
        <v>3</v>
      </c>
      <c r="B95" s="46">
        <v>0.27820590000000001</v>
      </c>
      <c r="C95" s="46">
        <v>0.27079999999999999</v>
      </c>
    </row>
    <row r="96" spans="1:3" x14ac:dyDescent="0.3">
      <c r="A96" s="71" t="s">
        <v>74</v>
      </c>
      <c r="B96" s="46">
        <v>0.35012290000000001</v>
      </c>
      <c r="C96" s="46">
        <v>0.31040000000000001</v>
      </c>
    </row>
    <row r="97" spans="1:3" x14ac:dyDescent="0.3">
      <c r="A97" s="71" t="s">
        <v>18</v>
      </c>
      <c r="B97" s="46">
        <v>0.15899160000000001</v>
      </c>
      <c r="C97" s="46">
        <v>0.14929999999999999</v>
      </c>
    </row>
  </sheetData>
  <autoFilter ref="A3:C97" xr:uid="{5C2CECA7-98BF-4F21-8B75-BBF6A84E04D6}"/>
  <pageMargins left="0.75" right="0.75" top="1" bottom="1" header="0.5" footer="0.5"/>
  <pageSetup orientation="portrait" horizontalDpi="300" verticalDpi="300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98941-F51E-46CF-9C91-AECE9A37F488}">
  <sheetPr codeName="Лист33">
    <tabColor theme="3" tint="0.79998168889431442"/>
    <pageSetUpPr fitToPage="1"/>
  </sheetPr>
  <dimension ref="A1:Z98"/>
  <sheetViews>
    <sheetView showGridLines="0" workbookViewId="0"/>
  </sheetViews>
  <sheetFormatPr defaultRowHeight="16.5" x14ac:dyDescent="0.3"/>
  <cols>
    <col min="1" max="1" width="108.5703125" style="9" customWidth="1"/>
    <col min="2" max="7" width="9.85546875" style="4" bestFit="1" customWidth="1"/>
    <col min="8" max="255" width="9.140625" style="4"/>
    <col min="256" max="256" width="108.5703125" style="4" customWidth="1"/>
    <col min="257" max="257" width="1.5703125" style="4" customWidth="1"/>
    <col min="258" max="258" width="6" style="4" customWidth="1"/>
    <col min="259" max="511" width="9.140625" style="4"/>
    <col min="512" max="512" width="108.5703125" style="4" customWidth="1"/>
    <col min="513" max="513" width="1.5703125" style="4" customWidth="1"/>
    <col min="514" max="514" width="6" style="4" customWidth="1"/>
    <col min="515" max="767" width="9.140625" style="4"/>
    <col min="768" max="768" width="108.5703125" style="4" customWidth="1"/>
    <col min="769" max="769" width="1.5703125" style="4" customWidth="1"/>
    <col min="770" max="770" width="6" style="4" customWidth="1"/>
    <col min="771" max="1023" width="9.140625" style="4"/>
    <col min="1024" max="1024" width="108.5703125" style="4" customWidth="1"/>
    <col min="1025" max="1025" width="1.5703125" style="4" customWidth="1"/>
    <col min="1026" max="1026" width="6" style="4" customWidth="1"/>
    <col min="1027" max="1279" width="9.140625" style="4"/>
    <col min="1280" max="1280" width="108.5703125" style="4" customWidth="1"/>
    <col min="1281" max="1281" width="1.5703125" style="4" customWidth="1"/>
    <col min="1282" max="1282" width="6" style="4" customWidth="1"/>
    <col min="1283" max="1535" width="9.140625" style="4"/>
    <col min="1536" max="1536" width="108.5703125" style="4" customWidth="1"/>
    <col min="1537" max="1537" width="1.5703125" style="4" customWidth="1"/>
    <col min="1538" max="1538" width="6" style="4" customWidth="1"/>
    <col min="1539" max="1791" width="9.140625" style="4"/>
    <col min="1792" max="1792" width="108.5703125" style="4" customWidth="1"/>
    <col min="1793" max="1793" width="1.5703125" style="4" customWidth="1"/>
    <col min="1794" max="1794" width="6" style="4" customWidth="1"/>
    <col min="1795" max="2047" width="9.140625" style="4"/>
    <col min="2048" max="2048" width="108.5703125" style="4" customWidth="1"/>
    <col min="2049" max="2049" width="1.5703125" style="4" customWidth="1"/>
    <col min="2050" max="2050" width="6" style="4" customWidth="1"/>
    <col min="2051" max="2303" width="9.140625" style="4"/>
    <col min="2304" max="2304" width="108.5703125" style="4" customWidth="1"/>
    <col min="2305" max="2305" width="1.5703125" style="4" customWidth="1"/>
    <col min="2306" max="2306" width="6" style="4" customWidth="1"/>
    <col min="2307" max="2559" width="9.140625" style="4"/>
    <col min="2560" max="2560" width="108.5703125" style="4" customWidth="1"/>
    <col min="2561" max="2561" width="1.5703125" style="4" customWidth="1"/>
    <col min="2562" max="2562" width="6" style="4" customWidth="1"/>
    <col min="2563" max="2815" width="9.140625" style="4"/>
    <col min="2816" max="2816" width="108.5703125" style="4" customWidth="1"/>
    <col min="2817" max="2817" width="1.5703125" style="4" customWidth="1"/>
    <col min="2818" max="2818" width="6" style="4" customWidth="1"/>
    <col min="2819" max="3071" width="9.140625" style="4"/>
    <col min="3072" max="3072" width="108.5703125" style="4" customWidth="1"/>
    <col min="3073" max="3073" width="1.5703125" style="4" customWidth="1"/>
    <col min="3074" max="3074" width="6" style="4" customWidth="1"/>
    <col min="3075" max="3327" width="9.140625" style="4"/>
    <col min="3328" max="3328" width="108.5703125" style="4" customWidth="1"/>
    <col min="3329" max="3329" width="1.5703125" style="4" customWidth="1"/>
    <col min="3330" max="3330" width="6" style="4" customWidth="1"/>
    <col min="3331" max="3583" width="9.140625" style="4"/>
    <col min="3584" max="3584" width="108.5703125" style="4" customWidth="1"/>
    <col min="3585" max="3585" width="1.5703125" style="4" customWidth="1"/>
    <col min="3586" max="3586" width="6" style="4" customWidth="1"/>
    <col min="3587" max="3839" width="9.140625" style="4"/>
    <col min="3840" max="3840" width="108.5703125" style="4" customWidth="1"/>
    <col min="3841" max="3841" width="1.5703125" style="4" customWidth="1"/>
    <col min="3842" max="3842" width="6" style="4" customWidth="1"/>
    <col min="3843" max="4095" width="9.140625" style="4"/>
    <col min="4096" max="4096" width="108.5703125" style="4" customWidth="1"/>
    <col min="4097" max="4097" width="1.5703125" style="4" customWidth="1"/>
    <col min="4098" max="4098" width="6" style="4" customWidth="1"/>
    <col min="4099" max="4351" width="9.140625" style="4"/>
    <col min="4352" max="4352" width="108.5703125" style="4" customWidth="1"/>
    <col min="4353" max="4353" width="1.5703125" style="4" customWidth="1"/>
    <col min="4354" max="4354" width="6" style="4" customWidth="1"/>
    <col min="4355" max="4607" width="9.140625" style="4"/>
    <col min="4608" max="4608" width="108.5703125" style="4" customWidth="1"/>
    <col min="4609" max="4609" width="1.5703125" style="4" customWidth="1"/>
    <col min="4610" max="4610" width="6" style="4" customWidth="1"/>
    <col min="4611" max="4863" width="9.140625" style="4"/>
    <col min="4864" max="4864" width="108.5703125" style="4" customWidth="1"/>
    <col min="4865" max="4865" width="1.5703125" style="4" customWidth="1"/>
    <col min="4866" max="4866" width="6" style="4" customWidth="1"/>
    <col min="4867" max="5119" width="9.140625" style="4"/>
    <col min="5120" max="5120" width="108.5703125" style="4" customWidth="1"/>
    <col min="5121" max="5121" width="1.5703125" style="4" customWidth="1"/>
    <col min="5122" max="5122" width="6" style="4" customWidth="1"/>
    <col min="5123" max="5375" width="9.140625" style="4"/>
    <col min="5376" max="5376" width="108.5703125" style="4" customWidth="1"/>
    <col min="5377" max="5377" width="1.5703125" style="4" customWidth="1"/>
    <col min="5378" max="5378" width="6" style="4" customWidth="1"/>
    <col min="5379" max="5631" width="9.140625" style="4"/>
    <col min="5632" max="5632" width="108.5703125" style="4" customWidth="1"/>
    <col min="5633" max="5633" width="1.5703125" style="4" customWidth="1"/>
    <col min="5634" max="5634" width="6" style="4" customWidth="1"/>
    <col min="5635" max="5887" width="9.140625" style="4"/>
    <col min="5888" max="5888" width="108.5703125" style="4" customWidth="1"/>
    <col min="5889" max="5889" width="1.5703125" style="4" customWidth="1"/>
    <col min="5890" max="5890" width="6" style="4" customWidth="1"/>
    <col min="5891" max="6143" width="9.140625" style="4"/>
    <col min="6144" max="6144" width="108.5703125" style="4" customWidth="1"/>
    <col min="6145" max="6145" width="1.5703125" style="4" customWidth="1"/>
    <col min="6146" max="6146" width="6" style="4" customWidth="1"/>
    <col min="6147" max="6399" width="9.140625" style="4"/>
    <col min="6400" max="6400" width="108.5703125" style="4" customWidth="1"/>
    <col min="6401" max="6401" width="1.5703125" style="4" customWidth="1"/>
    <col min="6402" max="6402" width="6" style="4" customWidth="1"/>
    <col min="6403" max="6655" width="9.140625" style="4"/>
    <col min="6656" max="6656" width="108.5703125" style="4" customWidth="1"/>
    <col min="6657" max="6657" width="1.5703125" style="4" customWidth="1"/>
    <col min="6658" max="6658" width="6" style="4" customWidth="1"/>
    <col min="6659" max="6911" width="9.140625" style="4"/>
    <col min="6912" max="6912" width="108.5703125" style="4" customWidth="1"/>
    <col min="6913" max="6913" width="1.5703125" style="4" customWidth="1"/>
    <col min="6914" max="6914" width="6" style="4" customWidth="1"/>
    <col min="6915" max="7167" width="9.140625" style="4"/>
    <col min="7168" max="7168" width="108.5703125" style="4" customWidth="1"/>
    <col min="7169" max="7169" width="1.5703125" style="4" customWidth="1"/>
    <col min="7170" max="7170" width="6" style="4" customWidth="1"/>
    <col min="7171" max="7423" width="9.140625" style="4"/>
    <col min="7424" max="7424" width="108.5703125" style="4" customWidth="1"/>
    <col min="7425" max="7425" width="1.5703125" style="4" customWidth="1"/>
    <col min="7426" max="7426" width="6" style="4" customWidth="1"/>
    <col min="7427" max="7679" width="9.140625" style="4"/>
    <col min="7680" max="7680" width="108.5703125" style="4" customWidth="1"/>
    <col min="7681" max="7681" width="1.5703125" style="4" customWidth="1"/>
    <col min="7682" max="7682" width="6" style="4" customWidth="1"/>
    <col min="7683" max="7935" width="9.140625" style="4"/>
    <col min="7936" max="7936" width="108.5703125" style="4" customWidth="1"/>
    <col min="7937" max="7937" width="1.5703125" style="4" customWidth="1"/>
    <col min="7938" max="7938" width="6" style="4" customWidth="1"/>
    <col min="7939" max="8191" width="9.140625" style="4"/>
    <col min="8192" max="8192" width="108.5703125" style="4" customWidth="1"/>
    <col min="8193" max="8193" width="1.5703125" style="4" customWidth="1"/>
    <col min="8194" max="8194" width="6" style="4" customWidth="1"/>
    <col min="8195" max="8447" width="9.140625" style="4"/>
    <col min="8448" max="8448" width="108.5703125" style="4" customWidth="1"/>
    <col min="8449" max="8449" width="1.5703125" style="4" customWidth="1"/>
    <col min="8450" max="8450" width="6" style="4" customWidth="1"/>
    <col min="8451" max="8703" width="9.140625" style="4"/>
    <col min="8704" max="8704" width="108.5703125" style="4" customWidth="1"/>
    <col min="8705" max="8705" width="1.5703125" style="4" customWidth="1"/>
    <col min="8706" max="8706" width="6" style="4" customWidth="1"/>
    <col min="8707" max="8959" width="9.140625" style="4"/>
    <col min="8960" max="8960" width="108.5703125" style="4" customWidth="1"/>
    <col min="8961" max="8961" width="1.5703125" style="4" customWidth="1"/>
    <col min="8962" max="8962" width="6" style="4" customWidth="1"/>
    <col min="8963" max="9215" width="9.140625" style="4"/>
    <col min="9216" max="9216" width="108.5703125" style="4" customWidth="1"/>
    <col min="9217" max="9217" width="1.5703125" style="4" customWidth="1"/>
    <col min="9218" max="9218" width="6" style="4" customWidth="1"/>
    <col min="9219" max="9471" width="9.140625" style="4"/>
    <col min="9472" max="9472" width="108.5703125" style="4" customWidth="1"/>
    <col min="9473" max="9473" width="1.5703125" style="4" customWidth="1"/>
    <col min="9474" max="9474" width="6" style="4" customWidth="1"/>
    <col min="9475" max="9727" width="9.140625" style="4"/>
    <col min="9728" max="9728" width="108.5703125" style="4" customWidth="1"/>
    <col min="9729" max="9729" width="1.5703125" style="4" customWidth="1"/>
    <col min="9730" max="9730" width="6" style="4" customWidth="1"/>
    <col min="9731" max="9983" width="9.140625" style="4"/>
    <col min="9984" max="9984" width="108.5703125" style="4" customWidth="1"/>
    <col min="9985" max="9985" width="1.5703125" style="4" customWidth="1"/>
    <col min="9986" max="9986" width="6" style="4" customWidth="1"/>
    <col min="9987" max="10239" width="9.140625" style="4"/>
    <col min="10240" max="10240" width="108.5703125" style="4" customWidth="1"/>
    <col min="10241" max="10241" width="1.5703125" style="4" customWidth="1"/>
    <col min="10242" max="10242" width="6" style="4" customWidth="1"/>
    <col min="10243" max="10495" width="9.140625" style="4"/>
    <col min="10496" max="10496" width="108.5703125" style="4" customWidth="1"/>
    <col min="10497" max="10497" width="1.5703125" style="4" customWidth="1"/>
    <col min="10498" max="10498" width="6" style="4" customWidth="1"/>
    <col min="10499" max="10751" width="9.140625" style="4"/>
    <col min="10752" max="10752" width="108.5703125" style="4" customWidth="1"/>
    <col min="10753" max="10753" width="1.5703125" style="4" customWidth="1"/>
    <col min="10754" max="10754" width="6" style="4" customWidth="1"/>
    <col min="10755" max="11007" width="9.140625" style="4"/>
    <col min="11008" max="11008" width="108.5703125" style="4" customWidth="1"/>
    <col min="11009" max="11009" width="1.5703125" style="4" customWidth="1"/>
    <col min="11010" max="11010" width="6" style="4" customWidth="1"/>
    <col min="11011" max="11263" width="9.140625" style="4"/>
    <col min="11264" max="11264" width="108.5703125" style="4" customWidth="1"/>
    <col min="11265" max="11265" width="1.5703125" style="4" customWidth="1"/>
    <col min="11266" max="11266" width="6" style="4" customWidth="1"/>
    <col min="11267" max="11519" width="9.140625" style="4"/>
    <col min="11520" max="11520" width="108.5703125" style="4" customWidth="1"/>
    <col min="11521" max="11521" width="1.5703125" style="4" customWidth="1"/>
    <col min="11522" max="11522" width="6" style="4" customWidth="1"/>
    <col min="11523" max="11775" width="9.140625" style="4"/>
    <col min="11776" max="11776" width="108.5703125" style="4" customWidth="1"/>
    <col min="11777" max="11777" width="1.5703125" style="4" customWidth="1"/>
    <col min="11778" max="11778" width="6" style="4" customWidth="1"/>
    <col min="11779" max="12031" width="9.140625" style="4"/>
    <col min="12032" max="12032" width="108.5703125" style="4" customWidth="1"/>
    <col min="12033" max="12033" width="1.5703125" style="4" customWidth="1"/>
    <col min="12034" max="12034" width="6" style="4" customWidth="1"/>
    <col min="12035" max="12287" width="9.140625" style="4"/>
    <col min="12288" max="12288" width="108.5703125" style="4" customWidth="1"/>
    <col min="12289" max="12289" width="1.5703125" style="4" customWidth="1"/>
    <col min="12290" max="12290" width="6" style="4" customWidth="1"/>
    <col min="12291" max="12543" width="9.140625" style="4"/>
    <col min="12544" max="12544" width="108.5703125" style="4" customWidth="1"/>
    <col min="12545" max="12545" width="1.5703125" style="4" customWidth="1"/>
    <col min="12546" max="12546" width="6" style="4" customWidth="1"/>
    <col min="12547" max="12799" width="9.140625" style="4"/>
    <col min="12800" max="12800" width="108.5703125" style="4" customWidth="1"/>
    <col min="12801" max="12801" width="1.5703125" style="4" customWidth="1"/>
    <col min="12802" max="12802" width="6" style="4" customWidth="1"/>
    <col min="12803" max="13055" width="9.140625" style="4"/>
    <col min="13056" max="13056" width="108.5703125" style="4" customWidth="1"/>
    <col min="13057" max="13057" width="1.5703125" style="4" customWidth="1"/>
    <col min="13058" max="13058" width="6" style="4" customWidth="1"/>
    <col min="13059" max="13311" width="9.140625" style="4"/>
    <col min="13312" max="13312" width="108.5703125" style="4" customWidth="1"/>
    <col min="13313" max="13313" width="1.5703125" style="4" customWidth="1"/>
    <col min="13314" max="13314" width="6" style="4" customWidth="1"/>
    <col min="13315" max="13567" width="9.140625" style="4"/>
    <col min="13568" max="13568" width="108.5703125" style="4" customWidth="1"/>
    <col min="13569" max="13569" width="1.5703125" style="4" customWidth="1"/>
    <col min="13570" max="13570" width="6" style="4" customWidth="1"/>
    <col min="13571" max="13823" width="9.140625" style="4"/>
    <col min="13824" max="13824" width="108.5703125" style="4" customWidth="1"/>
    <col min="13825" max="13825" width="1.5703125" style="4" customWidth="1"/>
    <col min="13826" max="13826" width="6" style="4" customWidth="1"/>
    <col min="13827" max="14079" width="9.140625" style="4"/>
    <col min="14080" max="14080" width="108.5703125" style="4" customWidth="1"/>
    <col min="14081" max="14081" width="1.5703125" style="4" customWidth="1"/>
    <col min="14082" max="14082" width="6" style="4" customWidth="1"/>
    <col min="14083" max="14335" width="9.140625" style="4"/>
    <col min="14336" max="14336" width="108.5703125" style="4" customWidth="1"/>
    <col min="14337" max="14337" width="1.5703125" style="4" customWidth="1"/>
    <col min="14338" max="14338" width="6" style="4" customWidth="1"/>
    <col min="14339" max="14591" width="9.140625" style="4"/>
    <col min="14592" max="14592" width="108.5703125" style="4" customWidth="1"/>
    <col min="14593" max="14593" width="1.5703125" style="4" customWidth="1"/>
    <col min="14594" max="14594" width="6" style="4" customWidth="1"/>
    <col min="14595" max="14847" width="9.140625" style="4"/>
    <col min="14848" max="14848" width="108.5703125" style="4" customWidth="1"/>
    <col min="14849" max="14849" width="1.5703125" style="4" customWidth="1"/>
    <col min="14850" max="14850" width="6" style="4" customWidth="1"/>
    <col min="14851" max="15103" width="9.140625" style="4"/>
    <col min="15104" max="15104" width="108.5703125" style="4" customWidth="1"/>
    <col min="15105" max="15105" width="1.5703125" style="4" customWidth="1"/>
    <col min="15106" max="15106" width="6" style="4" customWidth="1"/>
    <col min="15107" max="15359" width="9.140625" style="4"/>
    <col min="15360" max="15360" width="108.5703125" style="4" customWidth="1"/>
    <col min="15361" max="15361" width="1.5703125" style="4" customWidth="1"/>
    <col min="15362" max="15362" width="6" style="4" customWidth="1"/>
    <col min="15363" max="15615" width="9.140625" style="4"/>
    <col min="15616" max="15616" width="108.5703125" style="4" customWidth="1"/>
    <col min="15617" max="15617" width="1.5703125" style="4" customWidth="1"/>
    <col min="15618" max="15618" width="6" style="4" customWidth="1"/>
    <col min="15619" max="15871" width="9.140625" style="4"/>
    <col min="15872" max="15872" width="108.5703125" style="4" customWidth="1"/>
    <col min="15873" max="15873" width="1.5703125" style="4" customWidth="1"/>
    <col min="15874" max="15874" width="6" style="4" customWidth="1"/>
    <col min="15875" max="16127" width="9.140625" style="4"/>
    <col min="16128" max="16128" width="108.5703125" style="4" customWidth="1"/>
    <col min="16129" max="16129" width="1.5703125" style="4" customWidth="1"/>
    <col min="16130" max="16130" width="6" style="4" customWidth="1"/>
    <col min="16131" max="16384" width="9.140625" style="4"/>
  </cols>
  <sheetData>
    <row r="1" spans="1:26" x14ac:dyDescent="0.3">
      <c r="A1" s="66" t="s">
        <v>308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</row>
    <row r="3" spans="1:26" x14ac:dyDescent="0.3">
      <c r="A3" s="10" t="s">
        <v>129</v>
      </c>
      <c r="B3" s="19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26" x14ac:dyDescent="0.3">
      <c r="A4" s="11" t="s">
        <v>12</v>
      </c>
      <c r="B4" s="18">
        <v>11216</v>
      </c>
      <c r="C4" s="18">
        <v>10143</v>
      </c>
      <c r="D4" s="18">
        <v>9184</v>
      </c>
      <c r="E4" s="18">
        <v>8674</v>
      </c>
      <c r="F4" s="18">
        <v>7832</v>
      </c>
      <c r="G4" s="18">
        <v>6807</v>
      </c>
    </row>
    <row r="5" spans="1:26" x14ac:dyDescent="0.3">
      <c r="A5" s="11" t="s">
        <v>73</v>
      </c>
      <c r="B5" s="18">
        <v>3832</v>
      </c>
      <c r="C5" s="18">
        <v>3726</v>
      </c>
      <c r="D5" s="18">
        <v>3087</v>
      </c>
      <c r="E5" s="18">
        <v>2922</v>
      </c>
      <c r="F5" s="18">
        <v>2886</v>
      </c>
      <c r="G5" s="18">
        <v>2453</v>
      </c>
    </row>
    <row r="6" spans="1:26" x14ac:dyDescent="0.3">
      <c r="A6" s="11" t="s">
        <v>53</v>
      </c>
      <c r="B6" s="18">
        <v>4391</v>
      </c>
      <c r="C6" s="18">
        <v>4119</v>
      </c>
      <c r="D6" s="18">
        <v>3703</v>
      </c>
      <c r="E6" s="18">
        <v>3561</v>
      </c>
      <c r="F6" s="18">
        <v>3008</v>
      </c>
      <c r="G6" s="18">
        <v>2581</v>
      </c>
    </row>
    <row r="7" spans="1:26" x14ac:dyDescent="0.3">
      <c r="A7" s="11" t="s">
        <v>25</v>
      </c>
      <c r="B7" s="18">
        <v>2381</v>
      </c>
      <c r="C7" s="18">
        <v>2488</v>
      </c>
      <c r="D7" s="18">
        <v>2367</v>
      </c>
      <c r="E7" s="18">
        <v>2319</v>
      </c>
      <c r="F7" s="18">
        <v>2083</v>
      </c>
      <c r="G7" s="18">
        <v>1468</v>
      </c>
    </row>
    <row r="8" spans="1:26" x14ac:dyDescent="0.3">
      <c r="A8" s="11" t="s">
        <v>50</v>
      </c>
      <c r="B8" s="18">
        <v>2223</v>
      </c>
      <c r="C8" s="18">
        <v>2170</v>
      </c>
      <c r="D8" s="18">
        <v>2104</v>
      </c>
      <c r="E8" s="18">
        <v>2013</v>
      </c>
      <c r="F8" s="18">
        <v>1803</v>
      </c>
      <c r="G8" s="18">
        <v>1618</v>
      </c>
    </row>
    <row r="9" spans="1:26" x14ac:dyDescent="0.3">
      <c r="A9" s="11" t="s">
        <v>48</v>
      </c>
      <c r="B9" s="18">
        <v>3114</v>
      </c>
      <c r="C9" s="18">
        <v>2761</v>
      </c>
      <c r="D9" s="18">
        <v>2694</v>
      </c>
      <c r="E9" s="18">
        <v>2738</v>
      </c>
      <c r="F9" s="18">
        <v>2548</v>
      </c>
      <c r="G9" s="18">
        <v>2097</v>
      </c>
    </row>
    <row r="10" spans="1:26" x14ac:dyDescent="0.3">
      <c r="A10" s="11" t="s">
        <v>20</v>
      </c>
      <c r="B10" s="18">
        <v>3740</v>
      </c>
      <c r="C10" s="18">
        <v>3471</v>
      </c>
      <c r="D10" s="18">
        <v>2806</v>
      </c>
      <c r="E10" s="18">
        <v>2803</v>
      </c>
      <c r="F10" s="18">
        <v>2426</v>
      </c>
      <c r="G10" s="18">
        <v>2158</v>
      </c>
    </row>
    <row r="11" spans="1:26" x14ac:dyDescent="0.3">
      <c r="A11" s="11" t="s">
        <v>22</v>
      </c>
      <c r="B11" s="18">
        <v>6241</v>
      </c>
      <c r="C11" s="18">
        <v>5649</v>
      </c>
      <c r="D11" s="18">
        <v>5685</v>
      </c>
      <c r="E11" s="18">
        <v>5960</v>
      </c>
      <c r="F11" s="18">
        <v>5322</v>
      </c>
      <c r="G11" s="18">
        <v>4403</v>
      </c>
    </row>
    <row r="12" spans="1:26" x14ac:dyDescent="0.3">
      <c r="A12" s="11" t="s">
        <v>80</v>
      </c>
      <c r="B12" s="18">
        <v>5107</v>
      </c>
      <c r="C12" s="18">
        <v>4397</v>
      </c>
      <c r="D12" s="18">
        <v>3919</v>
      </c>
      <c r="E12" s="18">
        <v>3346</v>
      </c>
      <c r="F12" s="18">
        <v>2922</v>
      </c>
      <c r="G12" s="18">
        <v>2539</v>
      </c>
    </row>
    <row r="13" spans="1:26" x14ac:dyDescent="0.3">
      <c r="A13" s="11" t="s">
        <v>4</v>
      </c>
      <c r="B13" s="18">
        <v>4792</v>
      </c>
      <c r="C13" s="18">
        <v>4363</v>
      </c>
      <c r="D13" s="18">
        <v>3879</v>
      </c>
      <c r="E13" s="18">
        <v>3786</v>
      </c>
      <c r="F13" s="18">
        <v>3518</v>
      </c>
      <c r="G13" s="18">
        <v>2880</v>
      </c>
    </row>
    <row r="14" spans="1:26" x14ac:dyDescent="0.3">
      <c r="A14" s="11" t="s">
        <v>13</v>
      </c>
      <c r="B14" s="18">
        <v>6163</v>
      </c>
      <c r="C14" s="18">
        <v>6276</v>
      </c>
      <c r="D14" s="18">
        <v>5961</v>
      </c>
      <c r="E14" s="18">
        <v>6144</v>
      </c>
      <c r="F14" s="18">
        <v>5745</v>
      </c>
      <c r="G14" s="18">
        <v>5366</v>
      </c>
    </row>
    <row r="15" spans="1:26" x14ac:dyDescent="0.3">
      <c r="A15" s="11" t="s">
        <v>32</v>
      </c>
      <c r="B15" s="18">
        <v>3067</v>
      </c>
      <c r="C15" s="18">
        <v>3175</v>
      </c>
      <c r="D15" s="18">
        <v>3105</v>
      </c>
      <c r="E15" s="18">
        <v>2751</v>
      </c>
      <c r="F15" s="18">
        <v>2449</v>
      </c>
      <c r="G15" s="18">
        <v>2103</v>
      </c>
    </row>
    <row r="16" spans="1:26" x14ac:dyDescent="0.3">
      <c r="A16" s="11" t="s">
        <v>123</v>
      </c>
      <c r="B16" s="18">
        <v>515</v>
      </c>
      <c r="C16" s="18">
        <v>618</v>
      </c>
      <c r="D16" s="18">
        <v>513</v>
      </c>
      <c r="E16" s="18">
        <v>660</v>
      </c>
      <c r="F16" s="18">
        <v>884</v>
      </c>
      <c r="G16" s="18">
        <v>697</v>
      </c>
    </row>
    <row r="17" spans="1:7" x14ac:dyDescent="0.3">
      <c r="A17" s="11" t="s">
        <v>156</v>
      </c>
      <c r="B17" s="18">
        <v>23066</v>
      </c>
      <c r="C17" s="18">
        <v>32833</v>
      </c>
      <c r="D17" s="18">
        <v>30397</v>
      </c>
      <c r="E17" s="18">
        <v>29295</v>
      </c>
      <c r="F17" s="18">
        <v>27848</v>
      </c>
      <c r="G17" s="18">
        <v>23500</v>
      </c>
    </row>
    <row r="18" spans="1:7" x14ac:dyDescent="0.3">
      <c r="A18" s="11" t="s">
        <v>74</v>
      </c>
      <c r="B18" s="18">
        <v>565</v>
      </c>
      <c r="C18" s="18">
        <v>538</v>
      </c>
      <c r="D18" s="18">
        <v>433</v>
      </c>
      <c r="E18" s="18">
        <v>487</v>
      </c>
      <c r="F18" s="18">
        <v>527</v>
      </c>
      <c r="G18" s="18">
        <v>505</v>
      </c>
    </row>
    <row r="19" spans="1:7" x14ac:dyDescent="0.3">
      <c r="A19" s="11" t="s">
        <v>57</v>
      </c>
      <c r="B19" s="18">
        <v>6362</v>
      </c>
      <c r="C19" s="18">
        <v>6064</v>
      </c>
      <c r="D19" s="18">
        <v>5828</v>
      </c>
      <c r="E19" s="18">
        <v>5703</v>
      </c>
      <c r="F19" s="18">
        <v>5160</v>
      </c>
      <c r="G19" s="18">
        <v>4469</v>
      </c>
    </row>
    <row r="20" spans="1:7" x14ac:dyDescent="0.3">
      <c r="A20" s="11" t="s">
        <v>45</v>
      </c>
      <c r="B20" s="18">
        <v>2297</v>
      </c>
      <c r="C20" s="18">
        <v>2179</v>
      </c>
      <c r="D20" s="18">
        <v>1993</v>
      </c>
      <c r="E20" s="18">
        <v>2013</v>
      </c>
      <c r="F20" s="18">
        <v>1834</v>
      </c>
      <c r="G20" s="18">
        <v>1824</v>
      </c>
    </row>
    <row r="21" spans="1:7" x14ac:dyDescent="0.3">
      <c r="A21" s="11" t="s">
        <v>72</v>
      </c>
      <c r="B21" s="18">
        <v>9672</v>
      </c>
      <c r="C21" s="18">
        <v>9637</v>
      </c>
      <c r="D21" s="18">
        <v>8839</v>
      </c>
      <c r="E21" s="18">
        <v>8434</v>
      </c>
      <c r="F21" s="18">
        <v>7742</v>
      </c>
      <c r="G21" s="18">
        <v>6773</v>
      </c>
    </row>
    <row r="22" spans="1:7" x14ac:dyDescent="0.3">
      <c r="A22" s="11" t="s">
        <v>67</v>
      </c>
      <c r="B22" s="18">
        <v>525</v>
      </c>
      <c r="C22" s="18">
        <v>544</v>
      </c>
      <c r="D22" s="18">
        <v>625</v>
      </c>
      <c r="E22" s="18">
        <v>595</v>
      </c>
      <c r="F22" s="18">
        <v>625</v>
      </c>
      <c r="G22" s="18">
        <v>437</v>
      </c>
    </row>
    <row r="23" spans="1:7" x14ac:dyDescent="0.3">
      <c r="A23" s="11" t="s">
        <v>69</v>
      </c>
      <c r="B23" s="18">
        <v>1860</v>
      </c>
      <c r="C23" s="18">
        <v>1921</v>
      </c>
      <c r="D23" s="18">
        <v>1893</v>
      </c>
      <c r="E23" s="18">
        <v>1816</v>
      </c>
      <c r="F23" s="18">
        <v>1720</v>
      </c>
      <c r="G23" s="18">
        <v>1320</v>
      </c>
    </row>
    <row r="24" spans="1:7" x14ac:dyDescent="0.3">
      <c r="A24" s="11" t="s">
        <v>40</v>
      </c>
      <c r="B24" s="18">
        <v>2506</v>
      </c>
      <c r="C24" s="18">
        <v>2301</v>
      </c>
      <c r="D24" s="18">
        <v>1951</v>
      </c>
      <c r="E24" s="18">
        <v>1918</v>
      </c>
      <c r="F24" s="18">
        <v>1817</v>
      </c>
      <c r="G24" s="18">
        <v>1426</v>
      </c>
    </row>
    <row r="25" spans="1:7" x14ac:dyDescent="0.3">
      <c r="A25" s="11" t="s">
        <v>9</v>
      </c>
      <c r="B25" s="18">
        <v>1092</v>
      </c>
      <c r="C25" s="18">
        <v>1171</v>
      </c>
      <c r="D25" s="18">
        <v>1083</v>
      </c>
      <c r="E25" s="18">
        <v>1070</v>
      </c>
      <c r="F25" s="18">
        <v>951</v>
      </c>
      <c r="G25" s="18">
        <v>818</v>
      </c>
    </row>
    <row r="26" spans="1:7" x14ac:dyDescent="0.3">
      <c r="A26" s="11" t="s">
        <v>2</v>
      </c>
      <c r="B26" s="18">
        <v>531</v>
      </c>
      <c r="C26" s="18">
        <v>597</v>
      </c>
      <c r="D26" s="18">
        <v>520</v>
      </c>
      <c r="E26" s="18">
        <v>644</v>
      </c>
      <c r="F26" s="18">
        <v>716</v>
      </c>
      <c r="G26" s="18">
        <v>453</v>
      </c>
    </row>
    <row r="27" spans="1:7" x14ac:dyDescent="0.3">
      <c r="A27" s="11" t="s">
        <v>76</v>
      </c>
      <c r="B27" s="18">
        <v>13633</v>
      </c>
      <c r="C27" s="18">
        <v>12379</v>
      </c>
      <c r="D27" s="18">
        <v>10579</v>
      </c>
      <c r="E27" s="18">
        <v>9935</v>
      </c>
      <c r="F27" s="18">
        <v>8889</v>
      </c>
      <c r="G27" s="18">
        <v>7308</v>
      </c>
    </row>
    <row r="28" spans="1:7" x14ac:dyDescent="0.3">
      <c r="A28" s="11" t="s">
        <v>36</v>
      </c>
      <c r="B28" s="18">
        <v>5367</v>
      </c>
      <c r="C28" s="18">
        <v>4720</v>
      </c>
      <c r="D28" s="18">
        <v>4523</v>
      </c>
      <c r="E28" s="18">
        <v>3906</v>
      </c>
      <c r="F28" s="18">
        <v>3311</v>
      </c>
      <c r="G28" s="18">
        <v>3038</v>
      </c>
    </row>
    <row r="29" spans="1:7" x14ac:dyDescent="0.3">
      <c r="A29" s="11" t="s">
        <v>37</v>
      </c>
      <c r="B29" s="18">
        <v>1869</v>
      </c>
      <c r="C29" s="18">
        <v>1792</v>
      </c>
      <c r="D29" s="18">
        <v>1662</v>
      </c>
      <c r="E29" s="18">
        <v>1713</v>
      </c>
      <c r="F29" s="18">
        <v>1494</v>
      </c>
      <c r="G29" s="18">
        <v>1247</v>
      </c>
    </row>
    <row r="30" spans="1:7" x14ac:dyDescent="0.3">
      <c r="A30" s="11" t="s">
        <v>28</v>
      </c>
      <c r="B30" s="18">
        <v>7042</v>
      </c>
      <c r="C30" s="18">
        <v>6304</v>
      </c>
      <c r="D30" s="18">
        <v>5782</v>
      </c>
      <c r="E30" s="18">
        <v>5779</v>
      </c>
      <c r="F30" s="18">
        <v>5152</v>
      </c>
      <c r="G30" s="18">
        <v>4818</v>
      </c>
    </row>
    <row r="31" spans="1:7" x14ac:dyDescent="0.3">
      <c r="A31" s="11" t="s">
        <v>61</v>
      </c>
      <c r="B31" s="18">
        <v>11722</v>
      </c>
      <c r="C31" s="18">
        <v>9752</v>
      </c>
      <c r="D31" s="18">
        <v>8488</v>
      </c>
      <c r="E31" s="18">
        <v>8070</v>
      </c>
      <c r="F31" s="18">
        <v>7741</v>
      </c>
      <c r="G31" s="18">
        <v>6676</v>
      </c>
    </row>
    <row r="32" spans="1:7" x14ac:dyDescent="0.3">
      <c r="A32" s="11" t="s">
        <v>157</v>
      </c>
      <c r="B32" s="18">
        <v>3294</v>
      </c>
      <c r="C32" s="18"/>
      <c r="D32" s="18"/>
      <c r="E32" s="18"/>
      <c r="F32" s="18"/>
      <c r="G32" s="18"/>
    </row>
    <row r="33" spans="1:7" x14ac:dyDescent="0.3">
      <c r="A33" s="11" t="s">
        <v>55</v>
      </c>
      <c r="B33" s="18">
        <v>3911</v>
      </c>
      <c r="C33" s="18">
        <v>3394</v>
      </c>
      <c r="D33" s="18">
        <v>3183</v>
      </c>
      <c r="E33" s="18">
        <v>3221</v>
      </c>
      <c r="F33" s="18">
        <v>2884</v>
      </c>
      <c r="G33" s="18">
        <v>2486</v>
      </c>
    </row>
    <row r="34" spans="1:7" x14ac:dyDescent="0.3">
      <c r="A34" s="11" t="s">
        <v>56</v>
      </c>
      <c r="B34" s="18">
        <v>2732</v>
      </c>
      <c r="C34" s="18">
        <v>2482</v>
      </c>
      <c r="D34" s="18">
        <v>2334</v>
      </c>
      <c r="E34" s="18">
        <v>2235</v>
      </c>
      <c r="F34" s="18">
        <v>2044</v>
      </c>
      <c r="G34" s="18">
        <v>1766</v>
      </c>
    </row>
    <row r="35" spans="1:7" x14ac:dyDescent="0.3">
      <c r="A35" s="11" t="s">
        <v>33</v>
      </c>
      <c r="B35" s="18">
        <v>2671</v>
      </c>
      <c r="C35" s="18">
        <v>2774</v>
      </c>
      <c r="D35" s="18">
        <v>2627</v>
      </c>
      <c r="E35" s="18">
        <v>2759</v>
      </c>
      <c r="F35" s="18">
        <v>2314</v>
      </c>
      <c r="G35" s="18">
        <v>2498</v>
      </c>
    </row>
    <row r="36" spans="1:7" x14ac:dyDescent="0.3">
      <c r="A36" s="11" t="s">
        <v>51</v>
      </c>
      <c r="B36" s="18">
        <v>2272</v>
      </c>
      <c r="C36" s="18">
        <v>2044</v>
      </c>
      <c r="D36" s="18">
        <v>1942</v>
      </c>
      <c r="E36" s="18">
        <v>1916</v>
      </c>
      <c r="F36" s="18">
        <v>1899</v>
      </c>
      <c r="G36" s="18">
        <v>1553</v>
      </c>
    </row>
    <row r="37" spans="1:7" x14ac:dyDescent="0.3">
      <c r="A37" s="11" t="s">
        <v>8</v>
      </c>
      <c r="B37" s="18">
        <v>782</v>
      </c>
      <c r="C37" s="18">
        <v>641</v>
      </c>
      <c r="D37" s="18">
        <v>682</v>
      </c>
      <c r="E37" s="18">
        <v>556</v>
      </c>
      <c r="F37" s="18">
        <v>387</v>
      </c>
      <c r="G37" s="18">
        <v>368</v>
      </c>
    </row>
    <row r="38" spans="1:7" x14ac:dyDescent="0.3">
      <c r="A38" s="11" t="s">
        <v>21</v>
      </c>
      <c r="B38" s="18">
        <v>8939</v>
      </c>
      <c r="C38" s="18">
        <v>8861</v>
      </c>
      <c r="D38" s="18">
        <v>8124</v>
      </c>
      <c r="E38" s="18">
        <v>7981</v>
      </c>
      <c r="F38" s="18">
        <v>7200</v>
      </c>
      <c r="G38" s="18">
        <v>5758</v>
      </c>
    </row>
    <row r="39" spans="1:7" x14ac:dyDescent="0.3">
      <c r="A39" s="11" t="s">
        <v>30</v>
      </c>
      <c r="B39" s="18">
        <v>2111</v>
      </c>
      <c r="C39" s="18">
        <v>1804</v>
      </c>
      <c r="D39" s="18">
        <v>1654</v>
      </c>
      <c r="E39" s="18">
        <v>1533</v>
      </c>
      <c r="F39" s="18">
        <v>1298</v>
      </c>
      <c r="G39" s="18">
        <v>1133</v>
      </c>
    </row>
    <row r="40" spans="1:7" x14ac:dyDescent="0.3">
      <c r="A40" s="11" t="s">
        <v>7</v>
      </c>
      <c r="B40" s="18">
        <v>228</v>
      </c>
      <c r="C40" s="18">
        <v>255</v>
      </c>
      <c r="D40" s="18">
        <v>195</v>
      </c>
      <c r="E40" s="18">
        <v>190</v>
      </c>
      <c r="F40" s="18">
        <v>158</v>
      </c>
      <c r="G40" s="18">
        <v>166</v>
      </c>
    </row>
    <row r="41" spans="1:7" x14ac:dyDescent="0.3">
      <c r="A41" s="11" t="s">
        <v>54</v>
      </c>
      <c r="B41" s="18">
        <v>6801</v>
      </c>
      <c r="C41" s="18">
        <v>6648</v>
      </c>
      <c r="D41" s="18">
        <v>6406</v>
      </c>
      <c r="E41" s="18">
        <v>6129</v>
      </c>
      <c r="F41" s="18">
        <v>5581</v>
      </c>
      <c r="G41" s="18">
        <v>4740</v>
      </c>
    </row>
    <row r="42" spans="1:7" x14ac:dyDescent="0.3">
      <c r="A42" s="11" t="s">
        <v>52</v>
      </c>
      <c r="B42" s="18">
        <v>2053</v>
      </c>
      <c r="C42" s="18">
        <v>1990</v>
      </c>
      <c r="D42" s="18">
        <v>1639</v>
      </c>
      <c r="E42" s="18">
        <v>1684</v>
      </c>
      <c r="F42" s="18">
        <v>1511</v>
      </c>
      <c r="G42" s="18">
        <v>1310</v>
      </c>
    </row>
    <row r="43" spans="1:7" x14ac:dyDescent="0.3">
      <c r="A43" s="11" t="s">
        <v>6</v>
      </c>
      <c r="B43" s="18">
        <v>7046</v>
      </c>
      <c r="C43" s="18">
        <v>6570</v>
      </c>
      <c r="D43" s="18">
        <v>5468</v>
      </c>
      <c r="E43" s="18">
        <v>4809</v>
      </c>
      <c r="F43" s="18">
        <v>4489</v>
      </c>
      <c r="G43" s="18">
        <v>3860</v>
      </c>
    </row>
    <row r="44" spans="1:7" x14ac:dyDescent="0.3">
      <c r="A44" s="11" t="s">
        <v>64</v>
      </c>
      <c r="B44" s="18">
        <v>4675</v>
      </c>
      <c r="C44" s="18">
        <v>4766</v>
      </c>
      <c r="D44" s="18">
        <v>4357</v>
      </c>
      <c r="E44" s="18">
        <v>4191</v>
      </c>
      <c r="F44" s="18">
        <v>3603</v>
      </c>
      <c r="G44" s="18">
        <v>2893</v>
      </c>
    </row>
    <row r="45" spans="1:7" x14ac:dyDescent="0.3">
      <c r="A45" s="11" t="s">
        <v>23</v>
      </c>
      <c r="B45" s="18">
        <v>6312</v>
      </c>
      <c r="C45" s="18">
        <v>5432</v>
      </c>
      <c r="D45" s="18">
        <v>5282</v>
      </c>
      <c r="E45" s="18">
        <v>5211</v>
      </c>
      <c r="F45" s="18">
        <v>4916</v>
      </c>
      <c r="G45" s="18">
        <v>4192</v>
      </c>
    </row>
    <row r="46" spans="1:7" x14ac:dyDescent="0.3">
      <c r="A46" s="11" t="s">
        <v>70</v>
      </c>
      <c r="B46" s="18">
        <v>1501</v>
      </c>
      <c r="C46" s="18">
        <v>1291</v>
      </c>
      <c r="D46" s="18">
        <v>1154</v>
      </c>
      <c r="E46" s="18">
        <v>1071</v>
      </c>
      <c r="F46" s="18">
        <v>903</v>
      </c>
      <c r="G46" s="18">
        <v>951</v>
      </c>
    </row>
    <row r="47" spans="1:7" x14ac:dyDescent="0.3">
      <c r="A47" s="11" t="s">
        <v>49</v>
      </c>
      <c r="B47" s="18">
        <v>3168</v>
      </c>
      <c r="C47" s="18">
        <v>3291</v>
      </c>
      <c r="D47" s="18">
        <v>3012</v>
      </c>
      <c r="E47" s="18">
        <v>2904</v>
      </c>
      <c r="F47" s="18">
        <v>2508</v>
      </c>
      <c r="G47" s="18">
        <v>2321</v>
      </c>
    </row>
    <row r="48" spans="1:7" x14ac:dyDescent="0.3">
      <c r="A48" s="11" t="s">
        <v>44</v>
      </c>
      <c r="B48" s="18">
        <v>10212</v>
      </c>
      <c r="C48" s="18">
        <v>8879</v>
      </c>
      <c r="D48" s="18">
        <v>8223</v>
      </c>
      <c r="E48" s="18">
        <v>7488</v>
      </c>
      <c r="F48" s="18">
        <v>6453</v>
      </c>
      <c r="G48" s="18">
        <v>5627</v>
      </c>
    </row>
    <row r="49" spans="1:7" x14ac:dyDescent="0.3">
      <c r="A49" s="11" t="s">
        <v>158</v>
      </c>
      <c r="B49" s="18">
        <v>83229</v>
      </c>
      <c r="C49" s="18">
        <v>75793</v>
      </c>
      <c r="D49" s="18">
        <v>69259</v>
      </c>
      <c r="E49" s="18">
        <v>66006</v>
      </c>
      <c r="F49" s="18">
        <v>59471</v>
      </c>
      <c r="G49" s="18">
        <v>52456</v>
      </c>
    </row>
    <row r="50" spans="1:7" x14ac:dyDescent="0.3">
      <c r="A50" s="11" t="s">
        <v>10</v>
      </c>
      <c r="B50" s="18">
        <v>5642</v>
      </c>
      <c r="C50" s="18">
        <v>5307</v>
      </c>
      <c r="D50" s="18">
        <v>4726</v>
      </c>
      <c r="E50" s="18">
        <v>4585</v>
      </c>
      <c r="F50" s="18">
        <v>4737</v>
      </c>
      <c r="G50" s="18">
        <v>3757</v>
      </c>
    </row>
    <row r="51" spans="1:7" x14ac:dyDescent="0.3">
      <c r="A51" s="11" t="s">
        <v>31</v>
      </c>
      <c r="B51" s="18">
        <v>1754</v>
      </c>
      <c r="C51" s="18">
        <v>1668</v>
      </c>
      <c r="D51" s="18">
        <v>1729</v>
      </c>
      <c r="E51" s="18">
        <v>1637</v>
      </c>
      <c r="F51" s="18">
        <v>1368</v>
      </c>
      <c r="G51" s="18">
        <v>1198</v>
      </c>
    </row>
    <row r="52" spans="1:7" x14ac:dyDescent="0.3">
      <c r="A52" s="11" t="s">
        <v>26</v>
      </c>
      <c r="B52" s="18">
        <v>689</v>
      </c>
      <c r="C52" s="18">
        <v>640</v>
      </c>
      <c r="D52" s="18">
        <v>622</v>
      </c>
      <c r="E52" s="18">
        <v>571</v>
      </c>
      <c r="F52" s="18">
        <v>553</v>
      </c>
      <c r="G52" s="18">
        <v>476</v>
      </c>
    </row>
    <row r="53" spans="1:7" x14ac:dyDescent="0.3">
      <c r="A53" s="11" t="s">
        <v>58</v>
      </c>
      <c r="B53" s="18">
        <v>1554</v>
      </c>
      <c r="C53" s="18">
        <v>1506</v>
      </c>
      <c r="D53" s="18">
        <v>1376</v>
      </c>
      <c r="E53" s="18">
        <v>1378</v>
      </c>
      <c r="F53" s="18">
        <v>1259</v>
      </c>
      <c r="G53" s="18">
        <v>1163</v>
      </c>
    </row>
    <row r="54" spans="1:7" x14ac:dyDescent="0.3">
      <c r="A54" s="11" t="s">
        <v>83</v>
      </c>
      <c r="B54" s="18">
        <v>15123</v>
      </c>
      <c r="C54" s="18">
        <v>12971</v>
      </c>
      <c r="D54" s="18">
        <v>10868</v>
      </c>
      <c r="E54" s="18">
        <v>10298</v>
      </c>
      <c r="F54" s="18">
        <v>9491</v>
      </c>
      <c r="G54" s="18">
        <v>8254</v>
      </c>
    </row>
    <row r="55" spans="1:7" x14ac:dyDescent="0.3">
      <c r="A55" s="11" t="s">
        <v>1</v>
      </c>
      <c r="B55" s="18">
        <v>5297</v>
      </c>
      <c r="C55" s="18">
        <v>5092</v>
      </c>
      <c r="D55" s="18">
        <v>4630</v>
      </c>
      <c r="E55" s="18">
        <v>4437</v>
      </c>
      <c r="F55" s="18">
        <v>4417</v>
      </c>
      <c r="G55" s="18">
        <v>3469</v>
      </c>
    </row>
    <row r="56" spans="1:7" x14ac:dyDescent="0.3">
      <c r="A56" s="11" t="s">
        <v>63</v>
      </c>
      <c r="B56" s="18">
        <v>700</v>
      </c>
      <c r="C56" s="18">
        <v>677</v>
      </c>
      <c r="D56" s="18">
        <v>799</v>
      </c>
      <c r="E56" s="18">
        <v>722</v>
      </c>
      <c r="F56" s="18">
        <v>713</v>
      </c>
      <c r="G56" s="18">
        <v>624</v>
      </c>
    </row>
    <row r="57" spans="1:7" x14ac:dyDescent="0.3">
      <c r="A57" s="11" t="s">
        <v>81</v>
      </c>
      <c r="B57" s="18">
        <v>109</v>
      </c>
      <c r="C57" s="18">
        <v>89</v>
      </c>
      <c r="D57" s="18">
        <v>88</v>
      </c>
      <c r="E57" s="18">
        <v>91</v>
      </c>
      <c r="F57" s="18">
        <v>151</v>
      </c>
      <c r="G57" s="18">
        <v>136</v>
      </c>
    </row>
    <row r="58" spans="1:7" x14ac:dyDescent="0.3">
      <c r="A58" s="11" t="s">
        <v>27</v>
      </c>
      <c r="B58" s="18">
        <v>656</v>
      </c>
      <c r="C58" s="18">
        <v>631</v>
      </c>
      <c r="D58" s="18">
        <v>654</v>
      </c>
      <c r="E58" s="18">
        <v>618</v>
      </c>
      <c r="F58" s="18">
        <v>626</v>
      </c>
      <c r="G58" s="18">
        <v>577</v>
      </c>
    </row>
    <row r="59" spans="1:7" x14ac:dyDescent="0.3">
      <c r="A59" s="11" t="s">
        <v>71</v>
      </c>
      <c r="B59" s="18">
        <v>2448</v>
      </c>
      <c r="C59" s="18">
        <v>2060</v>
      </c>
      <c r="D59" s="18">
        <v>2080</v>
      </c>
      <c r="E59" s="18">
        <v>2162</v>
      </c>
      <c r="F59" s="18">
        <v>1942</v>
      </c>
      <c r="G59" s="18">
        <v>1808</v>
      </c>
    </row>
    <row r="60" spans="1:7" x14ac:dyDescent="0.3">
      <c r="A60" s="11" t="s">
        <v>65</v>
      </c>
      <c r="B60" s="18">
        <v>4651</v>
      </c>
      <c r="C60" s="18">
        <v>4050</v>
      </c>
      <c r="D60" s="18">
        <v>3858</v>
      </c>
      <c r="E60" s="18">
        <v>3658</v>
      </c>
      <c r="F60" s="18">
        <v>3430</v>
      </c>
      <c r="G60" s="18">
        <v>3095</v>
      </c>
    </row>
    <row r="61" spans="1:7" x14ac:dyDescent="0.3">
      <c r="A61" s="11" t="s">
        <v>89</v>
      </c>
      <c r="B61" s="18">
        <v>2779</v>
      </c>
      <c r="C61" s="18">
        <v>2530</v>
      </c>
      <c r="D61" s="18">
        <v>2487</v>
      </c>
      <c r="E61" s="18">
        <v>2599</v>
      </c>
      <c r="F61" s="18">
        <v>2304</v>
      </c>
      <c r="G61" s="18">
        <v>2177</v>
      </c>
    </row>
    <row r="62" spans="1:7" x14ac:dyDescent="0.3">
      <c r="A62" s="11" t="s">
        <v>42</v>
      </c>
      <c r="B62" s="18">
        <v>1721</v>
      </c>
      <c r="C62" s="18">
        <v>1713</v>
      </c>
      <c r="D62" s="18">
        <v>1529</v>
      </c>
      <c r="E62" s="18">
        <v>1499</v>
      </c>
      <c r="F62" s="18">
        <v>1282</v>
      </c>
      <c r="G62" s="18">
        <v>1151</v>
      </c>
    </row>
    <row r="63" spans="1:7" x14ac:dyDescent="0.3">
      <c r="A63" s="11" t="s">
        <v>34</v>
      </c>
      <c r="B63" s="18">
        <v>1871</v>
      </c>
      <c r="C63" s="18">
        <v>1788</v>
      </c>
      <c r="D63" s="18">
        <v>1699</v>
      </c>
      <c r="E63" s="18">
        <v>1725</v>
      </c>
      <c r="F63" s="18">
        <v>1472</v>
      </c>
      <c r="G63" s="18">
        <v>1309</v>
      </c>
    </row>
    <row r="64" spans="1:7" x14ac:dyDescent="0.3">
      <c r="A64" s="11" t="s">
        <v>62</v>
      </c>
      <c r="B64" s="18">
        <v>4411</v>
      </c>
      <c r="C64" s="18">
        <v>4003</v>
      </c>
      <c r="D64" s="18">
        <v>3981</v>
      </c>
      <c r="E64" s="18">
        <v>3835</v>
      </c>
      <c r="F64" s="18">
        <v>3578</v>
      </c>
      <c r="G64" s="18">
        <v>3299</v>
      </c>
    </row>
    <row r="65" spans="1:7" x14ac:dyDescent="0.3">
      <c r="A65" s="11" t="s">
        <v>47</v>
      </c>
      <c r="B65" s="18">
        <v>851</v>
      </c>
      <c r="C65" s="18">
        <v>834</v>
      </c>
      <c r="D65" s="18">
        <v>425</v>
      </c>
      <c r="E65" s="18">
        <v>408</v>
      </c>
      <c r="F65" s="18">
        <v>269</v>
      </c>
      <c r="G65" s="18">
        <v>446</v>
      </c>
    </row>
    <row r="66" spans="1:7" x14ac:dyDescent="0.3">
      <c r="A66" s="11" t="s">
        <v>35</v>
      </c>
      <c r="B66" s="18">
        <v>8446</v>
      </c>
      <c r="C66" s="18">
        <v>7731</v>
      </c>
      <c r="D66" s="18">
        <v>6945</v>
      </c>
      <c r="E66" s="18">
        <v>7089</v>
      </c>
      <c r="F66" s="18">
        <v>6652</v>
      </c>
      <c r="G66" s="18">
        <v>6339</v>
      </c>
    </row>
    <row r="67" spans="1:7" x14ac:dyDescent="0.3">
      <c r="A67" s="11" t="s">
        <v>14</v>
      </c>
      <c r="B67" s="18">
        <v>2442</v>
      </c>
      <c r="C67" s="18">
        <v>2408</v>
      </c>
      <c r="D67" s="18">
        <v>2049</v>
      </c>
      <c r="E67" s="18">
        <v>2066</v>
      </c>
      <c r="F67" s="18">
        <v>2228</v>
      </c>
      <c r="G67" s="18">
        <v>2043</v>
      </c>
    </row>
    <row r="68" spans="1:7" x14ac:dyDescent="0.3">
      <c r="A68" s="11" t="s">
        <v>77</v>
      </c>
      <c r="B68" s="18">
        <v>3320</v>
      </c>
      <c r="C68" s="18">
        <v>2795</v>
      </c>
      <c r="D68" s="18">
        <v>2494</v>
      </c>
      <c r="E68" s="18">
        <v>2487</v>
      </c>
      <c r="F68" s="18">
        <v>2209</v>
      </c>
      <c r="G68" s="18">
        <v>1680</v>
      </c>
    </row>
    <row r="69" spans="1:7" x14ac:dyDescent="0.3">
      <c r="A69" s="11" t="s">
        <v>87</v>
      </c>
      <c r="B69" s="18">
        <v>352062</v>
      </c>
      <c r="C69" s="18">
        <v>326269</v>
      </c>
      <c r="D69" s="18">
        <v>298432</v>
      </c>
      <c r="E69" s="18">
        <v>288361</v>
      </c>
      <c r="F69" s="18">
        <v>262452</v>
      </c>
      <c r="G69" s="18">
        <v>227897</v>
      </c>
    </row>
    <row r="70" spans="1:7" x14ac:dyDescent="0.3">
      <c r="A70" s="11" t="s">
        <v>29</v>
      </c>
      <c r="B70" s="18">
        <v>6303</v>
      </c>
      <c r="C70" s="18">
        <v>6024</v>
      </c>
      <c r="D70" s="18">
        <v>5412</v>
      </c>
      <c r="E70" s="18">
        <v>5203</v>
      </c>
      <c r="F70" s="18">
        <v>4681</v>
      </c>
      <c r="G70" s="18">
        <v>3664</v>
      </c>
    </row>
    <row r="71" spans="1:7" x14ac:dyDescent="0.3">
      <c r="A71" s="11" t="s">
        <v>59</v>
      </c>
      <c r="B71" s="18">
        <v>2183</v>
      </c>
      <c r="C71" s="18">
        <v>1783</v>
      </c>
      <c r="D71" s="18">
        <v>1758</v>
      </c>
      <c r="E71" s="18">
        <v>1542</v>
      </c>
      <c r="F71" s="18">
        <v>1407</v>
      </c>
      <c r="G71" s="18">
        <v>1385</v>
      </c>
    </row>
    <row r="72" spans="1:7" x14ac:dyDescent="0.3">
      <c r="A72" s="11" t="s">
        <v>24</v>
      </c>
      <c r="B72" s="18">
        <v>6994</v>
      </c>
      <c r="C72" s="18">
        <v>6051</v>
      </c>
      <c r="D72" s="18">
        <v>5289</v>
      </c>
      <c r="E72" s="18">
        <v>4885</v>
      </c>
      <c r="F72" s="18">
        <v>4341</v>
      </c>
      <c r="G72" s="18">
        <v>3561</v>
      </c>
    </row>
    <row r="73" spans="1:7" x14ac:dyDescent="0.3">
      <c r="A73" s="11" t="s">
        <v>68</v>
      </c>
      <c r="B73" s="18">
        <v>5629</v>
      </c>
      <c r="C73" s="18">
        <v>5594</v>
      </c>
      <c r="D73" s="18">
        <v>5169</v>
      </c>
      <c r="E73" s="18">
        <v>4702</v>
      </c>
      <c r="F73" s="18">
        <v>4383</v>
      </c>
      <c r="G73" s="18">
        <v>3686</v>
      </c>
    </row>
    <row r="74" spans="1:7" x14ac:dyDescent="0.3">
      <c r="A74" s="11" t="s">
        <v>3</v>
      </c>
      <c r="B74" s="18">
        <v>1867</v>
      </c>
      <c r="C74" s="18">
        <v>1921</v>
      </c>
      <c r="D74" s="18">
        <v>1662</v>
      </c>
      <c r="E74" s="18">
        <v>1645</v>
      </c>
      <c r="F74" s="18">
        <v>1739</v>
      </c>
      <c r="G74" s="18">
        <v>1598</v>
      </c>
    </row>
    <row r="75" spans="1:7" x14ac:dyDescent="0.3">
      <c r="A75" s="11" t="s">
        <v>16</v>
      </c>
      <c r="B75" s="18">
        <v>12819</v>
      </c>
      <c r="C75" s="18">
        <v>12219</v>
      </c>
      <c r="D75" s="18">
        <v>11316</v>
      </c>
      <c r="E75" s="18">
        <v>10684</v>
      </c>
      <c r="F75" s="18">
        <v>9619</v>
      </c>
      <c r="G75" s="18">
        <v>8487</v>
      </c>
    </row>
    <row r="76" spans="1:7" x14ac:dyDescent="0.3">
      <c r="A76" s="11" t="s">
        <v>159</v>
      </c>
      <c r="B76" s="18">
        <v>30341</v>
      </c>
      <c r="C76" s="18">
        <v>28213</v>
      </c>
      <c r="D76" s="18">
        <v>26402</v>
      </c>
      <c r="E76" s="18">
        <v>25097</v>
      </c>
      <c r="F76" s="18">
        <v>22120</v>
      </c>
      <c r="G76" s="18">
        <v>19751</v>
      </c>
    </row>
    <row r="77" spans="1:7" x14ac:dyDescent="0.3">
      <c r="A77" s="11" t="s">
        <v>160</v>
      </c>
      <c r="B77" s="18">
        <v>6029</v>
      </c>
      <c r="C77" s="18">
        <v>5974</v>
      </c>
      <c r="D77" s="18">
        <v>5366</v>
      </c>
      <c r="E77" s="18">
        <v>5441</v>
      </c>
      <c r="F77" s="18">
        <v>5120</v>
      </c>
      <c r="G77" s="18">
        <v>4228</v>
      </c>
    </row>
    <row r="78" spans="1:7" x14ac:dyDescent="0.3">
      <c r="A78" s="11" t="s">
        <v>161</v>
      </c>
      <c r="B78" s="18">
        <v>80513</v>
      </c>
      <c r="C78" s="18">
        <v>63193</v>
      </c>
      <c r="D78" s="18">
        <v>55831</v>
      </c>
      <c r="E78" s="18">
        <v>53050</v>
      </c>
      <c r="F78" s="18">
        <v>48725</v>
      </c>
      <c r="G78" s="18">
        <v>41561</v>
      </c>
    </row>
    <row r="79" spans="1:7" x14ac:dyDescent="0.3">
      <c r="A79" s="11" t="s">
        <v>43</v>
      </c>
      <c r="B79" s="18">
        <v>2520</v>
      </c>
      <c r="C79" s="18">
        <v>2452</v>
      </c>
      <c r="D79" s="18">
        <v>2318</v>
      </c>
      <c r="E79" s="18">
        <v>2146</v>
      </c>
      <c r="F79" s="18">
        <v>1992</v>
      </c>
      <c r="G79" s="18">
        <v>1715</v>
      </c>
    </row>
    <row r="80" spans="1:7" x14ac:dyDescent="0.3">
      <c r="A80" s="11" t="s">
        <v>11</v>
      </c>
      <c r="B80" s="18">
        <v>3159</v>
      </c>
      <c r="C80" s="18">
        <v>3077</v>
      </c>
      <c r="D80" s="18">
        <v>2728</v>
      </c>
      <c r="E80" s="18">
        <v>2833</v>
      </c>
      <c r="F80" s="18">
        <v>2502</v>
      </c>
      <c r="G80" s="18">
        <v>1975</v>
      </c>
    </row>
    <row r="81" spans="1:7" x14ac:dyDescent="0.3">
      <c r="A81" s="11" t="s">
        <v>15</v>
      </c>
      <c r="B81" s="18">
        <v>2327</v>
      </c>
      <c r="C81" s="18">
        <v>2325</v>
      </c>
      <c r="D81" s="18">
        <v>2330</v>
      </c>
      <c r="E81" s="18">
        <v>2422</v>
      </c>
      <c r="F81" s="18">
        <v>2240</v>
      </c>
      <c r="G81" s="18">
        <v>1951</v>
      </c>
    </row>
    <row r="82" spans="1:7" x14ac:dyDescent="0.3">
      <c r="A82" s="11" t="s">
        <v>38</v>
      </c>
      <c r="B82" s="18">
        <v>3389</v>
      </c>
      <c r="C82" s="18">
        <v>3084</v>
      </c>
      <c r="D82" s="18">
        <v>2781</v>
      </c>
      <c r="E82" s="18">
        <v>2880</v>
      </c>
      <c r="F82" s="18">
        <v>2295</v>
      </c>
      <c r="G82" s="18">
        <v>2242</v>
      </c>
    </row>
    <row r="83" spans="1:7" x14ac:dyDescent="0.3">
      <c r="A83" s="11" t="s">
        <v>5</v>
      </c>
      <c r="B83" s="18">
        <v>3574</v>
      </c>
      <c r="C83" s="18">
        <v>3237</v>
      </c>
      <c r="D83" s="18">
        <v>2997</v>
      </c>
      <c r="E83" s="18">
        <v>3006</v>
      </c>
      <c r="F83" s="18">
        <v>2733</v>
      </c>
      <c r="G83" s="18">
        <v>2358</v>
      </c>
    </row>
    <row r="84" spans="1:7" x14ac:dyDescent="0.3">
      <c r="A84" s="11" t="s">
        <v>39</v>
      </c>
      <c r="B84" s="18">
        <v>2441</v>
      </c>
      <c r="C84" s="18">
        <v>2383</v>
      </c>
      <c r="D84" s="18">
        <v>2159</v>
      </c>
      <c r="E84" s="18">
        <v>2259</v>
      </c>
      <c r="F84" s="18">
        <v>1776</v>
      </c>
      <c r="G84" s="18">
        <v>1547</v>
      </c>
    </row>
    <row r="85" spans="1:7" x14ac:dyDescent="0.3">
      <c r="A85" s="11" t="s">
        <v>19</v>
      </c>
      <c r="B85" s="18">
        <v>5616</v>
      </c>
      <c r="C85" s="18">
        <v>4977</v>
      </c>
      <c r="D85" s="18">
        <v>4774</v>
      </c>
      <c r="E85" s="18">
        <v>4758</v>
      </c>
      <c r="F85" s="18">
        <v>3988</v>
      </c>
      <c r="G85" s="18">
        <v>3448</v>
      </c>
    </row>
    <row r="86" spans="1:7" x14ac:dyDescent="0.3">
      <c r="A86" s="11" t="s">
        <v>94</v>
      </c>
      <c r="B86" s="18">
        <v>5946</v>
      </c>
      <c r="C86" s="18">
        <v>5789</v>
      </c>
      <c r="D86" s="18">
        <v>5410</v>
      </c>
      <c r="E86" s="18">
        <v>5411</v>
      </c>
      <c r="F86" s="18">
        <v>4956</v>
      </c>
      <c r="G86" s="18">
        <v>4235</v>
      </c>
    </row>
    <row r="87" spans="1:7" x14ac:dyDescent="0.3">
      <c r="A87" s="11" t="s">
        <v>41</v>
      </c>
      <c r="B87" s="18">
        <v>2840</v>
      </c>
      <c r="C87" s="18">
        <v>2584</v>
      </c>
      <c r="D87" s="18">
        <v>2612</v>
      </c>
      <c r="E87" s="18">
        <v>2580</v>
      </c>
      <c r="F87" s="18">
        <v>2288</v>
      </c>
      <c r="G87" s="18">
        <v>1989</v>
      </c>
    </row>
    <row r="88" spans="1:7" x14ac:dyDescent="0.3">
      <c r="A88" s="11" t="s">
        <v>162</v>
      </c>
      <c r="B88" s="18">
        <v>41099</v>
      </c>
      <c r="C88" s="18">
        <v>37979</v>
      </c>
      <c r="D88" s="18">
        <v>34563</v>
      </c>
      <c r="E88" s="18">
        <v>33391</v>
      </c>
      <c r="F88" s="18">
        <v>30244</v>
      </c>
      <c r="G88" s="18">
        <v>26702</v>
      </c>
    </row>
    <row r="89" spans="1:7" x14ac:dyDescent="0.3">
      <c r="A89" s="11" t="s">
        <v>75</v>
      </c>
      <c r="B89" s="18">
        <v>4583</v>
      </c>
      <c r="C89" s="18">
        <v>4071</v>
      </c>
      <c r="D89" s="18">
        <v>3972</v>
      </c>
      <c r="E89" s="18">
        <v>3792</v>
      </c>
      <c r="F89" s="18">
        <v>3261</v>
      </c>
      <c r="G89" s="18">
        <v>2553</v>
      </c>
    </row>
    <row r="90" spans="1:7" x14ac:dyDescent="0.3">
      <c r="A90" s="11" t="s">
        <v>17</v>
      </c>
      <c r="B90" s="18">
        <v>4503</v>
      </c>
      <c r="C90" s="18">
        <v>3913</v>
      </c>
      <c r="D90" s="18">
        <v>3170</v>
      </c>
      <c r="E90" s="18">
        <v>3153</v>
      </c>
      <c r="F90" s="18">
        <v>2924</v>
      </c>
      <c r="G90" s="18">
        <v>2375</v>
      </c>
    </row>
    <row r="91" spans="1:7" x14ac:dyDescent="0.3">
      <c r="A91" s="11" t="s">
        <v>163</v>
      </c>
      <c r="B91" s="18">
        <v>57794</v>
      </c>
      <c r="C91" s="18">
        <v>54440</v>
      </c>
      <c r="D91" s="18">
        <v>50293</v>
      </c>
      <c r="E91" s="18">
        <v>49892</v>
      </c>
      <c r="F91" s="18">
        <v>45007</v>
      </c>
      <c r="G91" s="18">
        <v>39152</v>
      </c>
    </row>
    <row r="92" spans="1:7" x14ac:dyDescent="0.3">
      <c r="A92" s="12" t="s">
        <v>82</v>
      </c>
      <c r="B92" s="18">
        <v>12443</v>
      </c>
      <c r="C92" s="18">
        <v>11715</v>
      </c>
      <c r="D92" s="18">
        <v>10596</v>
      </c>
      <c r="E92" s="18">
        <v>9977</v>
      </c>
      <c r="F92" s="18">
        <v>9494</v>
      </c>
      <c r="G92" s="18">
        <v>8669</v>
      </c>
    </row>
    <row r="93" spans="1:7" x14ac:dyDescent="0.3">
      <c r="A93" s="12" t="s">
        <v>93</v>
      </c>
      <c r="B93" s="18">
        <v>154</v>
      </c>
      <c r="C93" s="18">
        <v>156</v>
      </c>
      <c r="D93" s="18">
        <v>181</v>
      </c>
      <c r="E93" s="18">
        <v>148</v>
      </c>
      <c r="F93" s="18">
        <v>144</v>
      </c>
      <c r="G93" s="18">
        <v>157</v>
      </c>
    </row>
    <row r="94" spans="1:7" x14ac:dyDescent="0.3">
      <c r="A94" s="12" t="s">
        <v>46</v>
      </c>
      <c r="B94" s="18">
        <v>2799</v>
      </c>
      <c r="C94" s="18">
        <v>2602</v>
      </c>
      <c r="D94" s="18">
        <v>2292</v>
      </c>
      <c r="E94" s="18">
        <v>2179</v>
      </c>
      <c r="F94" s="18">
        <v>1837</v>
      </c>
      <c r="G94" s="18">
        <v>2014</v>
      </c>
    </row>
    <row r="95" spans="1:7" x14ac:dyDescent="0.3">
      <c r="A95" s="12" t="s">
        <v>18</v>
      </c>
      <c r="B95" s="18">
        <v>292</v>
      </c>
      <c r="C95" s="18">
        <v>299</v>
      </c>
      <c r="D95" s="18">
        <v>313</v>
      </c>
      <c r="E95" s="18">
        <v>263</v>
      </c>
      <c r="F95" s="18">
        <v>205</v>
      </c>
      <c r="G95" s="18">
        <v>211</v>
      </c>
    </row>
    <row r="96" spans="1:7" x14ac:dyDescent="0.3">
      <c r="A96" s="12" t="s">
        <v>164</v>
      </c>
      <c r="B96" s="18">
        <v>26606</v>
      </c>
      <c r="C96" s="18">
        <v>24884</v>
      </c>
      <c r="D96" s="18">
        <v>23522</v>
      </c>
      <c r="E96" s="18">
        <v>23709</v>
      </c>
      <c r="F96" s="18">
        <v>21605</v>
      </c>
      <c r="G96" s="18">
        <v>18280</v>
      </c>
    </row>
    <row r="97" spans="1:7" x14ac:dyDescent="0.3">
      <c r="A97" s="12" t="s">
        <v>60</v>
      </c>
      <c r="B97" s="18">
        <v>1807</v>
      </c>
      <c r="C97" s="18">
        <v>1761</v>
      </c>
      <c r="D97" s="18">
        <v>1524</v>
      </c>
      <c r="E97" s="18">
        <v>1598</v>
      </c>
      <c r="F97" s="18">
        <v>1335</v>
      </c>
      <c r="G97" s="18">
        <v>1237</v>
      </c>
    </row>
    <row r="98" spans="1:7" x14ac:dyDescent="0.3">
      <c r="A98" s="12" t="s">
        <v>78</v>
      </c>
      <c r="B98" s="18">
        <v>2786</v>
      </c>
      <c r="C98" s="18">
        <v>2422</v>
      </c>
      <c r="D98" s="18">
        <v>2343</v>
      </c>
      <c r="E98" s="18">
        <v>2312</v>
      </c>
      <c r="F98" s="18">
        <v>2066</v>
      </c>
      <c r="G98" s="18">
        <v>1668</v>
      </c>
    </row>
  </sheetData>
  <autoFilter ref="A3:G98" xr:uid="{EF03A116-736A-4762-8E13-A8315C50651B}"/>
  <pageMargins left="0.75" right="0.75" top="1" bottom="1" header="0.5" footer="0.5"/>
  <pageSetup orientation="portrait" horizontalDpi="300" verticalDpi="300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8122A-94F5-4153-BB25-39F2FC1F80D2}">
  <sheetPr codeName="Лист14">
    <tabColor theme="8" tint="0.59999389629810485"/>
    <pageSetUpPr fitToPage="1"/>
  </sheetPr>
  <dimension ref="A1:K101"/>
  <sheetViews>
    <sheetView showGridLines="0" workbookViewId="0"/>
  </sheetViews>
  <sheetFormatPr defaultRowHeight="16.5" x14ac:dyDescent="0.3"/>
  <cols>
    <col min="1" max="1" width="108.5703125" style="9" customWidth="1"/>
    <col min="2" max="4" width="10" style="4" bestFit="1" customWidth="1"/>
    <col min="5" max="6" width="11" style="4" bestFit="1" customWidth="1"/>
    <col min="7" max="7" width="9.85546875" style="4" customWidth="1"/>
    <col min="8" max="240" width="9.140625" style="4"/>
    <col min="241" max="241" width="108.5703125" style="4" customWidth="1"/>
    <col min="242" max="242" width="1.5703125" style="4" customWidth="1"/>
    <col min="243" max="243" width="6" style="4" customWidth="1"/>
    <col min="244" max="496" width="9.140625" style="4"/>
    <col min="497" max="497" width="108.5703125" style="4" customWidth="1"/>
    <col min="498" max="498" width="1.5703125" style="4" customWidth="1"/>
    <col min="499" max="499" width="6" style="4" customWidth="1"/>
    <col min="500" max="752" width="9.140625" style="4"/>
    <col min="753" max="753" width="108.5703125" style="4" customWidth="1"/>
    <col min="754" max="754" width="1.5703125" style="4" customWidth="1"/>
    <col min="755" max="755" width="6" style="4" customWidth="1"/>
    <col min="756" max="1008" width="9.140625" style="4"/>
    <col min="1009" max="1009" width="108.5703125" style="4" customWidth="1"/>
    <col min="1010" max="1010" width="1.5703125" style="4" customWidth="1"/>
    <col min="1011" max="1011" width="6" style="4" customWidth="1"/>
    <col min="1012" max="1264" width="9.140625" style="4"/>
    <col min="1265" max="1265" width="108.5703125" style="4" customWidth="1"/>
    <col min="1266" max="1266" width="1.5703125" style="4" customWidth="1"/>
    <col min="1267" max="1267" width="6" style="4" customWidth="1"/>
    <col min="1268" max="1520" width="9.140625" style="4"/>
    <col min="1521" max="1521" width="108.5703125" style="4" customWidth="1"/>
    <col min="1522" max="1522" width="1.5703125" style="4" customWidth="1"/>
    <col min="1523" max="1523" width="6" style="4" customWidth="1"/>
    <col min="1524" max="1776" width="9.140625" style="4"/>
    <col min="1777" max="1777" width="108.5703125" style="4" customWidth="1"/>
    <col min="1778" max="1778" width="1.5703125" style="4" customWidth="1"/>
    <col min="1779" max="1779" width="6" style="4" customWidth="1"/>
    <col min="1780" max="2032" width="9.140625" style="4"/>
    <col min="2033" max="2033" width="108.5703125" style="4" customWidth="1"/>
    <col min="2034" max="2034" width="1.5703125" style="4" customWidth="1"/>
    <col min="2035" max="2035" width="6" style="4" customWidth="1"/>
    <col min="2036" max="2288" width="9.140625" style="4"/>
    <col min="2289" max="2289" width="108.5703125" style="4" customWidth="1"/>
    <col min="2290" max="2290" width="1.5703125" style="4" customWidth="1"/>
    <col min="2291" max="2291" width="6" style="4" customWidth="1"/>
    <col min="2292" max="2544" width="9.140625" style="4"/>
    <col min="2545" max="2545" width="108.5703125" style="4" customWidth="1"/>
    <col min="2546" max="2546" width="1.5703125" style="4" customWidth="1"/>
    <col min="2547" max="2547" width="6" style="4" customWidth="1"/>
    <col min="2548" max="2800" width="9.140625" style="4"/>
    <col min="2801" max="2801" width="108.5703125" style="4" customWidth="1"/>
    <col min="2802" max="2802" width="1.5703125" style="4" customWidth="1"/>
    <col min="2803" max="2803" width="6" style="4" customWidth="1"/>
    <col min="2804" max="3056" width="9.140625" style="4"/>
    <col min="3057" max="3057" width="108.5703125" style="4" customWidth="1"/>
    <col min="3058" max="3058" width="1.5703125" style="4" customWidth="1"/>
    <col min="3059" max="3059" width="6" style="4" customWidth="1"/>
    <col min="3060" max="3312" width="9.140625" style="4"/>
    <col min="3313" max="3313" width="108.5703125" style="4" customWidth="1"/>
    <col min="3314" max="3314" width="1.5703125" style="4" customWidth="1"/>
    <col min="3315" max="3315" width="6" style="4" customWidth="1"/>
    <col min="3316" max="3568" width="9.140625" style="4"/>
    <col min="3569" max="3569" width="108.5703125" style="4" customWidth="1"/>
    <col min="3570" max="3570" width="1.5703125" style="4" customWidth="1"/>
    <col min="3571" max="3571" width="6" style="4" customWidth="1"/>
    <col min="3572" max="3824" width="9.140625" style="4"/>
    <col min="3825" max="3825" width="108.5703125" style="4" customWidth="1"/>
    <col min="3826" max="3826" width="1.5703125" style="4" customWidth="1"/>
    <col min="3827" max="3827" width="6" style="4" customWidth="1"/>
    <col min="3828" max="4080" width="9.140625" style="4"/>
    <col min="4081" max="4081" width="108.5703125" style="4" customWidth="1"/>
    <col min="4082" max="4082" width="1.5703125" style="4" customWidth="1"/>
    <col min="4083" max="4083" width="6" style="4" customWidth="1"/>
    <col min="4084" max="4336" width="9.140625" style="4"/>
    <col min="4337" max="4337" width="108.5703125" style="4" customWidth="1"/>
    <col min="4338" max="4338" width="1.5703125" style="4" customWidth="1"/>
    <col min="4339" max="4339" width="6" style="4" customWidth="1"/>
    <col min="4340" max="4592" width="9.140625" style="4"/>
    <col min="4593" max="4593" width="108.5703125" style="4" customWidth="1"/>
    <col min="4594" max="4594" width="1.5703125" style="4" customWidth="1"/>
    <col min="4595" max="4595" width="6" style="4" customWidth="1"/>
    <col min="4596" max="4848" width="9.140625" style="4"/>
    <col min="4849" max="4849" width="108.5703125" style="4" customWidth="1"/>
    <col min="4850" max="4850" width="1.5703125" style="4" customWidth="1"/>
    <col min="4851" max="4851" width="6" style="4" customWidth="1"/>
    <col min="4852" max="5104" width="9.140625" style="4"/>
    <col min="5105" max="5105" width="108.5703125" style="4" customWidth="1"/>
    <col min="5106" max="5106" width="1.5703125" style="4" customWidth="1"/>
    <col min="5107" max="5107" width="6" style="4" customWidth="1"/>
    <col min="5108" max="5360" width="9.140625" style="4"/>
    <col min="5361" max="5361" width="108.5703125" style="4" customWidth="1"/>
    <col min="5362" max="5362" width="1.5703125" style="4" customWidth="1"/>
    <col min="5363" max="5363" width="6" style="4" customWidth="1"/>
    <col min="5364" max="5616" width="9.140625" style="4"/>
    <col min="5617" max="5617" width="108.5703125" style="4" customWidth="1"/>
    <col min="5618" max="5618" width="1.5703125" style="4" customWidth="1"/>
    <col min="5619" max="5619" width="6" style="4" customWidth="1"/>
    <col min="5620" max="5872" width="9.140625" style="4"/>
    <col min="5873" max="5873" width="108.5703125" style="4" customWidth="1"/>
    <col min="5874" max="5874" width="1.5703125" style="4" customWidth="1"/>
    <col min="5875" max="5875" width="6" style="4" customWidth="1"/>
    <col min="5876" max="6128" width="9.140625" style="4"/>
    <col min="6129" max="6129" width="108.5703125" style="4" customWidth="1"/>
    <col min="6130" max="6130" width="1.5703125" style="4" customWidth="1"/>
    <col min="6131" max="6131" width="6" style="4" customWidth="1"/>
    <col min="6132" max="6384" width="9.140625" style="4"/>
    <col min="6385" max="6385" width="108.5703125" style="4" customWidth="1"/>
    <col min="6386" max="6386" width="1.5703125" style="4" customWidth="1"/>
    <col min="6387" max="6387" width="6" style="4" customWidth="1"/>
    <col min="6388" max="6640" width="9.140625" style="4"/>
    <col min="6641" max="6641" width="108.5703125" style="4" customWidth="1"/>
    <col min="6642" max="6642" width="1.5703125" style="4" customWidth="1"/>
    <col min="6643" max="6643" width="6" style="4" customWidth="1"/>
    <col min="6644" max="6896" width="9.140625" style="4"/>
    <col min="6897" max="6897" width="108.5703125" style="4" customWidth="1"/>
    <col min="6898" max="6898" width="1.5703125" style="4" customWidth="1"/>
    <col min="6899" max="6899" width="6" style="4" customWidth="1"/>
    <col min="6900" max="7152" width="9.140625" style="4"/>
    <col min="7153" max="7153" width="108.5703125" style="4" customWidth="1"/>
    <col min="7154" max="7154" width="1.5703125" style="4" customWidth="1"/>
    <col min="7155" max="7155" width="6" style="4" customWidth="1"/>
    <col min="7156" max="7408" width="9.140625" style="4"/>
    <col min="7409" max="7409" width="108.5703125" style="4" customWidth="1"/>
    <col min="7410" max="7410" width="1.5703125" style="4" customWidth="1"/>
    <col min="7411" max="7411" width="6" style="4" customWidth="1"/>
    <col min="7412" max="7664" width="9.140625" style="4"/>
    <col min="7665" max="7665" width="108.5703125" style="4" customWidth="1"/>
    <col min="7666" max="7666" width="1.5703125" style="4" customWidth="1"/>
    <col min="7667" max="7667" width="6" style="4" customWidth="1"/>
    <col min="7668" max="7920" width="9.140625" style="4"/>
    <col min="7921" max="7921" width="108.5703125" style="4" customWidth="1"/>
    <col min="7922" max="7922" width="1.5703125" style="4" customWidth="1"/>
    <col min="7923" max="7923" width="6" style="4" customWidth="1"/>
    <col min="7924" max="8176" width="9.140625" style="4"/>
    <col min="8177" max="8177" width="108.5703125" style="4" customWidth="1"/>
    <col min="8178" max="8178" width="1.5703125" style="4" customWidth="1"/>
    <col min="8179" max="8179" width="6" style="4" customWidth="1"/>
    <col min="8180" max="8432" width="9.140625" style="4"/>
    <col min="8433" max="8433" width="108.5703125" style="4" customWidth="1"/>
    <col min="8434" max="8434" width="1.5703125" style="4" customWidth="1"/>
    <col min="8435" max="8435" width="6" style="4" customWidth="1"/>
    <col min="8436" max="8688" width="9.140625" style="4"/>
    <col min="8689" max="8689" width="108.5703125" style="4" customWidth="1"/>
    <col min="8690" max="8690" width="1.5703125" style="4" customWidth="1"/>
    <col min="8691" max="8691" width="6" style="4" customWidth="1"/>
    <col min="8692" max="8944" width="9.140625" style="4"/>
    <col min="8945" max="8945" width="108.5703125" style="4" customWidth="1"/>
    <col min="8946" max="8946" width="1.5703125" style="4" customWidth="1"/>
    <col min="8947" max="8947" width="6" style="4" customWidth="1"/>
    <col min="8948" max="9200" width="9.140625" style="4"/>
    <col min="9201" max="9201" width="108.5703125" style="4" customWidth="1"/>
    <col min="9202" max="9202" width="1.5703125" style="4" customWidth="1"/>
    <col min="9203" max="9203" width="6" style="4" customWidth="1"/>
    <col min="9204" max="9456" width="9.140625" style="4"/>
    <col min="9457" max="9457" width="108.5703125" style="4" customWidth="1"/>
    <col min="9458" max="9458" width="1.5703125" style="4" customWidth="1"/>
    <col min="9459" max="9459" width="6" style="4" customWidth="1"/>
    <col min="9460" max="9712" width="9.140625" style="4"/>
    <col min="9713" max="9713" width="108.5703125" style="4" customWidth="1"/>
    <col min="9714" max="9714" width="1.5703125" style="4" customWidth="1"/>
    <col min="9715" max="9715" width="6" style="4" customWidth="1"/>
    <col min="9716" max="9968" width="9.140625" style="4"/>
    <col min="9969" max="9969" width="108.5703125" style="4" customWidth="1"/>
    <col min="9970" max="9970" width="1.5703125" style="4" customWidth="1"/>
    <col min="9971" max="9971" width="6" style="4" customWidth="1"/>
    <col min="9972" max="10224" width="9.140625" style="4"/>
    <col min="10225" max="10225" width="108.5703125" style="4" customWidth="1"/>
    <col min="10226" max="10226" width="1.5703125" style="4" customWidth="1"/>
    <col min="10227" max="10227" width="6" style="4" customWidth="1"/>
    <col min="10228" max="10480" width="9.140625" style="4"/>
    <col min="10481" max="10481" width="108.5703125" style="4" customWidth="1"/>
    <col min="10482" max="10482" width="1.5703125" style="4" customWidth="1"/>
    <col min="10483" max="10483" width="6" style="4" customWidth="1"/>
    <col min="10484" max="10736" width="9.140625" style="4"/>
    <col min="10737" max="10737" width="108.5703125" style="4" customWidth="1"/>
    <col min="10738" max="10738" width="1.5703125" style="4" customWidth="1"/>
    <col min="10739" max="10739" width="6" style="4" customWidth="1"/>
    <col min="10740" max="10992" width="9.140625" style="4"/>
    <col min="10993" max="10993" width="108.5703125" style="4" customWidth="1"/>
    <col min="10994" max="10994" width="1.5703125" style="4" customWidth="1"/>
    <col min="10995" max="10995" width="6" style="4" customWidth="1"/>
    <col min="10996" max="11248" width="9.140625" style="4"/>
    <col min="11249" max="11249" width="108.5703125" style="4" customWidth="1"/>
    <col min="11250" max="11250" width="1.5703125" style="4" customWidth="1"/>
    <col min="11251" max="11251" width="6" style="4" customWidth="1"/>
    <col min="11252" max="11504" width="9.140625" style="4"/>
    <col min="11505" max="11505" width="108.5703125" style="4" customWidth="1"/>
    <col min="11506" max="11506" width="1.5703125" style="4" customWidth="1"/>
    <col min="11507" max="11507" width="6" style="4" customWidth="1"/>
    <col min="11508" max="11760" width="9.140625" style="4"/>
    <col min="11761" max="11761" width="108.5703125" style="4" customWidth="1"/>
    <col min="11762" max="11762" width="1.5703125" style="4" customWidth="1"/>
    <col min="11763" max="11763" width="6" style="4" customWidth="1"/>
    <col min="11764" max="12016" width="9.140625" style="4"/>
    <col min="12017" max="12017" width="108.5703125" style="4" customWidth="1"/>
    <col min="12018" max="12018" width="1.5703125" style="4" customWidth="1"/>
    <col min="12019" max="12019" width="6" style="4" customWidth="1"/>
    <col min="12020" max="12272" width="9.140625" style="4"/>
    <col min="12273" max="12273" width="108.5703125" style="4" customWidth="1"/>
    <col min="12274" max="12274" width="1.5703125" style="4" customWidth="1"/>
    <col min="12275" max="12275" width="6" style="4" customWidth="1"/>
    <col min="12276" max="12528" width="9.140625" style="4"/>
    <col min="12529" max="12529" width="108.5703125" style="4" customWidth="1"/>
    <col min="12530" max="12530" width="1.5703125" style="4" customWidth="1"/>
    <col min="12531" max="12531" width="6" style="4" customWidth="1"/>
    <col min="12532" max="12784" width="9.140625" style="4"/>
    <col min="12785" max="12785" width="108.5703125" style="4" customWidth="1"/>
    <col min="12786" max="12786" width="1.5703125" style="4" customWidth="1"/>
    <col min="12787" max="12787" width="6" style="4" customWidth="1"/>
    <col min="12788" max="13040" width="9.140625" style="4"/>
    <col min="13041" max="13041" width="108.5703125" style="4" customWidth="1"/>
    <col min="13042" max="13042" width="1.5703125" style="4" customWidth="1"/>
    <col min="13043" max="13043" width="6" style="4" customWidth="1"/>
    <col min="13044" max="13296" width="9.140625" style="4"/>
    <col min="13297" max="13297" width="108.5703125" style="4" customWidth="1"/>
    <col min="13298" max="13298" width="1.5703125" style="4" customWidth="1"/>
    <col min="13299" max="13299" width="6" style="4" customWidth="1"/>
    <col min="13300" max="13552" width="9.140625" style="4"/>
    <col min="13553" max="13553" width="108.5703125" style="4" customWidth="1"/>
    <col min="13554" max="13554" width="1.5703125" style="4" customWidth="1"/>
    <col min="13555" max="13555" width="6" style="4" customWidth="1"/>
    <col min="13556" max="13808" width="9.140625" style="4"/>
    <col min="13809" max="13809" width="108.5703125" style="4" customWidth="1"/>
    <col min="13810" max="13810" width="1.5703125" style="4" customWidth="1"/>
    <col min="13811" max="13811" width="6" style="4" customWidth="1"/>
    <col min="13812" max="14064" width="9.140625" style="4"/>
    <col min="14065" max="14065" width="108.5703125" style="4" customWidth="1"/>
    <col min="14066" max="14066" width="1.5703125" style="4" customWidth="1"/>
    <col min="14067" max="14067" width="6" style="4" customWidth="1"/>
    <col min="14068" max="14320" width="9.140625" style="4"/>
    <col min="14321" max="14321" width="108.5703125" style="4" customWidth="1"/>
    <col min="14322" max="14322" width="1.5703125" style="4" customWidth="1"/>
    <col min="14323" max="14323" width="6" style="4" customWidth="1"/>
    <col min="14324" max="14576" width="9.140625" style="4"/>
    <col min="14577" max="14577" width="108.5703125" style="4" customWidth="1"/>
    <col min="14578" max="14578" width="1.5703125" style="4" customWidth="1"/>
    <col min="14579" max="14579" width="6" style="4" customWidth="1"/>
    <col min="14580" max="14832" width="9.140625" style="4"/>
    <col min="14833" max="14833" width="108.5703125" style="4" customWidth="1"/>
    <col min="14834" max="14834" width="1.5703125" style="4" customWidth="1"/>
    <col min="14835" max="14835" width="6" style="4" customWidth="1"/>
    <col min="14836" max="15088" width="9.140625" style="4"/>
    <col min="15089" max="15089" width="108.5703125" style="4" customWidth="1"/>
    <col min="15090" max="15090" width="1.5703125" style="4" customWidth="1"/>
    <col min="15091" max="15091" width="6" style="4" customWidth="1"/>
    <col min="15092" max="15344" width="9.140625" style="4"/>
    <col min="15345" max="15345" width="108.5703125" style="4" customWidth="1"/>
    <col min="15346" max="15346" width="1.5703125" style="4" customWidth="1"/>
    <col min="15347" max="15347" width="6" style="4" customWidth="1"/>
    <col min="15348" max="15600" width="9.140625" style="4"/>
    <col min="15601" max="15601" width="108.5703125" style="4" customWidth="1"/>
    <col min="15602" max="15602" width="1.5703125" style="4" customWidth="1"/>
    <col min="15603" max="15603" width="6" style="4" customWidth="1"/>
    <col min="15604" max="15856" width="9.140625" style="4"/>
    <col min="15857" max="15857" width="108.5703125" style="4" customWidth="1"/>
    <col min="15858" max="15858" width="1.5703125" style="4" customWidth="1"/>
    <col min="15859" max="15859" width="6" style="4" customWidth="1"/>
    <col min="15860" max="16112" width="9.140625" style="4"/>
    <col min="16113" max="16113" width="108.5703125" style="4" customWidth="1"/>
    <col min="16114" max="16114" width="1.5703125" style="4" customWidth="1"/>
    <col min="16115" max="16115" width="6" style="4" customWidth="1"/>
    <col min="16116" max="16384" width="9.140625" style="4"/>
  </cols>
  <sheetData>
    <row r="1" spans="1:11" x14ac:dyDescent="0.3">
      <c r="A1" s="8" t="s">
        <v>302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3" spans="1:11" x14ac:dyDescent="0.3">
      <c r="A3" s="48" t="s">
        <v>129</v>
      </c>
      <c r="B3" s="20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11" x14ac:dyDescent="0.3">
      <c r="A4" s="71" t="s">
        <v>87</v>
      </c>
      <c r="B4" s="53">
        <v>20278</v>
      </c>
      <c r="C4" s="53">
        <v>18206</v>
      </c>
      <c r="D4" s="53">
        <v>17192</v>
      </c>
      <c r="E4" s="53">
        <v>16546</v>
      </c>
      <c r="F4" s="53">
        <v>15615</v>
      </c>
      <c r="G4" s="53">
        <v>13564</v>
      </c>
    </row>
    <row r="5" spans="1:11" x14ac:dyDescent="0.3">
      <c r="A5" s="71" t="s">
        <v>96</v>
      </c>
      <c r="B5" s="53">
        <v>3910</v>
      </c>
      <c r="C5" s="53">
        <v>3564</v>
      </c>
      <c r="D5" s="53">
        <v>3221</v>
      </c>
      <c r="E5" s="53">
        <v>3258</v>
      </c>
      <c r="F5" s="53">
        <v>3071</v>
      </c>
      <c r="G5" s="53">
        <v>2422</v>
      </c>
    </row>
    <row r="6" spans="1:11" x14ac:dyDescent="0.3">
      <c r="A6" s="71" t="s">
        <v>50</v>
      </c>
      <c r="B6" s="53">
        <v>247</v>
      </c>
      <c r="C6" s="53">
        <v>187</v>
      </c>
      <c r="D6" s="53">
        <v>171</v>
      </c>
      <c r="E6" s="53">
        <v>145</v>
      </c>
      <c r="F6" s="53">
        <v>153</v>
      </c>
      <c r="G6" s="53">
        <v>145</v>
      </c>
    </row>
    <row r="7" spans="1:11" x14ac:dyDescent="0.3">
      <c r="A7" s="71" t="s">
        <v>48</v>
      </c>
      <c r="B7" s="53">
        <v>163</v>
      </c>
      <c r="C7" s="53">
        <v>144</v>
      </c>
      <c r="D7" s="53">
        <v>135</v>
      </c>
      <c r="E7" s="53">
        <v>184</v>
      </c>
      <c r="F7" s="53">
        <v>166</v>
      </c>
      <c r="G7" s="53">
        <v>131</v>
      </c>
    </row>
    <row r="8" spans="1:11" x14ac:dyDescent="0.3">
      <c r="A8" s="71" t="s">
        <v>20</v>
      </c>
      <c r="B8" s="53">
        <v>239</v>
      </c>
      <c r="C8" s="53">
        <v>197</v>
      </c>
      <c r="D8" s="53">
        <v>195</v>
      </c>
      <c r="E8" s="53">
        <v>185</v>
      </c>
      <c r="F8" s="53">
        <v>199</v>
      </c>
      <c r="G8" s="53">
        <v>174</v>
      </c>
    </row>
    <row r="9" spans="1:11" x14ac:dyDescent="0.3">
      <c r="A9" s="71" t="s">
        <v>4</v>
      </c>
      <c r="B9" s="53">
        <v>365</v>
      </c>
      <c r="C9" s="53">
        <v>320</v>
      </c>
      <c r="D9" s="53">
        <v>258</v>
      </c>
      <c r="E9" s="53">
        <v>283</v>
      </c>
      <c r="F9" s="53">
        <v>245</v>
      </c>
      <c r="G9" s="53">
        <v>197</v>
      </c>
    </row>
    <row r="10" spans="1:11" x14ac:dyDescent="0.3">
      <c r="A10" s="71" t="s">
        <v>45</v>
      </c>
      <c r="B10" s="53">
        <v>219</v>
      </c>
      <c r="C10" s="53">
        <v>225</v>
      </c>
      <c r="D10" s="53">
        <v>172</v>
      </c>
      <c r="E10" s="53">
        <v>155</v>
      </c>
      <c r="F10" s="53">
        <v>135</v>
      </c>
      <c r="G10" s="53">
        <v>133</v>
      </c>
    </row>
    <row r="11" spans="1:11" x14ac:dyDescent="0.3">
      <c r="A11" s="71" t="s">
        <v>40</v>
      </c>
      <c r="B11" s="53">
        <v>123</v>
      </c>
      <c r="C11" s="53">
        <v>118</v>
      </c>
      <c r="D11" s="53">
        <v>120</v>
      </c>
      <c r="E11" s="53">
        <v>139</v>
      </c>
      <c r="F11" s="53">
        <v>118</v>
      </c>
      <c r="G11" s="53">
        <v>107</v>
      </c>
    </row>
    <row r="12" spans="1:11" x14ac:dyDescent="0.3">
      <c r="A12" s="71" t="s">
        <v>37</v>
      </c>
      <c r="B12" s="53">
        <v>131</v>
      </c>
      <c r="C12" s="53">
        <v>116</v>
      </c>
      <c r="D12" s="53">
        <v>117</v>
      </c>
      <c r="E12" s="53">
        <v>104</v>
      </c>
      <c r="F12" s="53">
        <v>110</v>
      </c>
      <c r="G12" s="53">
        <v>85</v>
      </c>
    </row>
    <row r="13" spans="1:11" x14ac:dyDescent="0.3">
      <c r="A13" s="71" t="s">
        <v>56</v>
      </c>
      <c r="B13" s="53">
        <v>69</v>
      </c>
      <c r="C13" s="53">
        <v>94</v>
      </c>
      <c r="D13" s="53">
        <v>121</v>
      </c>
      <c r="E13" s="53">
        <v>108</v>
      </c>
      <c r="F13" s="53">
        <v>87</v>
      </c>
      <c r="G13" s="53">
        <v>51</v>
      </c>
    </row>
    <row r="14" spans="1:11" x14ac:dyDescent="0.3">
      <c r="A14" s="71" t="s">
        <v>51</v>
      </c>
      <c r="B14" s="53">
        <v>153</v>
      </c>
      <c r="C14" s="53">
        <v>125</v>
      </c>
      <c r="D14" s="53">
        <v>27</v>
      </c>
      <c r="E14" s="53">
        <v>20</v>
      </c>
      <c r="F14" s="53">
        <v>24</v>
      </c>
      <c r="G14" s="53">
        <v>22</v>
      </c>
    </row>
    <row r="15" spans="1:11" x14ac:dyDescent="0.3">
      <c r="A15" s="71" t="s">
        <v>21</v>
      </c>
      <c r="B15" s="53">
        <v>870</v>
      </c>
      <c r="C15" s="53">
        <v>866</v>
      </c>
      <c r="D15" s="53">
        <v>879</v>
      </c>
      <c r="E15" s="53">
        <v>893</v>
      </c>
      <c r="F15" s="53">
        <v>860</v>
      </c>
      <c r="G15" s="53">
        <v>614</v>
      </c>
    </row>
    <row r="16" spans="1:11" x14ac:dyDescent="0.3">
      <c r="A16" s="71" t="s">
        <v>70</v>
      </c>
      <c r="B16" s="53">
        <v>92</v>
      </c>
      <c r="C16" s="53">
        <v>77</v>
      </c>
      <c r="D16" s="53">
        <v>76</v>
      </c>
      <c r="E16" s="53">
        <v>86</v>
      </c>
      <c r="F16" s="53">
        <v>73</v>
      </c>
      <c r="G16" s="53">
        <v>42</v>
      </c>
    </row>
    <row r="17" spans="1:7" x14ac:dyDescent="0.3">
      <c r="A17" s="71" t="s">
        <v>59</v>
      </c>
      <c r="B17" s="53">
        <v>56</v>
      </c>
      <c r="C17" s="53">
        <v>52</v>
      </c>
      <c r="D17" s="53">
        <v>41</v>
      </c>
      <c r="E17" s="53">
        <v>29</v>
      </c>
      <c r="F17" s="53">
        <v>26</v>
      </c>
      <c r="G17" s="53">
        <v>16</v>
      </c>
    </row>
    <row r="18" spans="1:7" x14ac:dyDescent="0.3">
      <c r="A18" s="71" t="s">
        <v>43</v>
      </c>
      <c r="B18" s="53">
        <v>139</v>
      </c>
      <c r="C18" s="53">
        <v>105</v>
      </c>
      <c r="D18" s="53">
        <v>84</v>
      </c>
      <c r="E18" s="53">
        <v>81</v>
      </c>
      <c r="F18" s="53">
        <v>87</v>
      </c>
      <c r="G18" s="53">
        <v>44</v>
      </c>
    </row>
    <row r="19" spans="1:7" x14ac:dyDescent="0.3">
      <c r="A19" s="71" t="s">
        <v>15</v>
      </c>
      <c r="B19" s="53">
        <v>106</v>
      </c>
      <c r="C19" s="53">
        <v>94</v>
      </c>
      <c r="D19" s="53">
        <v>99</v>
      </c>
      <c r="E19" s="53">
        <v>111</v>
      </c>
      <c r="F19" s="53">
        <v>89</v>
      </c>
      <c r="G19" s="53">
        <v>70</v>
      </c>
    </row>
    <row r="20" spans="1:7" x14ac:dyDescent="0.3">
      <c r="A20" s="71" t="s">
        <v>38</v>
      </c>
      <c r="B20" s="53">
        <v>271</v>
      </c>
      <c r="C20" s="53">
        <v>249</v>
      </c>
      <c r="D20" s="53">
        <v>212</v>
      </c>
      <c r="E20" s="53">
        <v>220</v>
      </c>
      <c r="F20" s="53">
        <v>213</v>
      </c>
      <c r="G20" s="53">
        <v>203</v>
      </c>
    </row>
    <row r="21" spans="1:7" x14ac:dyDescent="0.3">
      <c r="A21" s="71" t="s">
        <v>39</v>
      </c>
      <c r="B21" s="53">
        <v>209</v>
      </c>
      <c r="C21" s="53">
        <v>180</v>
      </c>
      <c r="D21" s="53">
        <v>157</v>
      </c>
      <c r="E21" s="53">
        <v>173</v>
      </c>
      <c r="F21" s="53">
        <v>157</v>
      </c>
      <c r="G21" s="53">
        <v>132</v>
      </c>
    </row>
    <row r="22" spans="1:7" x14ac:dyDescent="0.3">
      <c r="A22" s="71" t="s">
        <v>78</v>
      </c>
      <c r="B22" s="53">
        <v>122</v>
      </c>
      <c r="C22" s="53">
        <v>108</v>
      </c>
      <c r="D22" s="53">
        <v>64</v>
      </c>
      <c r="E22" s="53">
        <v>76</v>
      </c>
      <c r="F22" s="53">
        <v>93</v>
      </c>
      <c r="G22" s="53">
        <v>57</v>
      </c>
    </row>
    <row r="23" spans="1:7" x14ac:dyDescent="0.3">
      <c r="A23" s="71" t="s">
        <v>13</v>
      </c>
      <c r="B23" s="53">
        <v>336</v>
      </c>
      <c r="C23" s="53">
        <v>307</v>
      </c>
      <c r="D23" s="53">
        <v>293</v>
      </c>
      <c r="E23" s="53">
        <v>266</v>
      </c>
      <c r="F23" s="53">
        <v>236</v>
      </c>
      <c r="G23" s="53">
        <v>199</v>
      </c>
    </row>
    <row r="24" spans="1:7" x14ac:dyDescent="0.3">
      <c r="A24" s="71" t="s">
        <v>97</v>
      </c>
      <c r="B24" s="53">
        <v>1984</v>
      </c>
      <c r="C24" s="53">
        <v>1799</v>
      </c>
      <c r="D24" s="53">
        <v>1760</v>
      </c>
      <c r="E24" s="53">
        <v>1706</v>
      </c>
      <c r="F24" s="53">
        <v>1663</v>
      </c>
      <c r="G24" s="53">
        <v>1405</v>
      </c>
    </row>
    <row r="25" spans="1:7" x14ac:dyDescent="0.3">
      <c r="A25" s="71" t="s">
        <v>71</v>
      </c>
      <c r="B25" s="53">
        <v>101</v>
      </c>
      <c r="C25" s="53">
        <v>88</v>
      </c>
      <c r="D25" s="53">
        <v>93</v>
      </c>
      <c r="E25" s="53">
        <v>60</v>
      </c>
      <c r="F25" s="53">
        <v>54</v>
      </c>
      <c r="G25" s="53">
        <v>52</v>
      </c>
    </row>
    <row r="26" spans="1:7" x14ac:dyDescent="0.3">
      <c r="A26" s="71" t="s">
        <v>65</v>
      </c>
      <c r="B26" s="53">
        <v>256</v>
      </c>
      <c r="C26" s="53">
        <v>222</v>
      </c>
      <c r="D26" s="53">
        <v>207</v>
      </c>
      <c r="E26" s="53">
        <v>191</v>
      </c>
      <c r="F26" s="53">
        <v>191</v>
      </c>
      <c r="G26" s="53">
        <v>178</v>
      </c>
    </row>
    <row r="27" spans="1:7" x14ac:dyDescent="0.3">
      <c r="A27" s="71" t="s">
        <v>53</v>
      </c>
      <c r="B27" s="53">
        <v>312</v>
      </c>
      <c r="C27" s="53">
        <v>311</v>
      </c>
      <c r="D27" s="53">
        <v>296</v>
      </c>
      <c r="E27" s="53">
        <v>293</v>
      </c>
      <c r="F27" s="53">
        <v>283</v>
      </c>
      <c r="G27" s="53">
        <v>198</v>
      </c>
    </row>
    <row r="28" spans="1:7" x14ac:dyDescent="0.3">
      <c r="A28" s="71" t="s">
        <v>7</v>
      </c>
      <c r="B28" s="53">
        <v>19</v>
      </c>
      <c r="C28" s="53">
        <v>12</v>
      </c>
      <c r="D28" s="53">
        <v>13</v>
      </c>
      <c r="E28" s="53">
        <v>10</v>
      </c>
      <c r="F28" s="53">
        <v>14</v>
      </c>
      <c r="G28" s="53">
        <v>14</v>
      </c>
    </row>
    <row r="29" spans="1:7" x14ac:dyDescent="0.3">
      <c r="A29" s="71" t="s">
        <v>88</v>
      </c>
      <c r="B29" s="53">
        <v>293</v>
      </c>
      <c r="C29" s="53">
        <v>299</v>
      </c>
      <c r="D29" s="53">
        <v>283</v>
      </c>
      <c r="E29" s="53">
        <v>283</v>
      </c>
      <c r="F29" s="53">
        <v>269</v>
      </c>
      <c r="G29" s="53">
        <v>184</v>
      </c>
    </row>
    <row r="30" spans="1:7" x14ac:dyDescent="0.3">
      <c r="A30" s="71" t="s">
        <v>80</v>
      </c>
      <c r="B30" s="53">
        <v>217</v>
      </c>
      <c r="C30" s="53">
        <v>198</v>
      </c>
      <c r="D30" s="53">
        <v>132</v>
      </c>
      <c r="E30" s="53">
        <v>151</v>
      </c>
      <c r="F30" s="53">
        <v>131</v>
      </c>
      <c r="G30" s="53">
        <v>72</v>
      </c>
    </row>
    <row r="31" spans="1:7" x14ac:dyDescent="0.3">
      <c r="A31" s="71" t="s">
        <v>69</v>
      </c>
      <c r="B31" s="53">
        <v>166</v>
      </c>
      <c r="C31" s="53">
        <v>158</v>
      </c>
      <c r="D31" s="53">
        <v>153</v>
      </c>
      <c r="E31" s="53">
        <v>150</v>
      </c>
      <c r="F31" s="53">
        <v>151</v>
      </c>
      <c r="G31" s="53">
        <v>144</v>
      </c>
    </row>
    <row r="32" spans="1:7" x14ac:dyDescent="0.3">
      <c r="A32" s="71" t="s">
        <v>33</v>
      </c>
      <c r="B32" s="53">
        <v>257</v>
      </c>
      <c r="C32" s="53">
        <v>244</v>
      </c>
      <c r="D32" s="53">
        <v>286</v>
      </c>
      <c r="E32" s="53">
        <v>284</v>
      </c>
      <c r="F32" s="53">
        <v>247</v>
      </c>
      <c r="G32" s="53">
        <v>209</v>
      </c>
    </row>
    <row r="33" spans="1:7" x14ac:dyDescent="0.3">
      <c r="A33" s="71" t="s">
        <v>30</v>
      </c>
      <c r="B33" s="53">
        <v>43</v>
      </c>
      <c r="C33" s="53">
        <v>35</v>
      </c>
      <c r="D33" s="53">
        <v>42</v>
      </c>
      <c r="E33" s="53">
        <v>40</v>
      </c>
      <c r="F33" s="53">
        <v>36</v>
      </c>
      <c r="G33" s="53">
        <v>38</v>
      </c>
    </row>
    <row r="34" spans="1:7" x14ac:dyDescent="0.3">
      <c r="A34" s="71" t="s">
        <v>52</v>
      </c>
      <c r="B34" s="53">
        <v>112</v>
      </c>
      <c r="C34" s="53">
        <v>101</v>
      </c>
      <c r="D34" s="53">
        <v>103</v>
      </c>
      <c r="E34" s="53">
        <v>91</v>
      </c>
      <c r="F34" s="53">
        <v>80</v>
      </c>
      <c r="G34" s="53">
        <v>80</v>
      </c>
    </row>
    <row r="35" spans="1:7" x14ac:dyDescent="0.3">
      <c r="A35" s="71" t="s">
        <v>31</v>
      </c>
      <c r="B35" s="53">
        <v>125</v>
      </c>
      <c r="C35" s="53">
        <v>116</v>
      </c>
      <c r="D35" s="53">
        <v>91</v>
      </c>
      <c r="E35" s="53">
        <v>98</v>
      </c>
      <c r="F35" s="53">
        <v>95</v>
      </c>
      <c r="G35" s="53">
        <v>102</v>
      </c>
    </row>
    <row r="36" spans="1:7" x14ac:dyDescent="0.3">
      <c r="A36" s="71" t="s">
        <v>32</v>
      </c>
      <c r="B36" s="53">
        <v>395</v>
      </c>
      <c r="C36" s="53">
        <v>326</v>
      </c>
      <c r="D36" s="53">
        <v>357</v>
      </c>
      <c r="E36" s="53">
        <v>348</v>
      </c>
      <c r="F36" s="53">
        <v>395</v>
      </c>
      <c r="G36" s="53">
        <v>332</v>
      </c>
    </row>
    <row r="37" spans="1:7" x14ac:dyDescent="0.3">
      <c r="A37" s="71" t="s">
        <v>98</v>
      </c>
      <c r="B37" s="53">
        <v>1388</v>
      </c>
      <c r="C37" s="53">
        <v>1205</v>
      </c>
      <c r="D37" s="53">
        <v>1260</v>
      </c>
      <c r="E37" s="53">
        <v>1073</v>
      </c>
      <c r="F37" s="53">
        <v>1125</v>
      </c>
      <c r="G37" s="53">
        <v>1023</v>
      </c>
    </row>
    <row r="38" spans="1:7" x14ac:dyDescent="0.3">
      <c r="A38" s="71" t="s">
        <v>26</v>
      </c>
      <c r="B38" s="53">
        <v>72</v>
      </c>
      <c r="C38" s="53">
        <v>76</v>
      </c>
      <c r="D38" s="53">
        <v>69</v>
      </c>
      <c r="E38" s="53">
        <v>81</v>
      </c>
      <c r="F38" s="53">
        <v>58</v>
      </c>
      <c r="G38" s="53">
        <v>78</v>
      </c>
    </row>
    <row r="39" spans="1:7" x14ac:dyDescent="0.3">
      <c r="A39" s="71" t="s">
        <v>27</v>
      </c>
      <c r="B39" s="53">
        <v>49</v>
      </c>
      <c r="C39" s="53">
        <v>52</v>
      </c>
      <c r="D39" s="53">
        <v>58</v>
      </c>
      <c r="E39" s="53">
        <v>47</v>
      </c>
      <c r="F39" s="53">
        <v>75</v>
      </c>
      <c r="G39" s="53">
        <v>46</v>
      </c>
    </row>
    <row r="40" spans="1:7" x14ac:dyDescent="0.3">
      <c r="A40" s="71" t="s">
        <v>89</v>
      </c>
      <c r="B40" s="53">
        <v>321</v>
      </c>
      <c r="C40" s="53">
        <v>317</v>
      </c>
      <c r="D40" s="53">
        <v>312</v>
      </c>
      <c r="E40" s="53">
        <v>292</v>
      </c>
      <c r="F40" s="53">
        <v>252</v>
      </c>
      <c r="G40" s="53">
        <v>214</v>
      </c>
    </row>
    <row r="41" spans="1:7" x14ac:dyDescent="0.3">
      <c r="A41" s="71" t="s">
        <v>28</v>
      </c>
      <c r="B41" s="53">
        <v>594</v>
      </c>
      <c r="C41" s="53">
        <v>432</v>
      </c>
      <c r="D41" s="53">
        <v>510</v>
      </c>
      <c r="E41" s="53">
        <v>390</v>
      </c>
      <c r="F41" s="53">
        <v>410</v>
      </c>
      <c r="G41" s="53">
        <v>411</v>
      </c>
    </row>
    <row r="42" spans="1:7" x14ac:dyDescent="0.3">
      <c r="A42" s="71" t="s">
        <v>25</v>
      </c>
      <c r="B42" s="53">
        <v>4</v>
      </c>
      <c r="C42" s="53">
        <v>11</v>
      </c>
      <c r="D42" s="53">
        <v>11</v>
      </c>
      <c r="E42" s="53">
        <v>26</v>
      </c>
      <c r="F42" s="53">
        <v>17</v>
      </c>
      <c r="G42" s="53">
        <v>16</v>
      </c>
    </row>
    <row r="43" spans="1:7" x14ac:dyDescent="0.3">
      <c r="A43" s="71" t="s">
        <v>22</v>
      </c>
      <c r="B43" s="53">
        <v>120</v>
      </c>
      <c r="C43" s="53">
        <v>119</v>
      </c>
      <c r="D43" s="53">
        <v>99</v>
      </c>
      <c r="E43" s="53">
        <v>102</v>
      </c>
      <c r="F43" s="53">
        <v>113</v>
      </c>
      <c r="G43" s="53">
        <v>92</v>
      </c>
    </row>
    <row r="44" spans="1:7" x14ac:dyDescent="0.3">
      <c r="A44" s="71" t="s">
        <v>29</v>
      </c>
      <c r="B44" s="53">
        <v>157</v>
      </c>
      <c r="C44" s="53">
        <v>157</v>
      </c>
      <c r="D44" s="53">
        <v>138</v>
      </c>
      <c r="E44" s="53">
        <v>122</v>
      </c>
      <c r="F44" s="53">
        <v>190</v>
      </c>
      <c r="G44" s="53">
        <v>166</v>
      </c>
    </row>
    <row r="45" spans="1:7" x14ac:dyDescent="0.3">
      <c r="A45" s="71" t="s">
        <v>90</v>
      </c>
      <c r="B45" s="53">
        <v>71</v>
      </c>
      <c r="C45" s="53">
        <v>41</v>
      </c>
      <c r="D45" s="53">
        <v>63</v>
      </c>
      <c r="E45" s="53">
        <v>13</v>
      </c>
      <c r="F45" s="53">
        <v>10</v>
      </c>
      <c r="G45" s="53">
        <v>0</v>
      </c>
    </row>
    <row r="46" spans="1:7" x14ac:dyDescent="0.3">
      <c r="A46" s="71" t="s">
        <v>99</v>
      </c>
      <c r="B46" s="53">
        <v>423</v>
      </c>
      <c r="C46" s="53">
        <v>424</v>
      </c>
      <c r="D46" s="53">
        <v>381</v>
      </c>
      <c r="E46" s="53">
        <v>364</v>
      </c>
      <c r="F46" s="53">
        <v>307</v>
      </c>
      <c r="G46" s="53">
        <v>239</v>
      </c>
    </row>
    <row r="47" spans="1:7" x14ac:dyDescent="0.3">
      <c r="A47" s="71" t="s">
        <v>63</v>
      </c>
      <c r="B47" s="53">
        <v>62</v>
      </c>
      <c r="C47" s="53">
        <v>59</v>
      </c>
      <c r="D47" s="53">
        <v>62</v>
      </c>
      <c r="E47" s="53">
        <v>44</v>
      </c>
      <c r="F47" s="53">
        <v>33</v>
      </c>
      <c r="G47" s="53">
        <v>23</v>
      </c>
    </row>
    <row r="48" spans="1:7" x14ac:dyDescent="0.3">
      <c r="A48" s="71" t="s">
        <v>81</v>
      </c>
      <c r="B48" s="53">
        <v>4</v>
      </c>
      <c r="C48" s="53">
        <v>1</v>
      </c>
      <c r="D48" s="53">
        <v>1</v>
      </c>
      <c r="E48" s="53">
        <v>1</v>
      </c>
      <c r="F48" s="53">
        <v>2</v>
      </c>
      <c r="G48" s="53">
        <v>0</v>
      </c>
    </row>
    <row r="49" spans="1:7" x14ac:dyDescent="0.3">
      <c r="A49" s="71" t="s">
        <v>91</v>
      </c>
      <c r="B49" s="53">
        <v>48</v>
      </c>
      <c r="C49" s="53">
        <v>47</v>
      </c>
      <c r="D49" s="53">
        <v>52</v>
      </c>
      <c r="E49" s="53">
        <v>40</v>
      </c>
      <c r="F49" s="53">
        <v>28</v>
      </c>
      <c r="G49" s="53">
        <v>17</v>
      </c>
    </row>
    <row r="50" spans="1:7" x14ac:dyDescent="0.3">
      <c r="A50" s="71" t="s">
        <v>92</v>
      </c>
      <c r="B50" s="53">
        <v>44</v>
      </c>
      <c r="C50" s="53">
        <v>38</v>
      </c>
      <c r="D50" s="53">
        <v>23</v>
      </c>
      <c r="E50" s="53">
        <v>30</v>
      </c>
      <c r="F50" s="53">
        <v>26</v>
      </c>
      <c r="G50" s="53">
        <v>21</v>
      </c>
    </row>
    <row r="51" spans="1:7" x14ac:dyDescent="0.3">
      <c r="A51" s="71" t="s">
        <v>47</v>
      </c>
      <c r="B51" s="53">
        <v>10</v>
      </c>
      <c r="C51" s="53">
        <v>8</v>
      </c>
      <c r="D51" s="53">
        <v>9</v>
      </c>
      <c r="E51" s="53">
        <v>4</v>
      </c>
      <c r="F51" s="53">
        <v>5</v>
      </c>
      <c r="G51" s="53">
        <v>2</v>
      </c>
    </row>
    <row r="52" spans="1:7" x14ac:dyDescent="0.3">
      <c r="A52" s="71" t="s">
        <v>93</v>
      </c>
      <c r="B52" s="53">
        <v>8</v>
      </c>
      <c r="C52" s="53">
        <v>6</v>
      </c>
      <c r="D52" s="53">
        <v>4</v>
      </c>
      <c r="E52" s="53">
        <v>2</v>
      </c>
      <c r="F52" s="53">
        <v>2</v>
      </c>
      <c r="G52" s="53">
        <v>2</v>
      </c>
    </row>
    <row r="53" spans="1:7" x14ac:dyDescent="0.3">
      <c r="A53" s="71" t="s">
        <v>11</v>
      </c>
      <c r="B53" s="53">
        <v>247</v>
      </c>
      <c r="C53" s="53">
        <v>265</v>
      </c>
      <c r="D53" s="53">
        <v>230</v>
      </c>
      <c r="E53" s="53">
        <v>243</v>
      </c>
      <c r="F53" s="53">
        <v>211</v>
      </c>
      <c r="G53" s="53">
        <v>174</v>
      </c>
    </row>
    <row r="54" spans="1:7" x14ac:dyDescent="0.3">
      <c r="A54" s="71" t="s">
        <v>100</v>
      </c>
      <c r="B54" s="53">
        <v>4946</v>
      </c>
      <c r="C54" s="53">
        <v>4411</v>
      </c>
      <c r="D54" s="53">
        <v>4090</v>
      </c>
      <c r="E54" s="53">
        <v>4060</v>
      </c>
      <c r="F54" s="53">
        <v>3837</v>
      </c>
      <c r="G54" s="53">
        <v>3342</v>
      </c>
    </row>
    <row r="55" spans="1:7" x14ac:dyDescent="0.3">
      <c r="A55" s="71" t="s">
        <v>83</v>
      </c>
      <c r="B55" s="53">
        <v>877</v>
      </c>
      <c r="C55" s="53">
        <v>827</v>
      </c>
      <c r="D55" s="53">
        <v>735</v>
      </c>
      <c r="E55" s="53">
        <v>620</v>
      </c>
      <c r="F55" s="53">
        <v>641</v>
      </c>
      <c r="G55" s="53">
        <v>513</v>
      </c>
    </row>
    <row r="56" spans="1:7" x14ac:dyDescent="0.3">
      <c r="A56" s="71" t="s">
        <v>42</v>
      </c>
      <c r="B56" s="53">
        <v>120</v>
      </c>
      <c r="C56" s="53">
        <v>94</v>
      </c>
      <c r="D56" s="53">
        <v>101</v>
      </c>
      <c r="E56" s="53">
        <v>93</v>
      </c>
      <c r="F56" s="53">
        <v>104</v>
      </c>
      <c r="G56" s="53">
        <v>87</v>
      </c>
    </row>
    <row r="57" spans="1:7" x14ac:dyDescent="0.3">
      <c r="A57" s="71" t="s">
        <v>34</v>
      </c>
      <c r="B57" s="53">
        <v>119</v>
      </c>
      <c r="C57" s="53">
        <v>99</v>
      </c>
      <c r="D57" s="53">
        <v>117</v>
      </c>
      <c r="E57" s="53">
        <v>121</v>
      </c>
      <c r="F57" s="53">
        <v>105</v>
      </c>
      <c r="G57" s="53">
        <v>111</v>
      </c>
    </row>
    <row r="58" spans="1:7" x14ac:dyDescent="0.3">
      <c r="A58" s="71" t="s">
        <v>35</v>
      </c>
      <c r="B58" s="53">
        <v>439</v>
      </c>
      <c r="C58" s="53">
        <v>374</v>
      </c>
      <c r="D58" s="53">
        <v>259</v>
      </c>
      <c r="E58" s="53">
        <v>276</v>
      </c>
      <c r="F58" s="53">
        <v>247</v>
      </c>
      <c r="G58" s="53">
        <v>161</v>
      </c>
    </row>
    <row r="59" spans="1:7" x14ac:dyDescent="0.3">
      <c r="A59" s="71" t="s">
        <v>94</v>
      </c>
      <c r="B59" s="53">
        <v>513</v>
      </c>
      <c r="C59" s="53">
        <v>420</v>
      </c>
      <c r="D59" s="53">
        <v>409</v>
      </c>
      <c r="E59" s="53">
        <v>432</v>
      </c>
      <c r="F59" s="53">
        <v>384</v>
      </c>
      <c r="G59" s="53">
        <v>348</v>
      </c>
    </row>
    <row r="60" spans="1:7" x14ac:dyDescent="0.3">
      <c r="A60" s="71" t="s">
        <v>46</v>
      </c>
      <c r="B60" s="53">
        <v>71</v>
      </c>
      <c r="C60" s="53">
        <v>59</v>
      </c>
      <c r="D60" s="53">
        <v>88</v>
      </c>
      <c r="E60" s="53">
        <v>68</v>
      </c>
      <c r="F60" s="53">
        <v>86</v>
      </c>
      <c r="G60" s="53">
        <v>53</v>
      </c>
    </row>
    <row r="61" spans="1:7" x14ac:dyDescent="0.3">
      <c r="A61" s="71" t="s">
        <v>44</v>
      </c>
      <c r="B61" s="53">
        <v>739</v>
      </c>
      <c r="C61" s="53">
        <v>655</v>
      </c>
      <c r="D61" s="53">
        <v>634</v>
      </c>
      <c r="E61" s="53">
        <v>691</v>
      </c>
      <c r="F61" s="53">
        <v>647</v>
      </c>
      <c r="G61" s="53">
        <v>609</v>
      </c>
    </row>
    <row r="62" spans="1:7" x14ac:dyDescent="0.3">
      <c r="A62" s="71" t="s">
        <v>36</v>
      </c>
      <c r="B62" s="53">
        <v>350</v>
      </c>
      <c r="C62" s="53">
        <v>353</v>
      </c>
      <c r="D62" s="53">
        <v>332</v>
      </c>
      <c r="E62" s="53">
        <v>294</v>
      </c>
      <c r="F62" s="53">
        <v>282</v>
      </c>
      <c r="G62" s="53">
        <v>245</v>
      </c>
    </row>
    <row r="63" spans="1:7" x14ac:dyDescent="0.3">
      <c r="A63" s="71" t="s">
        <v>54</v>
      </c>
      <c r="B63" s="53">
        <v>304</v>
      </c>
      <c r="C63" s="53">
        <v>268</v>
      </c>
      <c r="D63" s="53">
        <v>241</v>
      </c>
      <c r="E63" s="53">
        <v>249</v>
      </c>
      <c r="F63" s="53">
        <v>251</v>
      </c>
      <c r="G63" s="53">
        <v>267</v>
      </c>
    </row>
    <row r="64" spans="1:7" x14ac:dyDescent="0.3">
      <c r="A64" s="71" t="s">
        <v>23</v>
      </c>
      <c r="B64" s="53">
        <v>515</v>
      </c>
      <c r="C64" s="53">
        <v>482</v>
      </c>
      <c r="D64" s="53">
        <v>470</v>
      </c>
      <c r="E64" s="53">
        <v>494</v>
      </c>
      <c r="F64" s="53">
        <v>395</v>
      </c>
      <c r="G64" s="53">
        <v>366</v>
      </c>
    </row>
    <row r="65" spans="1:7" x14ac:dyDescent="0.3">
      <c r="A65" s="71" t="s">
        <v>49</v>
      </c>
      <c r="B65" s="53">
        <v>263</v>
      </c>
      <c r="C65" s="53">
        <v>230</v>
      </c>
      <c r="D65" s="53">
        <v>212</v>
      </c>
      <c r="E65" s="53">
        <v>234</v>
      </c>
      <c r="F65" s="53">
        <v>203</v>
      </c>
      <c r="G65" s="53">
        <v>204</v>
      </c>
    </row>
    <row r="66" spans="1:7" x14ac:dyDescent="0.3">
      <c r="A66" s="71" t="s">
        <v>24</v>
      </c>
      <c r="B66" s="53">
        <v>127</v>
      </c>
      <c r="C66" s="53">
        <v>126</v>
      </c>
      <c r="D66" s="53">
        <v>93</v>
      </c>
      <c r="E66" s="53">
        <v>121</v>
      </c>
      <c r="F66" s="53">
        <v>75</v>
      </c>
      <c r="G66" s="53">
        <v>42</v>
      </c>
    </row>
    <row r="67" spans="1:7" x14ac:dyDescent="0.3">
      <c r="A67" s="71" t="s">
        <v>68</v>
      </c>
      <c r="B67" s="53">
        <v>412</v>
      </c>
      <c r="C67" s="53">
        <v>318</v>
      </c>
      <c r="D67" s="53">
        <v>299</v>
      </c>
      <c r="E67" s="53">
        <v>256</v>
      </c>
      <c r="F67" s="53">
        <v>292</v>
      </c>
      <c r="G67" s="53">
        <v>266</v>
      </c>
    </row>
    <row r="68" spans="1:7" x14ac:dyDescent="0.3">
      <c r="A68" s="71" t="s">
        <v>41</v>
      </c>
      <c r="B68" s="53">
        <v>97</v>
      </c>
      <c r="C68" s="53">
        <v>106</v>
      </c>
      <c r="D68" s="53">
        <v>100</v>
      </c>
      <c r="E68" s="53">
        <v>111</v>
      </c>
      <c r="F68" s="53">
        <v>125</v>
      </c>
      <c r="G68" s="53">
        <v>70</v>
      </c>
    </row>
    <row r="69" spans="1:7" x14ac:dyDescent="0.3">
      <c r="A69" s="71" t="s">
        <v>101</v>
      </c>
      <c r="B69" s="53">
        <v>1923</v>
      </c>
      <c r="C69" s="53">
        <v>1797</v>
      </c>
      <c r="D69" s="53">
        <v>1640</v>
      </c>
      <c r="E69" s="53">
        <v>1627</v>
      </c>
      <c r="F69" s="53">
        <v>1484</v>
      </c>
      <c r="G69" s="53">
        <v>1320</v>
      </c>
    </row>
    <row r="70" spans="1:7" x14ac:dyDescent="0.3">
      <c r="A70" s="71" t="s">
        <v>55</v>
      </c>
      <c r="B70" s="53">
        <v>304</v>
      </c>
      <c r="C70" s="53">
        <v>277</v>
      </c>
      <c r="D70" s="53">
        <v>237</v>
      </c>
      <c r="E70" s="53">
        <v>241</v>
      </c>
      <c r="F70" s="53">
        <v>218</v>
      </c>
      <c r="G70" s="53">
        <v>206</v>
      </c>
    </row>
    <row r="71" spans="1:7" x14ac:dyDescent="0.3">
      <c r="A71" s="71" t="s">
        <v>16</v>
      </c>
      <c r="B71" s="53">
        <v>503</v>
      </c>
      <c r="C71" s="53">
        <v>448</v>
      </c>
      <c r="D71" s="53">
        <v>464</v>
      </c>
      <c r="E71" s="53">
        <v>365</v>
      </c>
      <c r="F71" s="53">
        <v>305</v>
      </c>
      <c r="G71" s="53">
        <v>235</v>
      </c>
    </row>
    <row r="72" spans="1:7" x14ac:dyDescent="0.3">
      <c r="A72" s="71" t="s">
        <v>19</v>
      </c>
      <c r="B72" s="53">
        <v>434</v>
      </c>
      <c r="C72" s="53">
        <v>462</v>
      </c>
      <c r="D72" s="53">
        <v>404</v>
      </c>
      <c r="E72" s="53">
        <v>416</v>
      </c>
      <c r="F72" s="53">
        <v>418</v>
      </c>
      <c r="G72" s="53">
        <v>424</v>
      </c>
    </row>
    <row r="73" spans="1:7" x14ac:dyDescent="0.3">
      <c r="A73" s="71" t="s">
        <v>17</v>
      </c>
      <c r="B73" s="53">
        <v>138</v>
      </c>
      <c r="C73" s="53">
        <v>138</v>
      </c>
      <c r="D73" s="53">
        <v>107</v>
      </c>
      <c r="E73" s="53">
        <v>130</v>
      </c>
      <c r="F73" s="53">
        <f>F72-SUM(F74:F75)</f>
        <v>143</v>
      </c>
      <c r="G73" s="53">
        <f>G72-SUM(G74:G75)</f>
        <v>154</v>
      </c>
    </row>
    <row r="74" spans="1:7" x14ac:dyDescent="0.3">
      <c r="A74" s="71" t="s">
        <v>60</v>
      </c>
      <c r="B74" s="53">
        <v>75</v>
      </c>
      <c r="C74" s="53">
        <v>65</v>
      </c>
      <c r="D74" s="53">
        <v>66</v>
      </c>
      <c r="E74" s="53">
        <v>70</v>
      </c>
      <c r="F74" s="53">
        <v>57</v>
      </c>
      <c r="G74" s="53">
        <v>65</v>
      </c>
    </row>
    <row r="75" spans="1:7" x14ac:dyDescent="0.3">
      <c r="A75" s="71" t="s">
        <v>95</v>
      </c>
      <c r="B75" s="53">
        <v>221</v>
      </c>
      <c r="C75" s="53">
        <v>259</v>
      </c>
      <c r="D75" s="53">
        <v>231</v>
      </c>
      <c r="E75" s="53">
        <v>216</v>
      </c>
      <c r="F75" s="53">
        <v>218</v>
      </c>
      <c r="G75" s="53">
        <v>205</v>
      </c>
    </row>
    <row r="76" spans="1:7" x14ac:dyDescent="0.3">
      <c r="A76" s="71" t="s">
        <v>82</v>
      </c>
      <c r="B76" s="53">
        <v>682</v>
      </c>
      <c r="C76" s="53">
        <v>610</v>
      </c>
      <c r="D76" s="53">
        <v>535</v>
      </c>
      <c r="E76" s="53">
        <v>605</v>
      </c>
      <c r="F76" s="53">
        <v>543</v>
      </c>
      <c r="G76" s="53">
        <v>455</v>
      </c>
    </row>
    <row r="77" spans="1:7" x14ac:dyDescent="0.3">
      <c r="A77" s="71" t="s">
        <v>102</v>
      </c>
      <c r="B77" s="53">
        <v>4581</v>
      </c>
      <c r="C77" s="53"/>
      <c r="D77" s="53"/>
      <c r="E77" s="53"/>
      <c r="F77" s="53"/>
      <c r="G77" s="53"/>
    </row>
    <row r="78" spans="1:7" x14ac:dyDescent="0.3">
      <c r="A78" s="71" t="s">
        <v>102</v>
      </c>
      <c r="B78" s="53"/>
      <c r="C78" s="53">
        <v>3298</v>
      </c>
      <c r="D78" s="53">
        <v>3304</v>
      </c>
      <c r="E78" s="53">
        <v>2993</v>
      </c>
      <c r="F78" s="53">
        <v>2775</v>
      </c>
      <c r="G78" s="53">
        <v>2439</v>
      </c>
    </row>
    <row r="79" spans="1:7" x14ac:dyDescent="0.3">
      <c r="A79" s="71" t="s">
        <v>58</v>
      </c>
      <c r="B79" s="53">
        <v>76</v>
      </c>
      <c r="C79" s="53">
        <v>94</v>
      </c>
      <c r="D79" s="53">
        <v>77</v>
      </c>
      <c r="E79" s="53">
        <v>95</v>
      </c>
      <c r="F79" s="53">
        <v>100</v>
      </c>
      <c r="G79" s="53">
        <v>79</v>
      </c>
    </row>
    <row r="80" spans="1:7" x14ac:dyDescent="0.3">
      <c r="A80" s="71" t="s">
        <v>14</v>
      </c>
      <c r="B80" s="53">
        <v>18</v>
      </c>
      <c r="C80" s="53">
        <v>45</v>
      </c>
      <c r="D80" s="53">
        <v>87</v>
      </c>
      <c r="E80" s="53">
        <v>107</v>
      </c>
      <c r="F80" s="53">
        <v>71</v>
      </c>
      <c r="G80" s="53">
        <v>38</v>
      </c>
    </row>
    <row r="81" spans="1:7" x14ac:dyDescent="0.3">
      <c r="A81" s="71" t="s">
        <v>77</v>
      </c>
      <c r="B81" s="53">
        <v>174</v>
      </c>
      <c r="C81" s="53">
        <v>135</v>
      </c>
      <c r="D81" s="53">
        <v>165</v>
      </c>
      <c r="E81" s="53">
        <v>143</v>
      </c>
      <c r="F81" s="53">
        <v>113</v>
      </c>
      <c r="G81" s="53">
        <v>130</v>
      </c>
    </row>
    <row r="82" spans="1:7" x14ac:dyDescent="0.3">
      <c r="A82" s="71" t="s">
        <v>12</v>
      </c>
      <c r="B82" s="53">
        <v>657</v>
      </c>
      <c r="C82" s="53">
        <v>587</v>
      </c>
      <c r="D82" s="53">
        <v>585</v>
      </c>
      <c r="E82" s="53">
        <v>515</v>
      </c>
      <c r="F82" s="53">
        <v>525</v>
      </c>
      <c r="G82" s="53">
        <v>440</v>
      </c>
    </row>
    <row r="83" spans="1:7" x14ac:dyDescent="0.3">
      <c r="A83" s="71" t="s">
        <v>61</v>
      </c>
      <c r="B83" s="53">
        <v>480</v>
      </c>
      <c r="C83" s="53">
        <v>426</v>
      </c>
      <c r="D83" s="53">
        <v>385</v>
      </c>
      <c r="E83" s="53">
        <v>350</v>
      </c>
      <c r="F83" s="53">
        <v>390</v>
      </c>
      <c r="G83" s="53">
        <v>414</v>
      </c>
    </row>
    <row r="84" spans="1:7" x14ac:dyDescent="0.3">
      <c r="A84" s="71" t="s">
        <v>72</v>
      </c>
      <c r="B84" s="53">
        <v>574</v>
      </c>
      <c r="C84" s="53">
        <v>471</v>
      </c>
      <c r="D84" s="53">
        <v>424</v>
      </c>
      <c r="E84" s="53">
        <v>345</v>
      </c>
      <c r="F84" s="53">
        <v>321</v>
      </c>
      <c r="G84" s="53">
        <v>243</v>
      </c>
    </row>
    <row r="85" spans="1:7" x14ac:dyDescent="0.3">
      <c r="A85" s="71" t="s">
        <v>76</v>
      </c>
      <c r="B85" s="53">
        <v>692</v>
      </c>
      <c r="C85" s="53">
        <v>568</v>
      </c>
      <c r="D85" s="53">
        <v>605</v>
      </c>
      <c r="E85" s="53">
        <v>626</v>
      </c>
      <c r="F85" s="53">
        <v>500</v>
      </c>
      <c r="G85" s="53">
        <v>415</v>
      </c>
    </row>
    <row r="86" spans="1:7" x14ac:dyDescent="0.3">
      <c r="A86" s="71" t="s">
        <v>6</v>
      </c>
      <c r="B86" s="53">
        <v>568</v>
      </c>
      <c r="C86" s="53">
        <v>494</v>
      </c>
      <c r="D86" s="53">
        <v>493</v>
      </c>
      <c r="E86" s="53">
        <v>431</v>
      </c>
      <c r="F86" s="53">
        <v>407</v>
      </c>
      <c r="G86" s="53">
        <v>383</v>
      </c>
    </row>
    <row r="87" spans="1:7" x14ac:dyDescent="0.3">
      <c r="A87" s="71" t="s">
        <v>64</v>
      </c>
      <c r="B87" s="53">
        <v>410</v>
      </c>
      <c r="C87" s="53">
        <v>331</v>
      </c>
      <c r="D87" s="53">
        <v>362</v>
      </c>
      <c r="E87" s="53">
        <v>311</v>
      </c>
      <c r="F87" s="53">
        <v>296</v>
      </c>
      <c r="G87" s="53">
        <v>252</v>
      </c>
    </row>
    <row r="88" spans="1:7" x14ac:dyDescent="0.3">
      <c r="A88" s="71" t="s">
        <v>5</v>
      </c>
      <c r="B88" s="53">
        <v>119</v>
      </c>
      <c r="C88" s="53">
        <v>147</v>
      </c>
      <c r="D88" s="53">
        <v>121</v>
      </c>
      <c r="E88" s="53">
        <v>70</v>
      </c>
      <c r="F88" s="53">
        <v>52</v>
      </c>
      <c r="G88" s="53">
        <v>45</v>
      </c>
    </row>
    <row r="89" spans="1:7" x14ac:dyDescent="0.3">
      <c r="A89" s="71" t="s">
        <v>103</v>
      </c>
      <c r="B89" s="53">
        <v>1123</v>
      </c>
      <c r="C89" s="53"/>
      <c r="D89" s="53"/>
      <c r="E89" s="53"/>
      <c r="F89" s="53"/>
      <c r="G89" s="53"/>
    </row>
    <row r="90" spans="1:7" x14ac:dyDescent="0.3">
      <c r="A90" s="71" t="s">
        <v>103</v>
      </c>
      <c r="B90" s="53"/>
      <c r="C90" s="53">
        <v>1708</v>
      </c>
      <c r="D90" s="53">
        <v>1536</v>
      </c>
      <c r="E90" s="53">
        <v>1465</v>
      </c>
      <c r="F90" s="53">
        <v>1353</v>
      </c>
      <c r="G90" s="53">
        <v>1374</v>
      </c>
    </row>
    <row r="91" spans="1:7" x14ac:dyDescent="0.3">
      <c r="A91" s="71" t="s">
        <v>1</v>
      </c>
      <c r="B91" s="53">
        <v>390</v>
      </c>
      <c r="C91" s="53">
        <v>379</v>
      </c>
      <c r="D91" s="53">
        <v>358</v>
      </c>
      <c r="E91" s="53">
        <v>334</v>
      </c>
      <c r="F91" s="53">
        <v>324</v>
      </c>
      <c r="G91" s="53">
        <v>340</v>
      </c>
    </row>
    <row r="92" spans="1:7" x14ac:dyDescent="0.3">
      <c r="A92" s="71" t="s">
        <v>57</v>
      </c>
      <c r="B92" s="53">
        <v>423</v>
      </c>
      <c r="C92" s="53">
        <v>349</v>
      </c>
      <c r="D92" s="53">
        <v>308</v>
      </c>
      <c r="E92" s="53">
        <v>304</v>
      </c>
      <c r="F92" s="53">
        <v>277</v>
      </c>
      <c r="G92" s="53">
        <v>316</v>
      </c>
    </row>
    <row r="93" spans="1:7" x14ac:dyDescent="0.3">
      <c r="A93" s="71" t="s">
        <v>62</v>
      </c>
      <c r="B93" s="53">
        <v>267</v>
      </c>
      <c r="C93" s="53">
        <v>231</v>
      </c>
      <c r="D93" s="53">
        <v>222</v>
      </c>
      <c r="E93" s="53">
        <v>200</v>
      </c>
      <c r="F93" s="53">
        <v>195</v>
      </c>
      <c r="G93" s="53">
        <v>165</v>
      </c>
    </row>
    <row r="94" spans="1:7" x14ac:dyDescent="0.3">
      <c r="A94" s="71" t="s">
        <v>9</v>
      </c>
      <c r="B94" s="53">
        <v>22</v>
      </c>
      <c r="C94" s="53">
        <v>19</v>
      </c>
      <c r="D94" s="53">
        <v>17</v>
      </c>
      <c r="E94" s="53">
        <v>16</v>
      </c>
      <c r="F94" s="53">
        <v>10</v>
      </c>
      <c r="G94" s="53">
        <v>10</v>
      </c>
    </row>
    <row r="95" spans="1:7" x14ac:dyDescent="0.3">
      <c r="A95" s="71" t="s">
        <v>10</v>
      </c>
      <c r="B95" s="53">
        <v>403</v>
      </c>
      <c r="C95" s="53">
        <v>357</v>
      </c>
      <c r="D95" s="53">
        <v>299</v>
      </c>
      <c r="E95" s="53">
        <v>314</v>
      </c>
      <c r="F95" s="53">
        <v>247</v>
      </c>
      <c r="G95" s="53">
        <v>230</v>
      </c>
    </row>
    <row r="96" spans="1:7" x14ac:dyDescent="0.3">
      <c r="A96" s="71" t="s">
        <v>75</v>
      </c>
      <c r="B96" s="53">
        <v>7</v>
      </c>
      <c r="C96" s="53">
        <v>14</v>
      </c>
      <c r="D96" s="53">
        <v>7</v>
      </c>
      <c r="E96" s="53">
        <v>5</v>
      </c>
      <c r="F96" s="53">
        <v>17</v>
      </c>
      <c r="G96" s="53">
        <v>17</v>
      </c>
    </row>
    <row r="97" spans="1:7" x14ac:dyDescent="0.3">
      <c r="A97" s="71" t="s">
        <v>73</v>
      </c>
      <c r="B97" s="53">
        <v>286</v>
      </c>
      <c r="C97" s="53">
        <v>263</v>
      </c>
      <c r="D97" s="53">
        <v>239</v>
      </c>
      <c r="E97" s="53">
        <v>228</v>
      </c>
      <c r="F97" s="53">
        <v>214</v>
      </c>
      <c r="G97" s="53">
        <v>218</v>
      </c>
    </row>
    <row r="98" spans="1:7" x14ac:dyDescent="0.3">
      <c r="A98" s="71" t="s">
        <v>8</v>
      </c>
      <c r="B98" s="53">
        <v>14</v>
      </c>
      <c r="C98" s="53">
        <v>7</v>
      </c>
      <c r="D98" s="53">
        <v>23</v>
      </c>
      <c r="E98" s="53">
        <v>17</v>
      </c>
      <c r="F98" s="53">
        <v>9</v>
      </c>
      <c r="G98" s="53">
        <v>16</v>
      </c>
    </row>
    <row r="99" spans="1:7" x14ac:dyDescent="0.3">
      <c r="A99" s="71" t="s">
        <v>3</v>
      </c>
      <c r="B99" s="53">
        <v>39</v>
      </c>
      <c r="C99" s="53">
        <v>14</v>
      </c>
      <c r="D99" s="53">
        <v>2</v>
      </c>
      <c r="E99" s="53">
        <v>2</v>
      </c>
      <c r="F99" s="53">
        <v>1</v>
      </c>
      <c r="G99" s="53">
        <v>3</v>
      </c>
    </row>
    <row r="100" spans="1:7" x14ac:dyDescent="0.3">
      <c r="A100" s="71" t="s">
        <v>74</v>
      </c>
      <c r="B100" s="53">
        <v>68</v>
      </c>
      <c r="C100" s="53">
        <v>53</v>
      </c>
      <c r="D100" s="53">
        <v>52</v>
      </c>
      <c r="E100" s="53">
        <v>33</v>
      </c>
      <c r="F100" s="53">
        <v>44</v>
      </c>
      <c r="G100" s="53">
        <v>47</v>
      </c>
    </row>
    <row r="101" spans="1:7" x14ac:dyDescent="0.3">
      <c r="A101" s="71" t="s">
        <v>18</v>
      </c>
      <c r="B101" s="53">
        <v>17</v>
      </c>
      <c r="C101" s="53">
        <v>22</v>
      </c>
      <c r="D101" s="53">
        <v>9</v>
      </c>
      <c r="E101" s="53">
        <v>12</v>
      </c>
      <c r="F101" s="53">
        <v>15</v>
      </c>
      <c r="G101" s="53">
        <v>12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85B64-526C-4F99-8862-D69BDD81FA4E}">
  <sheetPr codeName="Лист15">
    <tabColor theme="8" tint="0.59999389629810485"/>
    <pageSetUpPr fitToPage="1"/>
  </sheetPr>
  <dimension ref="A1:K98"/>
  <sheetViews>
    <sheetView showGridLines="0" workbookViewId="0"/>
  </sheetViews>
  <sheetFormatPr defaultRowHeight="16.5" x14ac:dyDescent="0.3"/>
  <cols>
    <col min="1" max="1" width="108.5703125" style="9" customWidth="1"/>
    <col min="2" max="4" width="10" style="4" bestFit="1" customWidth="1"/>
    <col min="5" max="6" width="11" style="4" bestFit="1" customWidth="1"/>
    <col min="7" max="7" width="9.85546875" style="4" customWidth="1"/>
    <col min="8" max="240" width="9.140625" style="4"/>
    <col min="241" max="241" width="108.5703125" style="4" customWidth="1"/>
    <col min="242" max="242" width="1.5703125" style="4" customWidth="1"/>
    <col min="243" max="243" width="6" style="4" customWidth="1"/>
    <col min="244" max="496" width="9.140625" style="4"/>
    <col min="497" max="497" width="108.5703125" style="4" customWidth="1"/>
    <col min="498" max="498" width="1.5703125" style="4" customWidth="1"/>
    <col min="499" max="499" width="6" style="4" customWidth="1"/>
    <col min="500" max="752" width="9.140625" style="4"/>
    <col min="753" max="753" width="108.5703125" style="4" customWidth="1"/>
    <col min="754" max="754" width="1.5703125" style="4" customWidth="1"/>
    <col min="755" max="755" width="6" style="4" customWidth="1"/>
    <col min="756" max="1008" width="9.140625" style="4"/>
    <col min="1009" max="1009" width="108.5703125" style="4" customWidth="1"/>
    <col min="1010" max="1010" width="1.5703125" style="4" customWidth="1"/>
    <col min="1011" max="1011" width="6" style="4" customWidth="1"/>
    <col min="1012" max="1264" width="9.140625" style="4"/>
    <col min="1265" max="1265" width="108.5703125" style="4" customWidth="1"/>
    <col min="1266" max="1266" width="1.5703125" style="4" customWidth="1"/>
    <col min="1267" max="1267" width="6" style="4" customWidth="1"/>
    <col min="1268" max="1520" width="9.140625" style="4"/>
    <col min="1521" max="1521" width="108.5703125" style="4" customWidth="1"/>
    <col min="1522" max="1522" width="1.5703125" style="4" customWidth="1"/>
    <col min="1523" max="1523" width="6" style="4" customWidth="1"/>
    <col min="1524" max="1776" width="9.140625" style="4"/>
    <col min="1777" max="1777" width="108.5703125" style="4" customWidth="1"/>
    <col min="1778" max="1778" width="1.5703125" style="4" customWidth="1"/>
    <col min="1779" max="1779" width="6" style="4" customWidth="1"/>
    <col min="1780" max="2032" width="9.140625" style="4"/>
    <col min="2033" max="2033" width="108.5703125" style="4" customWidth="1"/>
    <col min="2034" max="2034" width="1.5703125" style="4" customWidth="1"/>
    <col min="2035" max="2035" width="6" style="4" customWidth="1"/>
    <col min="2036" max="2288" width="9.140625" style="4"/>
    <col min="2289" max="2289" width="108.5703125" style="4" customWidth="1"/>
    <col min="2290" max="2290" width="1.5703125" style="4" customWidth="1"/>
    <col min="2291" max="2291" width="6" style="4" customWidth="1"/>
    <col min="2292" max="2544" width="9.140625" style="4"/>
    <col min="2545" max="2545" width="108.5703125" style="4" customWidth="1"/>
    <col min="2546" max="2546" width="1.5703125" style="4" customWidth="1"/>
    <col min="2547" max="2547" width="6" style="4" customWidth="1"/>
    <col min="2548" max="2800" width="9.140625" style="4"/>
    <col min="2801" max="2801" width="108.5703125" style="4" customWidth="1"/>
    <col min="2802" max="2802" width="1.5703125" style="4" customWidth="1"/>
    <col min="2803" max="2803" width="6" style="4" customWidth="1"/>
    <col min="2804" max="3056" width="9.140625" style="4"/>
    <col min="3057" max="3057" width="108.5703125" style="4" customWidth="1"/>
    <col min="3058" max="3058" width="1.5703125" style="4" customWidth="1"/>
    <col min="3059" max="3059" width="6" style="4" customWidth="1"/>
    <col min="3060" max="3312" width="9.140625" style="4"/>
    <col min="3313" max="3313" width="108.5703125" style="4" customWidth="1"/>
    <col min="3314" max="3314" width="1.5703125" style="4" customWidth="1"/>
    <col min="3315" max="3315" width="6" style="4" customWidth="1"/>
    <col min="3316" max="3568" width="9.140625" style="4"/>
    <col min="3569" max="3569" width="108.5703125" style="4" customWidth="1"/>
    <col min="3570" max="3570" width="1.5703125" style="4" customWidth="1"/>
    <col min="3571" max="3571" width="6" style="4" customWidth="1"/>
    <col min="3572" max="3824" width="9.140625" style="4"/>
    <col min="3825" max="3825" width="108.5703125" style="4" customWidth="1"/>
    <col min="3826" max="3826" width="1.5703125" style="4" customWidth="1"/>
    <col min="3827" max="3827" width="6" style="4" customWidth="1"/>
    <col min="3828" max="4080" width="9.140625" style="4"/>
    <col min="4081" max="4081" width="108.5703125" style="4" customWidth="1"/>
    <col min="4082" max="4082" width="1.5703125" style="4" customWidth="1"/>
    <col min="4083" max="4083" width="6" style="4" customWidth="1"/>
    <col min="4084" max="4336" width="9.140625" style="4"/>
    <col min="4337" max="4337" width="108.5703125" style="4" customWidth="1"/>
    <col min="4338" max="4338" width="1.5703125" style="4" customWidth="1"/>
    <col min="4339" max="4339" width="6" style="4" customWidth="1"/>
    <col min="4340" max="4592" width="9.140625" style="4"/>
    <col min="4593" max="4593" width="108.5703125" style="4" customWidth="1"/>
    <col min="4594" max="4594" width="1.5703125" style="4" customWidth="1"/>
    <col min="4595" max="4595" width="6" style="4" customWidth="1"/>
    <col min="4596" max="4848" width="9.140625" style="4"/>
    <col min="4849" max="4849" width="108.5703125" style="4" customWidth="1"/>
    <col min="4850" max="4850" width="1.5703125" style="4" customWidth="1"/>
    <col min="4851" max="4851" width="6" style="4" customWidth="1"/>
    <col min="4852" max="5104" width="9.140625" style="4"/>
    <col min="5105" max="5105" width="108.5703125" style="4" customWidth="1"/>
    <col min="5106" max="5106" width="1.5703125" style="4" customWidth="1"/>
    <col min="5107" max="5107" width="6" style="4" customWidth="1"/>
    <col min="5108" max="5360" width="9.140625" style="4"/>
    <col min="5361" max="5361" width="108.5703125" style="4" customWidth="1"/>
    <col min="5362" max="5362" width="1.5703125" style="4" customWidth="1"/>
    <col min="5363" max="5363" width="6" style="4" customWidth="1"/>
    <col min="5364" max="5616" width="9.140625" style="4"/>
    <col min="5617" max="5617" width="108.5703125" style="4" customWidth="1"/>
    <col min="5618" max="5618" width="1.5703125" style="4" customWidth="1"/>
    <col min="5619" max="5619" width="6" style="4" customWidth="1"/>
    <col min="5620" max="5872" width="9.140625" style="4"/>
    <col min="5873" max="5873" width="108.5703125" style="4" customWidth="1"/>
    <col min="5874" max="5874" width="1.5703125" style="4" customWidth="1"/>
    <col min="5875" max="5875" width="6" style="4" customWidth="1"/>
    <col min="5876" max="6128" width="9.140625" style="4"/>
    <col min="6129" max="6129" width="108.5703125" style="4" customWidth="1"/>
    <col min="6130" max="6130" width="1.5703125" style="4" customWidth="1"/>
    <col min="6131" max="6131" width="6" style="4" customWidth="1"/>
    <col min="6132" max="6384" width="9.140625" style="4"/>
    <col min="6385" max="6385" width="108.5703125" style="4" customWidth="1"/>
    <col min="6386" max="6386" width="1.5703125" style="4" customWidth="1"/>
    <col min="6387" max="6387" width="6" style="4" customWidth="1"/>
    <col min="6388" max="6640" width="9.140625" style="4"/>
    <col min="6641" max="6641" width="108.5703125" style="4" customWidth="1"/>
    <col min="6642" max="6642" width="1.5703125" style="4" customWidth="1"/>
    <col min="6643" max="6643" width="6" style="4" customWidth="1"/>
    <col min="6644" max="6896" width="9.140625" style="4"/>
    <col min="6897" max="6897" width="108.5703125" style="4" customWidth="1"/>
    <col min="6898" max="6898" width="1.5703125" style="4" customWidth="1"/>
    <col min="6899" max="6899" width="6" style="4" customWidth="1"/>
    <col min="6900" max="7152" width="9.140625" style="4"/>
    <col min="7153" max="7153" width="108.5703125" style="4" customWidth="1"/>
    <col min="7154" max="7154" width="1.5703125" style="4" customWidth="1"/>
    <col min="7155" max="7155" width="6" style="4" customWidth="1"/>
    <col min="7156" max="7408" width="9.140625" style="4"/>
    <col min="7409" max="7409" width="108.5703125" style="4" customWidth="1"/>
    <col min="7410" max="7410" width="1.5703125" style="4" customWidth="1"/>
    <col min="7411" max="7411" width="6" style="4" customWidth="1"/>
    <col min="7412" max="7664" width="9.140625" style="4"/>
    <col min="7665" max="7665" width="108.5703125" style="4" customWidth="1"/>
    <col min="7666" max="7666" width="1.5703125" style="4" customWidth="1"/>
    <col min="7667" max="7667" width="6" style="4" customWidth="1"/>
    <col min="7668" max="7920" width="9.140625" style="4"/>
    <col min="7921" max="7921" width="108.5703125" style="4" customWidth="1"/>
    <col min="7922" max="7922" width="1.5703125" style="4" customWidth="1"/>
    <col min="7923" max="7923" width="6" style="4" customWidth="1"/>
    <col min="7924" max="8176" width="9.140625" style="4"/>
    <col min="8177" max="8177" width="108.5703125" style="4" customWidth="1"/>
    <col min="8178" max="8178" width="1.5703125" style="4" customWidth="1"/>
    <col min="8179" max="8179" width="6" style="4" customWidth="1"/>
    <col min="8180" max="8432" width="9.140625" style="4"/>
    <col min="8433" max="8433" width="108.5703125" style="4" customWidth="1"/>
    <col min="8434" max="8434" width="1.5703125" style="4" customWidth="1"/>
    <col min="8435" max="8435" width="6" style="4" customWidth="1"/>
    <col min="8436" max="8688" width="9.140625" style="4"/>
    <col min="8689" max="8689" width="108.5703125" style="4" customWidth="1"/>
    <col min="8690" max="8690" width="1.5703125" style="4" customWidth="1"/>
    <col min="8691" max="8691" width="6" style="4" customWidth="1"/>
    <col min="8692" max="8944" width="9.140625" style="4"/>
    <col min="8945" max="8945" width="108.5703125" style="4" customWidth="1"/>
    <col min="8946" max="8946" width="1.5703125" style="4" customWidth="1"/>
    <col min="8947" max="8947" width="6" style="4" customWidth="1"/>
    <col min="8948" max="9200" width="9.140625" style="4"/>
    <col min="9201" max="9201" width="108.5703125" style="4" customWidth="1"/>
    <col min="9202" max="9202" width="1.5703125" style="4" customWidth="1"/>
    <col min="9203" max="9203" width="6" style="4" customWidth="1"/>
    <col min="9204" max="9456" width="9.140625" style="4"/>
    <col min="9457" max="9457" width="108.5703125" style="4" customWidth="1"/>
    <col min="9458" max="9458" width="1.5703125" style="4" customWidth="1"/>
    <col min="9459" max="9459" width="6" style="4" customWidth="1"/>
    <col min="9460" max="9712" width="9.140625" style="4"/>
    <col min="9713" max="9713" width="108.5703125" style="4" customWidth="1"/>
    <col min="9714" max="9714" width="1.5703125" style="4" customWidth="1"/>
    <col min="9715" max="9715" width="6" style="4" customWidth="1"/>
    <col min="9716" max="9968" width="9.140625" style="4"/>
    <col min="9969" max="9969" width="108.5703125" style="4" customWidth="1"/>
    <col min="9970" max="9970" width="1.5703125" style="4" customWidth="1"/>
    <col min="9971" max="9971" width="6" style="4" customWidth="1"/>
    <col min="9972" max="10224" width="9.140625" style="4"/>
    <col min="10225" max="10225" width="108.5703125" style="4" customWidth="1"/>
    <col min="10226" max="10226" width="1.5703125" style="4" customWidth="1"/>
    <col min="10227" max="10227" width="6" style="4" customWidth="1"/>
    <col min="10228" max="10480" width="9.140625" style="4"/>
    <col min="10481" max="10481" width="108.5703125" style="4" customWidth="1"/>
    <col min="10482" max="10482" width="1.5703125" style="4" customWidth="1"/>
    <col min="10483" max="10483" width="6" style="4" customWidth="1"/>
    <col min="10484" max="10736" width="9.140625" style="4"/>
    <col min="10737" max="10737" width="108.5703125" style="4" customWidth="1"/>
    <col min="10738" max="10738" width="1.5703125" style="4" customWidth="1"/>
    <col min="10739" max="10739" width="6" style="4" customWidth="1"/>
    <col min="10740" max="10992" width="9.140625" style="4"/>
    <col min="10993" max="10993" width="108.5703125" style="4" customWidth="1"/>
    <col min="10994" max="10994" width="1.5703125" style="4" customWidth="1"/>
    <col min="10995" max="10995" width="6" style="4" customWidth="1"/>
    <col min="10996" max="11248" width="9.140625" style="4"/>
    <col min="11249" max="11249" width="108.5703125" style="4" customWidth="1"/>
    <col min="11250" max="11250" width="1.5703125" style="4" customWidth="1"/>
    <col min="11251" max="11251" width="6" style="4" customWidth="1"/>
    <col min="11252" max="11504" width="9.140625" style="4"/>
    <col min="11505" max="11505" width="108.5703125" style="4" customWidth="1"/>
    <col min="11506" max="11506" width="1.5703125" style="4" customWidth="1"/>
    <col min="11507" max="11507" width="6" style="4" customWidth="1"/>
    <col min="11508" max="11760" width="9.140625" style="4"/>
    <col min="11761" max="11761" width="108.5703125" style="4" customWidth="1"/>
    <col min="11762" max="11762" width="1.5703125" style="4" customWidth="1"/>
    <col min="11763" max="11763" width="6" style="4" customWidth="1"/>
    <col min="11764" max="12016" width="9.140625" style="4"/>
    <col min="12017" max="12017" width="108.5703125" style="4" customWidth="1"/>
    <col min="12018" max="12018" width="1.5703125" style="4" customWidth="1"/>
    <col min="12019" max="12019" width="6" style="4" customWidth="1"/>
    <col min="12020" max="12272" width="9.140625" style="4"/>
    <col min="12273" max="12273" width="108.5703125" style="4" customWidth="1"/>
    <col min="12274" max="12274" width="1.5703125" style="4" customWidth="1"/>
    <col min="12275" max="12275" width="6" style="4" customWidth="1"/>
    <col min="12276" max="12528" width="9.140625" style="4"/>
    <col min="12529" max="12529" width="108.5703125" style="4" customWidth="1"/>
    <col min="12530" max="12530" width="1.5703125" style="4" customWidth="1"/>
    <col min="12531" max="12531" width="6" style="4" customWidth="1"/>
    <col min="12532" max="12784" width="9.140625" style="4"/>
    <col min="12785" max="12785" width="108.5703125" style="4" customWidth="1"/>
    <col min="12786" max="12786" width="1.5703125" style="4" customWidth="1"/>
    <col min="12787" max="12787" width="6" style="4" customWidth="1"/>
    <col min="12788" max="13040" width="9.140625" style="4"/>
    <col min="13041" max="13041" width="108.5703125" style="4" customWidth="1"/>
    <col min="13042" max="13042" width="1.5703125" style="4" customWidth="1"/>
    <col min="13043" max="13043" width="6" style="4" customWidth="1"/>
    <col min="13044" max="13296" width="9.140625" style="4"/>
    <col min="13297" max="13297" width="108.5703125" style="4" customWidth="1"/>
    <col min="13298" max="13298" width="1.5703125" style="4" customWidth="1"/>
    <col min="13299" max="13299" width="6" style="4" customWidth="1"/>
    <col min="13300" max="13552" width="9.140625" style="4"/>
    <col min="13553" max="13553" width="108.5703125" style="4" customWidth="1"/>
    <col min="13554" max="13554" width="1.5703125" style="4" customWidth="1"/>
    <col min="13555" max="13555" width="6" style="4" customWidth="1"/>
    <col min="13556" max="13808" width="9.140625" style="4"/>
    <col min="13809" max="13809" width="108.5703125" style="4" customWidth="1"/>
    <col min="13810" max="13810" width="1.5703125" style="4" customWidth="1"/>
    <col min="13811" max="13811" width="6" style="4" customWidth="1"/>
    <col min="13812" max="14064" width="9.140625" style="4"/>
    <col min="14065" max="14065" width="108.5703125" style="4" customWidth="1"/>
    <col min="14066" max="14066" width="1.5703125" style="4" customWidth="1"/>
    <col min="14067" max="14067" width="6" style="4" customWidth="1"/>
    <col min="14068" max="14320" width="9.140625" style="4"/>
    <col min="14321" max="14321" width="108.5703125" style="4" customWidth="1"/>
    <col min="14322" max="14322" width="1.5703125" style="4" customWidth="1"/>
    <col min="14323" max="14323" width="6" style="4" customWidth="1"/>
    <col min="14324" max="14576" width="9.140625" style="4"/>
    <col min="14577" max="14577" width="108.5703125" style="4" customWidth="1"/>
    <col min="14578" max="14578" width="1.5703125" style="4" customWidth="1"/>
    <col min="14579" max="14579" width="6" style="4" customWidth="1"/>
    <col min="14580" max="14832" width="9.140625" style="4"/>
    <col min="14833" max="14833" width="108.5703125" style="4" customWidth="1"/>
    <col min="14834" max="14834" width="1.5703125" style="4" customWidth="1"/>
    <col min="14835" max="14835" width="6" style="4" customWidth="1"/>
    <col min="14836" max="15088" width="9.140625" style="4"/>
    <col min="15089" max="15089" width="108.5703125" style="4" customWidth="1"/>
    <col min="15090" max="15090" width="1.5703125" style="4" customWidth="1"/>
    <col min="15091" max="15091" width="6" style="4" customWidth="1"/>
    <col min="15092" max="15344" width="9.140625" style="4"/>
    <col min="15345" max="15345" width="108.5703125" style="4" customWidth="1"/>
    <col min="15346" max="15346" width="1.5703125" style="4" customWidth="1"/>
    <col min="15347" max="15347" width="6" style="4" customWidth="1"/>
    <col min="15348" max="15600" width="9.140625" style="4"/>
    <col min="15601" max="15601" width="108.5703125" style="4" customWidth="1"/>
    <col min="15602" max="15602" width="1.5703125" style="4" customWidth="1"/>
    <col min="15603" max="15603" width="6" style="4" customWidth="1"/>
    <col min="15604" max="15856" width="9.140625" style="4"/>
    <col min="15857" max="15857" width="108.5703125" style="4" customWidth="1"/>
    <col min="15858" max="15858" width="1.5703125" style="4" customWidth="1"/>
    <col min="15859" max="15859" width="6" style="4" customWidth="1"/>
    <col min="15860" max="16112" width="9.140625" style="4"/>
    <col min="16113" max="16113" width="108.5703125" style="4" customWidth="1"/>
    <col min="16114" max="16114" width="1.5703125" style="4" customWidth="1"/>
    <col min="16115" max="16115" width="6" style="4" customWidth="1"/>
    <col min="16116" max="16384" width="9.140625" style="4"/>
  </cols>
  <sheetData>
    <row r="1" spans="1:11" x14ac:dyDescent="0.3">
      <c r="A1" s="8" t="s">
        <v>307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3" spans="1:11" x14ac:dyDescent="0.3">
      <c r="A3" s="48" t="s">
        <v>129</v>
      </c>
      <c r="B3" s="20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11" x14ac:dyDescent="0.3">
      <c r="A4" s="71" t="s">
        <v>12</v>
      </c>
      <c r="B4" s="53">
        <v>2083</v>
      </c>
      <c r="C4" s="53">
        <v>2151</v>
      </c>
      <c r="D4" s="53">
        <v>1986</v>
      </c>
      <c r="E4" s="53">
        <v>1825</v>
      </c>
      <c r="F4" s="53">
        <v>1763</v>
      </c>
      <c r="G4" s="53">
        <v>1697</v>
      </c>
    </row>
    <row r="5" spans="1:11" x14ac:dyDescent="0.3">
      <c r="A5" s="71" t="s">
        <v>73</v>
      </c>
      <c r="B5" s="53">
        <v>1497</v>
      </c>
      <c r="C5" s="53">
        <v>1505</v>
      </c>
      <c r="D5" s="53">
        <v>1319</v>
      </c>
      <c r="E5" s="53">
        <v>1198</v>
      </c>
      <c r="F5" s="53">
        <v>1158</v>
      </c>
      <c r="G5" s="53">
        <v>1111</v>
      </c>
    </row>
    <row r="6" spans="1:11" x14ac:dyDescent="0.3">
      <c r="A6" s="71" t="s">
        <v>53</v>
      </c>
      <c r="B6" s="53">
        <v>396</v>
      </c>
      <c r="C6" s="53">
        <v>425</v>
      </c>
      <c r="D6" s="53">
        <v>311</v>
      </c>
      <c r="E6" s="53">
        <v>363</v>
      </c>
      <c r="F6" s="53">
        <v>397</v>
      </c>
      <c r="G6" s="53">
        <v>385</v>
      </c>
    </row>
    <row r="7" spans="1:11" x14ac:dyDescent="0.3">
      <c r="A7" s="71" t="s">
        <v>25</v>
      </c>
      <c r="B7" s="53">
        <v>1093</v>
      </c>
      <c r="C7" s="53">
        <v>1009</v>
      </c>
      <c r="D7" s="53">
        <v>949</v>
      </c>
      <c r="E7" s="53">
        <v>921</v>
      </c>
      <c r="F7" s="53">
        <v>877</v>
      </c>
      <c r="G7" s="53">
        <v>703</v>
      </c>
    </row>
    <row r="8" spans="1:11" x14ac:dyDescent="0.3">
      <c r="A8" s="71" t="s">
        <v>50</v>
      </c>
      <c r="B8" s="53">
        <v>539</v>
      </c>
      <c r="C8" s="53">
        <v>608</v>
      </c>
      <c r="D8" s="53">
        <v>611</v>
      </c>
      <c r="E8" s="53">
        <v>590</v>
      </c>
      <c r="F8" s="53">
        <v>669</v>
      </c>
      <c r="G8" s="53">
        <v>593</v>
      </c>
    </row>
    <row r="9" spans="1:11" x14ac:dyDescent="0.3">
      <c r="A9" s="71" t="s">
        <v>48</v>
      </c>
      <c r="B9" s="53">
        <v>508</v>
      </c>
      <c r="C9" s="53">
        <v>415</v>
      </c>
      <c r="D9" s="53">
        <v>394</v>
      </c>
      <c r="E9" s="53">
        <v>385</v>
      </c>
      <c r="F9" s="53">
        <v>412</v>
      </c>
      <c r="G9" s="53">
        <v>444</v>
      </c>
    </row>
    <row r="10" spans="1:11" x14ac:dyDescent="0.3">
      <c r="A10" s="71" t="s">
        <v>20</v>
      </c>
      <c r="B10" s="53">
        <v>667</v>
      </c>
      <c r="C10" s="53">
        <v>564</v>
      </c>
      <c r="D10" s="53">
        <v>445</v>
      </c>
      <c r="E10" s="53">
        <v>522</v>
      </c>
      <c r="F10" s="53">
        <v>553</v>
      </c>
      <c r="G10" s="53">
        <v>551</v>
      </c>
    </row>
    <row r="11" spans="1:11" x14ac:dyDescent="0.3">
      <c r="A11" s="71" t="s">
        <v>22</v>
      </c>
      <c r="B11" s="53">
        <v>1072</v>
      </c>
      <c r="C11" s="53">
        <v>1066</v>
      </c>
      <c r="D11" s="53">
        <v>1037</v>
      </c>
      <c r="E11" s="53">
        <v>967</v>
      </c>
      <c r="F11" s="53">
        <v>972</v>
      </c>
      <c r="G11" s="53">
        <v>993</v>
      </c>
    </row>
    <row r="12" spans="1:11" x14ac:dyDescent="0.3">
      <c r="A12" s="71" t="s">
        <v>80</v>
      </c>
      <c r="B12" s="53">
        <v>573</v>
      </c>
      <c r="C12" s="53">
        <v>354</v>
      </c>
      <c r="D12" s="53">
        <v>427</v>
      </c>
      <c r="E12" s="53">
        <v>408</v>
      </c>
      <c r="F12" s="53">
        <v>387</v>
      </c>
      <c r="G12" s="53">
        <v>332</v>
      </c>
    </row>
    <row r="13" spans="1:11" x14ac:dyDescent="0.3">
      <c r="A13" s="71" t="s">
        <v>4</v>
      </c>
      <c r="B13" s="53">
        <v>1209</v>
      </c>
      <c r="C13" s="53">
        <v>1229</v>
      </c>
      <c r="D13" s="53">
        <v>1128</v>
      </c>
      <c r="E13" s="53">
        <v>1115</v>
      </c>
      <c r="F13" s="53">
        <v>1273</v>
      </c>
      <c r="G13" s="53">
        <v>1222</v>
      </c>
    </row>
    <row r="14" spans="1:11" x14ac:dyDescent="0.3">
      <c r="A14" s="71" t="s">
        <v>13</v>
      </c>
      <c r="B14" s="53">
        <v>6794</v>
      </c>
      <c r="C14" s="53">
        <v>5342</v>
      </c>
      <c r="D14" s="53">
        <v>3608</v>
      </c>
      <c r="E14" s="53">
        <v>3591</v>
      </c>
      <c r="F14" s="53">
        <v>4274</v>
      </c>
      <c r="G14" s="53">
        <v>4479</v>
      </c>
    </row>
    <row r="15" spans="1:11" x14ac:dyDescent="0.3">
      <c r="A15" s="71" t="s">
        <v>32</v>
      </c>
      <c r="B15" s="53">
        <v>5921</v>
      </c>
      <c r="C15" s="53">
        <v>5087</v>
      </c>
      <c r="D15" s="53">
        <v>3635</v>
      </c>
      <c r="E15" s="53">
        <v>2285</v>
      </c>
      <c r="F15" s="53">
        <v>2471</v>
      </c>
      <c r="G15" s="53">
        <v>2219</v>
      </c>
    </row>
    <row r="16" spans="1:11" x14ac:dyDescent="0.3">
      <c r="A16" s="71" t="s">
        <v>123</v>
      </c>
      <c r="B16" s="53">
        <v>157</v>
      </c>
      <c r="C16" s="53">
        <v>151</v>
      </c>
      <c r="D16" s="53">
        <v>182</v>
      </c>
      <c r="E16" s="53">
        <v>196</v>
      </c>
      <c r="F16" s="53">
        <v>204</v>
      </c>
      <c r="G16" s="53">
        <v>231</v>
      </c>
    </row>
    <row r="17" spans="1:7" x14ac:dyDescent="0.3">
      <c r="A17" s="71" t="s">
        <v>156</v>
      </c>
      <c r="B17" s="53">
        <v>6828</v>
      </c>
      <c r="C17" s="53">
        <v>8900</v>
      </c>
      <c r="D17" s="53">
        <v>8037</v>
      </c>
      <c r="E17" s="53">
        <v>7649</v>
      </c>
      <c r="F17" s="53">
        <v>7494</v>
      </c>
      <c r="G17" s="53">
        <v>6991</v>
      </c>
    </row>
    <row r="18" spans="1:7" x14ac:dyDescent="0.3">
      <c r="A18" s="71" t="s">
        <v>74</v>
      </c>
      <c r="B18" s="53">
        <v>441</v>
      </c>
      <c r="C18" s="53">
        <v>380</v>
      </c>
      <c r="D18" s="53">
        <v>233</v>
      </c>
      <c r="E18" s="53">
        <v>299</v>
      </c>
      <c r="F18" s="53">
        <v>261</v>
      </c>
      <c r="G18" s="53">
        <v>289</v>
      </c>
    </row>
    <row r="19" spans="1:7" x14ac:dyDescent="0.3">
      <c r="A19" s="71" t="s">
        <v>57</v>
      </c>
      <c r="B19" s="53">
        <v>1266</v>
      </c>
      <c r="C19" s="53">
        <v>1320</v>
      </c>
      <c r="D19" s="53">
        <v>1276</v>
      </c>
      <c r="E19" s="53">
        <v>1187</v>
      </c>
      <c r="F19" s="53">
        <v>1059</v>
      </c>
      <c r="G19" s="53">
        <v>1013</v>
      </c>
    </row>
    <row r="20" spans="1:7" x14ac:dyDescent="0.3">
      <c r="A20" s="71" t="s">
        <v>45</v>
      </c>
      <c r="B20" s="53">
        <v>378</v>
      </c>
      <c r="C20" s="53">
        <v>284</v>
      </c>
      <c r="D20" s="53">
        <v>310</v>
      </c>
      <c r="E20" s="53">
        <v>312</v>
      </c>
      <c r="F20" s="53">
        <v>273</v>
      </c>
      <c r="G20" s="53">
        <v>369</v>
      </c>
    </row>
    <row r="21" spans="1:7" x14ac:dyDescent="0.3">
      <c r="A21" s="71" t="s">
        <v>72</v>
      </c>
      <c r="B21" s="53">
        <v>1835</v>
      </c>
      <c r="C21" s="53">
        <v>1659</v>
      </c>
      <c r="D21" s="53">
        <v>1333</v>
      </c>
      <c r="E21" s="53">
        <v>1333</v>
      </c>
      <c r="F21" s="53">
        <v>1393</v>
      </c>
      <c r="G21" s="53">
        <v>1180</v>
      </c>
    </row>
    <row r="22" spans="1:7" x14ac:dyDescent="0.3">
      <c r="A22" s="71" t="s">
        <v>67</v>
      </c>
      <c r="B22" s="53">
        <v>759</v>
      </c>
      <c r="C22" s="53">
        <v>772</v>
      </c>
      <c r="D22" s="53">
        <v>699</v>
      </c>
      <c r="E22" s="53">
        <v>670</v>
      </c>
      <c r="F22" s="53">
        <v>753</v>
      </c>
      <c r="G22" s="53">
        <v>805</v>
      </c>
    </row>
    <row r="23" spans="1:7" x14ac:dyDescent="0.3">
      <c r="A23" s="71" t="s">
        <v>69</v>
      </c>
      <c r="B23" s="53">
        <v>360</v>
      </c>
      <c r="C23" s="53">
        <v>368</v>
      </c>
      <c r="D23" s="53">
        <v>344</v>
      </c>
      <c r="E23" s="53">
        <v>333</v>
      </c>
      <c r="F23" s="53">
        <v>296</v>
      </c>
      <c r="G23" s="53">
        <v>327</v>
      </c>
    </row>
    <row r="24" spans="1:7" x14ac:dyDescent="0.3">
      <c r="A24" s="71" t="s">
        <v>40</v>
      </c>
      <c r="B24" s="53">
        <v>388</v>
      </c>
      <c r="C24" s="53">
        <v>359</v>
      </c>
      <c r="D24" s="53">
        <v>339</v>
      </c>
      <c r="E24" s="53">
        <v>354</v>
      </c>
      <c r="F24" s="53">
        <v>326</v>
      </c>
      <c r="G24" s="53">
        <v>336</v>
      </c>
    </row>
    <row r="25" spans="1:7" x14ac:dyDescent="0.3">
      <c r="A25" s="71" t="s">
        <v>9</v>
      </c>
      <c r="B25" s="53">
        <v>235</v>
      </c>
      <c r="C25" s="53">
        <v>229</v>
      </c>
      <c r="D25" s="53">
        <v>246</v>
      </c>
      <c r="E25" s="53">
        <v>207</v>
      </c>
      <c r="F25" s="53">
        <v>234</v>
      </c>
      <c r="G25" s="53">
        <v>170</v>
      </c>
    </row>
    <row r="26" spans="1:7" x14ac:dyDescent="0.3">
      <c r="A26" s="71" t="s">
        <v>2</v>
      </c>
      <c r="B26" s="53">
        <v>475</v>
      </c>
      <c r="C26" s="53">
        <v>499</v>
      </c>
      <c r="D26" s="53">
        <v>404</v>
      </c>
      <c r="E26" s="53">
        <v>334</v>
      </c>
      <c r="F26" s="53">
        <v>307</v>
      </c>
      <c r="G26" s="53">
        <v>401</v>
      </c>
    </row>
    <row r="27" spans="1:7" x14ac:dyDescent="0.3">
      <c r="A27" s="71" t="s">
        <v>76</v>
      </c>
      <c r="B27" s="53">
        <v>1756</v>
      </c>
      <c r="C27" s="53">
        <v>2073</v>
      </c>
      <c r="D27" s="53">
        <v>1880</v>
      </c>
      <c r="E27" s="53">
        <v>1845</v>
      </c>
      <c r="F27" s="53">
        <v>1727</v>
      </c>
      <c r="G27" s="53">
        <v>1551</v>
      </c>
    </row>
    <row r="28" spans="1:7" x14ac:dyDescent="0.3">
      <c r="A28" s="71" t="s">
        <v>36</v>
      </c>
      <c r="B28" s="53">
        <v>462</v>
      </c>
      <c r="C28" s="53">
        <v>403</v>
      </c>
      <c r="D28" s="53">
        <v>417</v>
      </c>
      <c r="E28" s="53">
        <v>369</v>
      </c>
      <c r="F28" s="53">
        <v>354</v>
      </c>
      <c r="G28" s="53">
        <v>357</v>
      </c>
    </row>
    <row r="29" spans="1:7" x14ac:dyDescent="0.3">
      <c r="A29" s="71" t="s">
        <v>37</v>
      </c>
      <c r="B29" s="53">
        <v>359</v>
      </c>
      <c r="C29" s="53">
        <v>278</v>
      </c>
      <c r="D29" s="53">
        <v>255</v>
      </c>
      <c r="E29" s="53">
        <v>245</v>
      </c>
      <c r="F29" s="53">
        <v>247</v>
      </c>
      <c r="G29" s="53">
        <v>230</v>
      </c>
    </row>
    <row r="30" spans="1:7" x14ac:dyDescent="0.3">
      <c r="A30" s="71" t="s">
        <v>28</v>
      </c>
      <c r="B30" s="53">
        <v>5631</v>
      </c>
      <c r="C30" s="53">
        <v>4745</v>
      </c>
      <c r="D30" s="53">
        <v>4339</v>
      </c>
      <c r="E30" s="53">
        <v>4098</v>
      </c>
      <c r="F30" s="53">
        <v>4010</v>
      </c>
      <c r="G30" s="53">
        <v>3700</v>
      </c>
    </row>
    <row r="31" spans="1:7" x14ac:dyDescent="0.3">
      <c r="A31" s="71" t="s">
        <v>61</v>
      </c>
      <c r="B31" s="53">
        <v>2084</v>
      </c>
      <c r="C31" s="53">
        <v>2076</v>
      </c>
      <c r="D31" s="53">
        <v>1873</v>
      </c>
      <c r="E31" s="53">
        <v>1867</v>
      </c>
      <c r="F31" s="53">
        <v>2217</v>
      </c>
      <c r="G31" s="53">
        <v>2009</v>
      </c>
    </row>
    <row r="32" spans="1:7" x14ac:dyDescent="0.3">
      <c r="A32" s="71" t="s">
        <v>157</v>
      </c>
      <c r="B32" s="53">
        <v>1515</v>
      </c>
      <c r="C32" s="53"/>
      <c r="D32" s="53"/>
      <c r="E32" s="53"/>
      <c r="F32" s="53"/>
      <c r="G32" s="53"/>
    </row>
    <row r="33" spans="1:7" x14ac:dyDescent="0.3">
      <c r="A33" s="71" t="s">
        <v>55</v>
      </c>
      <c r="B33" s="53">
        <v>739</v>
      </c>
      <c r="C33" s="53">
        <v>609</v>
      </c>
      <c r="D33" s="53">
        <v>509</v>
      </c>
      <c r="E33" s="53">
        <v>433</v>
      </c>
      <c r="F33" s="53">
        <v>416</v>
      </c>
      <c r="G33" s="53">
        <v>383</v>
      </c>
    </row>
    <row r="34" spans="1:7" x14ac:dyDescent="0.3">
      <c r="A34" s="71" t="s">
        <v>56</v>
      </c>
      <c r="B34" s="53">
        <v>616</v>
      </c>
      <c r="C34" s="53">
        <v>583</v>
      </c>
      <c r="D34" s="53">
        <v>467</v>
      </c>
      <c r="E34" s="53">
        <v>401</v>
      </c>
      <c r="F34" s="53">
        <v>489</v>
      </c>
      <c r="G34" s="53">
        <v>436</v>
      </c>
    </row>
    <row r="35" spans="1:7" x14ac:dyDescent="0.3">
      <c r="A35" s="71" t="s">
        <v>33</v>
      </c>
      <c r="B35" s="53">
        <v>758</v>
      </c>
      <c r="C35" s="53">
        <v>769</v>
      </c>
      <c r="D35" s="53">
        <v>651</v>
      </c>
      <c r="E35" s="53">
        <v>510</v>
      </c>
      <c r="F35" s="53">
        <v>653</v>
      </c>
      <c r="G35" s="53">
        <v>684</v>
      </c>
    </row>
    <row r="36" spans="1:7" x14ac:dyDescent="0.3">
      <c r="A36" s="71" t="s">
        <v>51</v>
      </c>
      <c r="B36" s="53">
        <v>967</v>
      </c>
      <c r="C36" s="53">
        <v>636</v>
      </c>
      <c r="D36" s="53">
        <v>457</v>
      </c>
      <c r="E36" s="53">
        <v>639</v>
      </c>
      <c r="F36" s="53">
        <v>654</v>
      </c>
      <c r="G36" s="53">
        <v>641</v>
      </c>
    </row>
    <row r="37" spans="1:7" x14ac:dyDescent="0.3">
      <c r="A37" s="71" t="s">
        <v>8</v>
      </c>
      <c r="B37" s="53">
        <v>146</v>
      </c>
      <c r="C37" s="53">
        <v>113</v>
      </c>
      <c r="D37" s="53">
        <v>152</v>
      </c>
      <c r="E37" s="53">
        <v>106</v>
      </c>
      <c r="F37" s="53">
        <v>109</v>
      </c>
      <c r="G37" s="53">
        <v>98</v>
      </c>
    </row>
    <row r="38" spans="1:7" x14ac:dyDescent="0.3">
      <c r="A38" s="71" t="s">
        <v>21</v>
      </c>
      <c r="B38" s="53">
        <v>4472</v>
      </c>
      <c r="C38" s="53">
        <v>4168</v>
      </c>
      <c r="D38" s="53">
        <v>3917</v>
      </c>
      <c r="E38" s="53">
        <v>4411</v>
      </c>
      <c r="F38" s="53">
        <v>4595</v>
      </c>
      <c r="G38" s="53">
        <v>4228</v>
      </c>
    </row>
    <row r="39" spans="1:7" x14ac:dyDescent="0.3">
      <c r="A39" s="71" t="s">
        <v>30</v>
      </c>
      <c r="B39" s="53">
        <v>572</v>
      </c>
      <c r="C39" s="53">
        <v>493</v>
      </c>
      <c r="D39" s="53">
        <v>363</v>
      </c>
      <c r="E39" s="53">
        <v>336</v>
      </c>
      <c r="F39" s="53">
        <v>410</v>
      </c>
      <c r="G39" s="53">
        <v>409</v>
      </c>
    </row>
    <row r="40" spans="1:7" x14ac:dyDescent="0.3">
      <c r="A40" s="71" t="s">
        <v>7</v>
      </c>
      <c r="B40" s="53">
        <v>20</v>
      </c>
      <c r="C40" s="53">
        <v>16</v>
      </c>
      <c r="D40" s="53">
        <v>17</v>
      </c>
      <c r="E40" s="53">
        <v>16</v>
      </c>
      <c r="F40" s="53">
        <v>16</v>
      </c>
      <c r="G40" s="53">
        <v>13</v>
      </c>
    </row>
    <row r="41" spans="1:7" x14ac:dyDescent="0.3">
      <c r="A41" s="71" t="s">
        <v>54</v>
      </c>
      <c r="B41" s="53">
        <v>1603</v>
      </c>
      <c r="C41" s="53">
        <v>1365</v>
      </c>
      <c r="D41" s="53">
        <v>1314</v>
      </c>
      <c r="E41" s="53">
        <v>1166</v>
      </c>
      <c r="F41" s="53">
        <v>1288</v>
      </c>
      <c r="G41" s="53">
        <v>1186</v>
      </c>
    </row>
    <row r="42" spans="1:7" x14ac:dyDescent="0.3">
      <c r="A42" s="71" t="s">
        <v>52</v>
      </c>
      <c r="B42" s="53">
        <v>251</v>
      </c>
      <c r="C42" s="53">
        <v>229</v>
      </c>
      <c r="D42" s="53">
        <v>223</v>
      </c>
      <c r="E42" s="53">
        <v>249</v>
      </c>
      <c r="F42" s="53">
        <v>243</v>
      </c>
      <c r="G42" s="53">
        <v>266</v>
      </c>
    </row>
    <row r="43" spans="1:7" x14ac:dyDescent="0.3">
      <c r="A43" s="71" t="s">
        <v>6</v>
      </c>
      <c r="B43" s="53">
        <v>1436</v>
      </c>
      <c r="C43" s="53">
        <v>1294</v>
      </c>
      <c r="D43" s="53">
        <v>974</v>
      </c>
      <c r="E43" s="53">
        <v>859</v>
      </c>
      <c r="F43" s="53">
        <v>941</v>
      </c>
      <c r="G43" s="53">
        <v>1151</v>
      </c>
    </row>
    <row r="44" spans="1:7" x14ac:dyDescent="0.3">
      <c r="A44" s="71" t="s">
        <v>64</v>
      </c>
      <c r="B44" s="53">
        <v>1514</v>
      </c>
      <c r="C44" s="53">
        <v>1615</v>
      </c>
      <c r="D44" s="53">
        <v>1413</v>
      </c>
      <c r="E44" s="53">
        <v>1147</v>
      </c>
      <c r="F44" s="53">
        <v>1133</v>
      </c>
      <c r="G44" s="53">
        <v>990</v>
      </c>
    </row>
    <row r="45" spans="1:7" x14ac:dyDescent="0.3">
      <c r="A45" s="71" t="s">
        <v>23</v>
      </c>
      <c r="B45" s="53">
        <v>1119</v>
      </c>
      <c r="C45" s="53">
        <v>927</v>
      </c>
      <c r="D45" s="53">
        <v>1115</v>
      </c>
      <c r="E45" s="53">
        <v>1227</v>
      </c>
      <c r="F45" s="53">
        <v>1392</v>
      </c>
      <c r="G45" s="53">
        <v>1054</v>
      </c>
    </row>
    <row r="46" spans="1:7" x14ac:dyDescent="0.3">
      <c r="A46" s="71" t="s">
        <v>70</v>
      </c>
      <c r="B46" s="53">
        <v>309</v>
      </c>
      <c r="C46" s="53">
        <v>232</v>
      </c>
      <c r="D46" s="53">
        <v>289</v>
      </c>
      <c r="E46" s="53">
        <v>254</v>
      </c>
      <c r="F46" s="53">
        <v>242</v>
      </c>
      <c r="G46" s="53">
        <v>242</v>
      </c>
    </row>
    <row r="47" spans="1:7" x14ac:dyDescent="0.3">
      <c r="A47" s="71" t="s">
        <v>49</v>
      </c>
      <c r="B47" s="53">
        <v>616</v>
      </c>
      <c r="C47" s="53">
        <v>573</v>
      </c>
      <c r="D47" s="53">
        <v>571</v>
      </c>
      <c r="E47" s="53">
        <v>578</v>
      </c>
      <c r="F47" s="53">
        <v>701</v>
      </c>
      <c r="G47" s="53">
        <v>600</v>
      </c>
    </row>
    <row r="48" spans="1:7" x14ac:dyDescent="0.3">
      <c r="A48" s="71" t="s">
        <v>44</v>
      </c>
      <c r="B48" s="53">
        <v>1659</v>
      </c>
      <c r="C48" s="53">
        <v>1410</v>
      </c>
      <c r="D48" s="53">
        <v>1266</v>
      </c>
      <c r="E48" s="53">
        <v>1381</v>
      </c>
      <c r="F48" s="53">
        <v>1132</v>
      </c>
      <c r="G48" s="53">
        <v>1009</v>
      </c>
    </row>
    <row r="49" spans="1:7" x14ac:dyDescent="0.3">
      <c r="A49" s="71" t="s">
        <v>158</v>
      </c>
      <c r="B49" s="53">
        <v>15283</v>
      </c>
      <c r="C49" s="53">
        <v>13454</v>
      </c>
      <c r="D49" s="53">
        <v>12889</v>
      </c>
      <c r="E49" s="53">
        <v>13172</v>
      </c>
      <c r="F49" s="53">
        <v>13513</v>
      </c>
      <c r="G49" s="53">
        <v>12015</v>
      </c>
    </row>
    <row r="50" spans="1:7" x14ac:dyDescent="0.3">
      <c r="A50" s="71" t="s">
        <v>10</v>
      </c>
      <c r="B50" s="53">
        <v>2701</v>
      </c>
      <c r="C50" s="53">
        <v>2430</v>
      </c>
      <c r="D50" s="53">
        <v>2139</v>
      </c>
      <c r="E50" s="53">
        <v>2126</v>
      </c>
      <c r="F50" s="53">
        <v>2097</v>
      </c>
      <c r="G50" s="53">
        <v>2069</v>
      </c>
    </row>
    <row r="51" spans="1:7" x14ac:dyDescent="0.3">
      <c r="A51" s="71" t="s">
        <v>31</v>
      </c>
      <c r="B51" s="53">
        <v>199</v>
      </c>
      <c r="C51" s="53">
        <v>218</v>
      </c>
      <c r="D51" s="53">
        <v>193</v>
      </c>
      <c r="E51" s="53">
        <v>230</v>
      </c>
      <c r="F51" s="53">
        <v>202</v>
      </c>
      <c r="G51" s="53">
        <v>135</v>
      </c>
    </row>
    <row r="52" spans="1:7" x14ac:dyDescent="0.3">
      <c r="A52" s="71" t="s">
        <v>26</v>
      </c>
      <c r="B52" s="53">
        <v>196</v>
      </c>
      <c r="C52" s="53">
        <v>217</v>
      </c>
      <c r="D52" s="53">
        <v>203</v>
      </c>
      <c r="E52" s="53">
        <v>198</v>
      </c>
      <c r="F52" s="53">
        <v>199</v>
      </c>
      <c r="G52" s="53">
        <v>200</v>
      </c>
    </row>
    <row r="53" spans="1:7" x14ac:dyDescent="0.3">
      <c r="A53" s="71" t="s">
        <v>58</v>
      </c>
      <c r="B53" s="53">
        <v>221</v>
      </c>
      <c r="C53" s="53">
        <v>211</v>
      </c>
      <c r="D53" s="53">
        <v>199</v>
      </c>
      <c r="E53" s="53">
        <v>212</v>
      </c>
      <c r="F53" s="53">
        <v>217</v>
      </c>
      <c r="G53" s="53">
        <v>220</v>
      </c>
    </row>
    <row r="54" spans="1:7" x14ac:dyDescent="0.3">
      <c r="A54" s="71" t="s">
        <v>83</v>
      </c>
      <c r="B54" s="53">
        <v>1986</v>
      </c>
      <c r="C54" s="53">
        <v>1949</v>
      </c>
      <c r="D54" s="53">
        <v>1934</v>
      </c>
      <c r="E54" s="53">
        <v>1800</v>
      </c>
      <c r="F54" s="53">
        <v>1907</v>
      </c>
      <c r="G54" s="53">
        <v>1751</v>
      </c>
    </row>
    <row r="55" spans="1:7" x14ac:dyDescent="0.3">
      <c r="A55" s="71" t="s">
        <v>1</v>
      </c>
      <c r="B55" s="53">
        <v>1464</v>
      </c>
      <c r="C55" s="53">
        <v>1175</v>
      </c>
      <c r="D55" s="53">
        <v>1119</v>
      </c>
      <c r="E55" s="53">
        <v>1041</v>
      </c>
      <c r="F55" s="53">
        <v>1074</v>
      </c>
      <c r="G55" s="53">
        <v>839</v>
      </c>
    </row>
    <row r="56" spans="1:7" x14ac:dyDescent="0.3">
      <c r="A56" s="71" t="s">
        <v>63</v>
      </c>
      <c r="B56" s="53">
        <v>1794</v>
      </c>
      <c r="C56" s="53">
        <v>1807</v>
      </c>
      <c r="D56" s="53">
        <v>2029</v>
      </c>
      <c r="E56" s="53">
        <v>2076</v>
      </c>
      <c r="F56" s="53">
        <v>1991</v>
      </c>
      <c r="G56" s="53">
        <v>1584</v>
      </c>
    </row>
    <row r="57" spans="1:7" x14ac:dyDescent="0.3">
      <c r="A57" s="71" t="s">
        <v>81</v>
      </c>
      <c r="B57" s="53">
        <v>154</v>
      </c>
      <c r="C57" s="53">
        <v>207</v>
      </c>
      <c r="D57" s="53">
        <v>225</v>
      </c>
      <c r="E57" s="53">
        <v>212</v>
      </c>
      <c r="F57" s="53">
        <v>201</v>
      </c>
      <c r="G57" s="53">
        <v>236</v>
      </c>
    </row>
    <row r="58" spans="1:7" x14ac:dyDescent="0.3">
      <c r="A58" s="71" t="s">
        <v>27</v>
      </c>
      <c r="B58" s="53">
        <v>365</v>
      </c>
      <c r="C58" s="53">
        <v>359</v>
      </c>
      <c r="D58" s="53">
        <v>262</v>
      </c>
      <c r="E58" s="53">
        <v>213</v>
      </c>
      <c r="F58" s="53">
        <v>219</v>
      </c>
      <c r="G58" s="53">
        <v>191</v>
      </c>
    </row>
    <row r="59" spans="1:7" x14ac:dyDescent="0.3">
      <c r="A59" s="71" t="s">
        <v>71</v>
      </c>
      <c r="B59" s="53">
        <v>294</v>
      </c>
      <c r="C59" s="53">
        <v>239</v>
      </c>
      <c r="D59" s="53">
        <v>221</v>
      </c>
      <c r="E59" s="53">
        <v>291</v>
      </c>
      <c r="F59" s="53">
        <v>214</v>
      </c>
      <c r="G59" s="53">
        <v>198</v>
      </c>
    </row>
    <row r="60" spans="1:7" x14ac:dyDescent="0.3">
      <c r="A60" s="71" t="s">
        <v>65</v>
      </c>
      <c r="B60" s="53">
        <v>347</v>
      </c>
      <c r="C60" s="53">
        <v>249</v>
      </c>
      <c r="D60" s="53">
        <v>329</v>
      </c>
      <c r="E60" s="53">
        <v>322</v>
      </c>
      <c r="F60" s="53">
        <v>394</v>
      </c>
      <c r="G60" s="53">
        <v>437</v>
      </c>
    </row>
    <row r="61" spans="1:7" x14ac:dyDescent="0.3">
      <c r="A61" s="71" t="s">
        <v>89</v>
      </c>
      <c r="B61" s="53">
        <v>1358</v>
      </c>
      <c r="C61" s="53">
        <v>1294</v>
      </c>
      <c r="D61" s="53">
        <v>1100</v>
      </c>
      <c r="E61" s="53">
        <v>1248</v>
      </c>
      <c r="F61" s="53">
        <v>1351</v>
      </c>
      <c r="G61" s="53">
        <v>1241</v>
      </c>
    </row>
    <row r="62" spans="1:7" x14ac:dyDescent="0.3">
      <c r="A62" s="71" t="s">
        <v>42</v>
      </c>
      <c r="B62" s="53">
        <v>268</v>
      </c>
      <c r="C62" s="53">
        <v>171</v>
      </c>
      <c r="D62" s="53">
        <v>176</v>
      </c>
      <c r="E62" s="53">
        <v>137</v>
      </c>
      <c r="F62" s="53">
        <v>121</v>
      </c>
      <c r="G62" s="53">
        <v>114</v>
      </c>
    </row>
    <row r="63" spans="1:7" x14ac:dyDescent="0.3">
      <c r="A63" s="71" t="s">
        <v>34</v>
      </c>
      <c r="B63" s="53">
        <v>427</v>
      </c>
      <c r="C63" s="53">
        <v>435</v>
      </c>
      <c r="D63" s="53">
        <v>360</v>
      </c>
      <c r="E63" s="53">
        <v>270</v>
      </c>
      <c r="F63" s="53">
        <v>242</v>
      </c>
      <c r="G63" s="53">
        <v>186</v>
      </c>
    </row>
    <row r="64" spans="1:7" x14ac:dyDescent="0.3">
      <c r="A64" s="71" t="s">
        <v>62</v>
      </c>
      <c r="B64" s="53">
        <v>431</v>
      </c>
      <c r="C64" s="53">
        <v>371</v>
      </c>
      <c r="D64" s="53">
        <v>348</v>
      </c>
      <c r="E64" s="53">
        <v>385</v>
      </c>
      <c r="F64" s="53">
        <v>342</v>
      </c>
      <c r="G64" s="53">
        <v>337</v>
      </c>
    </row>
    <row r="65" spans="1:7" x14ac:dyDescent="0.3">
      <c r="A65" s="71" t="s">
        <v>47</v>
      </c>
      <c r="B65" s="53">
        <v>825</v>
      </c>
      <c r="C65" s="53">
        <v>851</v>
      </c>
      <c r="D65" s="53">
        <v>898</v>
      </c>
      <c r="E65" s="53">
        <v>977</v>
      </c>
      <c r="F65" s="53">
        <v>818</v>
      </c>
      <c r="G65" s="53">
        <v>823</v>
      </c>
    </row>
    <row r="66" spans="1:7" x14ac:dyDescent="0.3">
      <c r="A66" s="71" t="s">
        <v>35</v>
      </c>
      <c r="B66" s="53">
        <v>1853</v>
      </c>
      <c r="C66" s="53">
        <v>1616</v>
      </c>
      <c r="D66" s="53">
        <v>1469</v>
      </c>
      <c r="E66" s="53">
        <v>1860</v>
      </c>
      <c r="F66" s="53">
        <v>2024</v>
      </c>
      <c r="G66" s="53">
        <v>1816</v>
      </c>
    </row>
    <row r="67" spans="1:7" x14ac:dyDescent="0.3">
      <c r="A67" s="71" t="s">
        <v>14</v>
      </c>
      <c r="B67" s="53">
        <v>807</v>
      </c>
      <c r="C67" s="53">
        <v>874</v>
      </c>
      <c r="D67" s="53">
        <v>962</v>
      </c>
      <c r="E67" s="53">
        <v>629</v>
      </c>
      <c r="F67" s="53">
        <v>701</v>
      </c>
      <c r="G67" s="53">
        <v>745</v>
      </c>
    </row>
    <row r="68" spans="1:7" x14ac:dyDescent="0.3">
      <c r="A68" s="71" t="s">
        <v>77</v>
      </c>
      <c r="B68" s="53">
        <v>773</v>
      </c>
      <c r="C68" s="53">
        <v>659</v>
      </c>
      <c r="D68" s="53">
        <v>616</v>
      </c>
      <c r="E68" s="53">
        <v>643</v>
      </c>
      <c r="F68" s="53">
        <v>630</v>
      </c>
      <c r="G68" s="53">
        <v>572</v>
      </c>
    </row>
    <row r="69" spans="1:7" x14ac:dyDescent="0.3">
      <c r="A69" s="71" t="s">
        <v>87</v>
      </c>
      <c r="B69" s="53">
        <v>106292</v>
      </c>
      <c r="C69" s="53">
        <v>95683</v>
      </c>
      <c r="D69" s="53">
        <v>85425</v>
      </c>
      <c r="E69" s="53">
        <v>83137</v>
      </c>
      <c r="F69" s="53">
        <v>85147</v>
      </c>
      <c r="G69" s="53">
        <v>79666</v>
      </c>
    </row>
    <row r="70" spans="1:7" x14ac:dyDescent="0.3">
      <c r="A70" s="71" t="s">
        <v>29</v>
      </c>
      <c r="B70" s="53">
        <v>3351</v>
      </c>
      <c r="C70" s="53">
        <v>3296</v>
      </c>
      <c r="D70" s="53">
        <v>2846</v>
      </c>
      <c r="E70" s="53">
        <v>2605</v>
      </c>
      <c r="F70" s="53">
        <v>2872</v>
      </c>
      <c r="G70" s="53">
        <v>2662</v>
      </c>
    </row>
    <row r="71" spans="1:7" x14ac:dyDescent="0.3">
      <c r="A71" s="71" t="s">
        <v>59</v>
      </c>
      <c r="B71" s="53">
        <v>603</v>
      </c>
      <c r="C71" s="53">
        <v>576</v>
      </c>
      <c r="D71" s="53">
        <v>636</v>
      </c>
      <c r="E71" s="53">
        <v>581</v>
      </c>
      <c r="F71" s="53">
        <v>636</v>
      </c>
      <c r="G71" s="53">
        <v>640</v>
      </c>
    </row>
    <row r="72" spans="1:7" x14ac:dyDescent="0.3">
      <c r="A72" s="71" t="s">
        <v>24</v>
      </c>
      <c r="B72" s="53">
        <v>2216</v>
      </c>
      <c r="C72" s="53">
        <v>1702</v>
      </c>
      <c r="D72" s="53">
        <v>1517</v>
      </c>
      <c r="E72" s="53">
        <v>1457</v>
      </c>
      <c r="F72" s="53">
        <v>1410</v>
      </c>
      <c r="G72" s="53">
        <v>1344</v>
      </c>
    </row>
    <row r="73" spans="1:7" x14ac:dyDescent="0.3">
      <c r="A73" s="71" t="s">
        <v>68</v>
      </c>
      <c r="B73" s="53">
        <v>1014</v>
      </c>
      <c r="C73" s="53">
        <v>1049</v>
      </c>
      <c r="D73" s="53">
        <v>890</v>
      </c>
      <c r="E73" s="53">
        <v>1042</v>
      </c>
      <c r="F73" s="53">
        <v>1119</v>
      </c>
      <c r="G73" s="53">
        <v>1093</v>
      </c>
    </row>
    <row r="74" spans="1:7" x14ac:dyDescent="0.3">
      <c r="A74" s="71" t="s">
        <v>3</v>
      </c>
      <c r="B74" s="53">
        <v>409</v>
      </c>
      <c r="C74" s="53">
        <v>395</v>
      </c>
      <c r="D74" s="53">
        <v>361</v>
      </c>
      <c r="E74" s="53">
        <v>324</v>
      </c>
      <c r="F74" s="53">
        <v>300</v>
      </c>
      <c r="G74" s="53">
        <v>320</v>
      </c>
    </row>
    <row r="75" spans="1:7" x14ac:dyDescent="0.3">
      <c r="A75" s="71" t="s">
        <v>16</v>
      </c>
      <c r="B75" s="53">
        <v>3683</v>
      </c>
      <c r="C75" s="53">
        <v>3041</v>
      </c>
      <c r="D75" s="53">
        <v>2632</v>
      </c>
      <c r="E75" s="53">
        <v>2936</v>
      </c>
      <c r="F75" s="53">
        <v>2805</v>
      </c>
      <c r="G75" s="53">
        <v>2460</v>
      </c>
    </row>
    <row r="76" spans="1:7" x14ac:dyDescent="0.3">
      <c r="A76" s="71" t="s">
        <v>159</v>
      </c>
      <c r="B76" s="53">
        <v>9691</v>
      </c>
      <c r="C76" s="53">
        <v>8447</v>
      </c>
      <c r="D76" s="53">
        <v>6714</v>
      </c>
      <c r="E76" s="53">
        <v>5343</v>
      </c>
      <c r="F76" s="53">
        <v>5683</v>
      </c>
      <c r="G76" s="53">
        <v>5405</v>
      </c>
    </row>
    <row r="77" spans="1:7" x14ac:dyDescent="0.3">
      <c r="A77" s="71" t="s">
        <v>160</v>
      </c>
      <c r="B77" s="53">
        <v>7229</v>
      </c>
      <c r="C77" s="53">
        <v>6976</v>
      </c>
      <c r="D77" s="53">
        <v>6633</v>
      </c>
      <c r="E77" s="53">
        <v>6553</v>
      </c>
      <c r="F77" s="53">
        <v>6298</v>
      </c>
      <c r="G77" s="53">
        <v>5931</v>
      </c>
    </row>
    <row r="78" spans="1:7" x14ac:dyDescent="0.3">
      <c r="A78" s="71" t="s">
        <v>161</v>
      </c>
      <c r="B78" s="53">
        <v>15981</v>
      </c>
      <c r="C78" s="53">
        <v>13232</v>
      </c>
      <c r="D78" s="53">
        <v>11803</v>
      </c>
      <c r="E78" s="53">
        <v>10901</v>
      </c>
      <c r="F78" s="53">
        <v>11319</v>
      </c>
      <c r="G78" s="53">
        <v>10636</v>
      </c>
    </row>
    <row r="79" spans="1:7" x14ac:dyDescent="0.3">
      <c r="A79" s="71" t="s">
        <v>43</v>
      </c>
      <c r="B79" s="53">
        <v>462</v>
      </c>
      <c r="C79" s="53">
        <v>427</v>
      </c>
      <c r="D79" s="53">
        <v>513</v>
      </c>
      <c r="E79" s="53">
        <v>453</v>
      </c>
      <c r="F79" s="53">
        <v>468</v>
      </c>
      <c r="G79" s="53">
        <v>472</v>
      </c>
    </row>
    <row r="80" spans="1:7" x14ac:dyDescent="0.3">
      <c r="A80" s="71" t="s">
        <v>11</v>
      </c>
      <c r="B80" s="53">
        <v>2321</v>
      </c>
      <c r="C80" s="53">
        <v>2083</v>
      </c>
      <c r="D80" s="53">
        <v>1761</v>
      </c>
      <c r="E80" s="53">
        <v>1851</v>
      </c>
      <c r="F80" s="53">
        <v>1873</v>
      </c>
      <c r="G80" s="53">
        <v>1755</v>
      </c>
    </row>
    <row r="81" spans="1:7" x14ac:dyDescent="0.3">
      <c r="A81" s="71" t="s">
        <v>15</v>
      </c>
      <c r="B81" s="53">
        <v>603</v>
      </c>
      <c r="C81" s="53">
        <v>521</v>
      </c>
      <c r="D81" s="53">
        <v>533</v>
      </c>
      <c r="E81" s="53">
        <v>609</v>
      </c>
      <c r="F81" s="53">
        <v>608</v>
      </c>
      <c r="G81" s="53">
        <v>482</v>
      </c>
    </row>
    <row r="82" spans="1:7" x14ac:dyDescent="0.3">
      <c r="A82" s="71" t="s">
        <v>38</v>
      </c>
      <c r="B82" s="53">
        <v>359</v>
      </c>
      <c r="C82" s="53">
        <v>335</v>
      </c>
      <c r="D82" s="53">
        <v>357</v>
      </c>
      <c r="E82" s="53">
        <v>399</v>
      </c>
      <c r="F82" s="53">
        <v>332</v>
      </c>
      <c r="G82" s="53">
        <v>328</v>
      </c>
    </row>
    <row r="83" spans="1:7" x14ac:dyDescent="0.3">
      <c r="A83" s="71" t="s">
        <v>5</v>
      </c>
      <c r="B83" s="53">
        <v>742</v>
      </c>
      <c r="C83" s="53">
        <v>620</v>
      </c>
      <c r="D83" s="53">
        <v>567</v>
      </c>
      <c r="E83" s="53">
        <v>541</v>
      </c>
      <c r="F83" s="53">
        <v>597</v>
      </c>
      <c r="G83" s="53">
        <v>521</v>
      </c>
    </row>
    <row r="84" spans="1:7" x14ac:dyDescent="0.3">
      <c r="A84" s="71" t="s">
        <v>39</v>
      </c>
      <c r="B84" s="53">
        <v>425</v>
      </c>
      <c r="C84" s="53">
        <v>283</v>
      </c>
      <c r="D84" s="53">
        <v>258</v>
      </c>
      <c r="E84" s="53">
        <v>310</v>
      </c>
      <c r="F84" s="53">
        <v>286</v>
      </c>
      <c r="G84" s="53">
        <v>338</v>
      </c>
    </row>
    <row r="85" spans="1:7" x14ac:dyDescent="0.3">
      <c r="A85" s="71" t="s">
        <v>19</v>
      </c>
      <c r="B85" s="53">
        <v>1508</v>
      </c>
      <c r="C85" s="53">
        <v>1097</v>
      </c>
      <c r="D85" s="53">
        <v>1079</v>
      </c>
      <c r="E85" s="53">
        <v>1193</v>
      </c>
      <c r="F85" s="53">
        <v>1071</v>
      </c>
      <c r="G85" s="53">
        <v>1029</v>
      </c>
    </row>
    <row r="86" spans="1:7" x14ac:dyDescent="0.3">
      <c r="A86" s="71" t="s">
        <v>94</v>
      </c>
      <c r="B86" s="53">
        <v>1033</v>
      </c>
      <c r="C86" s="53">
        <v>909</v>
      </c>
      <c r="D86" s="53">
        <v>896</v>
      </c>
      <c r="E86" s="53">
        <v>888</v>
      </c>
      <c r="F86" s="53">
        <v>943</v>
      </c>
      <c r="G86" s="53">
        <v>841</v>
      </c>
    </row>
    <row r="87" spans="1:7" x14ac:dyDescent="0.3">
      <c r="A87" s="71" t="s">
        <v>41</v>
      </c>
      <c r="B87" s="53">
        <v>753</v>
      </c>
      <c r="C87" s="53">
        <v>635</v>
      </c>
      <c r="D87" s="53">
        <v>721</v>
      </c>
      <c r="E87" s="53">
        <v>713</v>
      </c>
      <c r="F87" s="53">
        <v>599</v>
      </c>
      <c r="G87" s="53">
        <v>422</v>
      </c>
    </row>
    <row r="88" spans="1:7" x14ac:dyDescent="0.3">
      <c r="A88" s="71" t="s">
        <v>162</v>
      </c>
      <c r="B88" s="53">
        <v>10949</v>
      </c>
      <c r="C88" s="53">
        <v>9270</v>
      </c>
      <c r="D88" s="53">
        <v>8041</v>
      </c>
      <c r="E88" s="53">
        <v>8523</v>
      </c>
      <c r="F88" s="53">
        <v>8246</v>
      </c>
      <c r="G88" s="53">
        <v>7502</v>
      </c>
    </row>
    <row r="89" spans="1:7" x14ac:dyDescent="0.3">
      <c r="A89" s="71" t="s">
        <v>75</v>
      </c>
      <c r="B89" s="53">
        <v>956</v>
      </c>
      <c r="C89" s="53">
        <v>969</v>
      </c>
      <c r="D89" s="53">
        <v>830</v>
      </c>
      <c r="E89" s="53">
        <v>765</v>
      </c>
      <c r="F89" s="53">
        <v>844</v>
      </c>
      <c r="G89" s="53">
        <v>732</v>
      </c>
    </row>
    <row r="90" spans="1:7" x14ac:dyDescent="0.3">
      <c r="A90" s="71" t="s">
        <v>17</v>
      </c>
      <c r="B90" s="53">
        <v>1124</v>
      </c>
      <c r="C90" s="53">
        <v>1047</v>
      </c>
      <c r="D90" s="53">
        <v>879</v>
      </c>
      <c r="E90" s="53">
        <v>888</v>
      </c>
      <c r="F90" s="53">
        <v>854</v>
      </c>
      <c r="G90" s="53">
        <v>805</v>
      </c>
    </row>
    <row r="91" spans="1:7" x14ac:dyDescent="0.3">
      <c r="A91" s="71" t="s">
        <v>163</v>
      </c>
      <c r="B91" s="53">
        <v>20243</v>
      </c>
      <c r="C91" s="53">
        <v>17197</v>
      </c>
      <c r="D91" s="53">
        <v>14898</v>
      </c>
      <c r="E91" s="53">
        <v>15575</v>
      </c>
      <c r="F91" s="53">
        <v>16753</v>
      </c>
      <c r="G91" s="53">
        <v>16450</v>
      </c>
    </row>
    <row r="92" spans="1:7" x14ac:dyDescent="0.3">
      <c r="A92" s="71" t="s">
        <v>82</v>
      </c>
      <c r="B92" s="53">
        <v>3691</v>
      </c>
      <c r="C92" s="53">
        <v>3227</v>
      </c>
      <c r="D92" s="53">
        <v>2707</v>
      </c>
      <c r="E92" s="53">
        <v>2790</v>
      </c>
      <c r="F92" s="53">
        <v>2863</v>
      </c>
      <c r="G92" s="53">
        <v>2537</v>
      </c>
    </row>
    <row r="93" spans="1:7" x14ac:dyDescent="0.3">
      <c r="A93" s="71" t="s">
        <v>93</v>
      </c>
      <c r="B93" s="53">
        <v>901</v>
      </c>
      <c r="C93" s="53">
        <v>757</v>
      </c>
      <c r="D93" s="53">
        <v>617</v>
      </c>
      <c r="E93" s="53">
        <v>433</v>
      </c>
      <c r="F93" s="53">
        <v>355</v>
      </c>
      <c r="G93" s="53">
        <v>327</v>
      </c>
    </row>
    <row r="94" spans="1:7" x14ac:dyDescent="0.3">
      <c r="A94" s="71" t="s">
        <v>46</v>
      </c>
      <c r="B94" s="53">
        <v>274</v>
      </c>
      <c r="C94" s="53">
        <v>310</v>
      </c>
      <c r="D94" s="53">
        <v>243</v>
      </c>
      <c r="E94" s="53">
        <v>284</v>
      </c>
      <c r="F94" s="53">
        <v>281</v>
      </c>
      <c r="G94" s="53">
        <v>242</v>
      </c>
    </row>
    <row r="95" spans="1:7" x14ac:dyDescent="0.3">
      <c r="A95" s="71" t="s">
        <v>18</v>
      </c>
      <c r="B95" s="53">
        <v>12</v>
      </c>
      <c r="C95" s="53">
        <v>13</v>
      </c>
      <c r="D95" s="53">
        <v>14</v>
      </c>
      <c r="E95" s="53">
        <v>11</v>
      </c>
      <c r="F95" s="53">
        <v>16</v>
      </c>
      <c r="G95" s="53">
        <v>13</v>
      </c>
    </row>
    <row r="96" spans="1:7" x14ac:dyDescent="0.3">
      <c r="A96" s="71" t="s">
        <v>164</v>
      </c>
      <c r="B96" s="53">
        <v>13223</v>
      </c>
      <c r="C96" s="53">
        <v>12137</v>
      </c>
      <c r="D96" s="53">
        <v>10918</v>
      </c>
      <c r="E96" s="53">
        <v>10446</v>
      </c>
      <c r="F96" s="53">
        <v>10704</v>
      </c>
      <c r="G96" s="53">
        <v>9921</v>
      </c>
    </row>
    <row r="97" spans="1:7" x14ac:dyDescent="0.3">
      <c r="A97" s="71" t="s">
        <v>60</v>
      </c>
      <c r="B97" s="53">
        <v>204</v>
      </c>
      <c r="C97" s="53">
        <v>249</v>
      </c>
      <c r="D97" s="53">
        <v>235</v>
      </c>
      <c r="E97" s="53">
        <v>283</v>
      </c>
      <c r="F97" s="53">
        <v>237</v>
      </c>
      <c r="G97" s="53">
        <v>288</v>
      </c>
    </row>
    <row r="98" spans="1:7" x14ac:dyDescent="0.3">
      <c r="A98" s="71" t="s">
        <v>78</v>
      </c>
      <c r="B98" s="53">
        <v>585</v>
      </c>
      <c r="C98" s="53">
        <v>357</v>
      </c>
      <c r="D98" s="53">
        <v>381</v>
      </c>
      <c r="E98" s="53">
        <v>404</v>
      </c>
      <c r="F98" s="53">
        <v>416</v>
      </c>
      <c r="G98" s="53">
        <v>419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0F0F7-FA72-45D9-AEE0-762C456AB607}">
  <sheetPr codeName="Лист34">
    <tabColor theme="8" tint="0.59999389629810485"/>
    <pageSetUpPr fitToPage="1"/>
  </sheetPr>
  <dimension ref="A1:K89"/>
  <sheetViews>
    <sheetView showGridLines="0" workbookViewId="0">
      <selection sqref="A1:J1048576"/>
    </sheetView>
  </sheetViews>
  <sheetFormatPr defaultRowHeight="16.5" x14ac:dyDescent="0.3"/>
  <cols>
    <col min="1" max="1" width="108.5703125" style="9" customWidth="1"/>
    <col min="2" max="4" width="10" style="4" bestFit="1" customWidth="1"/>
    <col min="5" max="6" width="11" style="4" bestFit="1" customWidth="1"/>
    <col min="7" max="7" width="9.85546875" style="4" customWidth="1"/>
    <col min="8" max="240" width="9.140625" style="4"/>
    <col min="241" max="241" width="108.5703125" style="4" customWidth="1"/>
    <col min="242" max="242" width="1.5703125" style="4" customWidth="1"/>
    <col min="243" max="243" width="6" style="4" customWidth="1"/>
    <col min="244" max="496" width="9.140625" style="4"/>
    <col min="497" max="497" width="108.5703125" style="4" customWidth="1"/>
    <col min="498" max="498" width="1.5703125" style="4" customWidth="1"/>
    <col min="499" max="499" width="6" style="4" customWidth="1"/>
    <col min="500" max="752" width="9.140625" style="4"/>
    <col min="753" max="753" width="108.5703125" style="4" customWidth="1"/>
    <col min="754" max="754" width="1.5703125" style="4" customWidth="1"/>
    <col min="755" max="755" width="6" style="4" customWidth="1"/>
    <col min="756" max="1008" width="9.140625" style="4"/>
    <col min="1009" max="1009" width="108.5703125" style="4" customWidth="1"/>
    <col min="1010" max="1010" width="1.5703125" style="4" customWidth="1"/>
    <col min="1011" max="1011" width="6" style="4" customWidth="1"/>
    <col min="1012" max="1264" width="9.140625" style="4"/>
    <col min="1265" max="1265" width="108.5703125" style="4" customWidth="1"/>
    <col min="1266" max="1266" width="1.5703125" style="4" customWidth="1"/>
    <col min="1267" max="1267" width="6" style="4" customWidth="1"/>
    <col min="1268" max="1520" width="9.140625" style="4"/>
    <col min="1521" max="1521" width="108.5703125" style="4" customWidth="1"/>
    <col min="1522" max="1522" width="1.5703125" style="4" customWidth="1"/>
    <col min="1523" max="1523" width="6" style="4" customWidth="1"/>
    <col min="1524" max="1776" width="9.140625" style="4"/>
    <col min="1777" max="1777" width="108.5703125" style="4" customWidth="1"/>
    <col min="1778" max="1778" width="1.5703125" style="4" customWidth="1"/>
    <col min="1779" max="1779" width="6" style="4" customWidth="1"/>
    <col min="1780" max="2032" width="9.140625" style="4"/>
    <col min="2033" max="2033" width="108.5703125" style="4" customWidth="1"/>
    <col min="2034" max="2034" width="1.5703125" style="4" customWidth="1"/>
    <col min="2035" max="2035" width="6" style="4" customWidth="1"/>
    <col min="2036" max="2288" width="9.140625" style="4"/>
    <col min="2289" max="2289" width="108.5703125" style="4" customWidth="1"/>
    <col min="2290" max="2290" width="1.5703125" style="4" customWidth="1"/>
    <col min="2291" max="2291" width="6" style="4" customWidth="1"/>
    <col min="2292" max="2544" width="9.140625" style="4"/>
    <col min="2545" max="2545" width="108.5703125" style="4" customWidth="1"/>
    <col min="2546" max="2546" width="1.5703125" style="4" customWidth="1"/>
    <col min="2547" max="2547" width="6" style="4" customWidth="1"/>
    <col min="2548" max="2800" width="9.140625" style="4"/>
    <col min="2801" max="2801" width="108.5703125" style="4" customWidth="1"/>
    <col min="2802" max="2802" width="1.5703125" style="4" customWidth="1"/>
    <col min="2803" max="2803" width="6" style="4" customWidth="1"/>
    <col min="2804" max="3056" width="9.140625" style="4"/>
    <col min="3057" max="3057" width="108.5703125" style="4" customWidth="1"/>
    <col min="3058" max="3058" width="1.5703125" style="4" customWidth="1"/>
    <col min="3059" max="3059" width="6" style="4" customWidth="1"/>
    <col min="3060" max="3312" width="9.140625" style="4"/>
    <col min="3313" max="3313" width="108.5703125" style="4" customWidth="1"/>
    <col min="3314" max="3314" width="1.5703125" style="4" customWidth="1"/>
    <col min="3315" max="3315" width="6" style="4" customWidth="1"/>
    <col min="3316" max="3568" width="9.140625" style="4"/>
    <col min="3569" max="3569" width="108.5703125" style="4" customWidth="1"/>
    <col min="3570" max="3570" width="1.5703125" style="4" customWidth="1"/>
    <col min="3571" max="3571" width="6" style="4" customWidth="1"/>
    <col min="3572" max="3824" width="9.140625" style="4"/>
    <col min="3825" max="3825" width="108.5703125" style="4" customWidth="1"/>
    <col min="3826" max="3826" width="1.5703125" style="4" customWidth="1"/>
    <col min="3827" max="3827" width="6" style="4" customWidth="1"/>
    <col min="3828" max="4080" width="9.140625" style="4"/>
    <col min="4081" max="4081" width="108.5703125" style="4" customWidth="1"/>
    <col min="4082" max="4082" width="1.5703125" style="4" customWidth="1"/>
    <col min="4083" max="4083" width="6" style="4" customWidth="1"/>
    <col min="4084" max="4336" width="9.140625" style="4"/>
    <col min="4337" max="4337" width="108.5703125" style="4" customWidth="1"/>
    <col min="4338" max="4338" width="1.5703125" style="4" customWidth="1"/>
    <col min="4339" max="4339" width="6" style="4" customWidth="1"/>
    <col min="4340" max="4592" width="9.140625" style="4"/>
    <col min="4593" max="4593" width="108.5703125" style="4" customWidth="1"/>
    <col min="4594" max="4594" width="1.5703125" style="4" customWidth="1"/>
    <col min="4595" max="4595" width="6" style="4" customWidth="1"/>
    <col min="4596" max="4848" width="9.140625" style="4"/>
    <col min="4849" max="4849" width="108.5703125" style="4" customWidth="1"/>
    <col min="4850" max="4850" width="1.5703125" style="4" customWidth="1"/>
    <col min="4851" max="4851" width="6" style="4" customWidth="1"/>
    <col min="4852" max="5104" width="9.140625" style="4"/>
    <col min="5105" max="5105" width="108.5703125" style="4" customWidth="1"/>
    <col min="5106" max="5106" width="1.5703125" style="4" customWidth="1"/>
    <col min="5107" max="5107" width="6" style="4" customWidth="1"/>
    <col min="5108" max="5360" width="9.140625" style="4"/>
    <col min="5361" max="5361" width="108.5703125" style="4" customWidth="1"/>
    <col min="5362" max="5362" width="1.5703125" style="4" customWidth="1"/>
    <col min="5363" max="5363" width="6" style="4" customWidth="1"/>
    <col min="5364" max="5616" width="9.140625" style="4"/>
    <col min="5617" max="5617" width="108.5703125" style="4" customWidth="1"/>
    <col min="5618" max="5618" width="1.5703125" style="4" customWidth="1"/>
    <col min="5619" max="5619" width="6" style="4" customWidth="1"/>
    <col min="5620" max="5872" width="9.140625" style="4"/>
    <col min="5873" max="5873" width="108.5703125" style="4" customWidth="1"/>
    <col min="5874" max="5874" width="1.5703125" style="4" customWidth="1"/>
    <col min="5875" max="5875" width="6" style="4" customWidth="1"/>
    <col min="5876" max="6128" width="9.140625" style="4"/>
    <col min="6129" max="6129" width="108.5703125" style="4" customWidth="1"/>
    <col min="6130" max="6130" width="1.5703125" style="4" customWidth="1"/>
    <col min="6131" max="6131" width="6" style="4" customWidth="1"/>
    <col min="6132" max="6384" width="9.140625" style="4"/>
    <col min="6385" max="6385" width="108.5703125" style="4" customWidth="1"/>
    <col min="6386" max="6386" width="1.5703125" style="4" customWidth="1"/>
    <col min="6387" max="6387" width="6" style="4" customWidth="1"/>
    <col min="6388" max="6640" width="9.140625" style="4"/>
    <col min="6641" max="6641" width="108.5703125" style="4" customWidth="1"/>
    <col min="6642" max="6642" width="1.5703125" style="4" customWidth="1"/>
    <col min="6643" max="6643" width="6" style="4" customWidth="1"/>
    <col min="6644" max="6896" width="9.140625" style="4"/>
    <col min="6897" max="6897" width="108.5703125" style="4" customWidth="1"/>
    <col min="6898" max="6898" width="1.5703125" style="4" customWidth="1"/>
    <col min="6899" max="6899" width="6" style="4" customWidth="1"/>
    <col min="6900" max="7152" width="9.140625" style="4"/>
    <col min="7153" max="7153" width="108.5703125" style="4" customWidth="1"/>
    <col min="7154" max="7154" width="1.5703125" style="4" customWidth="1"/>
    <col min="7155" max="7155" width="6" style="4" customWidth="1"/>
    <col min="7156" max="7408" width="9.140625" style="4"/>
    <col min="7409" max="7409" width="108.5703125" style="4" customWidth="1"/>
    <col min="7410" max="7410" width="1.5703125" style="4" customWidth="1"/>
    <col min="7411" max="7411" width="6" style="4" customWidth="1"/>
    <col min="7412" max="7664" width="9.140625" style="4"/>
    <col min="7665" max="7665" width="108.5703125" style="4" customWidth="1"/>
    <col min="7666" max="7666" width="1.5703125" style="4" customWidth="1"/>
    <col min="7667" max="7667" width="6" style="4" customWidth="1"/>
    <col min="7668" max="7920" width="9.140625" style="4"/>
    <col min="7921" max="7921" width="108.5703125" style="4" customWidth="1"/>
    <col min="7922" max="7922" width="1.5703125" style="4" customWidth="1"/>
    <col min="7923" max="7923" width="6" style="4" customWidth="1"/>
    <col min="7924" max="8176" width="9.140625" style="4"/>
    <col min="8177" max="8177" width="108.5703125" style="4" customWidth="1"/>
    <col min="8178" max="8178" width="1.5703125" style="4" customWidth="1"/>
    <col min="8179" max="8179" width="6" style="4" customWidth="1"/>
    <col min="8180" max="8432" width="9.140625" style="4"/>
    <col min="8433" max="8433" width="108.5703125" style="4" customWidth="1"/>
    <col min="8434" max="8434" width="1.5703125" style="4" customWidth="1"/>
    <col min="8435" max="8435" width="6" style="4" customWidth="1"/>
    <col min="8436" max="8688" width="9.140625" style="4"/>
    <col min="8689" max="8689" width="108.5703125" style="4" customWidth="1"/>
    <col min="8690" max="8690" width="1.5703125" style="4" customWidth="1"/>
    <col min="8691" max="8691" width="6" style="4" customWidth="1"/>
    <col min="8692" max="8944" width="9.140625" style="4"/>
    <col min="8945" max="8945" width="108.5703125" style="4" customWidth="1"/>
    <col min="8946" max="8946" width="1.5703125" style="4" customWidth="1"/>
    <col min="8947" max="8947" width="6" style="4" customWidth="1"/>
    <col min="8948" max="9200" width="9.140625" style="4"/>
    <col min="9201" max="9201" width="108.5703125" style="4" customWidth="1"/>
    <col min="9202" max="9202" width="1.5703125" style="4" customWidth="1"/>
    <col min="9203" max="9203" width="6" style="4" customWidth="1"/>
    <col min="9204" max="9456" width="9.140625" style="4"/>
    <col min="9457" max="9457" width="108.5703125" style="4" customWidth="1"/>
    <col min="9458" max="9458" width="1.5703125" style="4" customWidth="1"/>
    <col min="9459" max="9459" width="6" style="4" customWidth="1"/>
    <col min="9460" max="9712" width="9.140625" style="4"/>
    <col min="9713" max="9713" width="108.5703125" style="4" customWidth="1"/>
    <col min="9714" max="9714" width="1.5703125" style="4" customWidth="1"/>
    <col min="9715" max="9715" width="6" style="4" customWidth="1"/>
    <col min="9716" max="9968" width="9.140625" style="4"/>
    <col min="9969" max="9969" width="108.5703125" style="4" customWidth="1"/>
    <col min="9970" max="9970" width="1.5703125" style="4" customWidth="1"/>
    <col min="9971" max="9971" width="6" style="4" customWidth="1"/>
    <col min="9972" max="10224" width="9.140625" style="4"/>
    <col min="10225" max="10225" width="108.5703125" style="4" customWidth="1"/>
    <col min="10226" max="10226" width="1.5703125" style="4" customWidth="1"/>
    <col min="10227" max="10227" width="6" style="4" customWidth="1"/>
    <col min="10228" max="10480" width="9.140625" style="4"/>
    <col min="10481" max="10481" width="108.5703125" style="4" customWidth="1"/>
    <col min="10482" max="10482" width="1.5703125" style="4" customWidth="1"/>
    <col min="10483" max="10483" width="6" style="4" customWidth="1"/>
    <col min="10484" max="10736" width="9.140625" style="4"/>
    <col min="10737" max="10737" width="108.5703125" style="4" customWidth="1"/>
    <col min="10738" max="10738" width="1.5703125" style="4" customWidth="1"/>
    <col min="10739" max="10739" width="6" style="4" customWidth="1"/>
    <col min="10740" max="10992" width="9.140625" style="4"/>
    <col min="10993" max="10993" width="108.5703125" style="4" customWidth="1"/>
    <col min="10994" max="10994" width="1.5703125" style="4" customWidth="1"/>
    <col min="10995" max="10995" width="6" style="4" customWidth="1"/>
    <col min="10996" max="11248" width="9.140625" style="4"/>
    <col min="11249" max="11249" width="108.5703125" style="4" customWidth="1"/>
    <col min="11250" max="11250" width="1.5703125" style="4" customWidth="1"/>
    <col min="11251" max="11251" width="6" style="4" customWidth="1"/>
    <col min="11252" max="11504" width="9.140625" style="4"/>
    <col min="11505" max="11505" width="108.5703125" style="4" customWidth="1"/>
    <col min="11506" max="11506" width="1.5703125" style="4" customWidth="1"/>
    <col min="11507" max="11507" width="6" style="4" customWidth="1"/>
    <col min="11508" max="11760" width="9.140625" style="4"/>
    <col min="11761" max="11761" width="108.5703125" style="4" customWidth="1"/>
    <col min="11762" max="11762" width="1.5703125" style="4" customWidth="1"/>
    <col min="11763" max="11763" width="6" style="4" customWidth="1"/>
    <col min="11764" max="12016" width="9.140625" style="4"/>
    <col min="12017" max="12017" width="108.5703125" style="4" customWidth="1"/>
    <col min="12018" max="12018" width="1.5703125" style="4" customWidth="1"/>
    <col min="12019" max="12019" width="6" style="4" customWidth="1"/>
    <col min="12020" max="12272" width="9.140625" style="4"/>
    <col min="12273" max="12273" width="108.5703125" style="4" customWidth="1"/>
    <col min="12274" max="12274" width="1.5703125" style="4" customWidth="1"/>
    <col min="12275" max="12275" width="6" style="4" customWidth="1"/>
    <col min="12276" max="12528" width="9.140625" style="4"/>
    <col min="12529" max="12529" width="108.5703125" style="4" customWidth="1"/>
    <col min="12530" max="12530" width="1.5703125" style="4" customWidth="1"/>
    <col min="12531" max="12531" width="6" style="4" customWidth="1"/>
    <col min="12532" max="12784" width="9.140625" style="4"/>
    <col min="12785" max="12785" width="108.5703125" style="4" customWidth="1"/>
    <col min="12786" max="12786" width="1.5703125" style="4" customWidth="1"/>
    <col min="12787" max="12787" width="6" style="4" customWidth="1"/>
    <col min="12788" max="13040" width="9.140625" style="4"/>
    <col min="13041" max="13041" width="108.5703125" style="4" customWidth="1"/>
    <col min="13042" max="13042" width="1.5703125" style="4" customWidth="1"/>
    <col min="13043" max="13043" width="6" style="4" customWidth="1"/>
    <col min="13044" max="13296" width="9.140625" style="4"/>
    <col min="13297" max="13297" width="108.5703125" style="4" customWidth="1"/>
    <col min="13298" max="13298" width="1.5703125" style="4" customWidth="1"/>
    <col min="13299" max="13299" width="6" style="4" customWidth="1"/>
    <col min="13300" max="13552" width="9.140625" style="4"/>
    <col min="13553" max="13553" width="108.5703125" style="4" customWidth="1"/>
    <col min="13554" max="13554" width="1.5703125" style="4" customWidth="1"/>
    <col min="13555" max="13555" width="6" style="4" customWidth="1"/>
    <col min="13556" max="13808" width="9.140625" style="4"/>
    <col min="13809" max="13809" width="108.5703125" style="4" customWidth="1"/>
    <col min="13810" max="13810" width="1.5703125" style="4" customWidth="1"/>
    <col min="13811" max="13811" width="6" style="4" customWidth="1"/>
    <col min="13812" max="14064" width="9.140625" style="4"/>
    <col min="14065" max="14065" width="108.5703125" style="4" customWidth="1"/>
    <col min="14066" max="14066" width="1.5703125" style="4" customWidth="1"/>
    <col min="14067" max="14067" width="6" style="4" customWidth="1"/>
    <col min="14068" max="14320" width="9.140625" style="4"/>
    <col min="14321" max="14321" width="108.5703125" style="4" customWidth="1"/>
    <col min="14322" max="14322" width="1.5703125" style="4" customWidth="1"/>
    <col min="14323" max="14323" width="6" style="4" customWidth="1"/>
    <col min="14324" max="14576" width="9.140625" style="4"/>
    <col min="14577" max="14577" width="108.5703125" style="4" customWidth="1"/>
    <col min="14578" max="14578" width="1.5703125" style="4" customWidth="1"/>
    <col min="14579" max="14579" width="6" style="4" customWidth="1"/>
    <col min="14580" max="14832" width="9.140625" style="4"/>
    <col min="14833" max="14833" width="108.5703125" style="4" customWidth="1"/>
    <col min="14834" max="14834" width="1.5703125" style="4" customWidth="1"/>
    <col min="14835" max="14835" width="6" style="4" customWidth="1"/>
    <col min="14836" max="15088" width="9.140625" style="4"/>
    <col min="15089" max="15089" width="108.5703125" style="4" customWidth="1"/>
    <col min="15090" max="15090" width="1.5703125" style="4" customWidth="1"/>
    <col min="15091" max="15091" width="6" style="4" customWidth="1"/>
    <col min="15092" max="15344" width="9.140625" style="4"/>
    <col min="15345" max="15345" width="108.5703125" style="4" customWidth="1"/>
    <col min="15346" max="15346" width="1.5703125" style="4" customWidth="1"/>
    <col min="15347" max="15347" width="6" style="4" customWidth="1"/>
    <col min="15348" max="15600" width="9.140625" style="4"/>
    <col min="15601" max="15601" width="108.5703125" style="4" customWidth="1"/>
    <col min="15602" max="15602" width="1.5703125" style="4" customWidth="1"/>
    <col min="15603" max="15603" width="6" style="4" customWidth="1"/>
    <col min="15604" max="15856" width="9.140625" style="4"/>
    <col min="15857" max="15857" width="108.5703125" style="4" customWidth="1"/>
    <col min="15858" max="15858" width="1.5703125" style="4" customWidth="1"/>
    <col min="15859" max="15859" width="6" style="4" customWidth="1"/>
    <col min="15860" max="16112" width="9.140625" style="4"/>
    <col min="16113" max="16113" width="108.5703125" style="4" customWidth="1"/>
    <col min="16114" max="16114" width="1.5703125" style="4" customWidth="1"/>
    <col min="16115" max="16115" width="6" style="4" customWidth="1"/>
    <col min="16116" max="16384" width="9.140625" style="4"/>
  </cols>
  <sheetData>
    <row r="1" spans="1:11" x14ac:dyDescent="0.3">
      <c r="A1" s="8" t="s">
        <v>309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3" spans="1:11" x14ac:dyDescent="0.3">
      <c r="A3" s="48" t="s">
        <v>129</v>
      </c>
      <c r="B3" s="20">
        <v>2017</v>
      </c>
      <c r="C3" s="20">
        <v>2018</v>
      </c>
      <c r="D3" s="20">
        <v>2019</v>
      </c>
      <c r="E3" s="20">
        <v>2020</v>
      </c>
      <c r="F3" s="20">
        <v>2021</v>
      </c>
      <c r="G3" s="20">
        <v>2022</v>
      </c>
    </row>
    <row r="4" spans="1:11" x14ac:dyDescent="0.3">
      <c r="A4" s="71" t="s">
        <v>87</v>
      </c>
      <c r="B4" s="53">
        <v>107.7</v>
      </c>
      <c r="C4" s="53">
        <v>111</v>
      </c>
      <c r="D4" s="53">
        <v>113.7</v>
      </c>
      <c r="E4" s="53">
        <v>113.2</v>
      </c>
      <c r="F4" s="53">
        <v>117.4</v>
      </c>
      <c r="G4" s="53">
        <v>114.3</v>
      </c>
    </row>
    <row r="5" spans="1:11" x14ac:dyDescent="0.3">
      <c r="A5" s="71" t="s">
        <v>50</v>
      </c>
      <c r="B5" s="53">
        <v>122.8</v>
      </c>
      <c r="C5" s="53">
        <v>126.2</v>
      </c>
      <c r="D5" s="53">
        <v>129</v>
      </c>
      <c r="E5" s="53">
        <v>130.4</v>
      </c>
      <c r="F5" s="53">
        <v>132.69999999999999</v>
      </c>
      <c r="G5" s="53">
        <v>128.30000000000001</v>
      </c>
    </row>
    <row r="6" spans="1:11" x14ac:dyDescent="0.3">
      <c r="A6" s="71" t="s">
        <v>48</v>
      </c>
      <c r="B6" s="53">
        <v>131.5</v>
      </c>
      <c r="C6" s="53">
        <v>137.9</v>
      </c>
      <c r="D6" s="53">
        <v>144.80000000000001</v>
      </c>
      <c r="E6" s="53">
        <v>150.9</v>
      </c>
      <c r="F6" s="53">
        <v>152.6</v>
      </c>
      <c r="G6" s="53">
        <v>155.5</v>
      </c>
    </row>
    <row r="7" spans="1:11" x14ac:dyDescent="0.3">
      <c r="A7" s="71" t="s">
        <v>20</v>
      </c>
      <c r="B7" s="53">
        <v>108.6</v>
      </c>
      <c r="C7" s="53">
        <v>109.5</v>
      </c>
      <c r="D7" s="53">
        <v>113.9</v>
      </c>
      <c r="E7" s="53">
        <v>119.4</v>
      </c>
      <c r="F7" s="53">
        <v>137.30000000000001</v>
      </c>
      <c r="G7" s="53">
        <v>123.6</v>
      </c>
    </row>
    <row r="8" spans="1:11" x14ac:dyDescent="0.3">
      <c r="A8" s="71" t="s">
        <v>4</v>
      </c>
      <c r="B8" s="53">
        <v>124.5</v>
      </c>
      <c r="C8" s="53">
        <v>127.9</v>
      </c>
      <c r="D8" s="53">
        <v>130.5</v>
      </c>
      <c r="E8" s="53">
        <v>128.19999999999999</v>
      </c>
      <c r="F8" s="53">
        <v>130</v>
      </c>
      <c r="G8" s="53">
        <v>123</v>
      </c>
    </row>
    <row r="9" spans="1:11" x14ac:dyDescent="0.3">
      <c r="A9" s="71" t="s">
        <v>45</v>
      </c>
      <c r="B9" s="53">
        <v>96.4</v>
      </c>
      <c r="C9" s="53">
        <v>98.6</v>
      </c>
      <c r="D9" s="53">
        <v>101.1</v>
      </c>
      <c r="E9" s="53">
        <v>106.9</v>
      </c>
      <c r="F9" s="53">
        <v>105.1</v>
      </c>
      <c r="G9" s="53">
        <v>104.6</v>
      </c>
    </row>
    <row r="10" spans="1:11" x14ac:dyDescent="0.3">
      <c r="A10" s="71" t="s">
        <v>40</v>
      </c>
      <c r="B10" s="53">
        <v>119.3</v>
      </c>
      <c r="C10" s="53">
        <v>122.8</v>
      </c>
      <c r="D10" s="53">
        <v>127.7</v>
      </c>
      <c r="E10" s="53">
        <v>128.1</v>
      </c>
      <c r="F10" s="53">
        <v>134.4</v>
      </c>
      <c r="G10" s="53">
        <v>120.2</v>
      </c>
    </row>
    <row r="11" spans="1:11" x14ac:dyDescent="0.3">
      <c r="A11" s="71" t="s">
        <v>37</v>
      </c>
      <c r="B11" s="53">
        <v>118.2</v>
      </c>
      <c r="C11" s="53">
        <v>119.7</v>
      </c>
      <c r="D11" s="53">
        <v>123.1</v>
      </c>
      <c r="E11" s="53">
        <v>122.5</v>
      </c>
      <c r="F11" s="53">
        <v>127.6</v>
      </c>
      <c r="G11" s="53">
        <v>123.9</v>
      </c>
    </row>
    <row r="12" spans="1:11" x14ac:dyDescent="0.3">
      <c r="A12" s="71" t="s">
        <v>56</v>
      </c>
      <c r="B12" s="53">
        <v>128.19999999999999</v>
      </c>
      <c r="C12" s="53">
        <v>133.69999999999999</v>
      </c>
      <c r="D12" s="53">
        <v>138.19999999999999</v>
      </c>
      <c r="E12" s="53">
        <v>146.80000000000001</v>
      </c>
      <c r="F12" s="53">
        <v>149.30000000000001</v>
      </c>
      <c r="G12" s="53">
        <v>138.6</v>
      </c>
    </row>
    <row r="13" spans="1:11" x14ac:dyDescent="0.3">
      <c r="A13" s="71" t="s">
        <v>51</v>
      </c>
      <c r="B13" s="53">
        <v>117.1</v>
      </c>
      <c r="C13" s="53">
        <v>119.3</v>
      </c>
      <c r="D13" s="53">
        <v>116.6</v>
      </c>
      <c r="E13" s="53">
        <v>120.7</v>
      </c>
      <c r="F13" s="53">
        <v>125.3</v>
      </c>
      <c r="G13" s="53">
        <v>116.9</v>
      </c>
    </row>
    <row r="14" spans="1:11" x14ac:dyDescent="0.3">
      <c r="A14" s="71" t="s">
        <v>21</v>
      </c>
      <c r="B14" s="53">
        <v>113.4</v>
      </c>
      <c r="C14" s="53">
        <v>116.3</v>
      </c>
      <c r="D14" s="53">
        <v>121.1</v>
      </c>
      <c r="E14" s="53">
        <v>120.3</v>
      </c>
      <c r="F14" s="53">
        <v>131.5</v>
      </c>
      <c r="G14" s="53">
        <v>126.9</v>
      </c>
    </row>
    <row r="15" spans="1:11" x14ac:dyDescent="0.3">
      <c r="A15" s="71" t="s">
        <v>70</v>
      </c>
      <c r="B15" s="53">
        <v>114.7</v>
      </c>
      <c r="C15" s="53">
        <v>117.7</v>
      </c>
      <c r="D15" s="53">
        <v>127.1</v>
      </c>
      <c r="E15" s="53">
        <v>129.30000000000001</v>
      </c>
      <c r="F15" s="53">
        <v>129.30000000000001</v>
      </c>
      <c r="G15" s="53">
        <v>124.4</v>
      </c>
    </row>
    <row r="16" spans="1:11" x14ac:dyDescent="0.3">
      <c r="A16" s="71" t="s">
        <v>59</v>
      </c>
      <c r="B16" s="53">
        <v>105.9</v>
      </c>
      <c r="C16" s="53">
        <v>108.9</v>
      </c>
      <c r="D16" s="53">
        <v>111.6</v>
      </c>
      <c r="E16" s="53">
        <v>118.2</v>
      </c>
      <c r="F16" s="53">
        <v>120.2</v>
      </c>
      <c r="G16" s="53">
        <v>121.5</v>
      </c>
    </row>
    <row r="17" spans="1:7" x14ac:dyDescent="0.3">
      <c r="A17" s="71" t="s">
        <v>43</v>
      </c>
      <c r="B17" s="53">
        <v>118.9</v>
      </c>
      <c r="C17" s="53">
        <v>126.3</v>
      </c>
      <c r="D17" s="53">
        <v>131.19999999999999</v>
      </c>
      <c r="E17" s="53">
        <v>133.30000000000001</v>
      </c>
      <c r="F17" s="53">
        <v>135.6</v>
      </c>
      <c r="G17" s="53">
        <v>131.30000000000001</v>
      </c>
    </row>
    <row r="18" spans="1:7" x14ac:dyDescent="0.3">
      <c r="A18" s="71" t="s">
        <v>15</v>
      </c>
      <c r="B18" s="53">
        <v>143.5</v>
      </c>
      <c r="C18" s="53">
        <v>149.1</v>
      </c>
      <c r="D18" s="53">
        <v>146.30000000000001</v>
      </c>
      <c r="E18" s="53">
        <v>147.6</v>
      </c>
      <c r="F18" s="53">
        <v>144.4</v>
      </c>
      <c r="G18" s="53">
        <v>139.1</v>
      </c>
    </row>
    <row r="19" spans="1:7" x14ac:dyDescent="0.3">
      <c r="A19" s="71" t="s">
        <v>38</v>
      </c>
      <c r="B19" s="53">
        <v>109.3</v>
      </c>
      <c r="C19" s="53">
        <v>113.8</v>
      </c>
      <c r="D19" s="53">
        <v>113.1</v>
      </c>
      <c r="E19" s="53">
        <v>111.4</v>
      </c>
      <c r="F19" s="53">
        <v>115.4</v>
      </c>
      <c r="G19" s="53">
        <v>111.9</v>
      </c>
    </row>
    <row r="20" spans="1:7" x14ac:dyDescent="0.3">
      <c r="A20" s="71" t="s">
        <v>39</v>
      </c>
      <c r="B20" s="53">
        <v>136.30000000000001</v>
      </c>
      <c r="C20" s="53">
        <v>141.6</v>
      </c>
      <c r="D20" s="53">
        <v>143.69999999999999</v>
      </c>
      <c r="E20" s="53">
        <v>149.19999999999999</v>
      </c>
      <c r="F20" s="53">
        <v>156.1</v>
      </c>
      <c r="G20" s="53">
        <v>162.69999999999999</v>
      </c>
    </row>
    <row r="21" spans="1:7" x14ac:dyDescent="0.3">
      <c r="A21" s="71" t="s">
        <v>78</v>
      </c>
      <c r="B21" s="53">
        <v>116.6</v>
      </c>
      <c r="C21" s="53">
        <v>120</v>
      </c>
      <c r="D21" s="53">
        <v>122.2</v>
      </c>
      <c r="E21" s="53">
        <v>126.4</v>
      </c>
      <c r="F21" s="53">
        <v>128.80000000000001</v>
      </c>
      <c r="G21" s="53">
        <v>126.9</v>
      </c>
    </row>
    <row r="22" spans="1:7" x14ac:dyDescent="0.3">
      <c r="A22" s="71" t="s">
        <v>13</v>
      </c>
      <c r="B22" s="53">
        <v>97.2</v>
      </c>
      <c r="C22" s="53">
        <v>99</v>
      </c>
      <c r="D22" s="53">
        <v>99.9</v>
      </c>
      <c r="E22" s="53">
        <v>102.4</v>
      </c>
      <c r="F22" s="53">
        <v>112.2</v>
      </c>
      <c r="G22" s="53">
        <v>113.7</v>
      </c>
    </row>
    <row r="23" spans="1:7" x14ac:dyDescent="0.3">
      <c r="A23" s="71" t="s">
        <v>71</v>
      </c>
      <c r="B23" s="53">
        <v>117.9</v>
      </c>
      <c r="C23" s="53">
        <v>120.4</v>
      </c>
      <c r="D23" s="53">
        <v>121.5</v>
      </c>
      <c r="E23" s="53">
        <v>123.9</v>
      </c>
      <c r="F23" s="53">
        <v>124.4</v>
      </c>
      <c r="G23" s="53">
        <v>112.7</v>
      </c>
    </row>
    <row r="24" spans="1:7" x14ac:dyDescent="0.3">
      <c r="A24" s="71" t="s">
        <v>65</v>
      </c>
      <c r="B24" s="53">
        <v>102.1</v>
      </c>
      <c r="C24" s="53">
        <v>102.1</v>
      </c>
      <c r="D24" s="53">
        <v>104.9</v>
      </c>
      <c r="E24" s="53">
        <v>102.3</v>
      </c>
      <c r="F24" s="53">
        <v>105.3</v>
      </c>
      <c r="G24" s="53">
        <v>107.5</v>
      </c>
    </row>
    <row r="25" spans="1:7" x14ac:dyDescent="0.3">
      <c r="A25" s="71" t="s">
        <v>53</v>
      </c>
      <c r="B25" s="53">
        <v>120.4</v>
      </c>
      <c r="C25" s="53">
        <v>122.2</v>
      </c>
      <c r="D25" s="53">
        <v>126.7</v>
      </c>
      <c r="E25" s="53">
        <v>120.9</v>
      </c>
      <c r="F25" s="53">
        <v>125.4</v>
      </c>
      <c r="G25" s="53">
        <v>128</v>
      </c>
    </row>
    <row r="26" spans="1:7" x14ac:dyDescent="0.3">
      <c r="A26" s="71" t="s">
        <v>7</v>
      </c>
      <c r="B26" s="53">
        <v>113.9</v>
      </c>
      <c r="C26" s="53">
        <v>107.4</v>
      </c>
      <c r="D26" s="53">
        <v>108.2</v>
      </c>
      <c r="E26" s="53">
        <v>93.3</v>
      </c>
      <c r="F26" s="53">
        <v>105.1</v>
      </c>
      <c r="G26" s="53">
        <v>113.4</v>
      </c>
    </row>
    <row r="27" spans="1:7" x14ac:dyDescent="0.3">
      <c r="A27" s="71" t="s">
        <v>80</v>
      </c>
      <c r="B27" s="53">
        <v>110.3</v>
      </c>
      <c r="C27" s="53">
        <v>115</v>
      </c>
      <c r="D27" s="53">
        <v>116.7</v>
      </c>
      <c r="E27" s="53">
        <v>114.7</v>
      </c>
      <c r="F27" s="53">
        <v>119.5</v>
      </c>
      <c r="G27" s="53">
        <v>113.6</v>
      </c>
    </row>
    <row r="28" spans="1:7" x14ac:dyDescent="0.3">
      <c r="A28" s="71" t="s">
        <v>69</v>
      </c>
      <c r="B28" s="53">
        <v>114.8</v>
      </c>
      <c r="C28" s="53">
        <v>118.6</v>
      </c>
      <c r="D28" s="53">
        <v>119.9</v>
      </c>
      <c r="E28" s="53">
        <v>120.6</v>
      </c>
      <c r="F28" s="53">
        <v>127.8</v>
      </c>
      <c r="G28" s="53">
        <v>116.9</v>
      </c>
    </row>
    <row r="29" spans="1:7" x14ac:dyDescent="0.3">
      <c r="A29" s="71" t="s">
        <v>33</v>
      </c>
      <c r="B29" s="53">
        <v>119.7</v>
      </c>
      <c r="C29" s="53">
        <v>126.5</v>
      </c>
      <c r="D29" s="53">
        <v>129.80000000000001</v>
      </c>
      <c r="E29" s="53">
        <v>129.4</v>
      </c>
      <c r="F29" s="53">
        <v>135.9</v>
      </c>
      <c r="G29" s="53">
        <v>127.5</v>
      </c>
    </row>
    <row r="30" spans="1:7" x14ac:dyDescent="0.3">
      <c r="A30" s="71" t="s">
        <v>30</v>
      </c>
      <c r="B30" s="53">
        <v>118.2</v>
      </c>
      <c r="C30" s="53">
        <v>120.1</v>
      </c>
      <c r="D30" s="53">
        <v>127.4</v>
      </c>
      <c r="E30" s="53">
        <v>145.9</v>
      </c>
      <c r="F30" s="53">
        <v>152.19999999999999</v>
      </c>
      <c r="G30" s="53">
        <v>147.80000000000001</v>
      </c>
    </row>
    <row r="31" spans="1:7" x14ac:dyDescent="0.3">
      <c r="A31" s="71" t="s">
        <v>52</v>
      </c>
      <c r="B31" s="53">
        <v>135</v>
      </c>
      <c r="C31" s="53">
        <v>135.69999999999999</v>
      </c>
      <c r="D31" s="53">
        <v>141.5</v>
      </c>
      <c r="E31" s="53">
        <v>148.30000000000001</v>
      </c>
      <c r="F31" s="53">
        <v>152.19999999999999</v>
      </c>
      <c r="G31" s="53">
        <v>149.30000000000001</v>
      </c>
    </row>
    <row r="32" spans="1:7" x14ac:dyDescent="0.3">
      <c r="A32" s="71" t="s">
        <v>31</v>
      </c>
      <c r="B32" s="53">
        <v>107.2</v>
      </c>
      <c r="C32" s="53">
        <v>107.3</v>
      </c>
      <c r="D32" s="53">
        <v>109.4</v>
      </c>
      <c r="E32" s="53">
        <v>108.5</v>
      </c>
      <c r="F32" s="53">
        <v>110</v>
      </c>
      <c r="G32" s="53">
        <v>109.9</v>
      </c>
    </row>
    <row r="33" spans="1:7" x14ac:dyDescent="0.3">
      <c r="A33" s="71" t="s">
        <v>32</v>
      </c>
      <c r="B33" s="53">
        <v>106.9</v>
      </c>
      <c r="C33" s="53">
        <v>111.8</v>
      </c>
      <c r="D33" s="53">
        <v>113.4</v>
      </c>
      <c r="E33" s="53">
        <v>111.9</v>
      </c>
      <c r="F33" s="53">
        <v>134.6</v>
      </c>
      <c r="G33" s="53">
        <v>130.80000000000001</v>
      </c>
    </row>
    <row r="34" spans="1:7" x14ac:dyDescent="0.3">
      <c r="A34" s="71" t="s">
        <v>26</v>
      </c>
      <c r="B34" s="53">
        <v>120.6</v>
      </c>
      <c r="C34" s="53">
        <v>126</v>
      </c>
      <c r="D34" s="53">
        <v>131.80000000000001</v>
      </c>
      <c r="E34" s="53">
        <v>139.6</v>
      </c>
      <c r="F34" s="53">
        <v>143.80000000000001</v>
      </c>
      <c r="G34" s="53">
        <v>150.6</v>
      </c>
    </row>
    <row r="35" spans="1:7" x14ac:dyDescent="0.3">
      <c r="A35" s="71" t="s">
        <v>27</v>
      </c>
      <c r="B35" s="53">
        <v>105.5</v>
      </c>
      <c r="C35" s="53">
        <v>108.6</v>
      </c>
      <c r="D35" s="53">
        <v>110.3</v>
      </c>
      <c r="E35" s="53">
        <v>107.3</v>
      </c>
      <c r="F35" s="53">
        <v>105.4</v>
      </c>
      <c r="G35" s="53">
        <v>109.7</v>
      </c>
    </row>
    <row r="36" spans="1:7" x14ac:dyDescent="0.3">
      <c r="A36" s="71" t="s">
        <v>89</v>
      </c>
      <c r="B36" s="53">
        <v>0</v>
      </c>
      <c r="C36" s="53">
        <v>0</v>
      </c>
      <c r="D36" s="53">
        <v>0</v>
      </c>
      <c r="E36" s="53">
        <v>0</v>
      </c>
      <c r="F36" s="53">
        <v>0</v>
      </c>
      <c r="G36" s="53">
        <v>0</v>
      </c>
    </row>
    <row r="37" spans="1:7" x14ac:dyDescent="0.3">
      <c r="A37" s="71" t="s">
        <v>28</v>
      </c>
      <c r="B37" s="53">
        <v>108</v>
      </c>
      <c r="C37" s="53">
        <v>108.3</v>
      </c>
      <c r="D37" s="53">
        <v>107.1</v>
      </c>
      <c r="E37" s="53">
        <v>105.2</v>
      </c>
      <c r="F37" s="53">
        <v>109.8</v>
      </c>
      <c r="G37" s="53">
        <v>112.7</v>
      </c>
    </row>
    <row r="38" spans="1:7" x14ac:dyDescent="0.3">
      <c r="A38" s="71" t="s">
        <v>25</v>
      </c>
      <c r="B38" s="53">
        <v>148.69999999999999</v>
      </c>
      <c r="C38" s="53">
        <v>158.4</v>
      </c>
      <c r="D38" s="53">
        <v>167.4</v>
      </c>
      <c r="E38" s="53">
        <v>179.8</v>
      </c>
      <c r="F38" s="53">
        <v>168.1</v>
      </c>
      <c r="G38" s="53">
        <v>164.1</v>
      </c>
    </row>
    <row r="39" spans="1:7" x14ac:dyDescent="0.3">
      <c r="A39" s="71" t="s">
        <v>22</v>
      </c>
      <c r="B39" s="53">
        <v>109.2</v>
      </c>
      <c r="C39" s="53">
        <v>108.2</v>
      </c>
      <c r="D39" s="53">
        <v>110.7</v>
      </c>
      <c r="E39" s="53">
        <v>111.5</v>
      </c>
      <c r="F39" s="53">
        <v>103.8</v>
      </c>
      <c r="G39" s="53">
        <v>107</v>
      </c>
    </row>
    <row r="40" spans="1:7" x14ac:dyDescent="0.3">
      <c r="A40" s="71" t="s">
        <v>29</v>
      </c>
      <c r="B40" s="53">
        <v>120.6</v>
      </c>
      <c r="C40" s="53">
        <v>126</v>
      </c>
      <c r="D40" s="53">
        <v>130.4</v>
      </c>
      <c r="E40" s="53">
        <v>131.30000000000001</v>
      </c>
      <c r="F40" s="53">
        <v>134.69999999999999</v>
      </c>
      <c r="G40" s="53">
        <v>136.69999999999999</v>
      </c>
    </row>
    <row r="41" spans="1:7" x14ac:dyDescent="0.3">
      <c r="A41" s="71" t="s">
        <v>90</v>
      </c>
      <c r="B41" s="53">
        <v>0</v>
      </c>
      <c r="C41" s="53">
        <v>0</v>
      </c>
      <c r="D41" s="53">
        <v>0</v>
      </c>
      <c r="E41" s="53">
        <v>0</v>
      </c>
      <c r="F41" s="53">
        <v>0</v>
      </c>
      <c r="G41" s="53">
        <v>0</v>
      </c>
    </row>
    <row r="42" spans="1:7" x14ac:dyDescent="0.3">
      <c r="A42" s="71" t="s">
        <v>63</v>
      </c>
      <c r="B42" s="53">
        <v>113.5</v>
      </c>
      <c r="C42" s="53">
        <v>111.2</v>
      </c>
      <c r="D42" s="53">
        <v>112.9</v>
      </c>
      <c r="E42" s="53">
        <v>120.7</v>
      </c>
      <c r="F42" s="53">
        <v>116</v>
      </c>
      <c r="G42" s="53">
        <v>108.7</v>
      </c>
    </row>
    <row r="43" spans="1:7" x14ac:dyDescent="0.3">
      <c r="A43" s="71" t="s">
        <v>81</v>
      </c>
      <c r="B43" s="53">
        <v>106.4</v>
      </c>
      <c r="C43" s="53">
        <v>105.8</v>
      </c>
      <c r="D43" s="53">
        <v>105</v>
      </c>
      <c r="E43" s="53">
        <v>100.3</v>
      </c>
      <c r="F43" s="53">
        <v>99.7</v>
      </c>
      <c r="G43" s="53">
        <v>96.6</v>
      </c>
    </row>
    <row r="44" spans="1:7" x14ac:dyDescent="0.3">
      <c r="A44" s="71" t="s">
        <v>91</v>
      </c>
      <c r="B44" s="53">
        <v>108.7</v>
      </c>
      <c r="C44" s="53">
        <v>108.4</v>
      </c>
      <c r="D44" s="53">
        <v>107.9</v>
      </c>
      <c r="E44" s="53">
        <v>110.2</v>
      </c>
      <c r="F44" s="53">
        <v>115.5</v>
      </c>
      <c r="G44" s="53">
        <v>119.9</v>
      </c>
    </row>
    <row r="45" spans="1:7" x14ac:dyDescent="0.3">
      <c r="A45" s="71" t="s">
        <v>92</v>
      </c>
      <c r="B45" s="53">
        <v>102.9</v>
      </c>
      <c r="C45" s="53">
        <v>98.2</v>
      </c>
      <c r="D45" s="53">
        <v>102</v>
      </c>
      <c r="E45" s="53">
        <v>102</v>
      </c>
      <c r="F45" s="53">
        <v>104.9</v>
      </c>
      <c r="G45" s="53">
        <v>102.1</v>
      </c>
    </row>
    <row r="46" spans="1:7" x14ac:dyDescent="0.3">
      <c r="A46" s="71" t="s">
        <v>47</v>
      </c>
      <c r="B46" s="53">
        <v>101.4</v>
      </c>
      <c r="C46" s="53">
        <v>97.3</v>
      </c>
      <c r="D46" s="53">
        <v>105.5</v>
      </c>
      <c r="E46" s="53">
        <v>116.8</v>
      </c>
      <c r="F46" s="53">
        <v>121.7</v>
      </c>
      <c r="G46" s="53">
        <v>119.6</v>
      </c>
    </row>
    <row r="47" spans="1:7" x14ac:dyDescent="0.3">
      <c r="A47" s="71" t="s">
        <v>93</v>
      </c>
      <c r="B47" s="53">
        <v>106.4</v>
      </c>
      <c r="C47" s="53">
        <v>108.6</v>
      </c>
      <c r="D47" s="53">
        <v>111.6</v>
      </c>
      <c r="E47" s="53">
        <v>119.3</v>
      </c>
      <c r="F47" s="53">
        <v>118.5</v>
      </c>
      <c r="G47" s="53">
        <v>116.4</v>
      </c>
    </row>
    <row r="48" spans="1:7" x14ac:dyDescent="0.3">
      <c r="A48" s="71" t="s">
        <v>11</v>
      </c>
      <c r="B48" s="53">
        <v>108.9</v>
      </c>
      <c r="C48" s="53">
        <v>109.3</v>
      </c>
      <c r="D48" s="53">
        <v>110</v>
      </c>
      <c r="E48" s="53">
        <v>113</v>
      </c>
      <c r="F48" s="53">
        <v>119.3</v>
      </c>
      <c r="G48" s="53">
        <v>120.6</v>
      </c>
    </row>
    <row r="49" spans="1:7" x14ac:dyDescent="0.3">
      <c r="A49" s="71" t="s">
        <v>83</v>
      </c>
      <c r="B49" s="53">
        <v>116.4</v>
      </c>
      <c r="C49" s="53">
        <v>121.9</v>
      </c>
      <c r="D49" s="53">
        <v>127.9</v>
      </c>
      <c r="E49" s="53">
        <v>125.5</v>
      </c>
      <c r="F49" s="53">
        <v>124.1</v>
      </c>
      <c r="G49" s="53">
        <v>121.5</v>
      </c>
    </row>
    <row r="50" spans="1:7" x14ac:dyDescent="0.3">
      <c r="A50" s="71" t="s">
        <v>42</v>
      </c>
      <c r="B50" s="53">
        <v>121.2</v>
      </c>
      <c r="C50" s="53">
        <v>126.5</v>
      </c>
      <c r="D50" s="53">
        <v>129.69999999999999</v>
      </c>
      <c r="E50" s="53">
        <v>131.5</v>
      </c>
      <c r="F50" s="53">
        <v>129.1</v>
      </c>
      <c r="G50" s="53">
        <v>130.30000000000001</v>
      </c>
    </row>
    <row r="51" spans="1:7" x14ac:dyDescent="0.3">
      <c r="A51" s="71" t="s">
        <v>34</v>
      </c>
      <c r="B51" s="53">
        <v>127.2</v>
      </c>
      <c r="C51" s="53">
        <v>129.4</v>
      </c>
      <c r="D51" s="53">
        <v>132</v>
      </c>
      <c r="E51" s="53">
        <v>138.6</v>
      </c>
      <c r="F51" s="53">
        <v>139.6</v>
      </c>
      <c r="G51" s="53">
        <v>137.4</v>
      </c>
    </row>
    <row r="52" spans="1:7" x14ac:dyDescent="0.3">
      <c r="A52" s="71" t="s">
        <v>35</v>
      </c>
      <c r="B52" s="53">
        <v>114.7</v>
      </c>
      <c r="C52" s="53">
        <v>116.2</v>
      </c>
      <c r="D52" s="53">
        <v>119</v>
      </c>
      <c r="E52" s="53">
        <v>115.2</v>
      </c>
      <c r="F52" s="53">
        <v>116.6</v>
      </c>
      <c r="G52" s="53">
        <v>121.1</v>
      </c>
    </row>
    <row r="53" spans="1:7" x14ac:dyDescent="0.3">
      <c r="A53" s="71" t="s">
        <v>94</v>
      </c>
      <c r="B53" s="53">
        <v>109.6</v>
      </c>
      <c r="C53" s="53">
        <v>112.8</v>
      </c>
      <c r="D53" s="53">
        <v>113.9</v>
      </c>
      <c r="E53" s="53">
        <v>111.5</v>
      </c>
      <c r="F53" s="53">
        <v>111.2</v>
      </c>
      <c r="G53" s="53">
        <v>113.2</v>
      </c>
    </row>
    <row r="54" spans="1:7" x14ac:dyDescent="0.3">
      <c r="A54" s="71" t="s">
        <v>46</v>
      </c>
      <c r="B54" s="53">
        <v>115.8</v>
      </c>
      <c r="C54" s="53">
        <v>120.9</v>
      </c>
      <c r="D54" s="53">
        <v>127.4</v>
      </c>
      <c r="E54" s="53">
        <v>130.19999999999999</v>
      </c>
      <c r="F54" s="53">
        <v>131.1</v>
      </c>
      <c r="G54" s="53">
        <v>137.5</v>
      </c>
    </row>
    <row r="55" spans="1:7" x14ac:dyDescent="0.3">
      <c r="A55" s="71" t="s">
        <v>44</v>
      </c>
      <c r="B55" s="53">
        <v>109.1</v>
      </c>
      <c r="C55" s="53">
        <v>112.5</v>
      </c>
      <c r="D55" s="53">
        <v>116.6</v>
      </c>
      <c r="E55" s="53">
        <v>116</v>
      </c>
      <c r="F55" s="53">
        <v>115.7</v>
      </c>
      <c r="G55" s="53">
        <v>115.2</v>
      </c>
    </row>
    <row r="56" spans="1:7" x14ac:dyDescent="0.3">
      <c r="A56" s="71" t="s">
        <v>36</v>
      </c>
      <c r="B56" s="53">
        <v>111.1</v>
      </c>
      <c r="C56" s="53">
        <v>114.7</v>
      </c>
      <c r="D56" s="53">
        <v>119.1</v>
      </c>
      <c r="E56" s="53">
        <v>122.6</v>
      </c>
      <c r="F56" s="53">
        <v>128.6</v>
      </c>
      <c r="G56" s="53">
        <v>131.19999999999999</v>
      </c>
    </row>
    <row r="57" spans="1:7" x14ac:dyDescent="0.3">
      <c r="A57" s="71" t="s">
        <v>54</v>
      </c>
      <c r="B57" s="53">
        <v>117</v>
      </c>
      <c r="C57" s="53">
        <v>118.9</v>
      </c>
      <c r="D57" s="53">
        <v>122.3</v>
      </c>
      <c r="E57" s="53">
        <v>121.4</v>
      </c>
      <c r="F57" s="53">
        <v>127</v>
      </c>
      <c r="G57" s="53">
        <v>130</v>
      </c>
    </row>
    <row r="58" spans="1:7" x14ac:dyDescent="0.3">
      <c r="A58" s="71" t="s">
        <v>23</v>
      </c>
      <c r="B58" s="53">
        <v>108.6</v>
      </c>
      <c r="C58" s="53">
        <v>111.6</v>
      </c>
      <c r="D58" s="53">
        <v>118.3</v>
      </c>
      <c r="E58" s="53">
        <v>122.2</v>
      </c>
      <c r="F58" s="53">
        <v>121.2</v>
      </c>
      <c r="G58" s="53">
        <v>124.6</v>
      </c>
    </row>
    <row r="59" spans="1:7" x14ac:dyDescent="0.3">
      <c r="A59" s="71" t="s">
        <v>49</v>
      </c>
      <c r="B59" s="53">
        <v>121.9</v>
      </c>
      <c r="C59" s="53">
        <v>127.6</v>
      </c>
      <c r="D59" s="53">
        <v>135.6</v>
      </c>
      <c r="E59" s="53">
        <v>147.4</v>
      </c>
      <c r="F59" s="53">
        <v>145</v>
      </c>
      <c r="G59" s="53">
        <v>147.9</v>
      </c>
    </row>
    <row r="60" spans="1:7" x14ac:dyDescent="0.3">
      <c r="A60" s="71" t="s">
        <v>24</v>
      </c>
      <c r="B60" s="53">
        <v>112.1</v>
      </c>
      <c r="C60" s="53">
        <v>112.9</v>
      </c>
      <c r="D60" s="53">
        <v>117</v>
      </c>
      <c r="E60" s="53">
        <v>111.2</v>
      </c>
      <c r="F60" s="53">
        <v>115.5</v>
      </c>
      <c r="G60" s="53">
        <v>114.1</v>
      </c>
    </row>
    <row r="61" spans="1:7" x14ac:dyDescent="0.3">
      <c r="A61" s="71" t="s">
        <v>68</v>
      </c>
      <c r="B61" s="53">
        <v>121.3</v>
      </c>
      <c r="C61" s="53">
        <v>124.3</v>
      </c>
      <c r="D61" s="53">
        <v>124.5</v>
      </c>
      <c r="E61" s="53">
        <v>130.5</v>
      </c>
      <c r="F61" s="53">
        <v>127.1</v>
      </c>
      <c r="G61" s="53">
        <v>127.9</v>
      </c>
    </row>
    <row r="62" spans="1:7" x14ac:dyDescent="0.3">
      <c r="A62" s="71" t="s">
        <v>41</v>
      </c>
      <c r="B62" s="53">
        <v>111.2</v>
      </c>
      <c r="C62" s="53">
        <v>113</v>
      </c>
      <c r="D62" s="53">
        <v>117.7</v>
      </c>
      <c r="E62" s="53">
        <v>122.2</v>
      </c>
      <c r="F62" s="53">
        <v>125.5</v>
      </c>
      <c r="G62" s="53">
        <v>119.9</v>
      </c>
    </row>
    <row r="63" spans="1:7" x14ac:dyDescent="0.3">
      <c r="A63" s="71" t="s">
        <v>55</v>
      </c>
      <c r="B63" s="53">
        <v>104.8</v>
      </c>
      <c r="C63" s="53">
        <v>109.1</v>
      </c>
      <c r="D63" s="53">
        <v>114.3</v>
      </c>
      <c r="E63" s="53">
        <v>109.7</v>
      </c>
      <c r="F63" s="53">
        <v>112.2</v>
      </c>
      <c r="G63" s="53">
        <v>120.2</v>
      </c>
    </row>
    <row r="64" spans="1:7" x14ac:dyDescent="0.3">
      <c r="A64" s="71" t="s">
        <v>16</v>
      </c>
      <c r="B64" s="53">
        <v>119</v>
      </c>
      <c r="C64" s="53">
        <v>122.9</v>
      </c>
      <c r="D64" s="53">
        <v>124.1</v>
      </c>
      <c r="E64" s="53">
        <v>123.5</v>
      </c>
      <c r="F64" s="53">
        <v>123.6</v>
      </c>
      <c r="G64" s="53">
        <v>123.7</v>
      </c>
    </row>
    <row r="65" spans="1:7" x14ac:dyDescent="0.3">
      <c r="A65" s="71" t="s">
        <v>19</v>
      </c>
      <c r="B65" s="53">
        <v>102.7</v>
      </c>
      <c r="C65" s="53">
        <v>109.5</v>
      </c>
      <c r="D65" s="53">
        <v>110.9</v>
      </c>
      <c r="E65" s="53">
        <v>106.6</v>
      </c>
      <c r="F65" s="53">
        <v>113.3</v>
      </c>
      <c r="G65" s="53">
        <v>115.5</v>
      </c>
    </row>
    <row r="66" spans="1:7" x14ac:dyDescent="0.3">
      <c r="A66" s="71" t="s">
        <v>17</v>
      </c>
      <c r="B66" s="53">
        <v>89.6</v>
      </c>
      <c r="C66" s="53">
        <v>89.9</v>
      </c>
      <c r="D66" s="53">
        <v>89.5</v>
      </c>
      <c r="E66" s="53">
        <v>83.9</v>
      </c>
      <c r="F66" s="53">
        <v>89.3</v>
      </c>
      <c r="G66" s="53">
        <v>92.4</v>
      </c>
    </row>
    <row r="67" spans="1:7" x14ac:dyDescent="0.3">
      <c r="A67" s="71" t="s">
        <v>60</v>
      </c>
      <c r="B67" s="53">
        <v>118.4</v>
      </c>
      <c r="C67" s="53">
        <v>136.4</v>
      </c>
      <c r="D67" s="53">
        <v>142.80000000000001</v>
      </c>
      <c r="E67" s="53">
        <v>140.1</v>
      </c>
      <c r="F67" s="53">
        <v>149.19999999999999</v>
      </c>
      <c r="G67" s="53">
        <v>150.4</v>
      </c>
    </row>
    <row r="68" spans="1:7" x14ac:dyDescent="0.3">
      <c r="A68" s="71" t="s">
        <v>82</v>
      </c>
      <c r="B68" s="53">
        <v>110.9</v>
      </c>
      <c r="C68" s="53">
        <v>110.7</v>
      </c>
      <c r="D68" s="53">
        <v>109</v>
      </c>
      <c r="E68" s="53">
        <v>113.3</v>
      </c>
      <c r="F68" s="53">
        <v>118.3</v>
      </c>
      <c r="G68" s="53">
        <v>119.6</v>
      </c>
    </row>
    <row r="69" spans="1:7" x14ac:dyDescent="0.3">
      <c r="A69" s="71" t="s">
        <v>58</v>
      </c>
      <c r="B69" s="53">
        <v>115.9</v>
      </c>
      <c r="C69" s="53">
        <v>121.7</v>
      </c>
      <c r="D69" s="53">
        <v>128.30000000000001</v>
      </c>
      <c r="E69" s="53">
        <v>132.4</v>
      </c>
      <c r="F69" s="53">
        <v>137.30000000000001</v>
      </c>
      <c r="G69" s="53">
        <v>149.4</v>
      </c>
    </row>
    <row r="70" spans="1:7" x14ac:dyDescent="0.3">
      <c r="A70" s="71" t="s">
        <v>14</v>
      </c>
      <c r="B70" s="53">
        <v>113.2</v>
      </c>
      <c r="C70" s="53">
        <v>114.7</v>
      </c>
      <c r="D70" s="53">
        <v>117.9</v>
      </c>
      <c r="E70" s="53">
        <v>111.9</v>
      </c>
      <c r="F70" s="53">
        <v>108.2</v>
      </c>
      <c r="G70" s="53">
        <v>111.2</v>
      </c>
    </row>
    <row r="71" spans="1:7" x14ac:dyDescent="0.3">
      <c r="A71" s="71" t="s">
        <v>77</v>
      </c>
      <c r="B71" s="53">
        <v>122.4</v>
      </c>
      <c r="C71" s="53">
        <v>126.7</v>
      </c>
      <c r="D71" s="53">
        <v>132.80000000000001</v>
      </c>
      <c r="E71" s="53">
        <v>140.19999999999999</v>
      </c>
      <c r="F71" s="53">
        <v>137.5</v>
      </c>
      <c r="G71" s="53">
        <v>132.30000000000001</v>
      </c>
    </row>
    <row r="72" spans="1:7" x14ac:dyDescent="0.3">
      <c r="A72" s="71" t="s">
        <v>12</v>
      </c>
      <c r="B72" s="53">
        <v>111.3</v>
      </c>
      <c r="C72" s="53">
        <v>112.5</v>
      </c>
      <c r="D72" s="53">
        <v>114.6</v>
      </c>
      <c r="E72" s="53">
        <v>119.5</v>
      </c>
      <c r="F72" s="53">
        <v>123.9</v>
      </c>
      <c r="G72" s="53">
        <v>119.8</v>
      </c>
    </row>
    <row r="73" spans="1:7" x14ac:dyDescent="0.3">
      <c r="A73" s="71" t="s">
        <v>61</v>
      </c>
      <c r="B73" s="53">
        <v>116.5</v>
      </c>
      <c r="C73" s="53">
        <v>120.2</v>
      </c>
      <c r="D73" s="53">
        <v>120.1</v>
      </c>
      <c r="E73" s="53">
        <v>117.2</v>
      </c>
      <c r="F73" s="53">
        <v>114.4</v>
      </c>
      <c r="G73" s="53">
        <v>120</v>
      </c>
    </row>
    <row r="74" spans="1:7" x14ac:dyDescent="0.3">
      <c r="A74" s="71" t="s">
        <v>72</v>
      </c>
      <c r="B74" s="53">
        <v>125.3</v>
      </c>
      <c r="C74" s="53">
        <v>129.69999999999999</v>
      </c>
      <c r="D74" s="53">
        <v>134.9</v>
      </c>
      <c r="E74" s="53">
        <v>135.6</v>
      </c>
      <c r="F74" s="53">
        <v>139.1</v>
      </c>
      <c r="G74" s="53">
        <v>141.5</v>
      </c>
    </row>
    <row r="75" spans="1:7" x14ac:dyDescent="0.3">
      <c r="A75" s="71" t="s">
        <v>76</v>
      </c>
      <c r="B75" s="53">
        <v>101.3</v>
      </c>
      <c r="C75" s="53">
        <v>104.2</v>
      </c>
      <c r="D75" s="53">
        <v>106.4</v>
      </c>
      <c r="E75" s="53">
        <v>104.8</v>
      </c>
      <c r="F75" s="53">
        <v>112.6</v>
      </c>
      <c r="G75" s="53">
        <v>111.7</v>
      </c>
    </row>
    <row r="76" spans="1:7" x14ac:dyDescent="0.3">
      <c r="A76" s="71" t="s">
        <v>6</v>
      </c>
      <c r="B76" s="53">
        <v>107.8</v>
      </c>
      <c r="C76" s="53">
        <v>112.1</v>
      </c>
      <c r="D76" s="53">
        <v>114.7</v>
      </c>
      <c r="E76" s="53">
        <v>117.2</v>
      </c>
      <c r="F76" s="53">
        <v>125.1</v>
      </c>
      <c r="G76" s="53">
        <v>130.1</v>
      </c>
    </row>
    <row r="77" spans="1:7" x14ac:dyDescent="0.3">
      <c r="A77" s="71" t="s">
        <v>64</v>
      </c>
      <c r="B77" s="53">
        <v>108.2</v>
      </c>
      <c r="C77" s="53">
        <v>109.1</v>
      </c>
      <c r="D77" s="53">
        <v>111.6</v>
      </c>
      <c r="E77" s="53">
        <v>111.7</v>
      </c>
      <c r="F77" s="53">
        <v>112.9</v>
      </c>
      <c r="G77" s="53">
        <v>120.8</v>
      </c>
    </row>
    <row r="78" spans="1:7" x14ac:dyDescent="0.3">
      <c r="A78" s="71" t="s">
        <v>5</v>
      </c>
      <c r="B78" s="53">
        <v>110.7</v>
      </c>
      <c r="C78" s="53">
        <v>110.3</v>
      </c>
      <c r="D78" s="53">
        <v>111.6</v>
      </c>
      <c r="E78" s="53">
        <v>108.1</v>
      </c>
      <c r="F78" s="53">
        <v>108.6</v>
      </c>
      <c r="G78" s="53">
        <v>106.9</v>
      </c>
    </row>
    <row r="79" spans="1:7" x14ac:dyDescent="0.3">
      <c r="A79" s="71" t="s">
        <v>1</v>
      </c>
      <c r="B79" s="53">
        <v>103.3</v>
      </c>
      <c r="C79" s="53">
        <v>107.2</v>
      </c>
      <c r="D79" s="53">
        <v>117.1</v>
      </c>
      <c r="E79" s="53">
        <v>122.8</v>
      </c>
      <c r="F79" s="53">
        <v>124.8</v>
      </c>
      <c r="G79" s="53">
        <v>140</v>
      </c>
    </row>
    <row r="80" spans="1:7" x14ac:dyDescent="0.3">
      <c r="A80" s="71" t="s">
        <v>57</v>
      </c>
      <c r="B80" s="53">
        <v>102.1</v>
      </c>
      <c r="C80" s="53">
        <v>102.7</v>
      </c>
      <c r="D80" s="53">
        <v>107.4</v>
      </c>
      <c r="E80" s="53">
        <v>118.1</v>
      </c>
      <c r="F80" s="53">
        <v>122.8</v>
      </c>
      <c r="G80" s="53">
        <v>122.7</v>
      </c>
    </row>
    <row r="81" spans="1:7" x14ac:dyDescent="0.3">
      <c r="A81" s="71" t="s">
        <v>62</v>
      </c>
      <c r="B81" s="53">
        <v>112.5</v>
      </c>
      <c r="C81" s="53">
        <v>115.8</v>
      </c>
      <c r="D81" s="53">
        <v>118.5</v>
      </c>
      <c r="E81" s="53">
        <v>109.5</v>
      </c>
      <c r="F81" s="53">
        <v>126.6</v>
      </c>
      <c r="G81" s="53">
        <v>128.4</v>
      </c>
    </row>
    <row r="82" spans="1:7" x14ac:dyDescent="0.3">
      <c r="A82" s="71" t="s">
        <v>9</v>
      </c>
      <c r="B82" s="53">
        <v>113</v>
      </c>
      <c r="C82" s="53">
        <v>122.4</v>
      </c>
      <c r="D82" s="53">
        <v>123.3</v>
      </c>
      <c r="E82" s="53">
        <v>122.9</v>
      </c>
      <c r="F82" s="53">
        <v>128.69999999999999</v>
      </c>
      <c r="G82" s="53">
        <v>123.2</v>
      </c>
    </row>
    <row r="83" spans="1:7" x14ac:dyDescent="0.3">
      <c r="A83" s="71" t="s">
        <v>10</v>
      </c>
      <c r="B83" s="53">
        <v>90.7</v>
      </c>
      <c r="C83" s="53">
        <v>91.7</v>
      </c>
      <c r="D83" s="53">
        <v>99.2</v>
      </c>
      <c r="E83" s="53">
        <v>102.7</v>
      </c>
      <c r="F83" s="53">
        <v>109.1</v>
      </c>
      <c r="G83" s="53">
        <v>113.5</v>
      </c>
    </row>
    <row r="84" spans="1:7" x14ac:dyDescent="0.3">
      <c r="A84" s="71" t="s">
        <v>75</v>
      </c>
      <c r="B84" s="53">
        <v>101.7</v>
      </c>
      <c r="C84" s="53">
        <v>102.7</v>
      </c>
      <c r="D84" s="53">
        <v>105.7</v>
      </c>
      <c r="E84" s="53">
        <v>109</v>
      </c>
      <c r="F84" s="53">
        <v>111.8</v>
      </c>
      <c r="G84" s="53">
        <v>109</v>
      </c>
    </row>
    <row r="85" spans="1:7" x14ac:dyDescent="0.3">
      <c r="A85" s="71" t="s">
        <v>73</v>
      </c>
      <c r="B85" s="53">
        <v>94.8</v>
      </c>
      <c r="C85" s="53">
        <v>96.1</v>
      </c>
      <c r="D85" s="53">
        <v>109.7</v>
      </c>
      <c r="E85" s="53">
        <v>113.4</v>
      </c>
      <c r="F85" s="53">
        <v>123</v>
      </c>
      <c r="G85" s="53">
        <v>126.2</v>
      </c>
    </row>
    <row r="86" spans="1:7" x14ac:dyDescent="0.3">
      <c r="A86" s="71" t="s">
        <v>8</v>
      </c>
      <c r="B86" s="53">
        <v>125.5</v>
      </c>
      <c r="C86" s="53">
        <v>132.19999999999999</v>
      </c>
      <c r="D86" s="53">
        <v>140</v>
      </c>
      <c r="E86" s="53">
        <v>149.4</v>
      </c>
      <c r="F86" s="53">
        <v>157</v>
      </c>
      <c r="G86" s="53">
        <v>150.6</v>
      </c>
    </row>
    <row r="87" spans="1:7" x14ac:dyDescent="0.3">
      <c r="A87" s="71" t="s">
        <v>3</v>
      </c>
      <c r="B87" s="53">
        <v>104.2</v>
      </c>
      <c r="C87" s="53">
        <v>112.7</v>
      </c>
      <c r="D87" s="53">
        <v>113.7</v>
      </c>
      <c r="E87" s="53">
        <v>112.3</v>
      </c>
      <c r="F87" s="53">
        <v>111.2</v>
      </c>
      <c r="G87" s="53">
        <v>104.4</v>
      </c>
    </row>
    <row r="88" spans="1:7" x14ac:dyDescent="0.3">
      <c r="A88" s="71" t="s">
        <v>74</v>
      </c>
      <c r="B88" s="53">
        <v>98.4</v>
      </c>
      <c r="C88" s="53">
        <v>101.1</v>
      </c>
      <c r="D88" s="53">
        <v>100.9</v>
      </c>
      <c r="E88" s="53">
        <v>103.3</v>
      </c>
      <c r="F88" s="53">
        <v>111.6</v>
      </c>
      <c r="G88" s="53">
        <v>109.8</v>
      </c>
    </row>
    <row r="89" spans="1:7" x14ac:dyDescent="0.3">
      <c r="A89" s="71" t="s">
        <v>18</v>
      </c>
      <c r="B89" s="53">
        <v>123.7</v>
      </c>
      <c r="C89" s="53">
        <v>129.30000000000001</v>
      </c>
      <c r="D89" s="53">
        <v>132.9</v>
      </c>
      <c r="E89" s="53">
        <v>133.6</v>
      </c>
      <c r="F89" s="53">
        <v>133.5</v>
      </c>
      <c r="G89" s="53">
        <v>127.8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E4B7A-BC30-4CBD-B1A4-5C4093394CAD}">
  <sheetPr codeName="Лист35">
    <tabColor theme="8" tint="0.59999389629810485"/>
    <pageSetUpPr fitToPage="1"/>
  </sheetPr>
  <dimension ref="A1:H97"/>
  <sheetViews>
    <sheetView showGridLines="0" workbookViewId="0"/>
  </sheetViews>
  <sheetFormatPr defaultRowHeight="16.5" x14ac:dyDescent="0.3"/>
  <cols>
    <col min="1" max="1" width="108.5703125" style="9" customWidth="1"/>
    <col min="2" max="4" width="11" style="4" bestFit="1" customWidth="1"/>
    <col min="5" max="237" width="9.140625" style="4"/>
    <col min="238" max="238" width="108.5703125" style="4" customWidth="1"/>
    <col min="239" max="239" width="1.5703125" style="4" customWidth="1"/>
    <col min="240" max="240" width="6" style="4" customWidth="1"/>
    <col min="241" max="493" width="9.140625" style="4"/>
    <col min="494" max="494" width="108.5703125" style="4" customWidth="1"/>
    <col min="495" max="495" width="1.5703125" style="4" customWidth="1"/>
    <col min="496" max="496" width="6" style="4" customWidth="1"/>
    <col min="497" max="749" width="9.140625" style="4"/>
    <col min="750" max="750" width="108.5703125" style="4" customWidth="1"/>
    <col min="751" max="751" width="1.5703125" style="4" customWidth="1"/>
    <col min="752" max="752" width="6" style="4" customWidth="1"/>
    <col min="753" max="1005" width="9.140625" style="4"/>
    <col min="1006" max="1006" width="108.5703125" style="4" customWidth="1"/>
    <col min="1007" max="1007" width="1.5703125" style="4" customWidth="1"/>
    <col min="1008" max="1008" width="6" style="4" customWidth="1"/>
    <col min="1009" max="1261" width="9.140625" style="4"/>
    <col min="1262" max="1262" width="108.5703125" style="4" customWidth="1"/>
    <col min="1263" max="1263" width="1.5703125" style="4" customWidth="1"/>
    <col min="1264" max="1264" width="6" style="4" customWidth="1"/>
    <col min="1265" max="1517" width="9.140625" style="4"/>
    <col min="1518" max="1518" width="108.5703125" style="4" customWidth="1"/>
    <col min="1519" max="1519" width="1.5703125" style="4" customWidth="1"/>
    <col min="1520" max="1520" width="6" style="4" customWidth="1"/>
    <col min="1521" max="1773" width="9.140625" style="4"/>
    <col min="1774" max="1774" width="108.5703125" style="4" customWidth="1"/>
    <col min="1775" max="1775" width="1.5703125" style="4" customWidth="1"/>
    <col min="1776" max="1776" width="6" style="4" customWidth="1"/>
    <col min="1777" max="2029" width="9.140625" style="4"/>
    <col min="2030" max="2030" width="108.5703125" style="4" customWidth="1"/>
    <col min="2031" max="2031" width="1.5703125" style="4" customWidth="1"/>
    <col min="2032" max="2032" width="6" style="4" customWidth="1"/>
    <col min="2033" max="2285" width="9.140625" style="4"/>
    <col min="2286" max="2286" width="108.5703125" style="4" customWidth="1"/>
    <col min="2287" max="2287" width="1.5703125" style="4" customWidth="1"/>
    <col min="2288" max="2288" width="6" style="4" customWidth="1"/>
    <col min="2289" max="2541" width="9.140625" style="4"/>
    <col min="2542" max="2542" width="108.5703125" style="4" customWidth="1"/>
    <col min="2543" max="2543" width="1.5703125" style="4" customWidth="1"/>
    <col min="2544" max="2544" width="6" style="4" customWidth="1"/>
    <col min="2545" max="2797" width="9.140625" style="4"/>
    <col min="2798" max="2798" width="108.5703125" style="4" customWidth="1"/>
    <col min="2799" max="2799" width="1.5703125" style="4" customWidth="1"/>
    <col min="2800" max="2800" width="6" style="4" customWidth="1"/>
    <col min="2801" max="3053" width="9.140625" style="4"/>
    <col min="3054" max="3054" width="108.5703125" style="4" customWidth="1"/>
    <col min="3055" max="3055" width="1.5703125" style="4" customWidth="1"/>
    <col min="3056" max="3056" width="6" style="4" customWidth="1"/>
    <col min="3057" max="3309" width="9.140625" style="4"/>
    <col min="3310" max="3310" width="108.5703125" style="4" customWidth="1"/>
    <col min="3311" max="3311" width="1.5703125" style="4" customWidth="1"/>
    <col min="3312" max="3312" width="6" style="4" customWidth="1"/>
    <col min="3313" max="3565" width="9.140625" style="4"/>
    <col min="3566" max="3566" width="108.5703125" style="4" customWidth="1"/>
    <col min="3567" max="3567" width="1.5703125" style="4" customWidth="1"/>
    <col min="3568" max="3568" width="6" style="4" customWidth="1"/>
    <col min="3569" max="3821" width="9.140625" style="4"/>
    <col min="3822" max="3822" width="108.5703125" style="4" customWidth="1"/>
    <col min="3823" max="3823" width="1.5703125" style="4" customWidth="1"/>
    <col min="3824" max="3824" width="6" style="4" customWidth="1"/>
    <col min="3825" max="4077" width="9.140625" style="4"/>
    <col min="4078" max="4078" width="108.5703125" style="4" customWidth="1"/>
    <col min="4079" max="4079" width="1.5703125" style="4" customWidth="1"/>
    <col min="4080" max="4080" width="6" style="4" customWidth="1"/>
    <col min="4081" max="4333" width="9.140625" style="4"/>
    <col min="4334" max="4334" width="108.5703125" style="4" customWidth="1"/>
    <col min="4335" max="4335" width="1.5703125" style="4" customWidth="1"/>
    <col min="4336" max="4336" width="6" style="4" customWidth="1"/>
    <col min="4337" max="4589" width="9.140625" style="4"/>
    <col min="4590" max="4590" width="108.5703125" style="4" customWidth="1"/>
    <col min="4591" max="4591" width="1.5703125" style="4" customWidth="1"/>
    <col min="4592" max="4592" width="6" style="4" customWidth="1"/>
    <col min="4593" max="4845" width="9.140625" style="4"/>
    <col min="4846" max="4846" width="108.5703125" style="4" customWidth="1"/>
    <col min="4847" max="4847" width="1.5703125" style="4" customWidth="1"/>
    <col min="4848" max="4848" width="6" style="4" customWidth="1"/>
    <col min="4849" max="5101" width="9.140625" style="4"/>
    <col min="5102" max="5102" width="108.5703125" style="4" customWidth="1"/>
    <col min="5103" max="5103" width="1.5703125" style="4" customWidth="1"/>
    <col min="5104" max="5104" width="6" style="4" customWidth="1"/>
    <col min="5105" max="5357" width="9.140625" style="4"/>
    <col min="5358" max="5358" width="108.5703125" style="4" customWidth="1"/>
    <col min="5359" max="5359" width="1.5703125" style="4" customWidth="1"/>
    <col min="5360" max="5360" width="6" style="4" customWidth="1"/>
    <col min="5361" max="5613" width="9.140625" style="4"/>
    <col min="5614" max="5614" width="108.5703125" style="4" customWidth="1"/>
    <col min="5615" max="5615" width="1.5703125" style="4" customWidth="1"/>
    <col min="5616" max="5616" width="6" style="4" customWidth="1"/>
    <col min="5617" max="5869" width="9.140625" style="4"/>
    <col min="5870" max="5870" width="108.5703125" style="4" customWidth="1"/>
    <col min="5871" max="5871" width="1.5703125" style="4" customWidth="1"/>
    <col min="5872" max="5872" width="6" style="4" customWidth="1"/>
    <col min="5873" max="6125" width="9.140625" style="4"/>
    <col min="6126" max="6126" width="108.5703125" style="4" customWidth="1"/>
    <col min="6127" max="6127" width="1.5703125" style="4" customWidth="1"/>
    <col min="6128" max="6128" width="6" style="4" customWidth="1"/>
    <col min="6129" max="6381" width="9.140625" style="4"/>
    <col min="6382" max="6382" width="108.5703125" style="4" customWidth="1"/>
    <col min="6383" max="6383" width="1.5703125" style="4" customWidth="1"/>
    <col min="6384" max="6384" width="6" style="4" customWidth="1"/>
    <col min="6385" max="6637" width="9.140625" style="4"/>
    <col min="6638" max="6638" width="108.5703125" style="4" customWidth="1"/>
    <col min="6639" max="6639" width="1.5703125" style="4" customWidth="1"/>
    <col min="6640" max="6640" width="6" style="4" customWidth="1"/>
    <col min="6641" max="6893" width="9.140625" style="4"/>
    <col min="6894" max="6894" width="108.5703125" style="4" customWidth="1"/>
    <col min="6895" max="6895" width="1.5703125" style="4" customWidth="1"/>
    <col min="6896" max="6896" width="6" style="4" customWidth="1"/>
    <col min="6897" max="7149" width="9.140625" style="4"/>
    <col min="7150" max="7150" width="108.5703125" style="4" customWidth="1"/>
    <col min="7151" max="7151" width="1.5703125" style="4" customWidth="1"/>
    <col min="7152" max="7152" width="6" style="4" customWidth="1"/>
    <col min="7153" max="7405" width="9.140625" style="4"/>
    <col min="7406" max="7406" width="108.5703125" style="4" customWidth="1"/>
    <col min="7407" max="7407" width="1.5703125" style="4" customWidth="1"/>
    <col min="7408" max="7408" width="6" style="4" customWidth="1"/>
    <col min="7409" max="7661" width="9.140625" style="4"/>
    <col min="7662" max="7662" width="108.5703125" style="4" customWidth="1"/>
    <col min="7663" max="7663" width="1.5703125" style="4" customWidth="1"/>
    <col min="7664" max="7664" width="6" style="4" customWidth="1"/>
    <col min="7665" max="7917" width="9.140625" style="4"/>
    <col min="7918" max="7918" width="108.5703125" style="4" customWidth="1"/>
    <col min="7919" max="7919" width="1.5703125" style="4" customWidth="1"/>
    <col min="7920" max="7920" width="6" style="4" customWidth="1"/>
    <col min="7921" max="8173" width="9.140625" style="4"/>
    <col min="8174" max="8174" width="108.5703125" style="4" customWidth="1"/>
    <col min="8175" max="8175" width="1.5703125" style="4" customWidth="1"/>
    <col min="8176" max="8176" width="6" style="4" customWidth="1"/>
    <col min="8177" max="8429" width="9.140625" style="4"/>
    <col min="8430" max="8430" width="108.5703125" style="4" customWidth="1"/>
    <col min="8431" max="8431" width="1.5703125" style="4" customWidth="1"/>
    <col min="8432" max="8432" width="6" style="4" customWidth="1"/>
    <col min="8433" max="8685" width="9.140625" style="4"/>
    <col min="8686" max="8686" width="108.5703125" style="4" customWidth="1"/>
    <col min="8687" max="8687" width="1.5703125" style="4" customWidth="1"/>
    <col min="8688" max="8688" width="6" style="4" customWidth="1"/>
    <col min="8689" max="8941" width="9.140625" style="4"/>
    <col min="8942" max="8942" width="108.5703125" style="4" customWidth="1"/>
    <col min="8943" max="8943" width="1.5703125" style="4" customWidth="1"/>
    <col min="8944" max="8944" width="6" style="4" customWidth="1"/>
    <col min="8945" max="9197" width="9.140625" style="4"/>
    <col min="9198" max="9198" width="108.5703125" style="4" customWidth="1"/>
    <col min="9199" max="9199" width="1.5703125" style="4" customWidth="1"/>
    <col min="9200" max="9200" width="6" style="4" customWidth="1"/>
    <col min="9201" max="9453" width="9.140625" style="4"/>
    <col min="9454" max="9454" width="108.5703125" style="4" customWidth="1"/>
    <col min="9455" max="9455" width="1.5703125" style="4" customWidth="1"/>
    <col min="9456" max="9456" width="6" style="4" customWidth="1"/>
    <col min="9457" max="9709" width="9.140625" style="4"/>
    <col min="9710" max="9710" width="108.5703125" style="4" customWidth="1"/>
    <col min="9711" max="9711" width="1.5703125" style="4" customWidth="1"/>
    <col min="9712" max="9712" width="6" style="4" customWidth="1"/>
    <col min="9713" max="9965" width="9.140625" style="4"/>
    <col min="9966" max="9966" width="108.5703125" style="4" customWidth="1"/>
    <col min="9967" max="9967" width="1.5703125" style="4" customWidth="1"/>
    <col min="9968" max="9968" width="6" style="4" customWidth="1"/>
    <col min="9969" max="10221" width="9.140625" style="4"/>
    <col min="10222" max="10222" width="108.5703125" style="4" customWidth="1"/>
    <col min="10223" max="10223" width="1.5703125" style="4" customWidth="1"/>
    <col min="10224" max="10224" width="6" style="4" customWidth="1"/>
    <col min="10225" max="10477" width="9.140625" style="4"/>
    <col min="10478" max="10478" width="108.5703125" style="4" customWidth="1"/>
    <col min="10479" max="10479" width="1.5703125" style="4" customWidth="1"/>
    <col min="10480" max="10480" width="6" style="4" customWidth="1"/>
    <col min="10481" max="10733" width="9.140625" style="4"/>
    <col min="10734" max="10734" width="108.5703125" style="4" customWidth="1"/>
    <col min="10735" max="10735" width="1.5703125" style="4" customWidth="1"/>
    <col min="10736" max="10736" width="6" style="4" customWidth="1"/>
    <col min="10737" max="10989" width="9.140625" style="4"/>
    <col min="10990" max="10990" width="108.5703125" style="4" customWidth="1"/>
    <col min="10991" max="10991" width="1.5703125" style="4" customWidth="1"/>
    <col min="10992" max="10992" width="6" style="4" customWidth="1"/>
    <col min="10993" max="11245" width="9.140625" style="4"/>
    <col min="11246" max="11246" width="108.5703125" style="4" customWidth="1"/>
    <col min="11247" max="11247" width="1.5703125" style="4" customWidth="1"/>
    <col min="11248" max="11248" width="6" style="4" customWidth="1"/>
    <col min="11249" max="11501" width="9.140625" style="4"/>
    <col min="11502" max="11502" width="108.5703125" style="4" customWidth="1"/>
    <col min="11503" max="11503" width="1.5703125" style="4" customWidth="1"/>
    <col min="11504" max="11504" width="6" style="4" customWidth="1"/>
    <col min="11505" max="11757" width="9.140625" style="4"/>
    <col min="11758" max="11758" width="108.5703125" style="4" customWidth="1"/>
    <col min="11759" max="11759" width="1.5703125" style="4" customWidth="1"/>
    <col min="11760" max="11760" width="6" style="4" customWidth="1"/>
    <col min="11761" max="12013" width="9.140625" style="4"/>
    <col min="12014" max="12014" width="108.5703125" style="4" customWidth="1"/>
    <col min="12015" max="12015" width="1.5703125" style="4" customWidth="1"/>
    <col min="12016" max="12016" width="6" style="4" customWidth="1"/>
    <col min="12017" max="12269" width="9.140625" style="4"/>
    <col min="12270" max="12270" width="108.5703125" style="4" customWidth="1"/>
    <col min="12271" max="12271" width="1.5703125" style="4" customWidth="1"/>
    <col min="12272" max="12272" width="6" style="4" customWidth="1"/>
    <col min="12273" max="12525" width="9.140625" style="4"/>
    <col min="12526" max="12526" width="108.5703125" style="4" customWidth="1"/>
    <col min="12527" max="12527" width="1.5703125" style="4" customWidth="1"/>
    <col min="12528" max="12528" width="6" style="4" customWidth="1"/>
    <col min="12529" max="12781" width="9.140625" style="4"/>
    <col min="12782" max="12782" width="108.5703125" style="4" customWidth="1"/>
    <col min="12783" max="12783" width="1.5703125" style="4" customWidth="1"/>
    <col min="12784" max="12784" width="6" style="4" customWidth="1"/>
    <col min="12785" max="13037" width="9.140625" style="4"/>
    <col min="13038" max="13038" width="108.5703125" style="4" customWidth="1"/>
    <col min="13039" max="13039" width="1.5703125" style="4" customWidth="1"/>
    <col min="13040" max="13040" width="6" style="4" customWidth="1"/>
    <col min="13041" max="13293" width="9.140625" style="4"/>
    <col min="13294" max="13294" width="108.5703125" style="4" customWidth="1"/>
    <col min="13295" max="13295" width="1.5703125" style="4" customWidth="1"/>
    <col min="13296" max="13296" width="6" style="4" customWidth="1"/>
    <col min="13297" max="13549" width="9.140625" style="4"/>
    <col min="13550" max="13550" width="108.5703125" style="4" customWidth="1"/>
    <col min="13551" max="13551" width="1.5703125" style="4" customWidth="1"/>
    <col min="13552" max="13552" width="6" style="4" customWidth="1"/>
    <col min="13553" max="13805" width="9.140625" style="4"/>
    <col min="13806" max="13806" width="108.5703125" style="4" customWidth="1"/>
    <col min="13807" max="13807" width="1.5703125" style="4" customWidth="1"/>
    <col min="13808" max="13808" width="6" style="4" customWidth="1"/>
    <col min="13809" max="14061" width="9.140625" style="4"/>
    <col min="14062" max="14062" width="108.5703125" style="4" customWidth="1"/>
    <col min="14063" max="14063" width="1.5703125" style="4" customWidth="1"/>
    <col min="14064" max="14064" width="6" style="4" customWidth="1"/>
    <col min="14065" max="14317" width="9.140625" style="4"/>
    <col min="14318" max="14318" width="108.5703125" style="4" customWidth="1"/>
    <col min="14319" max="14319" width="1.5703125" style="4" customWidth="1"/>
    <col min="14320" max="14320" width="6" style="4" customWidth="1"/>
    <col min="14321" max="14573" width="9.140625" style="4"/>
    <col min="14574" max="14574" width="108.5703125" style="4" customWidth="1"/>
    <col min="14575" max="14575" width="1.5703125" style="4" customWidth="1"/>
    <col min="14576" max="14576" width="6" style="4" customWidth="1"/>
    <col min="14577" max="14829" width="9.140625" style="4"/>
    <col min="14830" max="14830" width="108.5703125" style="4" customWidth="1"/>
    <col min="14831" max="14831" width="1.5703125" style="4" customWidth="1"/>
    <col min="14832" max="14832" width="6" style="4" customWidth="1"/>
    <col min="14833" max="15085" width="9.140625" style="4"/>
    <col min="15086" max="15086" width="108.5703125" style="4" customWidth="1"/>
    <col min="15087" max="15087" width="1.5703125" style="4" customWidth="1"/>
    <col min="15088" max="15088" width="6" style="4" customWidth="1"/>
    <col min="15089" max="15341" width="9.140625" style="4"/>
    <col min="15342" max="15342" width="108.5703125" style="4" customWidth="1"/>
    <col min="15343" max="15343" width="1.5703125" style="4" customWidth="1"/>
    <col min="15344" max="15344" width="6" style="4" customWidth="1"/>
    <col min="15345" max="15597" width="9.140625" style="4"/>
    <col min="15598" max="15598" width="108.5703125" style="4" customWidth="1"/>
    <col min="15599" max="15599" width="1.5703125" style="4" customWidth="1"/>
    <col min="15600" max="15600" width="6" style="4" customWidth="1"/>
    <col min="15601" max="15853" width="9.140625" style="4"/>
    <col min="15854" max="15854" width="108.5703125" style="4" customWidth="1"/>
    <col min="15855" max="15855" width="1.5703125" style="4" customWidth="1"/>
    <col min="15856" max="15856" width="6" style="4" customWidth="1"/>
    <col min="15857" max="16109" width="9.140625" style="4"/>
    <col min="16110" max="16110" width="108.5703125" style="4" customWidth="1"/>
    <col min="16111" max="16111" width="1.5703125" style="4" customWidth="1"/>
    <col min="16112" max="16112" width="6" style="4" customWidth="1"/>
    <col min="16113" max="16384" width="9.140625" style="4"/>
  </cols>
  <sheetData>
    <row r="1" spans="1:8" x14ac:dyDescent="0.3">
      <c r="A1" s="8" t="s">
        <v>311</v>
      </c>
      <c r="B1" s="65"/>
      <c r="C1" s="65"/>
      <c r="D1" s="65"/>
      <c r="E1" s="65"/>
      <c r="F1" s="65"/>
      <c r="G1" s="65"/>
      <c r="H1" s="65"/>
    </row>
    <row r="3" spans="1:8" x14ac:dyDescent="0.3">
      <c r="A3" s="48" t="s">
        <v>129</v>
      </c>
      <c r="B3" s="20">
        <v>2019</v>
      </c>
      <c r="C3" s="20">
        <v>2020</v>
      </c>
      <c r="D3" s="20">
        <v>2021</v>
      </c>
    </row>
    <row r="4" spans="1:8" x14ac:dyDescent="0.3">
      <c r="A4" s="71" t="s">
        <v>87</v>
      </c>
      <c r="B4" s="46">
        <v>0.88716495350900004</v>
      </c>
      <c r="C4" s="46">
        <v>0.88173465084799996</v>
      </c>
      <c r="D4" s="46">
        <v>0.87209711804500001</v>
      </c>
    </row>
    <row r="5" spans="1:8" x14ac:dyDescent="0.3">
      <c r="A5" s="71" t="s">
        <v>96</v>
      </c>
      <c r="B5" s="46">
        <v>0.90299347632999993</v>
      </c>
      <c r="C5" s="46">
        <v>0.90511088103600001</v>
      </c>
      <c r="D5" s="46">
        <v>0.87777433680900008</v>
      </c>
    </row>
    <row r="6" spans="1:8" x14ac:dyDescent="0.3">
      <c r="A6" s="71" t="s">
        <v>50</v>
      </c>
      <c r="B6" s="46">
        <v>0.82663067224100006</v>
      </c>
      <c r="C6" s="46">
        <v>0.78061284021299993</v>
      </c>
      <c r="D6" s="46">
        <v>0.70052233414800003</v>
      </c>
    </row>
    <row r="7" spans="1:8" x14ac:dyDescent="0.3">
      <c r="A7" s="71" t="s">
        <v>48</v>
      </c>
      <c r="B7" s="46">
        <v>0.86837729729699997</v>
      </c>
      <c r="C7" s="46">
        <v>0.86257218897699994</v>
      </c>
      <c r="D7" s="46">
        <v>0.84982513461200004</v>
      </c>
    </row>
    <row r="8" spans="1:8" x14ac:dyDescent="0.3">
      <c r="A8" s="71" t="s">
        <v>20</v>
      </c>
      <c r="B8" s="46">
        <v>0.78180774234299999</v>
      </c>
      <c r="C8" s="46">
        <v>0.94827196536500002</v>
      </c>
      <c r="D8" s="46">
        <v>0.78284510131100005</v>
      </c>
    </row>
    <row r="9" spans="1:8" x14ac:dyDescent="0.3">
      <c r="A9" s="71" t="s">
        <v>4</v>
      </c>
      <c r="B9" s="46">
        <v>0.94965957639999998</v>
      </c>
      <c r="C9" s="46">
        <v>0.96827753749199996</v>
      </c>
      <c r="D9" s="46">
        <v>0.90626262108000011</v>
      </c>
    </row>
    <row r="10" spans="1:8" x14ac:dyDescent="0.3">
      <c r="A10" s="71" t="s">
        <v>45</v>
      </c>
      <c r="B10" s="46">
        <v>0.63964573692100002</v>
      </c>
      <c r="C10" s="46">
        <v>0.80232075094400002</v>
      </c>
      <c r="D10" s="46">
        <v>0.81586422437099992</v>
      </c>
    </row>
    <row r="11" spans="1:8" x14ac:dyDescent="0.3">
      <c r="A11" s="71" t="s">
        <v>40</v>
      </c>
      <c r="B11" s="46">
        <v>0.84557208641299997</v>
      </c>
      <c r="C11" s="46">
        <v>0.79966440393599991</v>
      </c>
      <c r="D11" s="46">
        <v>0.79196887894900003</v>
      </c>
    </row>
    <row r="12" spans="1:8" x14ac:dyDescent="0.3">
      <c r="A12" s="71" t="s">
        <v>37</v>
      </c>
      <c r="B12" s="46">
        <v>0.71687458922100011</v>
      </c>
      <c r="C12" s="46">
        <v>0.71209134944800001</v>
      </c>
      <c r="D12" s="46">
        <v>0.65053636175200003</v>
      </c>
    </row>
    <row r="13" spans="1:8" x14ac:dyDescent="0.3">
      <c r="A13" s="71" t="s">
        <v>56</v>
      </c>
      <c r="B13" s="46">
        <v>0.65739746635399998</v>
      </c>
      <c r="C13" s="46">
        <v>0.81973371445099996</v>
      </c>
      <c r="D13" s="46">
        <v>0.61392830016</v>
      </c>
    </row>
    <row r="14" spans="1:8" x14ac:dyDescent="0.3">
      <c r="A14" s="71" t="s">
        <v>51</v>
      </c>
      <c r="B14" s="46">
        <v>0.88674705697400003</v>
      </c>
      <c r="C14" s="46">
        <v>0.85828466084900001</v>
      </c>
      <c r="D14" s="46">
        <v>0.74276962225499998</v>
      </c>
    </row>
    <row r="15" spans="1:8" x14ac:dyDescent="0.3">
      <c r="A15" s="71" t="s">
        <v>21</v>
      </c>
      <c r="B15" s="46">
        <v>1</v>
      </c>
      <c r="C15" s="46">
        <v>0.99686488984199995</v>
      </c>
      <c r="D15" s="46">
        <v>0.97833781217400007</v>
      </c>
    </row>
    <row r="16" spans="1:8" x14ac:dyDescent="0.3">
      <c r="A16" s="71" t="s">
        <v>70</v>
      </c>
      <c r="B16" s="46">
        <v>0.79519025228399998</v>
      </c>
      <c r="C16" s="46">
        <v>0.78907531337699988</v>
      </c>
      <c r="D16" s="46">
        <v>0.61248238125199994</v>
      </c>
    </row>
    <row r="17" spans="1:4" x14ac:dyDescent="0.3">
      <c r="A17" s="71" t="s">
        <v>59</v>
      </c>
      <c r="B17" s="46">
        <v>0.72125286948099998</v>
      </c>
      <c r="C17" s="46">
        <v>0.71814986963400007</v>
      </c>
      <c r="D17" s="46">
        <v>0.93965788031899999</v>
      </c>
    </row>
    <row r="18" spans="1:4" x14ac:dyDescent="0.3">
      <c r="A18" s="71" t="s">
        <v>43</v>
      </c>
      <c r="B18" s="46">
        <v>0.60439602199800002</v>
      </c>
      <c r="C18" s="46">
        <v>0.69688344572199989</v>
      </c>
      <c r="D18" s="46">
        <v>0.52246866964299998</v>
      </c>
    </row>
    <row r="19" spans="1:4" x14ac:dyDescent="0.3">
      <c r="A19" s="71" t="s">
        <v>15</v>
      </c>
      <c r="B19" s="46">
        <v>0.78342512496299999</v>
      </c>
      <c r="C19" s="46">
        <v>0.697293458541</v>
      </c>
      <c r="D19" s="46">
        <v>0.76093896342099998</v>
      </c>
    </row>
    <row r="20" spans="1:4" x14ac:dyDescent="0.3">
      <c r="A20" s="71" t="s">
        <v>38</v>
      </c>
      <c r="B20" s="46">
        <v>0.73245087922399998</v>
      </c>
      <c r="C20" s="46">
        <v>0.77046838430700004</v>
      </c>
      <c r="D20" s="46">
        <v>0.78195258141699997</v>
      </c>
    </row>
    <row r="21" spans="1:4" x14ac:dyDescent="0.3">
      <c r="A21" s="71" t="s">
        <v>39</v>
      </c>
      <c r="B21" s="46">
        <v>0.89669419749699997</v>
      </c>
      <c r="C21" s="46">
        <v>0.91199756136599996</v>
      </c>
      <c r="D21" s="46">
        <v>0.76917576882299998</v>
      </c>
    </row>
    <row r="22" spans="1:4" x14ac:dyDescent="0.3">
      <c r="A22" s="71" t="s">
        <v>78</v>
      </c>
      <c r="B22" s="46">
        <v>0.83158107845900009</v>
      </c>
      <c r="C22" s="46">
        <v>0.67595703555399989</v>
      </c>
      <c r="D22" s="46">
        <v>0.74873309989800008</v>
      </c>
    </row>
    <row r="23" spans="1:4" x14ac:dyDescent="0.3">
      <c r="A23" s="71" t="s">
        <v>13</v>
      </c>
      <c r="B23" s="46">
        <v>1</v>
      </c>
      <c r="C23" s="46">
        <v>1</v>
      </c>
      <c r="D23" s="46">
        <v>1</v>
      </c>
    </row>
    <row r="24" spans="1:4" x14ac:dyDescent="0.3">
      <c r="A24" s="71" t="s">
        <v>97</v>
      </c>
      <c r="B24" s="46">
        <v>0.87651568481400011</v>
      </c>
      <c r="C24" s="46">
        <v>0.86669441933000002</v>
      </c>
      <c r="D24" s="46">
        <v>0.83537185237299993</v>
      </c>
    </row>
    <row r="25" spans="1:4" x14ac:dyDescent="0.3">
      <c r="A25" s="71" t="s">
        <v>71</v>
      </c>
      <c r="B25" s="46">
        <v>0.58470394996099995</v>
      </c>
      <c r="C25" s="46">
        <v>0.71038129403100003</v>
      </c>
      <c r="D25" s="46">
        <v>0.59281208020100007</v>
      </c>
    </row>
    <row r="26" spans="1:4" x14ac:dyDescent="0.3">
      <c r="A26" s="71" t="s">
        <v>65</v>
      </c>
      <c r="B26" s="46">
        <v>0.81374818413899996</v>
      </c>
      <c r="C26" s="46">
        <v>0.82324737432000006</v>
      </c>
      <c r="D26" s="46">
        <v>0.72097583948799993</v>
      </c>
    </row>
    <row r="27" spans="1:4" x14ac:dyDescent="0.3">
      <c r="A27" s="71" t="s">
        <v>53</v>
      </c>
      <c r="B27" s="46">
        <v>0.76649768864099999</v>
      </c>
      <c r="C27" s="46">
        <v>0.87318086521899996</v>
      </c>
      <c r="D27" s="46">
        <v>0.79201368028100005</v>
      </c>
    </row>
    <row r="28" spans="1:4" x14ac:dyDescent="0.3">
      <c r="A28" s="71" t="s">
        <v>7</v>
      </c>
      <c r="B28" s="46">
        <v>0.35154130842299997</v>
      </c>
      <c r="C28" s="46">
        <v>0.29992117820800002</v>
      </c>
      <c r="D28" s="46">
        <v>0.17217345770100001</v>
      </c>
    </row>
    <row r="29" spans="1:4" x14ac:dyDescent="0.3">
      <c r="A29" s="72" t="s">
        <v>80</v>
      </c>
      <c r="B29" s="46">
        <v>0.84830057335499998</v>
      </c>
      <c r="C29" s="46">
        <v>0.87493183987600009</v>
      </c>
      <c r="D29" s="46">
        <v>0.73383244340599996</v>
      </c>
    </row>
    <row r="30" spans="1:4" x14ac:dyDescent="0.3">
      <c r="A30" s="71" t="s">
        <v>69</v>
      </c>
      <c r="B30" s="46">
        <v>0.80360347414800004</v>
      </c>
      <c r="C30" s="46">
        <v>0.86284774315599999</v>
      </c>
      <c r="D30" s="46">
        <v>0.699178947499</v>
      </c>
    </row>
    <row r="31" spans="1:4" x14ac:dyDescent="0.3">
      <c r="A31" s="71" t="s">
        <v>33</v>
      </c>
      <c r="B31" s="46">
        <v>0.93398223476300002</v>
      </c>
      <c r="C31" s="46">
        <v>0.70171683009499997</v>
      </c>
      <c r="D31" s="46">
        <v>0.84922315466699994</v>
      </c>
    </row>
    <row r="32" spans="1:4" x14ac:dyDescent="0.3">
      <c r="A32" s="71" t="s">
        <v>30</v>
      </c>
      <c r="B32" s="46">
        <v>0.91097870090399991</v>
      </c>
      <c r="C32" s="46">
        <v>0.91754100316000009</v>
      </c>
      <c r="D32" s="46">
        <v>0.84920439452300001</v>
      </c>
    </row>
    <row r="33" spans="1:4" x14ac:dyDescent="0.3">
      <c r="A33" s="71" t="s">
        <v>52</v>
      </c>
      <c r="B33" s="46">
        <v>0.60531688707599995</v>
      </c>
      <c r="C33" s="46">
        <v>0.68052491124799996</v>
      </c>
      <c r="D33" s="46">
        <v>0.62128534420900006</v>
      </c>
    </row>
    <row r="34" spans="1:4" x14ac:dyDescent="0.3">
      <c r="A34" s="71" t="s">
        <v>31</v>
      </c>
      <c r="B34" s="46">
        <v>0.60570755412700006</v>
      </c>
      <c r="C34" s="46">
        <v>0.62885000656300005</v>
      </c>
      <c r="D34" s="46">
        <v>0.473003310417</v>
      </c>
    </row>
    <row r="35" spans="1:4" x14ac:dyDescent="0.3">
      <c r="A35" s="71" t="s">
        <v>32</v>
      </c>
      <c r="B35" s="46">
        <v>1</v>
      </c>
      <c r="C35" s="46">
        <v>1</v>
      </c>
      <c r="D35" s="46">
        <v>1</v>
      </c>
    </row>
    <row r="36" spans="1:4" x14ac:dyDescent="0.3">
      <c r="A36" s="71" t="s">
        <v>125</v>
      </c>
      <c r="B36" s="46">
        <v>0.91762997686000003</v>
      </c>
      <c r="C36" s="46">
        <v>0.91022157066299991</v>
      </c>
      <c r="D36" s="46">
        <v>0.90439057725599992</v>
      </c>
    </row>
    <row r="37" spans="1:4" x14ac:dyDescent="0.3">
      <c r="A37" s="71" t="s">
        <v>26</v>
      </c>
      <c r="B37" s="46">
        <v>0.68783088215600008</v>
      </c>
      <c r="C37" s="46">
        <v>0.60073822636999996</v>
      </c>
      <c r="D37" s="46">
        <v>0.53351099942799995</v>
      </c>
    </row>
    <row r="38" spans="1:4" x14ac:dyDescent="0.3">
      <c r="A38" s="71" t="s">
        <v>27</v>
      </c>
      <c r="B38" s="46">
        <v>0.69353310457899997</v>
      </c>
      <c r="C38" s="46">
        <v>0.24840767758500001</v>
      </c>
      <c r="D38" s="46">
        <v>0.45981586954999998</v>
      </c>
    </row>
    <row r="39" spans="1:4" x14ac:dyDescent="0.3">
      <c r="A39" s="71" t="s">
        <v>89</v>
      </c>
      <c r="B39" s="46">
        <v>0.84682477146699997</v>
      </c>
      <c r="C39" s="46">
        <v>0.88828565125699999</v>
      </c>
      <c r="D39" s="46">
        <v>0.91899608725399995</v>
      </c>
    </row>
    <row r="40" spans="1:4" x14ac:dyDescent="0.3">
      <c r="A40" s="71" t="s">
        <v>28</v>
      </c>
      <c r="B40" s="46">
        <v>1</v>
      </c>
      <c r="C40" s="46">
        <v>0.97103311817299998</v>
      </c>
      <c r="D40" s="46">
        <v>0.89118624038799998</v>
      </c>
    </row>
    <row r="41" spans="1:4" x14ac:dyDescent="0.3">
      <c r="A41" s="71" t="s">
        <v>25</v>
      </c>
      <c r="B41" s="46">
        <v>0.66426629846400009</v>
      </c>
      <c r="C41" s="46">
        <v>0.92162968091399999</v>
      </c>
      <c r="D41" s="46">
        <v>0.80574748256800011</v>
      </c>
    </row>
    <row r="42" spans="1:4" x14ac:dyDescent="0.3">
      <c r="A42" s="71" t="s">
        <v>22</v>
      </c>
      <c r="B42" s="46">
        <v>0.88433023370599995</v>
      </c>
      <c r="C42" s="46">
        <v>0.83928078954399998</v>
      </c>
      <c r="D42" s="46">
        <v>0.94764307089300004</v>
      </c>
    </row>
    <row r="43" spans="1:4" x14ac:dyDescent="0.3">
      <c r="A43" s="71" t="s">
        <v>29</v>
      </c>
      <c r="B43" s="46">
        <v>0.96186053827999995</v>
      </c>
      <c r="C43" s="46">
        <v>0.96492582241899993</v>
      </c>
      <c r="D43" s="46">
        <v>0.97517730897499999</v>
      </c>
    </row>
    <row r="44" spans="1:4" x14ac:dyDescent="0.3">
      <c r="A44" s="71" t="s">
        <v>177</v>
      </c>
      <c r="B44" s="46">
        <v>0.88346270643799996</v>
      </c>
      <c r="C44" s="46">
        <v>0.87547516161299999</v>
      </c>
      <c r="D44" s="46">
        <v>0.90466474669499997</v>
      </c>
    </row>
    <row r="45" spans="1:4" x14ac:dyDescent="0.3">
      <c r="A45" s="71" t="s">
        <v>99</v>
      </c>
      <c r="B45" s="46">
        <v>0.83579296008300008</v>
      </c>
      <c r="C45" s="46">
        <v>0.83454329639700009</v>
      </c>
      <c r="D45" s="46">
        <v>0.85996669714999996</v>
      </c>
    </row>
    <row r="46" spans="1:4" x14ac:dyDescent="0.3">
      <c r="A46" s="71" t="s">
        <v>63</v>
      </c>
      <c r="B46" s="46">
        <v>0.96051239150300005</v>
      </c>
      <c r="C46" s="46">
        <v>0.93884799693400001</v>
      </c>
      <c r="D46" s="46">
        <v>0.95426925631299997</v>
      </c>
    </row>
    <row r="47" spans="1:4" x14ac:dyDescent="0.3">
      <c r="A47" s="71" t="s">
        <v>81</v>
      </c>
      <c r="B47" s="46">
        <v>0.721703916118</v>
      </c>
      <c r="C47" s="46">
        <v>0.30350054643199997</v>
      </c>
      <c r="D47" s="46">
        <v>0.89937976826799992</v>
      </c>
    </row>
    <row r="48" spans="1:4" x14ac:dyDescent="0.3">
      <c r="A48" s="71" t="s">
        <v>91</v>
      </c>
      <c r="B48" s="46">
        <v>0.75675395253900002</v>
      </c>
      <c r="C48" s="46">
        <v>0.72602519219599992</v>
      </c>
      <c r="D48" s="46">
        <v>0.55615159856100005</v>
      </c>
    </row>
    <row r="49" spans="1:4" x14ac:dyDescent="0.3">
      <c r="A49" s="72" t="s">
        <v>92</v>
      </c>
      <c r="B49" s="46">
        <v>0.58924595003199998</v>
      </c>
      <c r="C49" s="46">
        <v>0.22411414467400001</v>
      </c>
      <c r="D49" s="46">
        <v>0.61931418663799997</v>
      </c>
    </row>
    <row r="50" spans="1:4" x14ac:dyDescent="0.3">
      <c r="A50" s="72" t="s">
        <v>47</v>
      </c>
      <c r="B50" s="46">
        <v>0.496848776055</v>
      </c>
      <c r="C50" s="46">
        <v>0.71248033809400002</v>
      </c>
      <c r="D50" s="46">
        <v>0.63040095935999996</v>
      </c>
    </row>
    <row r="51" spans="1:4" x14ac:dyDescent="0.3">
      <c r="A51" s="72" t="s">
        <v>93</v>
      </c>
      <c r="B51" s="46">
        <v>0.79589982729999997</v>
      </c>
      <c r="C51" s="46">
        <v>0.8609184396409999</v>
      </c>
      <c r="D51" s="46">
        <v>0.89631747938799999</v>
      </c>
    </row>
    <row r="52" spans="1:4" x14ac:dyDescent="0.3">
      <c r="A52" s="71" t="s">
        <v>11</v>
      </c>
      <c r="B52" s="46">
        <v>0.89022911619499989</v>
      </c>
      <c r="C52" s="46">
        <v>0.93067255746699995</v>
      </c>
      <c r="D52" s="46">
        <v>0.93999088073199999</v>
      </c>
    </row>
    <row r="53" spans="1:4" x14ac:dyDescent="0.3">
      <c r="A53" s="71" t="s">
        <v>100</v>
      </c>
      <c r="B53" s="46">
        <v>0.88812770072299996</v>
      </c>
      <c r="C53" s="46">
        <v>0.86205068940000007</v>
      </c>
      <c r="D53" s="46">
        <v>0.88469704355400003</v>
      </c>
    </row>
    <row r="54" spans="1:4" x14ac:dyDescent="0.3">
      <c r="A54" s="71" t="s">
        <v>83</v>
      </c>
      <c r="B54" s="46">
        <v>0.95592277741000009</v>
      </c>
      <c r="C54" s="46">
        <v>0.95995100779200004</v>
      </c>
      <c r="D54" s="46">
        <v>0.96384751953699999</v>
      </c>
    </row>
    <row r="55" spans="1:4" x14ac:dyDescent="0.3">
      <c r="A55" s="71" t="s">
        <v>42</v>
      </c>
      <c r="B55" s="46">
        <v>0.75195227195000003</v>
      </c>
      <c r="C55" s="46">
        <v>0.82205215372200002</v>
      </c>
      <c r="D55" s="46">
        <v>0.81348401103900003</v>
      </c>
    </row>
    <row r="56" spans="1:4" x14ac:dyDescent="0.3">
      <c r="A56" s="71" t="s">
        <v>34</v>
      </c>
      <c r="B56" s="46">
        <v>0.49006297239800001</v>
      </c>
      <c r="C56" s="46">
        <v>0.55283104908500003</v>
      </c>
      <c r="D56" s="46">
        <v>0.80995126475000001</v>
      </c>
    </row>
    <row r="57" spans="1:4" x14ac:dyDescent="0.3">
      <c r="A57" s="71" t="s">
        <v>35</v>
      </c>
      <c r="B57" s="46">
        <v>0.93383186225499992</v>
      </c>
      <c r="C57" s="46">
        <v>0.89846564115299998</v>
      </c>
      <c r="D57" s="46">
        <v>0.89599297316199999</v>
      </c>
    </row>
    <row r="58" spans="1:4" x14ac:dyDescent="0.3">
      <c r="A58" s="71" t="s">
        <v>94</v>
      </c>
      <c r="B58" s="46">
        <v>0.85103447333500004</v>
      </c>
      <c r="C58" s="46">
        <v>0.80365769646100005</v>
      </c>
      <c r="D58" s="46">
        <v>0.81081303816600003</v>
      </c>
    </row>
    <row r="59" spans="1:4" x14ac:dyDescent="0.3">
      <c r="A59" s="71" t="s">
        <v>46</v>
      </c>
      <c r="B59" s="46">
        <v>0.63237296524999997</v>
      </c>
      <c r="C59" s="46">
        <v>0.76819852449100001</v>
      </c>
      <c r="D59" s="46">
        <v>0.68976740414000004</v>
      </c>
    </row>
    <row r="60" spans="1:4" x14ac:dyDescent="0.3">
      <c r="A60" s="71" t="s">
        <v>44</v>
      </c>
      <c r="B60" s="46">
        <v>0.97362517419599992</v>
      </c>
      <c r="C60" s="46">
        <v>0.94417370185600002</v>
      </c>
      <c r="D60" s="46">
        <v>0.93909269200099998</v>
      </c>
    </row>
    <row r="61" spans="1:4" x14ac:dyDescent="0.3">
      <c r="A61" s="71" t="s">
        <v>36</v>
      </c>
      <c r="B61" s="46">
        <v>0.79724218966899996</v>
      </c>
      <c r="C61" s="46">
        <v>0.65828972924899998</v>
      </c>
      <c r="D61" s="46">
        <v>0.86659649975099995</v>
      </c>
    </row>
    <row r="62" spans="1:4" x14ac:dyDescent="0.3">
      <c r="A62" s="71" t="s">
        <v>54</v>
      </c>
      <c r="B62" s="46">
        <v>0.87588145064399991</v>
      </c>
      <c r="C62" s="46">
        <v>0.89351667130899992</v>
      </c>
      <c r="D62" s="46">
        <v>0.90276255817899997</v>
      </c>
    </row>
    <row r="63" spans="1:4" x14ac:dyDescent="0.3">
      <c r="A63" s="71" t="s">
        <v>23</v>
      </c>
      <c r="B63" s="46">
        <v>0.91642498963300001</v>
      </c>
      <c r="C63" s="46">
        <v>0.83368151050899997</v>
      </c>
      <c r="D63" s="46">
        <v>0.79861331180299999</v>
      </c>
    </row>
    <row r="64" spans="1:4" x14ac:dyDescent="0.3">
      <c r="A64" s="71" t="s">
        <v>49</v>
      </c>
      <c r="B64" s="46">
        <v>0.85962199195500011</v>
      </c>
      <c r="C64" s="46">
        <v>0.88841232239700008</v>
      </c>
      <c r="D64" s="46">
        <v>0.87881096034200001</v>
      </c>
    </row>
    <row r="65" spans="1:4" x14ac:dyDescent="0.3">
      <c r="A65" s="71" t="s">
        <v>24</v>
      </c>
      <c r="B65" s="46">
        <v>0.98142675497599996</v>
      </c>
      <c r="C65" s="46">
        <v>0.92967480511800005</v>
      </c>
      <c r="D65" s="46">
        <v>0.98747139903500003</v>
      </c>
    </row>
    <row r="66" spans="1:4" x14ac:dyDescent="0.3">
      <c r="A66" s="71" t="s">
        <v>68</v>
      </c>
      <c r="B66" s="46">
        <v>0.99335130459400001</v>
      </c>
      <c r="C66" s="46">
        <v>0.92382140618999997</v>
      </c>
      <c r="D66" s="46">
        <v>0.93767883897399995</v>
      </c>
    </row>
    <row r="67" spans="1:4" x14ac:dyDescent="0.3">
      <c r="A67" s="71" t="s">
        <v>41</v>
      </c>
      <c r="B67" s="46">
        <v>0.64929985243800004</v>
      </c>
      <c r="C67" s="46">
        <v>0.53299885923500001</v>
      </c>
      <c r="D67" s="46">
        <v>0.64223015205199996</v>
      </c>
    </row>
    <row r="68" spans="1:4" x14ac:dyDescent="0.3">
      <c r="A68" s="71" t="s">
        <v>101</v>
      </c>
      <c r="B68" s="46">
        <v>0.85131644720300004</v>
      </c>
      <c r="C68" s="46">
        <v>0.90446576575100002</v>
      </c>
      <c r="D68" s="46">
        <v>0.89442908729600001</v>
      </c>
    </row>
    <row r="69" spans="1:4" x14ac:dyDescent="0.3">
      <c r="A69" s="71" t="s">
        <v>55</v>
      </c>
      <c r="B69" s="46">
        <v>0.44121515073399997</v>
      </c>
      <c r="C69" s="46">
        <v>0.77968140153600007</v>
      </c>
      <c r="D69" s="46">
        <v>0.72153418133299996</v>
      </c>
    </row>
    <row r="70" spans="1:4" x14ac:dyDescent="0.3">
      <c r="A70" s="71" t="s">
        <v>16</v>
      </c>
      <c r="B70" s="46">
        <v>0.95098379461600002</v>
      </c>
      <c r="C70" s="46">
        <v>0.98264402116300009</v>
      </c>
      <c r="D70" s="46">
        <v>0.98597411122199996</v>
      </c>
    </row>
    <row r="71" spans="1:4" x14ac:dyDescent="0.3">
      <c r="A71" s="71" t="s">
        <v>17</v>
      </c>
      <c r="B71" s="46">
        <v>0.96776608353000004</v>
      </c>
      <c r="C71" s="46">
        <v>0.94735588411099991</v>
      </c>
      <c r="D71" s="46">
        <v>0.87843533981600008</v>
      </c>
    </row>
    <row r="72" spans="1:4" x14ac:dyDescent="0.3">
      <c r="A72" s="71" t="s">
        <v>60</v>
      </c>
      <c r="B72" s="46">
        <v>0.70049283867599998</v>
      </c>
      <c r="C72" s="46">
        <v>0.81559515103299995</v>
      </c>
      <c r="D72" s="46">
        <v>0.77806943285499996</v>
      </c>
    </row>
    <row r="73" spans="1:4" x14ac:dyDescent="0.3">
      <c r="A73" s="72" t="s">
        <v>19</v>
      </c>
      <c r="B73" s="46">
        <v>0.50726584508299999</v>
      </c>
      <c r="C73" s="46">
        <v>0.55872587159699993</v>
      </c>
      <c r="D73" s="46">
        <v>0.55156614187300002</v>
      </c>
    </row>
    <row r="74" spans="1:4" x14ac:dyDescent="0.3">
      <c r="A74" s="72" t="s">
        <v>82</v>
      </c>
      <c r="B74" s="46">
        <v>0.94225093745099997</v>
      </c>
      <c r="C74" s="46">
        <v>0.96078589949399995</v>
      </c>
      <c r="D74" s="46">
        <v>0.974252126266</v>
      </c>
    </row>
    <row r="75" spans="1:4" x14ac:dyDescent="0.3">
      <c r="A75" s="72" t="s">
        <v>102</v>
      </c>
      <c r="B75" s="46">
        <v>0.91125282177200007</v>
      </c>
      <c r="C75" s="46">
        <v>0.88434120299499996</v>
      </c>
      <c r="D75" s="46">
        <v>0.87668655832400011</v>
      </c>
    </row>
    <row r="76" spans="1:4" x14ac:dyDescent="0.3">
      <c r="A76" s="71" t="s">
        <v>58</v>
      </c>
      <c r="B76" s="46">
        <v>0.58463037304799992</v>
      </c>
      <c r="C76" s="46">
        <v>0.49691160183100003</v>
      </c>
      <c r="D76" s="46">
        <v>0.55192513881000005</v>
      </c>
    </row>
    <row r="77" spans="1:4" x14ac:dyDescent="0.3">
      <c r="A77" s="71" t="s">
        <v>14</v>
      </c>
      <c r="B77" s="46">
        <v>0.51781893090300002</v>
      </c>
      <c r="C77" s="46">
        <v>0.297994332438</v>
      </c>
      <c r="D77" s="46">
        <v>0.388574018061</v>
      </c>
    </row>
    <row r="78" spans="1:4" x14ac:dyDescent="0.3">
      <c r="A78" s="71" t="s">
        <v>77</v>
      </c>
      <c r="B78" s="46">
        <v>0.75502425721400002</v>
      </c>
      <c r="C78" s="46">
        <v>0.49231215516600002</v>
      </c>
      <c r="D78" s="46">
        <v>0.799330739766</v>
      </c>
    </row>
    <row r="79" spans="1:4" x14ac:dyDescent="0.3">
      <c r="A79" s="71" t="s">
        <v>12</v>
      </c>
      <c r="B79" s="46">
        <v>0.91111713590400001</v>
      </c>
      <c r="C79" s="46">
        <v>0.97273784393499996</v>
      </c>
      <c r="D79" s="46">
        <v>0.86352102658800012</v>
      </c>
    </row>
    <row r="80" spans="1:4" x14ac:dyDescent="0.3">
      <c r="A80" s="71" t="s">
        <v>61</v>
      </c>
      <c r="B80" s="46">
        <v>0.97156575429600001</v>
      </c>
      <c r="C80" s="46">
        <v>0.97985656889599992</v>
      </c>
      <c r="D80" s="46">
        <v>0.95138323614700004</v>
      </c>
    </row>
    <row r="81" spans="1:4" x14ac:dyDescent="0.3">
      <c r="A81" s="71" t="s">
        <v>72</v>
      </c>
      <c r="B81" s="46">
        <v>0.93968909551099999</v>
      </c>
      <c r="C81" s="46">
        <v>0.94810830626099996</v>
      </c>
      <c r="D81" s="46">
        <v>0.92423840726399997</v>
      </c>
    </row>
    <row r="82" spans="1:4" x14ac:dyDescent="0.3">
      <c r="A82" s="71" t="s">
        <v>76</v>
      </c>
      <c r="B82" s="46">
        <v>0.92097181080699997</v>
      </c>
      <c r="C82" s="46">
        <v>0.885406488396</v>
      </c>
      <c r="D82" s="46">
        <v>0.95755012886399993</v>
      </c>
    </row>
    <row r="83" spans="1:4" x14ac:dyDescent="0.3">
      <c r="A83" s="71" t="s">
        <v>6</v>
      </c>
      <c r="B83" s="46">
        <v>0.90267838782699994</v>
      </c>
      <c r="C83" s="46">
        <v>0.837877171117</v>
      </c>
      <c r="D83" s="46">
        <v>0.82921742247800001</v>
      </c>
    </row>
    <row r="84" spans="1:4" x14ac:dyDescent="0.3">
      <c r="A84" s="71" t="s">
        <v>64</v>
      </c>
      <c r="B84" s="46">
        <v>0.93429140147599998</v>
      </c>
      <c r="C84" s="46">
        <v>0.85622069377299992</v>
      </c>
      <c r="D84" s="46">
        <v>0.84452875717300002</v>
      </c>
    </row>
    <row r="85" spans="1:4" x14ac:dyDescent="0.3">
      <c r="A85" s="71" t="s">
        <v>5</v>
      </c>
      <c r="B85" s="46">
        <v>0.88013273211800003</v>
      </c>
      <c r="C85" s="46">
        <v>0.85054612763899995</v>
      </c>
      <c r="D85" s="46">
        <v>0.78504112233500001</v>
      </c>
    </row>
    <row r="86" spans="1:4" x14ac:dyDescent="0.3">
      <c r="A86" s="71" t="s">
        <v>103</v>
      </c>
      <c r="B86" s="46">
        <v>0.822356209615</v>
      </c>
      <c r="C86" s="46">
        <v>0.81959905577399994</v>
      </c>
      <c r="D86" s="46">
        <v>0.76826382174100005</v>
      </c>
    </row>
    <row r="87" spans="1:4" x14ac:dyDescent="0.3">
      <c r="A87" s="71" t="s">
        <v>1</v>
      </c>
      <c r="B87" s="46">
        <v>0.83862552360300002</v>
      </c>
      <c r="C87" s="46">
        <v>0.75235601676899999</v>
      </c>
      <c r="D87" s="46">
        <v>0.85207583979199997</v>
      </c>
    </row>
    <row r="88" spans="1:4" x14ac:dyDescent="0.3">
      <c r="A88" s="71" t="s">
        <v>62</v>
      </c>
      <c r="B88" s="46">
        <v>0.77782068335999999</v>
      </c>
      <c r="C88" s="46">
        <v>0.71666952359000002</v>
      </c>
      <c r="D88" s="46">
        <v>0.59450164458900001</v>
      </c>
    </row>
    <row r="89" spans="1:4" x14ac:dyDescent="0.3">
      <c r="A89" s="71" t="s">
        <v>57</v>
      </c>
      <c r="B89" s="46">
        <v>0.75809283939599992</v>
      </c>
      <c r="C89" s="46">
        <v>0.84507928198900006</v>
      </c>
      <c r="D89" s="46">
        <v>0.73550059796599998</v>
      </c>
    </row>
    <row r="90" spans="1:4" x14ac:dyDescent="0.3">
      <c r="A90" s="71" t="s">
        <v>9</v>
      </c>
      <c r="B90" s="46">
        <v>0.62354453629100004</v>
      </c>
      <c r="C90" s="46">
        <v>0.67330425949600003</v>
      </c>
      <c r="D90" s="46">
        <v>0.70943215204300003</v>
      </c>
    </row>
    <row r="91" spans="1:4" x14ac:dyDescent="0.3">
      <c r="A91" s="71" t="s">
        <v>10</v>
      </c>
      <c r="B91" s="46">
        <v>0.92645860664699997</v>
      </c>
      <c r="C91" s="46">
        <v>0.92772538002100002</v>
      </c>
      <c r="D91" s="46">
        <v>0.89873818615800005</v>
      </c>
    </row>
    <row r="92" spans="1:4" x14ac:dyDescent="0.3">
      <c r="A92" s="71" t="s">
        <v>75</v>
      </c>
      <c r="B92" s="46">
        <v>0.94826393295599998</v>
      </c>
      <c r="C92" s="46">
        <v>0.93870391713599999</v>
      </c>
      <c r="D92" s="46">
        <v>0.97679456547900001</v>
      </c>
    </row>
    <row r="93" spans="1:4" x14ac:dyDescent="0.3">
      <c r="A93" s="71" t="s">
        <v>73</v>
      </c>
      <c r="B93" s="46">
        <v>0.66943825145999991</v>
      </c>
      <c r="C93" s="46">
        <v>0.81421800803599997</v>
      </c>
      <c r="D93" s="46">
        <v>0.45883754779399999</v>
      </c>
    </row>
    <row r="94" spans="1:4" x14ac:dyDescent="0.3">
      <c r="A94" s="71" t="s">
        <v>8</v>
      </c>
      <c r="B94" s="46">
        <v>0.83166742199300003</v>
      </c>
      <c r="C94" s="46">
        <v>0.79439166095199998</v>
      </c>
      <c r="D94" s="46">
        <v>0.63237602893400002</v>
      </c>
    </row>
    <row r="95" spans="1:4" x14ac:dyDescent="0.3">
      <c r="A95" s="71" t="s">
        <v>3</v>
      </c>
      <c r="B95" s="46">
        <v>0.76147098425799997</v>
      </c>
      <c r="C95" s="46">
        <v>0.55477584596700003</v>
      </c>
      <c r="D95" s="46">
        <v>0.61180454748899993</v>
      </c>
    </row>
    <row r="96" spans="1:4" x14ac:dyDescent="0.3">
      <c r="A96" s="71" t="s">
        <v>74</v>
      </c>
      <c r="B96" s="46">
        <v>0.51648073417899998</v>
      </c>
      <c r="C96" s="46">
        <v>0.51505853100700005</v>
      </c>
      <c r="D96" s="46">
        <v>0.64235601492900007</v>
      </c>
    </row>
    <row r="97" spans="1:4" x14ac:dyDescent="0.3">
      <c r="A97" s="71" t="s">
        <v>18</v>
      </c>
      <c r="B97" s="46">
        <v>0.41982554676299999</v>
      </c>
      <c r="C97" s="46">
        <v>0.20763541062600002</v>
      </c>
      <c r="D97" s="46">
        <v>0.21160481249999999</v>
      </c>
    </row>
  </sheetData>
  <autoFilter ref="A3:D97" xr:uid="{5C2CECA7-98BF-4F21-8B75-BBF6A84E04D6}"/>
  <pageMargins left="0.75" right="0.75" top="1" bottom="1" header="0.5" footer="0.5"/>
  <pageSetup orientation="portrait" horizontalDpi="300" verticalDpi="300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451FE-B70C-409B-9E1C-89326D8441A8}">
  <sheetPr codeName="Лист36">
    <tabColor theme="8" tint="0.59999389629810485"/>
    <pageSetUpPr fitToPage="1"/>
  </sheetPr>
  <dimension ref="A1:H97"/>
  <sheetViews>
    <sheetView showGridLines="0" workbookViewId="0"/>
  </sheetViews>
  <sheetFormatPr defaultRowHeight="16.5" x14ac:dyDescent="0.3"/>
  <cols>
    <col min="1" max="1" width="108.5703125" style="9" customWidth="1"/>
    <col min="2" max="4" width="11" style="4" bestFit="1" customWidth="1"/>
    <col min="5" max="237" width="9.140625" style="4"/>
    <col min="238" max="238" width="108.5703125" style="4" customWidth="1"/>
    <col min="239" max="239" width="1.5703125" style="4" customWidth="1"/>
    <col min="240" max="240" width="6" style="4" customWidth="1"/>
    <col min="241" max="493" width="9.140625" style="4"/>
    <col min="494" max="494" width="108.5703125" style="4" customWidth="1"/>
    <col min="495" max="495" width="1.5703125" style="4" customWidth="1"/>
    <col min="496" max="496" width="6" style="4" customWidth="1"/>
    <col min="497" max="749" width="9.140625" style="4"/>
    <col min="750" max="750" width="108.5703125" style="4" customWidth="1"/>
    <col min="751" max="751" width="1.5703125" style="4" customWidth="1"/>
    <col min="752" max="752" width="6" style="4" customWidth="1"/>
    <col min="753" max="1005" width="9.140625" style="4"/>
    <col min="1006" max="1006" width="108.5703125" style="4" customWidth="1"/>
    <col min="1007" max="1007" width="1.5703125" style="4" customWidth="1"/>
    <col min="1008" max="1008" width="6" style="4" customWidth="1"/>
    <col min="1009" max="1261" width="9.140625" style="4"/>
    <col min="1262" max="1262" width="108.5703125" style="4" customWidth="1"/>
    <col min="1263" max="1263" width="1.5703125" style="4" customWidth="1"/>
    <col min="1264" max="1264" width="6" style="4" customWidth="1"/>
    <col min="1265" max="1517" width="9.140625" style="4"/>
    <col min="1518" max="1518" width="108.5703125" style="4" customWidth="1"/>
    <col min="1519" max="1519" width="1.5703125" style="4" customWidth="1"/>
    <col min="1520" max="1520" width="6" style="4" customWidth="1"/>
    <col min="1521" max="1773" width="9.140625" style="4"/>
    <col min="1774" max="1774" width="108.5703125" style="4" customWidth="1"/>
    <col min="1775" max="1775" width="1.5703125" style="4" customWidth="1"/>
    <col min="1776" max="1776" width="6" style="4" customWidth="1"/>
    <col min="1777" max="2029" width="9.140625" style="4"/>
    <col min="2030" max="2030" width="108.5703125" style="4" customWidth="1"/>
    <col min="2031" max="2031" width="1.5703125" style="4" customWidth="1"/>
    <col min="2032" max="2032" width="6" style="4" customWidth="1"/>
    <col min="2033" max="2285" width="9.140625" style="4"/>
    <col min="2286" max="2286" width="108.5703125" style="4" customWidth="1"/>
    <col min="2287" max="2287" width="1.5703125" style="4" customWidth="1"/>
    <col min="2288" max="2288" width="6" style="4" customWidth="1"/>
    <col min="2289" max="2541" width="9.140625" style="4"/>
    <col min="2542" max="2542" width="108.5703125" style="4" customWidth="1"/>
    <col min="2543" max="2543" width="1.5703125" style="4" customWidth="1"/>
    <col min="2544" max="2544" width="6" style="4" customWidth="1"/>
    <col min="2545" max="2797" width="9.140625" style="4"/>
    <col min="2798" max="2798" width="108.5703125" style="4" customWidth="1"/>
    <col min="2799" max="2799" width="1.5703125" style="4" customWidth="1"/>
    <col min="2800" max="2800" width="6" style="4" customWidth="1"/>
    <col min="2801" max="3053" width="9.140625" style="4"/>
    <col min="3054" max="3054" width="108.5703125" style="4" customWidth="1"/>
    <col min="3055" max="3055" width="1.5703125" style="4" customWidth="1"/>
    <col min="3056" max="3056" width="6" style="4" customWidth="1"/>
    <col min="3057" max="3309" width="9.140625" style="4"/>
    <col min="3310" max="3310" width="108.5703125" style="4" customWidth="1"/>
    <col min="3311" max="3311" width="1.5703125" style="4" customWidth="1"/>
    <col min="3312" max="3312" width="6" style="4" customWidth="1"/>
    <col min="3313" max="3565" width="9.140625" style="4"/>
    <col min="3566" max="3566" width="108.5703125" style="4" customWidth="1"/>
    <col min="3567" max="3567" width="1.5703125" style="4" customWidth="1"/>
    <col min="3568" max="3568" width="6" style="4" customWidth="1"/>
    <col min="3569" max="3821" width="9.140625" style="4"/>
    <col min="3822" max="3822" width="108.5703125" style="4" customWidth="1"/>
    <col min="3823" max="3823" width="1.5703125" style="4" customWidth="1"/>
    <col min="3824" max="3824" width="6" style="4" customWidth="1"/>
    <col min="3825" max="4077" width="9.140625" style="4"/>
    <col min="4078" max="4078" width="108.5703125" style="4" customWidth="1"/>
    <col min="4079" max="4079" width="1.5703125" style="4" customWidth="1"/>
    <col min="4080" max="4080" width="6" style="4" customWidth="1"/>
    <col min="4081" max="4333" width="9.140625" style="4"/>
    <col min="4334" max="4334" width="108.5703125" style="4" customWidth="1"/>
    <col min="4335" max="4335" width="1.5703125" style="4" customWidth="1"/>
    <col min="4336" max="4336" width="6" style="4" customWidth="1"/>
    <col min="4337" max="4589" width="9.140625" style="4"/>
    <col min="4590" max="4590" width="108.5703125" style="4" customWidth="1"/>
    <col min="4591" max="4591" width="1.5703125" style="4" customWidth="1"/>
    <col min="4592" max="4592" width="6" style="4" customWidth="1"/>
    <col min="4593" max="4845" width="9.140625" style="4"/>
    <col min="4846" max="4846" width="108.5703125" style="4" customWidth="1"/>
    <col min="4847" max="4847" width="1.5703125" style="4" customWidth="1"/>
    <col min="4848" max="4848" width="6" style="4" customWidth="1"/>
    <col min="4849" max="5101" width="9.140625" style="4"/>
    <col min="5102" max="5102" width="108.5703125" style="4" customWidth="1"/>
    <col min="5103" max="5103" width="1.5703125" style="4" customWidth="1"/>
    <col min="5104" max="5104" width="6" style="4" customWidth="1"/>
    <col min="5105" max="5357" width="9.140625" style="4"/>
    <col min="5358" max="5358" width="108.5703125" style="4" customWidth="1"/>
    <col min="5359" max="5359" width="1.5703125" style="4" customWidth="1"/>
    <col min="5360" max="5360" width="6" style="4" customWidth="1"/>
    <col min="5361" max="5613" width="9.140625" style="4"/>
    <col min="5614" max="5614" width="108.5703125" style="4" customWidth="1"/>
    <col min="5615" max="5615" width="1.5703125" style="4" customWidth="1"/>
    <col min="5616" max="5616" width="6" style="4" customWidth="1"/>
    <col min="5617" max="5869" width="9.140625" style="4"/>
    <col min="5870" max="5870" width="108.5703125" style="4" customWidth="1"/>
    <col min="5871" max="5871" width="1.5703125" style="4" customWidth="1"/>
    <col min="5872" max="5872" width="6" style="4" customWidth="1"/>
    <col min="5873" max="6125" width="9.140625" style="4"/>
    <col min="6126" max="6126" width="108.5703125" style="4" customWidth="1"/>
    <col min="6127" max="6127" width="1.5703125" style="4" customWidth="1"/>
    <col min="6128" max="6128" width="6" style="4" customWidth="1"/>
    <col min="6129" max="6381" width="9.140625" style="4"/>
    <col min="6382" max="6382" width="108.5703125" style="4" customWidth="1"/>
    <col min="6383" max="6383" width="1.5703125" style="4" customWidth="1"/>
    <col min="6384" max="6384" width="6" style="4" customWidth="1"/>
    <col min="6385" max="6637" width="9.140625" style="4"/>
    <col min="6638" max="6638" width="108.5703125" style="4" customWidth="1"/>
    <col min="6639" max="6639" width="1.5703125" style="4" customWidth="1"/>
    <col min="6640" max="6640" width="6" style="4" customWidth="1"/>
    <col min="6641" max="6893" width="9.140625" style="4"/>
    <col min="6894" max="6894" width="108.5703125" style="4" customWidth="1"/>
    <col min="6895" max="6895" width="1.5703125" style="4" customWidth="1"/>
    <col min="6896" max="6896" width="6" style="4" customWidth="1"/>
    <col min="6897" max="7149" width="9.140625" style="4"/>
    <col min="7150" max="7150" width="108.5703125" style="4" customWidth="1"/>
    <col min="7151" max="7151" width="1.5703125" style="4" customWidth="1"/>
    <col min="7152" max="7152" width="6" style="4" customWidth="1"/>
    <col min="7153" max="7405" width="9.140625" style="4"/>
    <col min="7406" max="7406" width="108.5703125" style="4" customWidth="1"/>
    <col min="7407" max="7407" width="1.5703125" style="4" customWidth="1"/>
    <col min="7408" max="7408" width="6" style="4" customWidth="1"/>
    <col min="7409" max="7661" width="9.140625" style="4"/>
    <col min="7662" max="7662" width="108.5703125" style="4" customWidth="1"/>
    <col min="7663" max="7663" width="1.5703125" style="4" customWidth="1"/>
    <col min="7664" max="7664" width="6" style="4" customWidth="1"/>
    <col min="7665" max="7917" width="9.140625" style="4"/>
    <col min="7918" max="7918" width="108.5703125" style="4" customWidth="1"/>
    <col min="7919" max="7919" width="1.5703125" style="4" customWidth="1"/>
    <col min="7920" max="7920" width="6" style="4" customWidth="1"/>
    <col min="7921" max="8173" width="9.140625" style="4"/>
    <col min="8174" max="8174" width="108.5703125" style="4" customWidth="1"/>
    <col min="8175" max="8175" width="1.5703125" style="4" customWidth="1"/>
    <col min="8176" max="8176" width="6" style="4" customWidth="1"/>
    <col min="8177" max="8429" width="9.140625" style="4"/>
    <col min="8430" max="8430" width="108.5703125" style="4" customWidth="1"/>
    <col min="8431" max="8431" width="1.5703125" style="4" customWidth="1"/>
    <col min="8432" max="8432" width="6" style="4" customWidth="1"/>
    <col min="8433" max="8685" width="9.140625" style="4"/>
    <col min="8686" max="8686" width="108.5703125" style="4" customWidth="1"/>
    <col min="8687" max="8687" width="1.5703125" style="4" customWidth="1"/>
    <col min="8688" max="8688" width="6" style="4" customWidth="1"/>
    <col min="8689" max="8941" width="9.140625" style="4"/>
    <col min="8942" max="8942" width="108.5703125" style="4" customWidth="1"/>
    <col min="8943" max="8943" width="1.5703125" style="4" customWidth="1"/>
    <col min="8944" max="8944" width="6" style="4" customWidth="1"/>
    <col min="8945" max="9197" width="9.140625" style="4"/>
    <col min="9198" max="9198" width="108.5703125" style="4" customWidth="1"/>
    <col min="9199" max="9199" width="1.5703125" style="4" customWidth="1"/>
    <col min="9200" max="9200" width="6" style="4" customWidth="1"/>
    <col min="9201" max="9453" width="9.140625" style="4"/>
    <col min="9454" max="9454" width="108.5703125" style="4" customWidth="1"/>
    <col min="9455" max="9455" width="1.5703125" style="4" customWidth="1"/>
    <col min="9456" max="9456" width="6" style="4" customWidth="1"/>
    <col min="9457" max="9709" width="9.140625" style="4"/>
    <col min="9710" max="9710" width="108.5703125" style="4" customWidth="1"/>
    <col min="9711" max="9711" width="1.5703125" style="4" customWidth="1"/>
    <col min="9712" max="9712" width="6" style="4" customWidth="1"/>
    <col min="9713" max="9965" width="9.140625" style="4"/>
    <col min="9966" max="9966" width="108.5703125" style="4" customWidth="1"/>
    <col min="9967" max="9967" width="1.5703125" style="4" customWidth="1"/>
    <col min="9968" max="9968" width="6" style="4" customWidth="1"/>
    <col min="9969" max="10221" width="9.140625" style="4"/>
    <col min="10222" max="10222" width="108.5703125" style="4" customWidth="1"/>
    <col min="10223" max="10223" width="1.5703125" style="4" customWidth="1"/>
    <col min="10224" max="10224" width="6" style="4" customWidth="1"/>
    <col min="10225" max="10477" width="9.140625" style="4"/>
    <col min="10478" max="10478" width="108.5703125" style="4" customWidth="1"/>
    <col min="10479" max="10479" width="1.5703125" style="4" customWidth="1"/>
    <col min="10480" max="10480" width="6" style="4" customWidth="1"/>
    <col min="10481" max="10733" width="9.140625" style="4"/>
    <col min="10734" max="10734" width="108.5703125" style="4" customWidth="1"/>
    <col min="10735" max="10735" width="1.5703125" style="4" customWidth="1"/>
    <col min="10736" max="10736" width="6" style="4" customWidth="1"/>
    <col min="10737" max="10989" width="9.140625" style="4"/>
    <col min="10990" max="10990" width="108.5703125" style="4" customWidth="1"/>
    <col min="10991" max="10991" width="1.5703125" style="4" customWidth="1"/>
    <col min="10992" max="10992" width="6" style="4" customWidth="1"/>
    <col min="10993" max="11245" width="9.140625" style="4"/>
    <col min="11246" max="11246" width="108.5703125" style="4" customWidth="1"/>
    <col min="11247" max="11247" width="1.5703125" style="4" customWidth="1"/>
    <col min="11248" max="11248" width="6" style="4" customWidth="1"/>
    <col min="11249" max="11501" width="9.140625" style="4"/>
    <col min="11502" max="11502" width="108.5703125" style="4" customWidth="1"/>
    <col min="11503" max="11503" width="1.5703125" style="4" customWidth="1"/>
    <col min="11504" max="11504" width="6" style="4" customWidth="1"/>
    <col min="11505" max="11757" width="9.140625" style="4"/>
    <col min="11758" max="11758" width="108.5703125" style="4" customWidth="1"/>
    <col min="11759" max="11759" width="1.5703125" style="4" customWidth="1"/>
    <col min="11760" max="11760" width="6" style="4" customWidth="1"/>
    <col min="11761" max="12013" width="9.140625" style="4"/>
    <col min="12014" max="12014" width="108.5703125" style="4" customWidth="1"/>
    <col min="12015" max="12015" width="1.5703125" style="4" customWidth="1"/>
    <col min="12016" max="12016" width="6" style="4" customWidth="1"/>
    <col min="12017" max="12269" width="9.140625" style="4"/>
    <col min="12270" max="12270" width="108.5703125" style="4" customWidth="1"/>
    <col min="12271" max="12271" width="1.5703125" style="4" customWidth="1"/>
    <col min="12272" max="12272" width="6" style="4" customWidth="1"/>
    <col min="12273" max="12525" width="9.140625" style="4"/>
    <col min="12526" max="12526" width="108.5703125" style="4" customWidth="1"/>
    <col min="12527" max="12527" width="1.5703125" style="4" customWidth="1"/>
    <col min="12528" max="12528" width="6" style="4" customWidth="1"/>
    <col min="12529" max="12781" width="9.140625" style="4"/>
    <col min="12782" max="12782" width="108.5703125" style="4" customWidth="1"/>
    <col min="12783" max="12783" width="1.5703125" style="4" customWidth="1"/>
    <col min="12784" max="12784" width="6" style="4" customWidth="1"/>
    <col min="12785" max="13037" width="9.140625" style="4"/>
    <col min="13038" max="13038" width="108.5703125" style="4" customWidth="1"/>
    <col min="13039" max="13039" width="1.5703125" style="4" customWidth="1"/>
    <col min="13040" max="13040" width="6" style="4" customWidth="1"/>
    <col min="13041" max="13293" width="9.140625" style="4"/>
    <col min="13294" max="13294" width="108.5703125" style="4" customWidth="1"/>
    <col min="13295" max="13295" width="1.5703125" style="4" customWidth="1"/>
    <col min="13296" max="13296" width="6" style="4" customWidth="1"/>
    <col min="13297" max="13549" width="9.140625" style="4"/>
    <col min="13550" max="13550" width="108.5703125" style="4" customWidth="1"/>
    <col min="13551" max="13551" width="1.5703125" style="4" customWidth="1"/>
    <col min="13552" max="13552" width="6" style="4" customWidth="1"/>
    <col min="13553" max="13805" width="9.140625" style="4"/>
    <col min="13806" max="13806" width="108.5703125" style="4" customWidth="1"/>
    <col min="13807" max="13807" width="1.5703125" style="4" customWidth="1"/>
    <col min="13808" max="13808" width="6" style="4" customWidth="1"/>
    <col min="13809" max="14061" width="9.140625" style="4"/>
    <col min="14062" max="14062" width="108.5703125" style="4" customWidth="1"/>
    <col min="14063" max="14063" width="1.5703125" style="4" customWidth="1"/>
    <col min="14064" max="14064" width="6" style="4" customWidth="1"/>
    <col min="14065" max="14317" width="9.140625" style="4"/>
    <col min="14318" max="14318" width="108.5703125" style="4" customWidth="1"/>
    <col min="14319" max="14319" width="1.5703125" style="4" customWidth="1"/>
    <col min="14320" max="14320" width="6" style="4" customWidth="1"/>
    <col min="14321" max="14573" width="9.140625" style="4"/>
    <col min="14574" max="14574" width="108.5703125" style="4" customWidth="1"/>
    <col min="14575" max="14575" width="1.5703125" style="4" customWidth="1"/>
    <col min="14576" max="14576" width="6" style="4" customWidth="1"/>
    <col min="14577" max="14829" width="9.140625" style="4"/>
    <col min="14830" max="14830" width="108.5703125" style="4" customWidth="1"/>
    <col min="14831" max="14831" width="1.5703125" style="4" customWidth="1"/>
    <col min="14832" max="14832" width="6" style="4" customWidth="1"/>
    <col min="14833" max="15085" width="9.140625" style="4"/>
    <col min="15086" max="15086" width="108.5703125" style="4" customWidth="1"/>
    <col min="15087" max="15087" width="1.5703125" style="4" customWidth="1"/>
    <col min="15088" max="15088" width="6" style="4" customWidth="1"/>
    <col min="15089" max="15341" width="9.140625" style="4"/>
    <col min="15342" max="15342" width="108.5703125" style="4" customWidth="1"/>
    <col min="15343" max="15343" width="1.5703125" style="4" customWidth="1"/>
    <col min="15344" max="15344" width="6" style="4" customWidth="1"/>
    <col min="15345" max="15597" width="9.140625" style="4"/>
    <col min="15598" max="15598" width="108.5703125" style="4" customWidth="1"/>
    <col min="15599" max="15599" width="1.5703125" style="4" customWidth="1"/>
    <col min="15600" max="15600" width="6" style="4" customWidth="1"/>
    <col min="15601" max="15853" width="9.140625" style="4"/>
    <col min="15854" max="15854" width="108.5703125" style="4" customWidth="1"/>
    <col min="15855" max="15855" width="1.5703125" style="4" customWidth="1"/>
    <col min="15856" max="15856" width="6" style="4" customWidth="1"/>
    <col min="15857" max="16109" width="9.140625" style="4"/>
    <col min="16110" max="16110" width="108.5703125" style="4" customWidth="1"/>
    <col min="16111" max="16111" width="1.5703125" style="4" customWidth="1"/>
    <col min="16112" max="16112" width="6" style="4" customWidth="1"/>
    <col min="16113" max="16384" width="9.140625" style="4"/>
  </cols>
  <sheetData>
    <row r="1" spans="1:8" x14ac:dyDescent="0.3">
      <c r="A1" s="8" t="s">
        <v>310</v>
      </c>
      <c r="B1" s="65"/>
      <c r="C1" s="65"/>
      <c r="D1" s="65"/>
      <c r="E1" s="65"/>
      <c r="F1" s="65"/>
      <c r="G1" s="65"/>
      <c r="H1" s="65"/>
    </row>
    <row r="3" spans="1:8" x14ac:dyDescent="0.3">
      <c r="A3" s="48" t="s">
        <v>129</v>
      </c>
      <c r="B3" s="20">
        <v>2019</v>
      </c>
      <c r="C3" s="20">
        <v>2020</v>
      </c>
      <c r="D3" s="20">
        <v>2021</v>
      </c>
    </row>
    <row r="4" spans="1:8" x14ac:dyDescent="0.3">
      <c r="A4" s="71" t="s">
        <v>87</v>
      </c>
      <c r="B4" s="46">
        <v>0.68555860019799997</v>
      </c>
      <c r="C4" s="46">
        <v>0.66445004626400006</v>
      </c>
      <c r="D4" s="46">
        <v>0.65692974920500002</v>
      </c>
    </row>
    <row r="5" spans="1:8" x14ac:dyDescent="0.3">
      <c r="A5" s="71" t="s">
        <v>96</v>
      </c>
      <c r="B5" s="46">
        <v>0.72965637534500005</v>
      </c>
      <c r="C5" s="46">
        <v>0.70195555313300007</v>
      </c>
      <c r="D5" s="46">
        <v>0.71831442205299989</v>
      </c>
    </row>
    <row r="6" spans="1:8" x14ac:dyDescent="0.3">
      <c r="A6" s="71" t="s">
        <v>50</v>
      </c>
      <c r="B6" s="46">
        <v>0.48957411656399996</v>
      </c>
      <c r="C6" s="46">
        <v>0.43694141941100001</v>
      </c>
      <c r="D6" s="46">
        <v>0.38446011142199998</v>
      </c>
    </row>
    <row r="7" spans="1:8" x14ac:dyDescent="0.3">
      <c r="A7" s="71" t="s">
        <v>48</v>
      </c>
      <c r="B7" s="46">
        <v>0.53347057410499998</v>
      </c>
      <c r="C7" s="46">
        <v>0.47263226694300003</v>
      </c>
      <c r="D7" s="46">
        <v>0.46424052042600006</v>
      </c>
    </row>
    <row r="8" spans="1:8" x14ac:dyDescent="0.3">
      <c r="A8" s="71" t="s">
        <v>20</v>
      </c>
      <c r="B8" s="46">
        <v>0.44117881601800002</v>
      </c>
      <c r="C8" s="46">
        <v>0.58388844614900004</v>
      </c>
      <c r="D8" s="46">
        <v>0.60357740371599999</v>
      </c>
    </row>
    <row r="9" spans="1:8" x14ac:dyDescent="0.3">
      <c r="A9" s="71" t="s">
        <v>4</v>
      </c>
      <c r="B9" s="46">
        <v>0.67729168650299998</v>
      </c>
      <c r="C9" s="46">
        <v>0.60826433736800001</v>
      </c>
      <c r="D9" s="46">
        <v>0.55719095521500006</v>
      </c>
    </row>
    <row r="10" spans="1:8" x14ac:dyDescent="0.3">
      <c r="A10" s="71" t="s">
        <v>45</v>
      </c>
      <c r="B10" s="46">
        <v>0.586080626045</v>
      </c>
      <c r="C10" s="46">
        <v>0.62237561635399996</v>
      </c>
      <c r="D10" s="46">
        <v>0.56958283438300006</v>
      </c>
    </row>
    <row r="11" spans="1:8" x14ac:dyDescent="0.3">
      <c r="A11" s="71" t="s">
        <v>40</v>
      </c>
      <c r="B11" s="46">
        <v>0.49868554628399997</v>
      </c>
      <c r="C11" s="46">
        <v>0.56238432752800005</v>
      </c>
      <c r="D11" s="46">
        <v>0.47413183865599995</v>
      </c>
    </row>
    <row r="12" spans="1:8" x14ac:dyDescent="0.3">
      <c r="A12" s="71" t="s">
        <v>37</v>
      </c>
      <c r="B12" s="46">
        <v>0.45729299442799998</v>
      </c>
      <c r="C12" s="46">
        <v>0.37868050054399999</v>
      </c>
      <c r="D12" s="46">
        <v>0.48694007540400003</v>
      </c>
    </row>
    <row r="13" spans="1:8" x14ac:dyDescent="0.3">
      <c r="A13" s="71" t="s">
        <v>56</v>
      </c>
      <c r="B13" s="46">
        <v>0.49926145529999999</v>
      </c>
      <c r="C13" s="46">
        <v>0.45373846183900002</v>
      </c>
      <c r="D13" s="46">
        <v>0.44046118083199998</v>
      </c>
    </row>
    <row r="14" spans="1:8" x14ac:dyDescent="0.3">
      <c r="A14" s="71" t="s">
        <v>51</v>
      </c>
      <c r="B14" s="46">
        <v>0.433641716866</v>
      </c>
      <c r="C14" s="46">
        <v>0.49702248223000001</v>
      </c>
      <c r="D14" s="46">
        <v>0.41768012953099998</v>
      </c>
    </row>
    <row r="15" spans="1:8" x14ac:dyDescent="0.3">
      <c r="A15" s="71" t="s">
        <v>21</v>
      </c>
      <c r="B15" s="46">
        <v>0.79171658027199998</v>
      </c>
      <c r="C15" s="46">
        <v>0.86413850470699993</v>
      </c>
      <c r="D15" s="46">
        <v>0.91958470009600002</v>
      </c>
    </row>
    <row r="16" spans="1:8" x14ac:dyDescent="0.3">
      <c r="A16" s="71" t="s">
        <v>70</v>
      </c>
      <c r="B16" s="46">
        <v>0.40602320695300004</v>
      </c>
      <c r="C16" s="46">
        <v>0.27683339927399997</v>
      </c>
      <c r="D16" s="46">
        <v>0.33973650028199998</v>
      </c>
    </row>
    <row r="17" spans="1:4" x14ac:dyDescent="0.3">
      <c r="A17" s="71" t="s">
        <v>59</v>
      </c>
      <c r="B17" s="46">
        <v>0.427976728192</v>
      </c>
      <c r="C17" s="46">
        <v>0.30686387707000001</v>
      </c>
      <c r="D17" s="46">
        <v>0.54263972778199998</v>
      </c>
    </row>
    <row r="18" spans="1:4" x14ac:dyDescent="0.3">
      <c r="A18" s="71" t="s">
        <v>43</v>
      </c>
      <c r="B18" s="46">
        <v>0.53934268115799999</v>
      </c>
      <c r="C18" s="46">
        <v>0.376042700796</v>
      </c>
      <c r="D18" s="46">
        <v>0.45040236233900005</v>
      </c>
    </row>
    <row r="19" spans="1:4" x14ac:dyDescent="0.3">
      <c r="A19" s="71" t="s">
        <v>15</v>
      </c>
      <c r="B19" s="46">
        <v>0.472243515113</v>
      </c>
      <c r="C19" s="46">
        <v>0.46087405173599999</v>
      </c>
      <c r="D19" s="46">
        <v>0.47247263962700004</v>
      </c>
    </row>
    <row r="20" spans="1:4" x14ac:dyDescent="0.3">
      <c r="A20" s="71" t="s">
        <v>38</v>
      </c>
      <c r="B20" s="46">
        <v>0.60761270729600003</v>
      </c>
      <c r="C20" s="46">
        <v>0.52886397127700002</v>
      </c>
      <c r="D20" s="46">
        <v>0.58601197529499993</v>
      </c>
    </row>
    <row r="21" spans="1:4" x14ac:dyDescent="0.3">
      <c r="A21" s="71" t="s">
        <v>39</v>
      </c>
      <c r="B21" s="46">
        <v>0.36989894285699998</v>
      </c>
      <c r="C21" s="46">
        <v>0.51383684730900003</v>
      </c>
      <c r="D21" s="46">
        <v>0.36744579868099997</v>
      </c>
    </row>
    <row r="22" spans="1:4" x14ac:dyDescent="0.3">
      <c r="A22" s="71" t="s">
        <v>78</v>
      </c>
      <c r="B22" s="46">
        <v>0.81547780305200002</v>
      </c>
      <c r="C22" s="46">
        <v>0.43236585609299999</v>
      </c>
      <c r="D22" s="46">
        <v>0.65082262877800001</v>
      </c>
    </row>
    <row r="23" spans="1:4" x14ac:dyDescent="0.3">
      <c r="A23" s="71" t="s">
        <v>13</v>
      </c>
      <c r="B23" s="46">
        <v>1</v>
      </c>
      <c r="C23" s="46">
        <v>0.97396084189400001</v>
      </c>
      <c r="D23" s="46">
        <v>0.96191928416500005</v>
      </c>
    </row>
    <row r="24" spans="1:4" x14ac:dyDescent="0.3">
      <c r="A24" s="71" t="s">
        <v>97</v>
      </c>
      <c r="B24" s="46">
        <v>0.73889098286800003</v>
      </c>
      <c r="C24" s="46">
        <v>0.69723894607199999</v>
      </c>
      <c r="D24" s="46">
        <v>0.70109517430699997</v>
      </c>
    </row>
    <row r="25" spans="1:4" x14ac:dyDescent="0.3">
      <c r="A25" s="71" t="s">
        <v>71</v>
      </c>
      <c r="B25" s="46">
        <v>0.48631217212899996</v>
      </c>
      <c r="C25" s="46">
        <v>0.45138544553800003</v>
      </c>
      <c r="D25" s="46">
        <v>0.40215440226499999</v>
      </c>
    </row>
    <row r="26" spans="1:4" x14ac:dyDescent="0.3">
      <c r="A26" s="71" t="s">
        <v>65</v>
      </c>
      <c r="B26" s="46">
        <v>0.79619595651899999</v>
      </c>
      <c r="C26" s="46">
        <v>0.61886601550599996</v>
      </c>
      <c r="D26" s="46">
        <v>0.64942575881799991</v>
      </c>
    </row>
    <row r="27" spans="1:4" x14ac:dyDescent="0.3">
      <c r="A27" s="71" t="s">
        <v>53</v>
      </c>
      <c r="B27" s="46">
        <v>0.76832525776599991</v>
      </c>
      <c r="C27" s="46">
        <v>0.62770356422899998</v>
      </c>
      <c r="D27" s="46">
        <v>0.59540352707599997</v>
      </c>
    </row>
    <row r="28" spans="1:4" x14ac:dyDescent="0.3">
      <c r="A28" s="71" t="s">
        <v>7</v>
      </c>
      <c r="B28" s="46">
        <v>0.36805038326199996</v>
      </c>
      <c r="C28" s="46">
        <v>0.24728965800000002</v>
      </c>
      <c r="D28" s="46">
        <v>0.199307854216</v>
      </c>
    </row>
    <row r="29" spans="1:4" x14ac:dyDescent="0.3">
      <c r="A29" s="72" t="s">
        <v>80</v>
      </c>
      <c r="B29" s="46">
        <v>0.66271930980399996</v>
      </c>
      <c r="C29" s="46">
        <v>0.54308495790400002</v>
      </c>
      <c r="D29" s="46">
        <v>0.55966880654100004</v>
      </c>
    </row>
    <row r="30" spans="1:4" x14ac:dyDescent="0.3">
      <c r="A30" s="71" t="s">
        <v>69</v>
      </c>
      <c r="B30" s="46">
        <v>0.64400516113799999</v>
      </c>
      <c r="C30" s="46">
        <v>0.50965303349899993</v>
      </c>
      <c r="D30" s="46">
        <v>0.43239461270500001</v>
      </c>
    </row>
    <row r="31" spans="1:4" x14ac:dyDescent="0.3">
      <c r="A31" s="71" t="s">
        <v>33</v>
      </c>
      <c r="B31" s="46">
        <v>0.56100722616999998</v>
      </c>
      <c r="C31" s="46">
        <v>0.61697682983900004</v>
      </c>
      <c r="D31" s="46">
        <v>0.64537655839699992</v>
      </c>
    </row>
    <row r="32" spans="1:4" x14ac:dyDescent="0.3">
      <c r="A32" s="71" t="s">
        <v>30</v>
      </c>
      <c r="B32" s="46">
        <v>0.79936223485199998</v>
      </c>
      <c r="C32" s="46">
        <v>0.82750519817099999</v>
      </c>
      <c r="D32" s="46">
        <v>0.65779261454700011</v>
      </c>
    </row>
    <row r="33" spans="1:4" x14ac:dyDescent="0.3">
      <c r="A33" s="71" t="s">
        <v>52</v>
      </c>
      <c r="B33" s="46">
        <v>0.490332543836</v>
      </c>
      <c r="C33" s="46">
        <v>0.37654022480400001</v>
      </c>
      <c r="D33" s="46">
        <v>0.39660380429299996</v>
      </c>
    </row>
    <row r="34" spans="1:4" x14ac:dyDescent="0.3">
      <c r="A34" s="71" t="s">
        <v>31</v>
      </c>
      <c r="B34" s="46">
        <v>0.482415547291</v>
      </c>
      <c r="C34" s="46">
        <v>0.43832606481600001</v>
      </c>
      <c r="D34" s="46">
        <v>0.25339479589300001</v>
      </c>
    </row>
    <row r="35" spans="1:4" x14ac:dyDescent="0.3">
      <c r="A35" s="71" t="s">
        <v>32</v>
      </c>
      <c r="B35" s="46">
        <v>0.89896551752799991</v>
      </c>
      <c r="C35" s="46">
        <v>0.90796544346600006</v>
      </c>
      <c r="D35" s="46">
        <v>0.95418825900200011</v>
      </c>
    </row>
    <row r="36" spans="1:4" x14ac:dyDescent="0.3">
      <c r="A36" s="71" t="s">
        <v>125</v>
      </c>
      <c r="B36" s="46">
        <v>0.64282730666999999</v>
      </c>
      <c r="C36" s="46">
        <v>0.64146929911700001</v>
      </c>
      <c r="D36" s="46">
        <v>0.60126300612600003</v>
      </c>
    </row>
    <row r="37" spans="1:4" x14ac:dyDescent="0.3">
      <c r="A37" s="71" t="s">
        <v>26</v>
      </c>
      <c r="B37" s="46">
        <v>0.344048610734</v>
      </c>
      <c r="C37" s="46">
        <v>0.38156772089000002</v>
      </c>
      <c r="D37" s="46">
        <v>0.36057245967900003</v>
      </c>
    </row>
    <row r="38" spans="1:4" x14ac:dyDescent="0.3">
      <c r="A38" s="71" t="s">
        <v>27</v>
      </c>
      <c r="B38" s="46">
        <v>0.19364869813799998</v>
      </c>
      <c r="C38" s="46">
        <v>0.22816618064699998</v>
      </c>
      <c r="D38" s="46">
        <v>0.158881030654</v>
      </c>
    </row>
    <row r="39" spans="1:4" x14ac:dyDescent="0.3">
      <c r="A39" s="71" t="s">
        <v>89</v>
      </c>
      <c r="B39" s="46">
        <v>0.32647272237000002</v>
      </c>
      <c r="C39" s="46">
        <v>0.55298746701699997</v>
      </c>
      <c r="D39" s="46">
        <v>0.45540964244999999</v>
      </c>
    </row>
    <row r="40" spans="1:4" x14ac:dyDescent="0.3">
      <c r="A40" s="71" t="s">
        <v>28</v>
      </c>
      <c r="B40" s="46">
        <v>0.83672671162900003</v>
      </c>
      <c r="C40" s="46">
        <v>0.66474256402600007</v>
      </c>
      <c r="D40" s="46">
        <v>0.66326744417000005</v>
      </c>
    </row>
    <row r="41" spans="1:4" x14ac:dyDescent="0.3">
      <c r="A41" s="71" t="s">
        <v>25</v>
      </c>
      <c r="B41" s="46">
        <v>0.38796668569799997</v>
      </c>
      <c r="C41" s="46">
        <v>0.69411728091000002</v>
      </c>
      <c r="D41" s="46">
        <v>0.83229203715599998</v>
      </c>
    </row>
    <row r="42" spans="1:4" x14ac:dyDescent="0.3">
      <c r="A42" s="71" t="s">
        <v>22</v>
      </c>
      <c r="B42" s="46">
        <v>0.59053905301699994</v>
      </c>
      <c r="C42" s="46">
        <v>0.57166058524700003</v>
      </c>
      <c r="D42" s="46">
        <v>0.49460940930600006</v>
      </c>
    </row>
    <row r="43" spans="1:4" x14ac:dyDescent="0.3">
      <c r="A43" s="71" t="s">
        <v>29</v>
      </c>
      <c r="B43" s="46">
        <v>0.70769260283199997</v>
      </c>
      <c r="C43" s="46">
        <v>0.76671018679300007</v>
      </c>
      <c r="D43" s="46">
        <v>0.66142372613099998</v>
      </c>
    </row>
    <row r="44" spans="1:4" x14ac:dyDescent="0.3">
      <c r="A44" s="71" t="s">
        <v>177</v>
      </c>
      <c r="B44" s="46">
        <v>0.37697433736000002</v>
      </c>
      <c r="C44" s="46">
        <v>0.39817448439499997</v>
      </c>
      <c r="D44" s="46">
        <v>0.55457536459599999</v>
      </c>
    </row>
    <row r="45" spans="1:4" x14ac:dyDescent="0.3">
      <c r="A45" s="71" t="s">
        <v>99</v>
      </c>
      <c r="B45" s="46">
        <v>0.43800787560499999</v>
      </c>
      <c r="C45" s="46">
        <v>0.356140953629</v>
      </c>
      <c r="D45" s="46">
        <v>0.42651006979500006</v>
      </c>
    </row>
    <row r="46" spans="1:4" x14ac:dyDescent="0.3">
      <c r="A46" s="71" t="s">
        <v>63</v>
      </c>
      <c r="B46" s="46">
        <v>0.55254848030100001</v>
      </c>
      <c r="C46" s="46">
        <v>0.38273255749000001</v>
      </c>
      <c r="D46" s="46">
        <v>0.47898234070900003</v>
      </c>
    </row>
    <row r="47" spans="1:4" x14ac:dyDescent="0.3">
      <c r="A47" s="71" t="s">
        <v>81</v>
      </c>
      <c r="B47" s="46">
        <v>0.115269403198</v>
      </c>
      <c r="C47" s="46">
        <v>1.1737537674000001E-2</v>
      </c>
      <c r="D47" s="46">
        <v>6.5996111077E-2</v>
      </c>
    </row>
    <row r="48" spans="1:4" x14ac:dyDescent="0.3">
      <c r="A48" s="71" t="s">
        <v>91</v>
      </c>
      <c r="B48" s="46">
        <v>0.276684462854</v>
      </c>
      <c r="C48" s="46">
        <v>0.31868136324500002</v>
      </c>
      <c r="D48" s="46">
        <v>0.121882965993</v>
      </c>
    </row>
    <row r="49" spans="1:4" x14ac:dyDescent="0.3">
      <c r="A49" s="72" t="s">
        <v>92</v>
      </c>
      <c r="B49" s="46">
        <v>0.13240894296800002</v>
      </c>
      <c r="C49" s="46">
        <v>0.130709527357</v>
      </c>
      <c r="D49" s="46">
        <v>0.22102926552300001</v>
      </c>
    </row>
    <row r="50" spans="1:4" x14ac:dyDescent="0.3">
      <c r="A50" s="72" t="s">
        <v>47</v>
      </c>
      <c r="B50" s="46">
        <v>0.21468057940600002</v>
      </c>
      <c r="C50" s="46">
        <v>0.239133235306</v>
      </c>
      <c r="D50" s="46">
        <v>9.5717718032000007E-2</v>
      </c>
    </row>
    <row r="51" spans="1:4" x14ac:dyDescent="0.3">
      <c r="A51" s="72" t="s">
        <v>93</v>
      </c>
      <c r="B51" s="46">
        <v>0.163522351904</v>
      </c>
      <c r="C51" s="46">
        <v>0.19152374085400001</v>
      </c>
      <c r="D51" s="46">
        <v>0.34122266490100001</v>
      </c>
    </row>
    <row r="52" spans="1:4" x14ac:dyDescent="0.3">
      <c r="A52" s="71" t="s">
        <v>11</v>
      </c>
      <c r="B52" s="46">
        <v>0.64318179869299996</v>
      </c>
      <c r="C52" s="46">
        <v>0.50726977878699997</v>
      </c>
      <c r="D52" s="46">
        <v>0.65665189809400004</v>
      </c>
    </row>
    <row r="53" spans="1:4" x14ac:dyDescent="0.3">
      <c r="A53" s="71" t="s">
        <v>100</v>
      </c>
      <c r="B53" s="46">
        <v>0.64840776004299994</v>
      </c>
      <c r="C53" s="46">
        <v>0.66387196208600008</v>
      </c>
      <c r="D53" s="46">
        <v>0.63670695354000006</v>
      </c>
    </row>
    <row r="54" spans="1:4" x14ac:dyDescent="0.3">
      <c r="A54" s="71" t="s">
        <v>83</v>
      </c>
      <c r="B54" s="46">
        <v>0.70910873618799997</v>
      </c>
      <c r="C54" s="46">
        <v>0.80755835384899999</v>
      </c>
      <c r="D54" s="46">
        <v>0.81450259502899991</v>
      </c>
    </row>
    <row r="55" spans="1:4" x14ac:dyDescent="0.3">
      <c r="A55" s="71" t="s">
        <v>42</v>
      </c>
      <c r="B55" s="46">
        <v>0.61824267784499998</v>
      </c>
      <c r="C55" s="46">
        <v>0.46660850843200002</v>
      </c>
      <c r="D55" s="46">
        <v>0.384417091243</v>
      </c>
    </row>
    <row r="56" spans="1:4" x14ac:dyDescent="0.3">
      <c r="A56" s="71" t="s">
        <v>34</v>
      </c>
      <c r="B56" s="46">
        <v>0.27873852584600001</v>
      </c>
      <c r="C56" s="46">
        <v>0.45451751973100002</v>
      </c>
      <c r="D56" s="46">
        <v>0.51467528725099998</v>
      </c>
    </row>
    <row r="57" spans="1:4" x14ac:dyDescent="0.3">
      <c r="A57" s="71" t="s">
        <v>35</v>
      </c>
      <c r="B57" s="46">
        <v>0.71511002780300004</v>
      </c>
      <c r="C57" s="46">
        <v>0.77590206245900006</v>
      </c>
      <c r="D57" s="46">
        <v>0.68205831815500007</v>
      </c>
    </row>
    <row r="58" spans="1:4" x14ac:dyDescent="0.3">
      <c r="A58" s="71" t="s">
        <v>94</v>
      </c>
      <c r="B58" s="46">
        <v>0.75220523106399995</v>
      </c>
      <c r="C58" s="46">
        <v>0.60510318223100001</v>
      </c>
      <c r="D58" s="46">
        <v>0.69888453320900001</v>
      </c>
    </row>
    <row r="59" spans="1:4" x14ac:dyDescent="0.3">
      <c r="A59" s="71" t="s">
        <v>46</v>
      </c>
      <c r="B59" s="46">
        <v>0.51736929913800001</v>
      </c>
      <c r="C59" s="46">
        <v>0.540572803115</v>
      </c>
      <c r="D59" s="46">
        <v>0.31454975465000001</v>
      </c>
    </row>
    <row r="60" spans="1:4" x14ac:dyDescent="0.3">
      <c r="A60" s="71" t="s">
        <v>44</v>
      </c>
      <c r="B60" s="46">
        <v>0.78690436360600002</v>
      </c>
      <c r="C60" s="46">
        <v>0.78678015663900003</v>
      </c>
      <c r="D60" s="46">
        <v>0.80135809411899994</v>
      </c>
    </row>
    <row r="61" spans="1:4" x14ac:dyDescent="0.3">
      <c r="A61" s="71" t="s">
        <v>36</v>
      </c>
      <c r="B61" s="46">
        <v>0.64447032383500003</v>
      </c>
      <c r="C61" s="46">
        <v>0.43233975995900004</v>
      </c>
      <c r="D61" s="46">
        <v>0.51840266421499992</v>
      </c>
    </row>
    <row r="62" spans="1:4" x14ac:dyDescent="0.3">
      <c r="A62" s="71" t="s">
        <v>54</v>
      </c>
      <c r="B62" s="46">
        <v>0.54992276419200004</v>
      </c>
      <c r="C62" s="46">
        <v>0.74780049506099999</v>
      </c>
      <c r="D62" s="46">
        <v>0.65290863029700008</v>
      </c>
    </row>
    <row r="63" spans="1:4" x14ac:dyDescent="0.3">
      <c r="A63" s="71" t="s">
        <v>23</v>
      </c>
      <c r="B63" s="46">
        <v>0.56099717424100004</v>
      </c>
      <c r="C63" s="46">
        <v>0.46419134706199999</v>
      </c>
      <c r="D63" s="46">
        <v>0.48542693613099996</v>
      </c>
    </row>
    <row r="64" spans="1:4" x14ac:dyDescent="0.3">
      <c r="A64" s="71" t="s">
        <v>49</v>
      </c>
      <c r="B64" s="46">
        <v>0.46908722763299998</v>
      </c>
      <c r="C64" s="46">
        <v>0.51276146693000002</v>
      </c>
      <c r="D64" s="46">
        <v>0.50876544135699997</v>
      </c>
    </row>
    <row r="65" spans="1:4" x14ac:dyDescent="0.3">
      <c r="A65" s="71" t="s">
        <v>24</v>
      </c>
      <c r="B65" s="46">
        <v>0.82527668810999999</v>
      </c>
      <c r="C65" s="46">
        <v>0.86199865857500002</v>
      </c>
      <c r="D65" s="46">
        <v>0.80664704834500001</v>
      </c>
    </row>
    <row r="66" spans="1:4" x14ac:dyDescent="0.3">
      <c r="A66" s="71" t="s">
        <v>68</v>
      </c>
      <c r="B66" s="46">
        <v>0.59116927419900001</v>
      </c>
      <c r="C66" s="46">
        <v>0.52000508673599999</v>
      </c>
      <c r="D66" s="46">
        <v>0.54102439863100005</v>
      </c>
    </row>
    <row r="67" spans="1:4" x14ac:dyDescent="0.3">
      <c r="A67" s="71" t="s">
        <v>41</v>
      </c>
      <c r="B67" s="46">
        <v>0.483836892967</v>
      </c>
      <c r="C67" s="46">
        <v>0.38126070279399998</v>
      </c>
      <c r="D67" s="46">
        <v>0.333004912205</v>
      </c>
    </row>
    <row r="68" spans="1:4" x14ac:dyDescent="0.3">
      <c r="A68" s="71" t="s">
        <v>101</v>
      </c>
      <c r="B68" s="46">
        <v>0.75894386373700007</v>
      </c>
      <c r="C68" s="46">
        <v>0.77512544397599992</v>
      </c>
      <c r="D68" s="46">
        <v>0.66848089762899998</v>
      </c>
    </row>
    <row r="69" spans="1:4" x14ac:dyDescent="0.3">
      <c r="A69" s="71" t="s">
        <v>55</v>
      </c>
      <c r="B69" s="46">
        <v>0.50268751816299995</v>
      </c>
      <c r="C69" s="46">
        <v>0.62677945632200005</v>
      </c>
      <c r="D69" s="46">
        <v>0.52921659593999992</v>
      </c>
    </row>
    <row r="70" spans="1:4" x14ac:dyDescent="0.3">
      <c r="A70" s="71" t="s">
        <v>16</v>
      </c>
      <c r="B70" s="46">
        <v>0.86334464276800005</v>
      </c>
      <c r="C70" s="46">
        <v>0.88802753306300009</v>
      </c>
      <c r="D70" s="46">
        <v>0.74814153322400001</v>
      </c>
    </row>
    <row r="71" spans="1:4" x14ac:dyDescent="0.3">
      <c r="A71" s="71" t="s">
        <v>17</v>
      </c>
      <c r="B71" s="46">
        <v>0.73547827231100005</v>
      </c>
      <c r="C71" s="46">
        <v>0.58937444116299997</v>
      </c>
      <c r="D71" s="46">
        <v>0.42761056343299997</v>
      </c>
    </row>
    <row r="72" spans="1:4" x14ac:dyDescent="0.3">
      <c r="A72" s="71" t="s">
        <v>60</v>
      </c>
      <c r="B72" s="46">
        <v>0.72892523467500003</v>
      </c>
      <c r="C72" s="46">
        <v>0.70837342361099997</v>
      </c>
      <c r="D72" s="46">
        <v>0.59453891755900001</v>
      </c>
    </row>
    <row r="73" spans="1:4" x14ac:dyDescent="0.3">
      <c r="A73" s="72" t="s">
        <v>19</v>
      </c>
      <c r="B73" s="46">
        <v>0.46291125463900001</v>
      </c>
      <c r="C73" s="46">
        <v>0.43483156210099999</v>
      </c>
      <c r="D73" s="46">
        <v>0.49435693084299998</v>
      </c>
    </row>
    <row r="74" spans="1:4" x14ac:dyDescent="0.3">
      <c r="A74" s="72" t="s">
        <v>82</v>
      </c>
      <c r="B74" s="46">
        <v>0.83234817301499997</v>
      </c>
      <c r="C74" s="46">
        <v>0.87923942315000003</v>
      </c>
      <c r="D74" s="46">
        <v>0.77820407880100007</v>
      </c>
    </row>
    <row r="75" spans="1:4" x14ac:dyDescent="0.3">
      <c r="A75" s="72" t="s">
        <v>102</v>
      </c>
      <c r="B75" s="46">
        <v>0.75122512844099998</v>
      </c>
      <c r="C75" s="46">
        <v>0.69175172143699992</v>
      </c>
      <c r="D75" s="46">
        <v>0.68619351278399998</v>
      </c>
    </row>
    <row r="76" spans="1:4" x14ac:dyDescent="0.3">
      <c r="A76" s="71" t="s">
        <v>58</v>
      </c>
      <c r="B76" s="46">
        <v>0.45076461416000002</v>
      </c>
      <c r="C76" s="46">
        <v>0.43111416477299996</v>
      </c>
      <c r="D76" s="46">
        <v>0.33288251055700002</v>
      </c>
    </row>
    <row r="77" spans="1:4" x14ac:dyDescent="0.3">
      <c r="A77" s="71" t="s">
        <v>14</v>
      </c>
      <c r="B77" s="46">
        <v>0.35439861909000003</v>
      </c>
      <c r="C77" s="46">
        <v>0.22198449704099998</v>
      </c>
      <c r="D77" s="46">
        <v>0.26002081154199996</v>
      </c>
    </row>
    <row r="78" spans="1:4" x14ac:dyDescent="0.3">
      <c r="A78" s="71" t="s">
        <v>77</v>
      </c>
      <c r="B78" s="46">
        <v>0.55590098781999997</v>
      </c>
      <c r="C78" s="46">
        <v>0.46134986520699994</v>
      </c>
      <c r="D78" s="46">
        <v>0.51204883029999992</v>
      </c>
    </row>
    <row r="79" spans="1:4" x14ac:dyDescent="0.3">
      <c r="A79" s="71" t="s">
        <v>12</v>
      </c>
      <c r="B79" s="46">
        <v>0.71349734939100007</v>
      </c>
      <c r="C79" s="46">
        <v>0.70484958403099995</v>
      </c>
      <c r="D79" s="46">
        <v>0.62376581745699999</v>
      </c>
    </row>
    <row r="80" spans="1:4" x14ac:dyDescent="0.3">
      <c r="A80" s="71" t="s">
        <v>61</v>
      </c>
      <c r="B80" s="46">
        <v>0.83923122723299992</v>
      </c>
      <c r="C80" s="46">
        <v>0.77431899094399992</v>
      </c>
      <c r="D80" s="46">
        <v>0.74002849725199993</v>
      </c>
    </row>
    <row r="81" spans="1:4" x14ac:dyDescent="0.3">
      <c r="A81" s="71" t="s">
        <v>72</v>
      </c>
      <c r="B81" s="46">
        <v>0.79043912199400002</v>
      </c>
      <c r="C81" s="46">
        <v>0.73751762373199992</v>
      </c>
      <c r="D81" s="46">
        <v>0.70064515435700003</v>
      </c>
    </row>
    <row r="82" spans="1:4" x14ac:dyDescent="0.3">
      <c r="A82" s="71" t="s">
        <v>76</v>
      </c>
      <c r="B82" s="46">
        <v>0.85783183037300004</v>
      </c>
      <c r="C82" s="46">
        <v>0.75921106328300003</v>
      </c>
      <c r="D82" s="46">
        <v>0.75200041887199998</v>
      </c>
    </row>
    <row r="83" spans="1:4" x14ac:dyDescent="0.3">
      <c r="A83" s="71" t="s">
        <v>6</v>
      </c>
      <c r="B83" s="46">
        <v>0.85267012199999992</v>
      </c>
      <c r="C83" s="46">
        <v>0.70047873678100003</v>
      </c>
      <c r="D83" s="46">
        <v>0.75105272228700004</v>
      </c>
    </row>
    <row r="84" spans="1:4" x14ac:dyDescent="0.3">
      <c r="A84" s="71" t="s">
        <v>64</v>
      </c>
      <c r="B84" s="46">
        <v>0.63090249286599998</v>
      </c>
      <c r="C84" s="46">
        <v>0.58918437288799996</v>
      </c>
      <c r="D84" s="46">
        <v>0.71097828679000008</v>
      </c>
    </row>
    <row r="85" spans="1:4" x14ac:dyDescent="0.3">
      <c r="A85" s="71" t="s">
        <v>5</v>
      </c>
      <c r="B85" s="46">
        <v>0.451032398098</v>
      </c>
      <c r="C85" s="46">
        <v>0.60237003917199994</v>
      </c>
      <c r="D85" s="46">
        <v>0.51626720837100004</v>
      </c>
    </row>
    <row r="86" spans="1:4" x14ac:dyDescent="0.3">
      <c r="A86" s="71" t="s">
        <v>103</v>
      </c>
      <c r="B86" s="46">
        <v>0.63118513331299997</v>
      </c>
      <c r="C86" s="46">
        <v>0.564202842132</v>
      </c>
      <c r="D86" s="46">
        <v>0.606714454382</v>
      </c>
    </row>
    <row r="87" spans="1:4" x14ac:dyDescent="0.3">
      <c r="A87" s="71" t="s">
        <v>1</v>
      </c>
      <c r="B87" s="46">
        <v>0.55141226528800003</v>
      </c>
      <c r="C87" s="46">
        <v>0.41027821396599995</v>
      </c>
      <c r="D87" s="46">
        <v>0.48429885532299999</v>
      </c>
    </row>
    <row r="88" spans="1:4" x14ac:dyDescent="0.3">
      <c r="A88" s="71" t="s">
        <v>62</v>
      </c>
      <c r="B88" s="46">
        <v>0.50681908186900004</v>
      </c>
      <c r="C88" s="46">
        <v>0.441076093083</v>
      </c>
      <c r="D88" s="46">
        <v>0.54813948477600005</v>
      </c>
    </row>
    <row r="89" spans="1:4" x14ac:dyDescent="0.3">
      <c r="A89" s="71" t="s">
        <v>57</v>
      </c>
      <c r="B89" s="46">
        <v>0.75243270867400003</v>
      </c>
      <c r="C89" s="46">
        <v>0.37796396470100002</v>
      </c>
      <c r="D89" s="46">
        <v>0.62688635496300005</v>
      </c>
    </row>
    <row r="90" spans="1:4" x14ac:dyDescent="0.3">
      <c r="A90" s="71" t="s">
        <v>9</v>
      </c>
      <c r="B90" s="46">
        <v>0.545975324363</v>
      </c>
      <c r="C90" s="46">
        <v>0.42210913853500004</v>
      </c>
      <c r="D90" s="46">
        <v>0.51736972131400005</v>
      </c>
    </row>
    <row r="91" spans="1:4" x14ac:dyDescent="0.3">
      <c r="A91" s="71" t="s">
        <v>10</v>
      </c>
      <c r="B91" s="46">
        <v>0.68698729778300005</v>
      </c>
      <c r="C91" s="46">
        <v>0.68801963708200009</v>
      </c>
      <c r="D91" s="46">
        <v>0.66308567038700006</v>
      </c>
    </row>
    <row r="92" spans="1:4" x14ac:dyDescent="0.3">
      <c r="A92" s="71" t="s">
        <v>75</v>
      </c>
      <c r="B92" s="46">
        <v>0.79514599366799998</v>
      </c>
      <c r="C92" s="46">
        <v>0.73442528736099999</v>
      </c>
      <c r="D92" s="46">
        <v>0.77152918468500009</v>
      </c>
    </row>
    <row r="93" spans="1:4" x14ac:dyDescent="0.3">
      <c r="A93" s="71" t="s">
        <v>73</v>
      </c>
      <c r="B93" s="46">
        <v>0.44256193437399999</v>
      </c>
      <c r="C93" s="46">
        <v>0.58850012382200001</v>
      </c>
      <c r="D93" s="46">
        <v>0.55128711247399997</v>
      </c>
    </row>
    <row r="94" spans="1:4" x14ac:dyDescent="0.3">
      <c r="A94" s="71" t="s">
        <v>8</v>
      </c>
      <c r="B94" s="46">
        <v>0.58103922215399995</v>
      </c>
      <c r="C94" s="46">
        <v>0.67649205503499998</v>
      </c>
      <c r="D94" s="46">
        <v>0.58568691629299996</v>
      </c>
    </row>
    <row r="95" spans="1:4" x14ac:dyDescent="0.3">
      <c r="A95" s="71" t="s">
        <v>3</v>
      </c>
      <c r="B95" s="46">
        <v>0.50814058092800007</v>
      </c>
      <c r="C95" s="46">
        <v>0.54317659996300005</v>
      </c>
      <c r="D95" s="46">
        <v>0.44236122471599998</v>
      </c>
    </row>
    <row r="96" spans="1:4" x14ac:dyDescent="0.3">
      <c r="A96" s="71" t="s">
        <v>74</v>
      </c>
      <c r="B96" s="46">
        <v>0.51871176495799998</v>
      </c>
      <c r="C96" s="46">
        <v>0.38370327821099998</v>
      </c>
      <c r="D96" s="46">
        <v>0.52216789850300005</v>
      </c>
    </row>
    <row r="97" spans="1:4" x14ac:dyDescent="0.3">
      <c r="A97" s="71" t="s">
        <v>18</v>
      </c>
      <c r="B97" s="46">
        <v>0.53042976452599999</v>
      </c>
      <c r="C97" s="46">
        <v>0.47760449160000001</v>
      </c>
      <c r="D97" s="46">
        <v>0.27810212304699999</v>
      </c>
    </row>
  </sheetData>
  <autoFilter ref="A3:D97" xr:uid="{5C2CECA7-98BF-4F21-8B75-BBF6A84E04D6}"/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40</vt:i4>
      </vt:variant>
    </vt:vector>
  </HeadingPairs>
  <TitlesOfParts>
    <vt:vector size="40" baseType="lpstr">
      <vt:lpstr>2022</vt:lpstr>
      <vt:lpstr>2021</vt:lpstr>
      <vt:lpstr>2020</vt:lpstr>
      <vt:lpstr>2019</vt:lpstr>
      <vt:lpstr>2018</vt:lpstr>
      <vt:lpstr>Population</vt:lpstr>
      <vt:lpstr>Income</vt:lpstr>
      <vt:lpstr>Livable_wage</vt:lpstr>
      <vt:lpstr>AVA_1</vt:lpstr>
      <vt:lpstr>AVA_2</vt:lpstr>
      <vt:lpstr>AVA_3</vt:lpstr>
      <vt:lpstr>AVA_4</vt:lpstr>
      <vt:lpstr>AVA_5</vt:lpstr>
      <vt:lpstr>IRA_1</vt:lpstr>
      <vt:lpstr>IRA_2</vt:lpstr>
      <vt:lpstr>IRA_3</vt:lpstr>
      <vt:lpstr>IRA_4</vt:lpstr>
      <vt:lpstr>INV_1</vt:lpstr>
      <vt:lpstr>INV_2</vt:lpstr>
      <vt:lpstr>INV_3</vt:lpstr>
      <vt:lpstr>INV_4</vt:lpstr>
      <vt:lpstr>INV_5</vt:lpstr>
      <vt:lpstr>LUJ_1</vt:lpstr>
      <vt:lpstr>LUJ_2</vt:lpstr>
      <vt:lpstr>LUJ_3</vt:lpstr>
      <vt:lpstr>LUJ_4</vt:lpstr>
      <vt:lpstr>LUJ_5</vt:lpstr>
      <vt:lpstr>GUL_1</vt:lpstr>
      <vt:lpstr>GUL_2</vt:lpstr>
      <vt:lpstr>GUL_3</vt:lpstr>
      <vt:lpstr>GUL_4</vt:lpstr>
      <vt:lpstr>GUL_5</vt:lpstr>
      <vt:lpstr>GUL_6</vt:lpstr>
      <vt:lpstr>GUL_7</vt:lpstr>
      <vt:lpstr>GUL_8</vt:lpstr>
      <vt:lpstr>DES_1</vt:lpstr>
      <vt:lpstr>DES_2</vt:lpstr>
      <vt:lpstr>DES_3</vt:lpstr>
      <vt:lpstr>DES_4</vt:lpstr>
      <vt:lpstr>DES_5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Dmitriy</dc:creator>
  <cp:lastModifiedBy>Dmitry</cp:lastModifiedBy>
  <dcterms:created xsi:type="dcterms:W3CDTF">2023-12-24T19:30:33Z</dcterms:created>
  <dcterms:modified xsi:type="dcterms:W3CDTF">2024-04-15T02:24:11Z</dcterms:modified>
</cp:coreProperties>
</file>